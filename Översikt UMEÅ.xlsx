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45811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45811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45811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45811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45811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45811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45811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45811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45811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45811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45811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45811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45811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45811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45811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45811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45811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45811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45811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45811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45811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24934-2025</t>
        </is>
      </c>
      <c r="B23" s="1" t="n">
        <v>45799</v>
      </c>
      <c r="C23" s="1" t="n">
        <v>45811</v>
      </c>
      <c r="D23" t="inlineStr">
        <is>
          <t>VÄSTERBOTTENS LÄN</t>
        </is>
      </c>
      <c r="E23" t="inlineStr">
        <is>
          <t>UMEÅ</t>
        </is>
      </c>
      <c r="G23" t="n">
        <v>24.9</v>
      </c>
      <c r="H23" t="n">
        <v>2</v>
      </c>
      <c r="I23" t="n">
        <v>3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9</v>
      </c>
      <c r="R23" s="2" t="inlineStr">
        <is>
          <t>Garnlav
Granticka
Leptoporus mollis
Spillkråka
Tretåig hackspett
Ullticka
Kattfotslav
Vedticka
Vågbandad barkbock</t>
        </is>
      </c>
      <c r="S23">
        <f>HYPERLINK("https://klasma.github.io/Logging_242480/artfynd/A 24934-2025 artfynd.xlsx", "A 24934-2025")</f>
        <v/>
      </c>
      <c r="T23">
        <f>HYPERLINK("https://klasma.github.io/Logging_242480/kartor/A 24934-2025 karta.png", "A 24934-2025")</f>
        <v/>
      </c>
      <c r="V23">
        <f>HYPERLINK("https://klasma.github.io/Logging_242480/klagomål/A 24934-2025 FSC-klagomål.docx", "A 24934-2025")</f>
        <v/>
      </c>
      <c r="W23">
        <f>HYPERLINK("https://klasma.github.io/Logging_242480/klagomålsmail/A 24934-2025 FSC-klagomål mail.docx", "A 24934-2025")</f>
        <v/>
      </c>
      <c r="X23">
        <f>HYPERLINK("https://klasma.github.io/Logging_242480/tillsyn/A 24934-2025 tillsynsbegäran.docx", "A 24934-2025")</f>
        <v/>
      </c>
      <c r="Y23">
        <f>HYPERLINK("https://klasma.github.io/Logging_242480/tillsynsmail/A 24934-2025 tillsynsbegäran mail.docx", "A 24934-2025")</f>
        <v/>
      </c>
      <c r="Z23">
        <f>HYPERLINK("https://klasma.github.io/Logging_242480/fåglar/A 24934-2025 prioriterade fågelarter.docx", "A 24934-2025")</f>
        <v/>
      </c>
    </row>
    <row r="24" ht="15" customHeight="1">
      <c r="A24" t="inlineStr">
        <is>
          <t>A 9245-2022</t>
        </is>
      </c>
      <c r="B24" s="1" t="n">
        <v>44616</v>
      </c>
      <c r="C24" s="1" t="n">
        <v>45811</v>
      </c>
      <c r="D24" t="inlineStr">
        <is>
          <t>VÄSTERBOTTENS LÄN</t>
        </is>
      </c>
      <c r="E24" t="inlineStr">
        <is>
          <t>UMEÅ</t>
        </is>
      </c>
      <c r="G24" t="n">
        <v>2.8</v>
      </c>
      <c r="H24" t="n">
        <v>2</v>
      </c>
      <c r="I24" t="n">
        <v>2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Gropticka
Harticka
Järpe
Lundsångare
Ullticka
Violettgrå tagellav
Mörk husmossa
Vedticka</t>
        </is>
      </c>
      <c r="S24">
        <f>HYPERLINK("https://klasma.github.io/Logging_2480/artfynd/A 9245-2022 artfynd.xlsx", "A 9245-2022")</f>
        <v/>
      </c>
      <c r="T24">
        <f>HYPERLINK("https://klasma.github.io/Logging_2480/kartor/A 9245-2022 karta.png", "A 9245-2022")</f>
        <v/>
      </c>
      <c r="V24">
        <f>HYPERLINK("https://klasma.github.io/Logging_2480/klagomål/A 9245-2022 FSC-klagomål.docx", "A 9245-2022")</f>
        <v/>
      </c>
      <c r="W24">
        <f>HYPERLINK("https://klasma.github.io/Logging_2480/klagomålsmail/A 9245-2022 FSC-klagomål mail.docx", "A 9245-2022")</f>
        <v/>
      </c>
      <c r="X24">
        <f>HYPERLINK("https://klasma.github.io/Logging_2480/tillsyn/A 9245-2022 tillsynsbegäran.docx", "A 9245-2022")</f>
        <v/>
      </c>
      <c r="Y24">
        <f>HYPERLINK("https://klasma.github.io/Logging_2480/tillsynsmail/A 9245-2022 tillsynsbegäran mail.docx", "A 9245-2022")</f>
        <v/>
      </c>
      <c r="Z24">
        <f>HYPERLINK("https://klasma.github.io/Logging_2480/fåglar/A 9245-2022 prioriterade fågelarter.docx", "A 9245-2022")</f>
        <v/>
      </c>
    </row>
    <row r="25" ht="15" customHeight="1">
      <c r="A25" t="inlineStr">
        <is>
          <t>A 41407-2022</t>
        </is>
      </c>
      <c r="B25" s="1" t="n">
        <v>44826</v>
      </c>
      <c r="C25" s="1" t="n">
        <v>45811</v>
      </c>
      <c r="D25" t="inlineStr">
        <is>
          <t>VÄSTERBOTTENS LÄN</t>
        </is>
      </c>
      <c r="E25" t="inlineStr">
        <is>
          <t>UMEÅ</t>
        </is>
      </c>
      <c r="G25" t="n">
        <v>5.6</v>
      </c>
      <c r="H25" t="n">
        <v>2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Garnlav
Leptoporus mollis
Rosenticka
Spillkråka
Stjärntagging
Tretåig hackspett
Ullticka
Vedticka</t>
        </is>
      </c>
      <c r="S25">
        <f>HYPERLINK("https://klasma.github.io/Logging_2480/artfynd/A 41407-2022 artfynd.xlsx", "A 41407-2022")</f>
        <v/>
      </c>
      <c r="T25">
        <f>HYPERLINK("https://klasma.github.io/Logging_2480/kartor/A 41407-2022 karta.png", "A 41407-2022")</f>
        <v/>
      </c>
      <c r="V25">
        <f>HYPERLINK("https://klasma.github.io/Logging_2480/klagomål/A 41407-2022 FSC-klagomål.docx", "A 41407-2022")</f>
        <v/>
      </c>
      <c r="W25">
        <f>HYPERLINK("https://klasma.github.io/Logging_2480/klagomålsmail/A 41407-2022 FSC-klagomål mail.docx", "A 41407-2022")</f>
        <v/>
      </c>
      <c r="X25">
        <f>HYPERLINK("https://klasma.github.io/Logging_2480/tillsyn/A 41407-2022 tillsynsbegäran.docx", "A 41407-2022")</f>
        <v/>
      </c>
      <c r="Y25">
        <f>HYPERLINK("https://klasma.github.io/Logging_2480/tillsynsmail/A 41407-2022 tillsynsbegäran mail.docx", "A 41407-2022")</f>
        <v/>
      </c>
      <c r="Z25">
        <f>HYPERLINK("https://klasma.github.io/Logging_2480/fåglar/A 41407-2022 prioriterade fågelarter.docx", "A 41407-2022")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45811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45811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45811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45811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45811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45811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45811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45811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45811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45811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45811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45811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45811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45811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45811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45811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45811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45811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45811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45811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45811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45811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45811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45811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38314-2020</t>
        </is>
      </c>
      <c r="B50" s="1" t="n">
        <v>44060</v>
      </c>
      <c r="C50" s="1" t="n">
        <v>45811</v>
      </c>
      <c r="D50" t="inlineStr">
        <is>
          <t>VÄSTERBOTTENS LÄN</t>
        </is>
      </c>
      <c r="E50" t="inlineStr">
        <is>
          <t>UMEÅ</t>
        </is>
      </c>
      <c r="F50" t="inlineStr">
        <is>
          <t>Övriga Aktiebolag</t>
        </is>
      </c>
      <c r="G50" t="n">
        <v>5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Talltita
Dropptaggsvamp</t>
        </is>
      </c>
      <c r="S50">
        <f>HYPERLINK("https://klasma.github.io/Logging_2480/artfynd/A 38314-2020 artfynd.xlsx", "A 38314-2020")</f>
        <v/>
      </c>
      <c r="T50">
        <f>HYPERLINK("https://klasma.github.io/Logging_2480/kartor/A 38314-2020 karta.png", "A 38314-2020")</f>
        <v/>
      </c>
      <c r="V50">
        <f>HYPERLINK("https://klasma.github.io/Logging_2480/klagomål/A 38314-2020 FSC-klagomål.docx", "A 38314-2020")</f>
        <v/>
      </c>
      <c r="W50">
        <f>HYPERLINK("https://klasma.github.io/Logging_2480/klagomålsmail/A 38314-2020 FSC-klagomål mail.docx", "A 38314-2020")</f>
        <v/>
      </c>
      <c r="X50">
        <f>HYPERLINK("https://klasma.github.io/Logging_2480/tillsyn/A 38314-2020 tillsynsbegäran.docx", "A 38314-2020")</f>
        <v/>
      </c>
      <c r="Y50">
        <f>HYPERLINK("https://klasma.github.io/Logging_2480/tillsynsmail/A 38314-2020 tillsynsbegäran mail.docx", "A 38314-2020")</f>
        <v/>
      </c>
      <c r="Z50">
        <f>HYPERLINK("https://klasma.github.io/Logging_2480/fåglar/A 38314-2020 prioriterade fågelarter.docx", "A 38314-2020")</f>
        <v/>
      </c>
    </row>
    <row r="51" ht="15" customHeight="1">
      <c r="A51" t="inlineStr">
        <is>
          <t>A 61439-2020</t>
        </is>
      </c>
      <c r="B51" s="1" t="n">
        <v>44157</v>
      </c>
      <c r="C51" s="1" t="n">
        <v>45811</v>
      </c>
      <c r="D51" t="inlineStr">
        <is>
          <t>VÄSTERBOTTENS LÄN</t>
        </is>
      </c>
      <c r="E51" t="inlineStr">
        <is>
          <t>UMEÅ</t>
        </is>
      </c>
      <c r="G51" t="n">
        <v>11.8</v>
      </c>
      <c r="H51" t="n">
        <v>1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Ullticka
Vitgrynig nållav</t>
        </is>
      </c>
      <c r="S51">
        <f>HYPERLINK("https://klasma.github.io/Logging_2480/artfynd/A 61439-2020 artfynd.xlsx", "A 61439-2020")</f>
        <v/>
      </c>
      <c r="T51">
        <f>HYPERLINK("https://klasma.github.io/Logging_2480/kartor/A 61439-2020 karta.png", "A 61439-2020")</f>
        <v/>
      </c>
      <c r="V51">
        <f>HYPERLINK("https://klasma.github.io/Logging_2480/klagomål/A 61439-2020 FSC-klagomål.docx", "A 61439-2020")</f>
        <v/>
      </c>
      <c r="W51">
        <f>HYPERLINK("https://klasma.github.io/Logging_2480/klagomålsmail/A 61439-2020 FSC-klagomål mail.docx", "A 61439-2020")</f>
        <v/>
      </c>
      <c r="X51">
        <f>HYPERLINK("https://klasma.github.io/Logging_2480/tillsyn/A 61439-2020 tillsynsbegäran.docx", "A 61439-2020")</f>
        <v/>
      </c>
      <c r="Y51">
        <f>HYPERLINK("https://klasma.github.io/Logging_2480/tillsynsmail/A 61439-2020 tillsynsbegäran mail.docx", "A 61439-2020")</f>
        <v/>
      </c>
      <c r="Z51">
        <f>HYPERLINK("https://klasma.github.io/Logging_2480/fåglar/A 61439-2020 prioriterade fågelarter.docx", "A 61439-2020")</f>
        <v/>
      </c>
    </row>
    <row r="52" ht="15" customHeight="1">
      <c r="A52" t="inlineStr">
        <is>
          <t>A 13479-2022</t>
        </is>
      </c>
      <c r="B52" s="1" t="n">
        <v>44645</v>
      </c>
      <c r="C52" s="1" t="n">
        <v>45811</v>
      </c>
      <c r="D52" t="inlineStr">
        <is>
          <t>VÄSTERBOTTENS LÄN</t>
        </is>
      </c>
      <c r="E52" t="inlineStr">
        <is>
          <t>UMEÅ</t>
        </is>
      </c>
      <c r="G52" t="n">
        <v>6.2</v>
      </c>
      <c r="H52" t="n">
        <v>5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Dammfladdermus
Fransfladdermus
Nordfladdermus
Trollpipistrell
Vattenfladdermus</t>
        </is>
      </c>
      <c r="S52">
        <f>HYPERLINK("https://klasma.github.io/Logging_2480/artfynd/A 13479-2022 artfynd.xlsx", "A 13479-2022")</f>
        <v/>
      </c>
      <c r="T52">
        <f>HYPERLINK("https://klasma.github.io/Logging_2480/kartor/A 13479-2022 karta.png", "A 13479-2022")</f>
        <v/>
      </c>
      <c r="V52">
        <f>HYPERLINK("https://klasma.github.io/Logging_2480/klagomål/A 13479-2022 FSC-klagomål.docx", "A 13479-2022")</f>
        <v/>
      </c>
      <c r="W52">
        <f>HYPERLINK("https://klasma.github.io/Logging_2480/klagomålsmail/A 13479-2022 FSC-klagomål mail.docx", "A 13479-2022")</f>
        <v/>
      </c>
      <c r="X52">
        <f>HYPERLINK("https://klasma.github.io/Logging_2480/tillsyn/A 13479-2022 tillsynsbegäran.docx", "A 13479-2022")</f>
        <v/>
      </c>
      <c r="Y52">
        <f>HYPERLINK("https://klasma.github.io/Logging_2480/tillsynsmail/A 13479-2022 tillsynsbegäran mail.docx", "A 13479-2022")</f>
        <v/>
      </c>
    </row>
    <row r="53" ht="15" customHeight="1">
      <c r="A53" t="inlineStr">
        <is>
          <t>A 32316-2022</t>
        </is>
      </c>
      <c r="B53" s="1" t="n">
        <v>44781</v>
      </c>
      <c r="C53" s="1" t="n">
        <v>45811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6.4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Orange taggsvamp
Dropptaggsvamp
Skarp dropptaggsvamp
Tjäder</t>
        </is>
      </c>
      <c r="S53">
        <f>HYPERLINK("https://klasma.github.io/Logging_2480/artfynd/A 32316-2022 artfynd.xlsx", "A 32316-2022")</f>
        <v/>
      </c>
      <c r="T53">
        <f>HYPERLINK("https://klasma.github.io/Logging_2480/kartor/A 32316-2022 karta.png", "A 32316-2022")</f>
        <v/>
      </c>
      <c r="V53">
        <f>HYPERLINK("https://klasma.github.io/Logging_2480/klagomål/A 32316-2022 FSC-klagomål.docx", "A 32316-2022")</f>
        <v/>
      </c>
      <c r="W53">
        <f>HYPERLINK("https://klasma.github.io/Logging_2480/klagomålsmail/A 32316-2022 FSC-klagomål mail.docx", "A 32316-2022")</f>
        <v/>
      </c>
      <c r="X53">
        <f>HYPERLINK("https://klasma.github.io/Logging_2480/tillsyn/A 32316-2022 tillsynsbegäran.docx", "A 32316-2022")</f>
        <v/>
      </c>
      <c r="Y53">
        <f>HYPERLINK("https://klasma.github.io/Logging_2480/tillsynsmail/A 32316-2022 tillsynsbegäran mail.docx", "A 32316-2022")</f>
        <v/>
      </c>
      <c r="Z53">
        <f>HYPERLINK("https://klasma.github.io/Logging_2480/fåglar/A 32316-2022 prioriterade fågelarter.docx", "A 32316-2022")</f>
        <v/>
      </c>
    </row>
    <row r="54" ht="15" customHeight="1">
      <c r="A54" t="inlineStr">
        <is>
          <t>A 39912-2022</t>
        </is>
      </c>
      <c r="B54" s="1" t="n">
        <v>44819</v>
      </c>
      <c r="C54" s="1" t="n">
        <v>45811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26.3</v>
      </c>
      <c r="H54" t="n">
        <v>1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Garnlav
Granticka
Lunglav
Spillkråka
Ullticka</t>
        </is>
      </c>
      <c r="S54">
        <f>HYPERLINK("https://klasma.github.io/Logging_2480/artfynd/A 39912-2022 artfynd.xlsx", "A 39912-2022")</f>
        <v/>
      </c>
      <c r="T54">
        <f>HYPERLINK("https://klasma.github.io/Logging_2480/kartor/A 39912-2022 karta.png", "A 39912-2022")</f>
        <v/>
      </c>
      <c r="V54">
        <f>HYPERLINK("https://klasma.github.io/Logging_2480/klagomål/A 39912-2022 FSC-klagomål.docx", "A 39912-2022")</f>
        <v/>
      </c>
      <c r="W54">
        <f>HYPERLINK("https://klasma.github.io/Logging_2480/klagomålsmail/A 39912-2022 FSC-klagomål mail.docx", "A 39912-2022")</f>
        <v/>
      </c>
      <c r="X54">
        <f>HYPERLINK("https://klasma.github.io/Logging_2480/tillsyn/A 39912-2022 tillsynsbegäran.docx", "A 39912-2022")</f>
        <v/>
      </c>
      <c r="Y54">
        <f>HYPERLINK("https://klasma.github.io/Logging_2480/tillsynsmail/A 39912-2022 tillsynsbegäran mail.docx", "A 39912-2022")</f>
        <v/>
      </c>
      <c r="Z54">
        <f>HYPERLINK("https://klasma.github.io/Logging_2480/fåglar/A 39912-2022 prioriterade fågelarter.docx", "A 39912-2022")</f>
        <v/>
      </c>
    </row>
    <row r="55" ht="15" customHeight="1">
      <c r="A55" t="inlineStr">
        <is>
          <t>A 15648-2023</t>
        </is>
      </c>
      <c r="B55" s="1" t="n">
        <v>45019</v>
      </c>
      <c r="C55" s="1" t="n">
        <v>45811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6.9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Gammelgransskål
Garnlav
Granticka
Ullticka
Bollvitmossa</t>
        </is>
      </c>
      <c r="S55">
        <f>HYPERLINK("https://klasma.github.io/Logging_2480/artfynd/A 15648-2023 artfynd.xlsx", "A 15648-2023")</f>
        <v/>
      </c>
      <c r="T55">
        <f>HYPERLINK("https://klasma.github.io/Logging_2480/kartor/A 15648-2023 karta.png", "A 15648-2023")</f>
        <v/>
      </c>
      <c r="V55">
        <f>HYPERLINK("https://klasma.github.io/Logging_2480/klagomål/A 15648-2023 FSC-klagomål.docx", "A 15648-2023")</f>
        <v/>
      </c>
      <c r="W55">
        <f>HYPERLINK("https://klasma.github.io/Logging_2480/klagomålsmail/A 15648-2023 FSC-klagomål mail.docx", "A 15648-2023")</f>
        <v/>
      </c>
      <c r="X55">
        <f>HYPERLINK("https://klasma.github.io/Logging_2480/tillsyn/A 15648-2023 tillsynsbegäran.docx", "A 15648-2023")</f>
        <v/>
      </c>
      <c r="Y55">
        <f>HYPERLINK("https://klasma.github.io/Logging_2480/tillsynsmail/A 15648-2023 tillsynsbegäran mail.docx", "A 15648-2023")</f>
        <v/>
      </c>
    </row>
    <row r="56" ht="15" customHeight="1">
      <c r="A56" t="inlineStr">
        <is>
          <t>A 25872-2023</t>
        </is>
      </c>
      <c r="B56" s="1" t="n">
        <v>45085</v>
      </c>
      <c r="C56" s="1" t="n">
        <v>45811</v>
      </c>
      <c r="D56" t="inlineStr">
        <is>
          <t>VÄSTERBOTTENS LÄN</t>
        </is>
      </c>
      <c r="E56" t="inlineStr">
        <is>
          <t>UMEÅ</t>
        </is>
      </c>
      <c r="G56" t="n">
        <v>8.5</v>
      </c>
      <c r="H56" t="n">
        <v>4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Spillkråka
Talltita
Tretåig hackspett
Vedticka
Kungsfågel</t>
        </is>
      </c>
      <c r="S56">
        <f>HYPERLINK("https://klasma.github.io/Logging_2480/artfynd/A 25872-2023 artfynd.xlsx", "A 25872-2023")</f>
        <v/>
      </c>
      <c r="T56">
        <f>HYPERLINK("https://klasma.github.io/Logging_2480/kartor/A 25872-2023 karta.png", "A 25872-2023")</f>
        <v/>
      </c>
      <c r="V56">
        <f>HYPERLINK("https://klasma.github.io/Logging_2480/klagomål/A 25872-2023 FSC-klagomål.docx", "A 25872-2023")</f>
        <v/>
      </c>
      <c r="W56">
        <f>HYPERLINK("https://klasma.github.io/Logging_2480/klagomålsmail/A 25872-2023 FSC-klagomål mail.docx", "A 25872-2023")</f>
        <v/>
      </c>
      <c r="X56">
        <f>HYPERLINK("https://klasma.github.io/Logging_2480/tillsyn/A 25872-2023 tillsynsbegäran.docx", "A 25872-2023")</f>
        <v/>
      </c>
      <c r="Y56">
        <f>HYPERLINK("https://klasma.github.io/Logging_2480/tillsynsmail/A 25872-2023 tillsynsbegäran mail.docx", "A 25872-2023")</f>
        <v/>
      </c>
      <c r="Z56">
        <f>HYPERLINK("https://klasma.github.io/Logging_2480/fåglar/A 25872-2023 prioriterade fågelarter.docx", "A 25872-2023")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45811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Spillkråka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45811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45811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45811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45811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45811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45811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45811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45811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45811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45811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45811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45811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45811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45811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45811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45811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45811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45811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45811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45811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45811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45811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45811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45811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45811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45811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45811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45811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45811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45811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45811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45811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45811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45811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45811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45811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45811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45811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45811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45811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45811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45811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45811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45811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45811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45811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45811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45811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45811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45811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45811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45811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45811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45811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45811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45811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45811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45811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45811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45811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45811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45811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45811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45811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45811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45811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45811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45811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45811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45811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45811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45811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45811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45811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45811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45811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45811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45811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45811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45811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45811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45811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45811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45811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45811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45811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45811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45811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45811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45811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45811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45811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45811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45811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45811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45811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45811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45811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45811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45811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45811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45811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45811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45811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45811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45811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45811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45811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45811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45811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45811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45811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45811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45811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45811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45811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45811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45811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45811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45811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45811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45811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45811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45811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45811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45811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45811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45811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45811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45811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45811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45811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45811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45811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45811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45811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45811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45811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45811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45811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45811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45811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45811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45811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45811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45811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45811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45811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45811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45811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45811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45811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45811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45811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45811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45811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45811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45811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45811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45811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45811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45811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45811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45811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45811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45811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45811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45811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45811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45811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45811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45811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45811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45811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45811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45811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45811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45811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45811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45811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45811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45811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45811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45811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45811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45811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45811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45811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45811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45811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45811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45811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45811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45811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45811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45811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45811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45811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45811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45811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45811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45811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45811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45811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45811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45811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45811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45811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45811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45811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45811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45811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45811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45811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45811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45811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45811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45811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45811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45811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45811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45811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45811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45811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45811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45811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45811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45811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45811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45811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45811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45811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45811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45811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45811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45811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45811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45811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45811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45811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45811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45811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45811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45811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45811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45811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45811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45811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45811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45811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45811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45811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45811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45811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45811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45811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45811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45811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45811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45811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45811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45811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45811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45811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45811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45811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45811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45811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45811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45811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45811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45811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45811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45811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45811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45811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45811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45811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45811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45811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45811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45811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45811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45811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45811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45811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45811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45811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45811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45811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45811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45811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45811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45811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45811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45811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45811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45811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45811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45811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45811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45811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45811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45811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45811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45811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45811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45811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45811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45811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45811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45811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45811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45811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45811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45811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45811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45811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45811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45811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45811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45811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45811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45811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45811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45811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45811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45811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45811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45811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45811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45811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45811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45811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45811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45811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45811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45811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45811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45811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45811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45811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45811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45811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45811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45811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45811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45811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45811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45811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45811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45811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45811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45811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45811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45811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45811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45811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45811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45811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45811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45811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45811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45811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45811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45811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45811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45811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45811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45811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45811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45811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45811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45811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45811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45811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45811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45811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45811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45811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45811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45811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45811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45811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45811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45811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45811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45811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45811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45811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45811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45811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45811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45811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45811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45811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45811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45811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45811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45811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45811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45811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45811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45811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45811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45811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45811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45811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45811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45811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45811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45811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45811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45811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45811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45811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45811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45811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45811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45811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45811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45811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45811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45811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45811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45811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45811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45811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45811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45811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45811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45811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45811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45811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45811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45811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45811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45811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45811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45811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45811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45811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45811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45811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45811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45811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45811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45811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45811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45811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45811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45811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45811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45811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45811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45811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45811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45811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45811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45811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45811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45811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45811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45811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45811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45811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45811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45811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45811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45811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45811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45811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45811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45811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45811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45811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45811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45811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45811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45811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45811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45811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45811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45811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45811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45811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45811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45811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45811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45811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45811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45811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45811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45811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45811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45811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45811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45811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45811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45811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45811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45811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45811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45811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45811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45811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45811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45811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45811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45811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45811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45811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45811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45811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45811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45811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45811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45811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45811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45811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45811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45811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45811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45811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45811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45811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45811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45811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45811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45811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45811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45811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45811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45811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45811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45811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45811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45811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45811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45811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45811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45811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45811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45811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45811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45811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45811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45811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45811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45811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45811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45811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45811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45811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45811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45811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45811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45811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45811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45811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45811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45811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45811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45811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45811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45811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45811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45811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45811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45811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45811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45811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45811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45811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45811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45811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45811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45811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45811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45811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45811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45811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45811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45811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45811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45811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45811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45811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45811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45811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45811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45811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45811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45811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45811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45811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45811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45811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45811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45811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45811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45811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45811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45811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45811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45811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45811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45811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45811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45811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45811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45811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45811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45811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45811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45811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45811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45811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45811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45811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45811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45811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45811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45811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45811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45811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45811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45811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45811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45811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45811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45811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45811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45811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45811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45811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45811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45811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45811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45811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45811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45811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45811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45811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45811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45811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45811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45811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45811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45811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45811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45811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45811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45811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45811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45811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45811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45811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45811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45811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45811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45811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45811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45811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45811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45811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45811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45811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45811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45811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45811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45811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45811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45811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45811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45811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45811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45811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45811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45811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45811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45811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45811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45811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45811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45811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45811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45811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45811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45811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45811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45811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45811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45811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45811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45811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45811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45811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45811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45811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45811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45811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45811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45811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45811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45811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45811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45811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45811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45811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45811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45811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45811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45811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45811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45811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45811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45811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45811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45811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45811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45811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45811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45811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45811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45811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45811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45811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45811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45811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45811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45811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45811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45811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45811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45811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45811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45811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45811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45811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45811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45811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45811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45811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45811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45811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45811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45811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45811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45811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45811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45811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45811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45811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45811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45811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45811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45811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45811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45811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45811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45811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45811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45811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45811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45811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45811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45811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45811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45811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45811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45811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45811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45811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45811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45811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45811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45811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45811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45811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45811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45811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45811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45811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45811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45811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45811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45811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45811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45811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45811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45811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45811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45811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45811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45811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45811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45811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45811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45811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45811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45811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45811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45811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45811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45811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45811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45811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45811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45811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45811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45811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45811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45811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45811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45811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45811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45811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45811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45811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45811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45811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45811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45811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45811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45811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45811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45811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45811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45811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45811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45811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45811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45811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45811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45811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45811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45811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45811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45811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45811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45811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45811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45811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45811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45811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45811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45811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45811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45811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45811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45811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45811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45811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45811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45811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45811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45811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45811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45811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45811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45811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45811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45811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45811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45811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45811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45811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45811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45811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45811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45811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45811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45811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45811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45811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45811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45811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45811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45811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45811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45811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45811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45811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45811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45811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45811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45811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45811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45811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45811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45811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45811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45811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45811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45811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45811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45811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45811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45811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45811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45811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45811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45811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45811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45811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45811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45811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45811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45811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45811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45811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45811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45811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45811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45811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45811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45811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45811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45811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45811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45811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45811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45811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45811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45811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45811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45811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45811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45811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45811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45811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45811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45811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45811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45811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45811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45811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45811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45811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45811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45811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45811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45811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45811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45811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45811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45811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45811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45811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45811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45811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45811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45811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45811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45811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45811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45811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45811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45811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45811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45811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45811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45811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45811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45811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45811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45811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45811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45811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45811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45811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45811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45811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45811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45811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45811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45811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45811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45811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45811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45811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45811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45811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45811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45811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45811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45811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45811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45811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45811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45811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45811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45811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45811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45811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45811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45811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45811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45811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45811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45811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45811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45811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45811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45811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45811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45811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45811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45811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45811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45811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45811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45811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45811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45811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45811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45811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45811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45811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45811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45811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45811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45811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45811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45811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45811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45811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45811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45811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45811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45811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45811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45811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45811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45811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45811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45811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45811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45811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45811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45811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45811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45811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45811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45811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45811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45811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45811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45811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45811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45811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45811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45811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45811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45811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45811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45811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45811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45811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45811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45811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45811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45811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45811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45811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45811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45811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45811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45811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45811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45811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45811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45811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45811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45811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45811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45811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45811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45811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45811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45811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45811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45811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45811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45811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45811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45811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45811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45811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45811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45811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45811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45811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45811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45811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45811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45811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45811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45811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45811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45811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45811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45811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45811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45811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45811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45811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45811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45811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45811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45811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45811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45811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45811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45811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45811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45811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45811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45811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45811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45811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45811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45811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45811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45811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45811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45811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45811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45811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45811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45811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45811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45811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45811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45811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45811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45811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45811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45811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45811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45811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45811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45811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45811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45811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45811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45811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45811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45811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45811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45811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45811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45811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45811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45811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45811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45811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45811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45811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45811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45811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45811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45811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45811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45811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45811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45811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45811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45811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45811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45811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45811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45811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45811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45811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45811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45811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45811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45811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45811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45811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45811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45811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45811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45811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45811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45811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45811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45811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45811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45811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45811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45811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45811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45811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45811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45811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45811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45811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45811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45811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45811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45811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45811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45811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45811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45811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45811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45811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45811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45811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45811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45811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45811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45811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45811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45811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45811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45811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45811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45811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45811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45811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45811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45811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45811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45811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45811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45811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45811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45811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45811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45811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45811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45811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45811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45811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45811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45811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45811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45811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45811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45811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45811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45811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45811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45811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45811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45811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45811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45811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45811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45811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45811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45811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45811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45811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45811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45811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45811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45811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45811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45811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45811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45811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45811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45811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45811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45811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45811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45811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45811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45811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45811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45811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45811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45811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45811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45811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45811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45811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45811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45811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45811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45811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45811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45811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45811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45811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45811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45811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45811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45811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45811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45811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45811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45811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45811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45811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45811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45811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45811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45811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45811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45811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45811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45811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45811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45811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45811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45811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45811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45811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45811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45811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45811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45811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45811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45811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45811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45811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45811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45811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45811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45811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45811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45811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45811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45811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45811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45811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45811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45811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45811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45811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45811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45811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45811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45811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45811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45811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45811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45811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45811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45811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45811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45811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45811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45811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45811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45811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45811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45811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45811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45811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45811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45811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45811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45811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45811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45811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45811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45811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45811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45811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45811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45811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45811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45811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45811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45811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45811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45811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45811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45811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45811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45811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45811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45811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45811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45811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45811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45811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45811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45811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45811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45811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45811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45811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45811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45811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45811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45811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45811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45811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45811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45811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45811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45811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45811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45811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45811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45811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45811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45811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45811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45811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45811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45811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45811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45811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45811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45811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45811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45811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45811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45811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45811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45811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45811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45811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45811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45811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45811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45811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45811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45811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45811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45811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45811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45811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45811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45811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45811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45811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45811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45811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45811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45811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45811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45811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45811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45811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45811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45811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45811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45811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45811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45811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45811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45811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45811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45811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45811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45811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45811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45811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45811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45811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45811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45811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45811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45811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45811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45811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45811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45811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45811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45811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45811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45811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45811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45811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45811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45811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45811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45811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45811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45811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45811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45811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45811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45811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45811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45811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45811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45811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45811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45811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45811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45811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45811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45811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45811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45811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45811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45811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45811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45811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45811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45811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45811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45811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45811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45811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45811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45811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45811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45811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45811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21608-2025</t>
        </is>
      </c>
      <c r="B1569" s="1" t="n">
        <v>45783</v>
      </c>
      <c r="C1569" s="1" t="n">
        <v>45811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21612-2025</t>
        </is>
      </c>
      <c r="B1570" s="1" t="n">
        <v>45783</v>
      </c>
      <c r="C1570" s="1" t="n">
        <v>45811</v>
      </c>
      <c r="D1570" t="inlineStr">
        <is>
          <t>VÄSTERBOTTENS LÄN</t>
        </is>
      </c>
      <c r="E1570" t="inlineStr">
        <is>
          <t>UMEÅ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45811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45811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45811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22161-2025</t>
        </is>
      </c>
      <c r="B1574" s="1" t="n">
        <v>45785</v>
      </c>
      <c r="C1574" s="1" t="n">
        <v>45811</v>
      </c>
      <c r="D1574" t="inlineStr">
        <is>
          <t>VÄSTERBOTTENS LÄN</t>
        </is>
      </c>
      <c r="E1574" t="inlineStr">
        <is>
          <t>UMEÅ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45811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45811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45811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45811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22674-2025</t>
        </is>
      </c>
      <c r="B1579" s="1" t="n">
        <v>45789</v>
      </c>
      <c r="C1579" s="1" t="n">
        <v>45811</v>
      </c>
      <c r="D1579" t="inlineStr">
        <is>
          <t>VÄSTERBOTTENS LÄN</t>
        </is>
      </c>
      <c r="E1579" t="inlineStr">
        <is>
          <t>UMEÅ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45811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22851-2025</t>
        </is>
      </c>
      <c r="B1581" s="1" t="n">
        <v>45790</v>
      </c>
      <c r="C1581" s="1" t="n">
        <v>45811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20.6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45811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23563-2025</t>
        </is>
      </c>
      <c r="B1583" s="1" t="n">
        <v>45792</v>
      </c>
      <c r="C1583" s="1" t="n">
        <v>45811</v>
      </c>
      <c r="D1583" t="inlineStr">
        <is>
          <t>VÄSTERBOTTENS LÄN</t>
        </is>
      </c>
      <c r="E1583" t="inlineStr">
        <is>
          <t>UMEÅ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23442-2025</t>
        </is>
      </c>
      <c r="B1584" s="1" t="n">
        <v>45792</v>
      </c>
      <c r="C1584" s="1" t="n">
        <v>45811</v>
      </c>
      <c r="D1584" t="inlineStr">
        <is>
          <t>VÄSTERBOTTENS LÄN</t>
        </is>
      </c>
      <c r="E1584" t="inlineStr">
        <is>
          <t>UMEÅ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23500-2025</t>
        </is>
      </c>
      <c r="B1585" s="1" t="n">
        <v>45792</v>
      </c>
      <c r="C1585" s="1" t="n">
        <v>45811</v>
      </c>
      <c r="D1585" t="inlineStr">
        <is>
          <t>VÄSTERBOTTENS LÄN</t>
        </is>
      </c>
      <c r="E1585" t="inlineStr">
        <is>
          <t>UMEÅ</t>
        </is>
      </c>
      <c r="F1585" t="inlineStr">
        <is>
          <t>Holmen skog AB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23474-2025</t>
        </is>
      </c>
      <c r="B1586" s="1" t="n">
        <v>45792</v>
      </c>
      <c r="C1586" s="1" t="n">
        <v>45811</v>
      </c>
      <c r="D1586" t="inlineStr">
        <is>
          <t>VÄSTERBOTTENS LÄN</t>
        </is>
      </c>
      <c r="E1586" t="inlineStr">
        <is>
          <t>UMEÅ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45811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45811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45811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45811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25533-2025</t>
        </is>
      </c>
      <c r="B1591" s="1" t="n">
        <v>45803</v>
      </c>
      <c r="C1591" s="1" t="n">
        <v>45811</v>
      </c>
      <c r="D1591" t="inlineStr">
        <is>
          <t>VÄSTERBOTTENS LÄN</t>
        </is>
      </c>
      <c r="E1591" t="inlineStr">
        <is>
          <t>UMEÅ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25683-2025</t>
        </is>
      </c>
      <c r="B1592" s="1" t="n">
        <v>45803</v>
      </c>
      <c r="C1592" s="1" t="n">
        <v>45811</v>
      </c>
      <c r="D1592" t="inlineStr">
        <is>
          <t>VÄSTERBOTTENS LÄN</t>
        </is>
      </c>
      <c r="E1592" t="inlineStr">
        <is>
          <t>UMEÅ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25534-2025</t>
        </is>
      </c>
      <c r="B1593" s="1" t="n">
        <v>45803</v>
      </c>
      <c r="C1593" s="1" t="n">
        <v>45811</v>
      </c>
      <c r="D1593" t="inlineStr">
        <is>
          <t>VÄSTERBOTTENS LÄN</t>
        </is>
      </c>
      <c r="E1593" t="inlineStr">
        <is>
          <t>UMEÅ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25690-2025</t>
        </is>
      </c>
      <c r="B1594" s="1" t="n">
        <v>45803</v>
      </c>
      <c r="C1594" s="1" t="n">
        <v>45811</v>
      </c>
      <c r="D1594" t="inlineStr">
        <is>
          <t>VÄSTERBOTTENS LÄN</t>
        </is>
      </c>
      <c r="E1594" t="inlineStr">
        <is>
          <t>UMEÅ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45811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25691-2025</t>
        </is>
      </c>
      <c r="B1596" s="1" t="n">
        <v>45803</v>
      </c>
      <c r="C1596" s="1" t="n">
        <v>45811</v>
      </c>
      <c r="D1596" t="inlineStr">
        <is>
          <t>VÄSTERBOTTENS LÄN</t>
        </is>
      </c>
      <c r="E1596" t="inlineStr">
        <is>
          <t>UMEÅ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25699-2025</t>
        </is>
      </c>
      <c r="B1597" s="1" t="n">
        <v>45803</v>
      </c>
      <c r="C1597" s="1" t="n">
        <v>45811</v>
      </c>
      <c r="D1597" t="inlineStr">
        <is>
          <t>VÄSTERBOTTENS LÄN</t>
        </is>
      </c>
      <c r="E1597" t="inlineStr">
        <is>
          <t>UMEÅ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25838-2025</t>
        </is>
      </c>
      <c r="B1598" s="1" t="n">
        <v>45804</v>
      </c>
      <c r="C1598" s="1" t="n">
        <v>45811</v>
      </c>
      <c r="D1598" t="inlineStr">
        <is>
          <t>VÄSTERBOTTENS LÄN</t>
        </is>
      </c>
      <c r="E1598" t="inlineStr">
        <is>
          <t>UMEÅ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25762-2025</t>
        </is>
      </c>
      <c r="B1599" s="1" t="n">
        <v>45804</v>
      </c>
      <c r="C1599" s="1" t="n">
        <v>45811</v>
      </c>
      <c r="D1599" t="inlineStr">
        <is>
          <t>VÄSTERBOTTENS LÄN</t>
        </is>
      </c>
      <c r="E1599" t="inlineStr">
        <is>
          <t>UMEÅ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26183-2025</t>
        </is>
      </c>
      <c r="B1600" s="1" t="n">
        <v>45805</v>
      </c>
      <c r="C1600" s="1" t="n">
        <v>45811</v>
      </c>
      <c r="D1600" t="inlineStr">
        <is>
          <t>VÄSTERBOTTENS LÄN</t>
        </is>
      </c>
      <c r="E1600" t="inlineStr">
        <is>
          <t>UMEÅ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26310-2025</t>
        </is>
      </c>
      <c r="B1601" s="1" t="n">
        <v>45805</v>
      </c>
      <c r="C1601" s="1" t="n">
        <v>45811</v>
      </c>
      <c r="D1601" t="inlineStr">
        <is>
          <t>VÄSTERBOTTENS LÄN</t>
        </is>
      </c>
      <c r="E1601" t="inlineStr">
        <is>
          <t>UMEÅ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>
      <c r="A1602" t="inlineStr">
        <is>
          <t>A 26484-2025</t>
        </is>
      </c>
      <c r="B1602" s="1" t="n">
        <v>45807</v>
      </c>
      <c r="C1602" s="1" t="n">
        <v>45811</v>
      </c>
      <c r="D1602" t="inlineStr">
        <is>
          <t>VÄSTERBOTTENS LÄN</t>
        </is>
      </c>
      <c r="E1602" t="inlineStr">
        <is>
          <t>UMEÅ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2025-06-03T18:12:46Z</dcterms:created>
  <dcterms:modified xmlns:dcterms="http://purl.org/dc/terms/" xmlns:xsi="http://www.w3.org/2001/XMLSchema-instance" xsi:type="dcterms:W3CDTF">2025-06-03T18:12:47Z</dcterms:modified>
</cp:coreProperties>
</file>