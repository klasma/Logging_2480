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45745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45745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45745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45745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45745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45745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45745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45745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45745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45745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45745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45745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45745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45745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45745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HYPERLINK("https://klasma.github.io/Logging_242480/artfynd/A 13630-2025 artfynd.xlsx", "A 13630-2025")</f>
        <v/>
      </c>
      <c r="T65">
        <f>HYPERLINK("https://klasma.github.io/Logging_242480/kartor/A 13630-2025 karta.png", "A 13630-2025")</f>
        <v/>
      </c>
      <c r="V65">
        <f>HYPERLINK("https://klasma.github.io/Logging_242480/klagomål/A 13630-2025 FSC-klagomål.docx", "A 13630-2025")</f>
        <v/>
      </c>
      <c r="W65">
        <f>HYPERLINK("https://klasma.github.io/Logging_242480/klagomålsmail/A 13630-2025 FSC-klagomål mail.docx", "A 13630-2025")</f>
        <v/>
      </c>
      <c r="X65">
        <f>HYPERLINK("https://klasma.github.io/Logging_242480/tillsyn/A 13630-2025 tillsynsbegäran.docx", "A 13630-2025")</f>
        <v/>
      </c>
      <c r="Y65">
        <f>HYPERLINK("https://klasma.github.io/Logging_242480/tillsynsmail/A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45745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45745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45745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45745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45745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45745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45745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45745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45745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45745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45745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45745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45745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45745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45745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45745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45745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HYPERLINK("https://klasma.github.io/Logging_242480/artfynd/A 11797-2025 artfynd.xlsx", "A 11797-2025")</f>
        <v/>
      </c>
      <c r="T83">
        <f>HYPERLINK("https://klasma.github.io/Logging_242480/kartor/A 11797-2025 karta.png", "A 11797-2025")</f>
        <v/>
      </c>
      <c r="V83">
        <f>HYPERLINK("https://klasma.github.io/Logging_242480/klagomål/A 11797-2025 FSC-klagomål.docx", "A 11797-2025")</f>
        <v/>
      </c>
      <c r="W83">
        <f>HYPERLINK("https://klasma.github.io/Logging_242480/klagomålsmail/A 11797-2025 FSC-klagomål mail.docx", "A 11797-2025")</f>
        <v/>
      </c>
      <c r="X83">
        <f>HYPERLINK("https://klasma.github.io/Logging_242480/tillsyn/A 11797-2025 tillsynsbegäran.docx", "A 11797-2025")</f>
        <v/>
      </c>
      <c r="Y83">
        <f>HYPERLINK("https://klasma.github.io/Logging_242480/tillsynsmail/A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45745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45745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45745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45745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45745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45745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45745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45745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45745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45745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45745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45745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45745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45745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45745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45745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45745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45745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45745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45745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45745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45745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45745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45745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45745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45745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45745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45745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45745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45745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45745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45745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45745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45745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45745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45745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45745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45745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45745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45745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45745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45745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45745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45745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45745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45745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45745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45745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45745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45745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45745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45745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45745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45745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45745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45745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45745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45745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45745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45745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45745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45745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45745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45745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45745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45745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45745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45745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45745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45745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45745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45745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45745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45745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45745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45745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HYPERLINK("https://klasma.github.io/Logging_242480/artfynd/A 11044-2025 artfynd.xlsx", "A 11044-2025")</f>
        <v/>
      </c>
      <c r="T168">
        <f>HYPERLINK("https://klasma.github.io/Logging_242480/kartor/A 11044-2025 karta.png", "A 11044-2025")</f>
        <v/>
      </c>
      <c r="V168">
        <f>HYPERLINK("https://klasma.github.io/Logging_242480/klagomål/A 11044-2025 FSC-klagomål.docx", "A 11044-2025")</f>
        <v/>
      </c>
      <c r="W168">
        <f>HYPERLINK("https://klasma.github.io/Logging_242480/klagomålsmail/A 11044-2025 FSC-klagomål mail.docx", "A 11044-2025")</f>
        <v/>
      </c>
      <c r="X168">
        <f>HYPERLINK("https://klasma.github.io/Logging_242480/tillsyn/A 11044-2025 tillsynsbegäran.docx", "A 11044-2025")</f>
        <v/>
      </c>
      <c r="Y168">
        <f>HYPERLINK("https://klasma.github.io/Logging_242480/tillsynsmail/A 11044-2025 tillsynsbegäran mail.docx", "A 11044-2025")</f>
        <v/>
      </c>
    </row>
    <row r="169" ht="15" customHeight="1">
      <c r="A169" t="inlineStr">
        <is>
          <t>A 10945-2025</t>
        </is>
      </c>
      <c r="B169" s="1" t="n">
        <v>45723</v>
      </c>
      <c r="C169" s="1" t="n">
        <v>45745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HYPERLINK("https://klasma.github.io/Logging_242480/artfynd/A 10945-2025 artfynd.xlsx", "A 10945-2025")</f>
        <v/>
      </c>
      <c r="T169">
        <f>HYPERLINK("https://klasma.github.io/Logging_242480/kartor/A 10945-2025 karta.png", "A 10945-2025")</f>
        <v/>
      </c>
      <c r="V169">
        <f>HYPERLINK("https://klasma.github.io/Logging_242480/klagomål/A 10945-2025 FSC-klagomål.docx", "A 10945-2025")</f>
        <v/>
      </c>
      <c r="W169">
        <f>HYPERLINK("https://klasma.github.io/Logging_242480/klagomålsmail/A 10945-2025 FSC-klagomål mail.docx", "A 10945-2025")</f>
        <v/>
      </c>
      <c r="X169">
        <f>HYPERLINK("https://klasma.github.io/Logging_242480/tillsyn/A 10945-2025 tillsynsbegäran.docx", "A 10945-2025")</f>
        <v/>
      </c>
      <c r="Y169">
        <f>HYPERLINK("https://klasma.github.io/Logging_242480/tillsynsmail/A 10945-2025 tillsynsbegäran mail.docx", "A 10945-2025")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45745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HYPERLINK("https://klasma.github.io/Logging_242480/artfynd/A 11796-2025 artfynd.xlsx", "A 11796-2025")</f>
        <v/>
      </c>
      <c r="T170">
        <f>HYPERLINK("https://klasma.github.io/Logging_242480/kartor/A 11796-2025 karta.png", "A 11796-2025")</f>
        <v/>
      </c>
      <c r="V170">
        <f>HYPERLINK("https://klasma.github.io/Logging_242480/klagomål/A 11796-2025 FSC-klagomål.docx", "A 11796-2025")</f>
        <v/>
      </c>
      <c r="W170">
        <f>HYPERLINK("https://klasma.github.io/Logging_242480/klagomålsmail/A 11796-2025 FSC-klagomål mail.docx", "A 11796-2025")</f>
        <v/>
      </c>
      <c r="X170">
        <f>HYPERLINK("https://klasma.github.io/Logging_242480/tillsyn/A 11796-2025 tillsynsbegäran.docx", "A 11796-2025")</f>
        <v/>
      </c>
      <c r="Y170">
        <f>HYPERLINK("https://klasma.github.io/Logging_242480/tillsynsmail/A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45745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45745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45745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45745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45745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45745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45745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45745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45745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45745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45745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45745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45745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45745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45745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45745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45745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45745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45745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45745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45745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45745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45745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45745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45745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45745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45745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45745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45745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45745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45745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45745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45745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45745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45745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45745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45745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45745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45745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45745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45745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45745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45745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45745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45745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45745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45745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45745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45745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45745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45745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45745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45745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45745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45745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45745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45745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45745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45745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45745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45745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45745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45745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45745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45745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45745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45745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45745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45745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45745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45745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45745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45745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45745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45745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45745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45745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45745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45745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45745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45745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45745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45745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45745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45745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45745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45745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45745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45745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45745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45745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45745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45745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45745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45745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45745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45745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45745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45745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45745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45745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45745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45745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45745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45745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45745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45745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45745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45745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45745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45745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45745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45745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45745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45745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45745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45745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45745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45745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45745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45745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45745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45745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45745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45745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45745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45745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45745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45745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45745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45745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45745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45745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45745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45745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45745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45745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45745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45745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45745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45745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45745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45745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45745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45745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45745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45745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45745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45745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45745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45745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45745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45745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45745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45745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45745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45745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45745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45745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45745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45745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45745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45745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45745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45745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45745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45745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45745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45745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45745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45745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45745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45745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45745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45745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45745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45745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45745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45745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45745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45745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45745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45745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45745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45745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45745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45745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45745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45745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45745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45745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45745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45745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45745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45745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45745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45745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45745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45745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45745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45745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45745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45745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45745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45745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45745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45745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45745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45745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45745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45745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45745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45745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45745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45745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45745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45745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45745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45745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45745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45745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45745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45745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45745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45745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45745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45745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45745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45745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45745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45745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45745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45745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45745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45745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45745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45745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45745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45745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45745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45745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45745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45745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45745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45745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45745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45745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45745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45745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45745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45745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45745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45745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45745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45745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45745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45745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45745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45745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45745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45745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45745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45745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45745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45745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45745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45745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45745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45745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45745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45745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45745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45745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45745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45745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45745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45745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45745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45745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45745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45745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45745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45745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45745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45745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45745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45745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45745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45745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45745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45745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45745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45745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45745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45745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45745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45745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45745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45745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45745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45745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45745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45745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45745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45745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45745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45745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45745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45745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45745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45745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45745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45745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45745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45745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45745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45745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45745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45745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45745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45745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45745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45745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45745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45745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45745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45745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45745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45745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45745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45745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45745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45745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45745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45745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45745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45745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45745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45745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45745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45745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45745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45745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45745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45745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45745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45745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45745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45745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45745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45745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45745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45745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45745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45745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45745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45745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45745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45745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45745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45745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45745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45745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45745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45745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45745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45745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45745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45745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45745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45745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45745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45745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45745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45745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45745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45745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45745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45745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45745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45745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45745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45745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45745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45745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45745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45745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45745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45745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45745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45745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45745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45745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45745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45745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45745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45745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45745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45745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45745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45745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45745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45745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45745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45745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45745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45745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45745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45745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45745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45745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45745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45745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45745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45745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45745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45745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45745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45745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45745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45745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45745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45745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45745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45745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45745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45745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45745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45745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45745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45745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45745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45745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45745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45745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45745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45745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45745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45745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45745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45745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45745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45745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45745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45745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45745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45745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45745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45745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45745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45745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45745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45745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45745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45745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45745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45745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45745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45745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45745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45745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45745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45745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45745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45745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45745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45745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45745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45745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45745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45745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45745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45745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45745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45745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45745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45745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45745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45745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45745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45745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45745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45745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45745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45745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45745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45745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45745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45745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45745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45745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45745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45745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45745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45745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45745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45745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45745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45745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45745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45745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45745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45745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45745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45745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45745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45745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45745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45745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45745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45745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45745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45745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45745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45745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45745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45745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45745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45745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45745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45745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45745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45745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45745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45745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45745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45745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45745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45745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45745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45745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45745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45745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45745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45745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45745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45745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45745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45745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45745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45745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45745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45745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45745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45745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45745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45745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45745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45745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45745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45745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45745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45745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45745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45745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45745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45745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45745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45745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45745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45745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45745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45745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45745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45745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45745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45745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45745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45745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45745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45745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45745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45745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45745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45745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45745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45745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45745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45745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45745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45745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45745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45745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45745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45745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45745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45745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45745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45745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45745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45745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45745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45745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45745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45745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45745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45745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45745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45745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45745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45745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45745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45745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45745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45745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45745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45745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45745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45745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45745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45745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45745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45745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45745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45745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45745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45745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45745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45745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45745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45745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45745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45745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45745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45745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45745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45745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45745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45745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45745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45745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45745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45745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45745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45745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45745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45745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45745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45745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45745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45745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45745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45745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45745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45745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45745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45745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45745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45745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45745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45745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45745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45745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45745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45745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45745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45745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45745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45745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45745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45745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45745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45745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45745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45745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45745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45745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45745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45745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45745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45745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45745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45745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45745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45745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45745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45745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45745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45745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45745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45745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45745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45745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45745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45745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45745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45745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45745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45745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45745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45745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45745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45745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45745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45745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45745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45745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45745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45745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45745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45745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45745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45745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45745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45745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45745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45745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45745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45745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45745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45745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45745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45745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45745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45745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45745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45745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45745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45745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45745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45745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45745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45745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45745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45745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45745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45745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45745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45745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45745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45745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45745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45745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45745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45745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45745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45745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45745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45745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45745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45745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45745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45745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45745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45745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45745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45745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45745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45745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45745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45745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45745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45745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45745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45745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45745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45745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45745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45745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45745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45745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45745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45745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45745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45745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45745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45745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45745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45745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45745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45745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45745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45745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45745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45745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45745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45745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45745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45745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45745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45745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45745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45745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45745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45745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45745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45745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45745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45745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45745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45745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45745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45745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45745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45745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45745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45745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45745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45745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45745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45745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45745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45745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45745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45745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45745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45745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45745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45745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45745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45745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45745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45745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45745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45745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45745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45745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45745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45745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45745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45745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45745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45745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45745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45745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45745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45745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45745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45745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45745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45745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45745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45745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45745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45745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45745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45745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45745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45745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45745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45745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45745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45745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45745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45745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45745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45745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45745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45745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45745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45745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45745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45745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45745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45745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45745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45745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45745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45745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45745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45745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45745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45745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45745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45745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45745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45745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45745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45745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45745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45745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45745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45745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45745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45745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45745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45745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45745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45745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45745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45745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45745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45745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45745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45745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45745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45745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45745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45745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45745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45745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45745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45745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45745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45745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45745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45745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45745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45745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45745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45745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45745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45745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45745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45745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45745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45745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45745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45745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45745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45745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45745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45745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45745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45745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45745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45745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45745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45745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45745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45745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45745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45745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45745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45745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45745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45745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45745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45745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45745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45745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45745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45745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45745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45745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45745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45745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45745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45745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45745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45745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45745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45745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45745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45745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45745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45745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45745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45745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45745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45745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45745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45745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45745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45745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45745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45745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45745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45745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45745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45745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45745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45745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45745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45745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45745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45745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45745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45745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45745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45745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45745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45745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45745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45745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45745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45745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45745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45745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45745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45745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45745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45745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45745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45745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45745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45745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45745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45745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45745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45745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45745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45745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45745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45745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45745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45745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45745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45745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45745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45745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45745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45745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45745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45745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45745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45745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45745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45745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45745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45745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45745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45745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45745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45745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45745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45745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45745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45745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45745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45745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45745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45745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45745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45745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45745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45745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45745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45745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45745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45745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45745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45745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45745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45745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45745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45745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45745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45745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45745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45745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45745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45745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45745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45745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45745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45745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45745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45745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45745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45745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45745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45745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45745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45745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45745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45745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45745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45745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45745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45745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45745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45745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45745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45745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45745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45745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45745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45745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45745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45745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45745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45745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10899-2025</t>
        </is>
      </c>
      <c r="B1484" s="1" t="n">
        <v>45722</v>
      </c>
      <c r="C1484" s="1" t="n">
        <v>45745</v>
      </c>
      <c r="D1484" t="inlineStr">
        <is>
          <t>VÄSTERBOTTENS LÄN</t>
        </is>
      </c>
      <c r="E1484" t="inlineStr">
        <is>
          <t>UMEÅ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10718-2025</t>
        </is>
      </c>
      <c r="B1485" s="1" t="n">
        <v>45722</v>
      </c>
      <c r="C1485" s="1" t="n">
        <v>45745</v>
      </c>
      <c r="D1485" t="inlineStr">
        <is>
          <t>VÄSTERBOTTENS LÄN</t>
        </is>
      </c>
      <c r="E1485" t="inlineStr">
        <is>
          <t>UMEÅ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10708-2025</t>
        </is>
      </c>
      <c r="B1486" s="1" t="n">
        <v>45722</v>
      </c>
      <c r="C1486" s="1" t="n">
        <v>45745</v>
      </c>
      <c r="D1486" t="inlineStr">
        <is>
          <t>VÄSTERBOTTENS LÄN</t>
        </is>
      </c>
      <c r="E1486" t="inlineStr">
        <is>
          <t>UMEÅ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10729-2025</t>
        </is>
      </c>
      <c r="B1487" s="1" t="n">
        <v>45722</v>
      </c>
      <c r="C1487" s="1" t="n">
        <v>45745</v>
      </c>
      <c r="D1487" t="inlineStr">
        <is>
          <t>VÄSTERBOTTENS LÄN</t>
        </is>
      </c>
      <c r="E1487" t="inlineStr">
        <is>
          <t>UMEÅ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45745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45745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45745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45745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45745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11781-2025</t>
        </is>
      </c>
      <c r="B1493" s="1" t="n">
        <v>45727</v>
      </c>
      <c r="C1493" s="1" t="n">
        <v>45745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45745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45745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45745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12160-2025</t>
        </is>
      </c>
      <c r="B1497" s="1" t="n">
        <v>45729</v>
      </c>
      <c r="C1497" s="1" t="n">
        <v>45745</v>
      </c>
      <c r="D1497" t="inlineStr">
        <is>
          <t>VÄSTERBOTTENS LÄN</t>
        </is>
      </c>
      <c r="E1497" t="inlineStr">
        <is>
          <t>UMEÅ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12226-2025</t>
        </is>
      </c>
      <c r="B1498" s="1" t="n">
        <v>45729</v>
      </c>
      <c r="C1498" s="1" t="n">
        <v>45745</v>
      </c>
      <c r="D1498" t="inlineStr">
        <is>
          <t>VÄSTERBOTTENS LÄN</t>
        </is>
      </c>
      <c r="E1498" t="inlineStr">
        <is>
          <t>UMEÅ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45745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45745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45745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45745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45745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45745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13197-2025</t>
        </is>
      </c>
      <c r="B1505" s="1" t="n">
        <v>45735</v>
      </c>
      <c r="C1505" s="1" t="n">
        <v>45745</v>
      </c>
      <c r="D1505" t="inlineStr">
        <is>
          <t>VÄSTERBOTTENS LÄN</t>
        </is>
      </c>
      <c r="E1505" t="inlineStr">
        <is>
          <t>UMEÅ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45745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13821-2025</t>
        </is>
      </c>
      <c r="B1507" s="1" t="n">
        <v>45737</v>
      </c>
      <c r="C1507" s="1" t="n">
        <v>45745</v>
      </c>
      <c r="D1507" t="inlineStr">
        <is>
          <t>VÄSTERBOTTENS LÄN</t>
        </is>
      </c>
      <c r="E1507" t="inlineStr">
        <is>
          <t>UMEÅ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13766-2025</t>
        </is>
      </c>
      <c r="B1508" s="1" t="n">
        <v>45737</v>
      </c>
      <c r="C1508" s="1" t="n">
        <v>45745</v>
      </c>
      <c r="D1508" t="inlineStr">
        <is>
          <t>VÄSTERBOTTENS LÄN</t>
        </is>
      </c>
      <c r="E1508" t="inlineStr">
        <is>
          <t>UMEÅ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13820-2025</t>
        </is>
      </c>
      <c r="B1509" s="1" t="n">
        <v>45737</v>
      </c>
      <c r="C1509" s="1" t="n">
        <v>45745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13716-2025</t>
        </is>
      </c>
      <c r="B1510" s="1" t="n">
        <v>45737</v>
      </c>
      <c r="C1510" s="1" t="n">
        <v>45745</v>
      </c>
      <c r="D1510" t="inlineStr">
        <is>
          <t>VÄSTERBOTTENS LÄN</t>
        </is>
      </c>
      <c r="E1510" t="inlineStr">
        <is>
          <t>UMEÅ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45745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14286-2025</t>
        </is>
      </c>
      <c r="B1512" s="1" t="n">
        <v>45740</v>
      </c>
      <c r="C1512" s="1" t="n">
        <v>45745</v>
      </c>
      <c r="D1512" t="inlineStr">
        <is>
          <t>VÄSTERBOTTENS LÄN</t>
        </is>
      </c>
      <c r="E1512" t="inlineStr">
        <is>
          <t>UMEÅ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14316-2025</t>
        </is>
      </c>
      <c r="B1513" s="1" t="n">
        <v>45740</v>
      </c>
      <c r="C1513" s="1" t="n">
        <v>45745</v>
      </c>
      <c r="D1513" t="inlineStr">
        <is>
          <t>VÄSTERBOTTENS LÄN</t>
        </is>
      </c>
      <c r="E1513" t="inlineStr">
        <is>
          <t>UMEÅ</t>
        </is>
      </c>
      <c r="G1513" t="n">
        <v>10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14380-2025</t>
        </is>
      </c>
      <c r="B1514" s="1" t="n">
        <v>45741</v>
      </c>
      <c r="C1514" s="1" t="n">
        <v>45745</v>
      </c>
      <c r="D1514" t="inlineStr">
        <is>
          <t>VÄSTERBOTTENS LÄN</t>
        </is>
      </c>
      <c r="E1514" t="inlineStr">
        <is>
          <t>UMEÅ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14403-2025</t>
        </is>
      </c>
      <c r="B1515" s="1" t="n">
        <v>45741</v>
      </c>
      <c r="C1515" s="1" t="n">
        <v>45745</v>
      </c>
      <c r="D1515" t="inlineStr">
        <is>
          <t>VÄSTERBOTTENS LÄN</t>
        </is>
      </c>
      <c r="E1515" t="inlineStr">
        <is>
          <t>UMEÅ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15161-2025</t>
        </is>
      </c>
      <c r="B1516" s="1" t="n">
        <v>45744</v>
      </c>
      <c r="C1516" s="1" t="n">
        <v>45745</v>
      </c>
      <c r="D1516" t="inlineStr">
        <is>
          <t>VÄSTERBOTTENS LÄN</t>
        </is>
      </c>
      <c r="E1516" t="inlineStr">
        <is>
          <t>UMEÅ</t>
        </is>
      </c>
      <c r="F1516" t="inlineStr">
        <is>
          <t>Kommuner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15160-2025</t>
        </is>
      </c>
      <c r="B1517" s="1" t="n">
        <v>45744</v>
      </c>
      <c r="C1517" s="1" t="n">
        <v>45745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2025-03-29T18:03:21Z</dcterms:created>
  <dcterms:modified xmlns:dcterms="http://purl.org/dc/terms/" xmlns:xsi="http://www.w3.org/2001/XMLSchema-instance" xsi:type="dcterms:W3CDTF">2025-03-29T18:03:23Z</dcterms:modified>
</cp:coreProperties>
</file>