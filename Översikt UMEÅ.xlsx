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45928</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45928</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45928</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45928</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45799.55695601852</v>
      </c>
      <c r="C6" s="1" t="n">
        <v>45928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45928</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45928</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15347-2023</t>
        </is>
      </c>
      <c r="B9" s="1" t="n">
        <v>45016</v>
      </c>
      <c r="C9" s="1" t="n">
        <v>45928</v>
      </c>
      <c r="D9" t="inlineStr">
        <is>
          <t>VÄSTERBOTTENS LÄN</t>
        </is>
      </c>
      <c r="E9" t="inlineStr">
        <is>
          <t>UMEÅ</t>
        </is>
      </c>
      <c r="F9" t="inlineStr">
        <is>
          <t>Kommuner</t>
        </is>
      </c>
      <c r="G9" t="n">
        <v>9.699999999999999</v>
      </c>
      <c r="H9" t="n">
        <v>5</v>
      </c>
      <c r="I9" t="n">
        <v>3</v>
      </c>
      <c r="J9" t="n">
        <v>9</v>
      </c>
      <c r="K9" t="n">
        <v>3</v>
      </c>
      <c r="L9" t="n">
        <v>0</v>
      </c>
      <c r="M9" t="n">
        <v>0</v>
      </c>
      <c r="N9" t="n">
        <v>0</v>
      </c>
      <c r="O9" t="n">
        <v>12</v>
      </c>
      <c r="P9" t="n">
        <v>3</v>
      </c>
      <c r="Q9" t="n">
        <v>16</v>
      </c>
      <c r="R9" s="2" t="inlineStr">
        <is>
          <t>Knärot
Rynkskinn
Sprickporing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21611-2025</t>
        </is>
      </c>
      <c r="B10" s="1" t="n">
        <v>45783.39288194444</v>
      </c>
      <c r="C10" s="1" t="n">
        <v>45928</v>
      </c>
      <c r="D10" t="inlineStr">
        <is>
          <t>VÄSTERBOTTENS LÄN</t>
        </is>
      </c>
      <c r="E10" t="inlineStr">
        <is>
          <t>UMEÅ</t>
        </is>
      </c>
      <c r="G10" t="n">
        <v>18.6</v>
      </c>
      <c r="H10" t="n">
        <v>1</v>
      </c>
      <c r="I10" t="n">
        <v>3</v>
      </c>
      <c r="J10" t="n">
        <v>9</v>
      </c>
      <c r="K10" t="n">
        <v>3</v>
      </c>
      <c r="L10" t="n">
        <v>0</v>
      </c>
      <c r="M10" t="n">
        <v>0</v>
      </c>
      <c r="N10" t="n">
        <v>0</v>
      </c>
      <c r="O10" t="n">
        <v>13</v>
      </c>
      <c r="P10" t="n">
        <v>3</v>
      </c>
      <c r="Q10" t="n">
        <v>16</v>
      </c>
      <c r="R1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6725-2024</t>
        </is>
      </c>
      <c r="B11" s="1" t="n">
        <v>45342</v>
      </c>
      <c r="C11" s="1" t="n">
        <v>45928</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46142-2024</t>
        </is>
      </c>
      <c r="B12" s="1" t="n">
        <v>45581</v>
      </c>
      <c r="C12" s="1" t="n">
        <v>45928</v>
      </c>
      <c r="D12" t="inlineStr">
        <is>
          <t>VÄSTERBOTTENS LÄN</t>
        </is>
      </c>
      <c r="E12" t="inlineStr">
        <is>
          <t>UMEÅ</t>
        </is>
      </c>
      <c r="G12" t="n">
        <v>6.2</v>
      </c>
      <c r="H12" t="n">
        <v>2</v>
      </c>
      <c r="I12" t="n">
        <v>2</v>
      </c>
      <c r="J12" t="n">
        <v>9</v>
      </c>
      <c r="K12" t="n">
        <v>1</v>
      </c>
      <c r="L12" t="n">
        <v>0</v>
      </c>
      <c r="M12" t="n">
        <v>0</v>
      </c>
      <c r="N12" t="n">
        <v>0</v>
      </c>
      <c r="O12" t="n">
        <v>10</v>
      </c>
      <c r="P12" t="n">
        <v>1</v>
      </c>
      <c r="Q12" t="n">
        <v>12</v>
      </c>
      <c r="R12" s="2" t="inlineStr">
        <is>
          <t>Rynkskinn
Garnlav
Granticka
Harticka
Leptoporus mollis
Orange taggsvamp
Spillkråka
Stjärntagging
Tretåig hackspett
Ullticka
Trådticka
Vedticka</t>
        </is>
      </c>
      <c r="S12">
        <f>HYPERLINK("https://klasma.github.io/Logging_2480/artfynd/A 46142-2024 artfynd.xlsx", "A 46142-2024")</f>
        <v/>
      </c>
      <c r="T12">
        <f>HYPERLINK("https://klasma.github.io/Logging_2480/kartor/A 46142-2024 karta.png", "A 46142-2024")</f>
        <v/>
      </c>
      <c r="V12">
        <f>HYPERLINK("https://klasma.github.io/Logging_2480/klagomål/A 46142-2024 FSC-klagomål.docx", "A 46142-2024")</f>
        <v/>
      </c>
      <c r="W12">
        <f>HYPERLINK("https://klasma.github.io/Logging_2480/klagomålsmail/A 46142-2024 FSC-klagomål mail.docx", "A 46142-2024")</f>
        <v/>
      </c>
      <c r="X12">
        <f>HYPERLINK("https://klasma.github.io/Logging_2480/tillsyn/A 46142-2024 tillsynsbegäran.docx", "A 46142-2024")</f>
        <v/>
      </c>
      <c r="Y12">
        <f>HYPERLINK("https://klasma.github.io/Logging_2480/tillsynsmail/A 46142-2024 tillsynsbegäran mail.docx", "A 46142-2024")</f>
        <v/>
      </c>
      <c r="Z12">
        <f>HYPERLINK("https://klasma.github.io/Logging_2480/fåglar/A 46142-2024 prioriterade fågelarter.docx", "A 46142-2024")</f>
        <v/>
      </c>
    </row>
    <row r="13" ht="15" customHeight="1">
      <c r="A13" t="inlineStr">
        <is>
          <t>A 11797-2025</t>
        </is>
      </c>
      <c r="B13" s="1" t="n">
        <v>45727</v>
      </c>
      <c r="C13" s="1" t="n">
        <v>45928</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45928</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45928</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45928</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42025-2024</t>
        </is>
      </c>
      <c r="B17" s="1" t="n">
        <v>45561.72197916666</v>
      </c>
      <c r="C17" s="1" t="n">
        <v>45928</v>
      </c>
      <c r="D17" t="inlineStr">
        <is>
          <t>VÄSTERBOTTENS LÄN</t>
        </is>
      </c>
      <c r="E17" t="inlineStr">
        <is>
          <t>UMEÅ</t>
        </is>
      </c>
      <c r="F17" t="inlineStr">
        <is>
          <t>Kommuner</t>
        </is>
      </c>
      <c r="G17" t="n">
        <v>9</v>
      </c>
      <c r="H17" t="n">
        <v>1</v>
      </c>
      <c r="I17" t="n">
        <v>0</v>
      </c>
      <c r="J17" t="n">
        <v>8</v>
      </c>
      <c r="K17" t="n">
        <v>2</v>
      </c>
      <c r="L17" t="n">
        <v>0</v>
      </c>
      <c r="M17" t="n">
        <v>0</v>
      </c>
      <c r="N17" t="n">
        <v>0</v>
      </c>
      <c r="O17" t="n">
        <v>10</v>
      </c>
      <c r="P17" t="n">
        <v>2</v>
      </c>
      <c r="Q17" t="n">
        <v>10</v>
      </c>
      <c r="R17" s="2" t="inlineStr">
        <is>
          <t>Goliatmusseron
Spadskinn
Blå taggsvamp
Mjölsvärting
Motaggsvamp
Orange taggsvamp
Svart taggsvamp
Svartvit taggsvamp
Talltaggsvamp
Talltita</t>
        </is>
      </c>
      <c r="S17">
        <f>HYPERLINK("https://klasma.github.io/Logging_2480/artfynd/A 42025-2024 artfynd.xlsx", "A 42025-2024")</f>
        <v/>
      </c>
      <c r="T17">
        <f>HYPERLINK("https://klasma.github.io/Logging_2480/kartor/A 42025-2024 karta.png", "A 42025-2024")</f>
        <v/>
      </c>
      <c r="V17">
        <f>HYPERLINK("https://klasma.github.io/Logging_2480/klagomål/A 42025-2024 FSC-klagomål.docx", "A 42025-2024")</f>
        <v/>
      </c>
      <c r="W17">
        <f>HYPERLINK("https://klasma.github.io/Logging_2480/klagomålsmail/A 42025-2024 FSC-klagomål mail.docx", "A 42025-2024")</f>
        <v/>
      </c>
      <c r="X17">
        <f>HYPERLINK("https://klasma.github.io/Logging_2480/tillsyn/A 42025-2024 tillsynsbegäran.docx", "A 42025-2024")</f>
        <v/>
      </c>
      <c r="Y17">
        <f>HYPERLINK("https://klasma.github.io/Logging_2480/tillsynsmail/A 42025-2024 tillsynsbegäran mail.docx", "A 42025-2024")</f>
        <v/>
      </c>
      <c r="Z17">
        <f>HYPERLINK("https://klasma.github.io/Logging_2480/fåglar/A 42025-2024 prioriterade fågelarter.docx", "A 42025-2024")</f>
        <v/>
      </c>
    </row>
    <row r="18" ht="15" customHeight="1">
      <c r="A18" t="inlineStr">
        <is>
          <t>A 41407-2022</t>
        </is>
      </c>
      <c r="B18" s="1" t="n">
        <v>44826</v>
      </c>
      <c r="C18" s="1" t="n">
        <v>45928</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45928</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45928</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15455-2025</t>
        </is>
      </c>
      <c r="B21" s="1" t="n">
        <v>45747</v>
      </c>
      <c r="C21" s="1" t="n">
        <v>45928</v>
      </c>
      <c r="D21" t="inlineStr">
        <is>
          <t>VÄSTERBOTTENS LÄN</t>
        </is>
      </c>
      <c r="E21" t="inlineStr">
        <is>
          <t>UMEÅ</t>
        </is>
      </c>
      <c r="G21" t="n">
        <v>10.1</v>
      </c>
      <c r="H21" t="n">
        <v>9</v>
      </c>
      <c r="I21" t="n">
        <v>0</v>
      </c>
      <c r="J21" t="n">
        <v>7</v>
      </c>
      <c r="K21" t="n">
        <v>2</v>
      </c>
      <c r="L21" t="n">
        <v>0</v>
      </c>
      <c r="M21" t="n">
        <v>0</v>
      </c>
      <c r="N21" t="n">
        <v>0</v>
      </c>
      <c r="O21" t="n">
        <v>9</v>
      </c>
      <c r="P21" t="n">
        <v>2</v>
      </c>
      <c r="Q21" t="n">
        <v>9</v>
      </c>
      <c r="R21" s="2" t="inlineStr">
        <is>
          <t>Gråtrut
Kricka
Fiskmås
Havsörn
Kråka
Skrattmås
Smålom
Talltita
Videsparv</t>
        </is>
      </c>
      <c r="S21">
        <f>HYPERLINK("https://klasma.github.io/Logging_2480/artfynd/A 15455-2025 artfynd.xlsx", "A 15455-2025")</f>
        <v/>
      </c>
      <c r="T21">
        <f>HYPERLINK("https://klasma.github.io/Logging_2480/kartor/A 15455-2025 karta.png", "A 15455-2025")</f>
        <v/>
      </c>
      <c r="V21">
        <f>HYPERLINK("https://klasma.github.io/Logging_2480/klagomål/A 15455-2025 FSC-klagomål.docx", "A 15455-2025")</f>
        <v/>
      </c>
      <c r="W21">
        <f>HYPERLINK("https://klasma.github.io/Logging_2480/klagomålsmail/A 15455-2025 FSC-klagomål mail.docx", "A 15455-2025")</f>
        <v/>
      </c>
      <c r="X21">
        <f>HYPERLINK("https://klasma.github.io/Logging_2480/tillsyn/A 15455-2025 tillsynsbegäran.docx", "A 15455-2025")</f>
        <v/>
      </c>
      <c r="Y21">
        <f>HYPERLINK("https://klasma.github.io/Logging_2480/tillsynsmail/A 15455-2025 tillsynsbegäran mail.docx", "A 15455-2025")</f>
        <v/>
      </c>
      <c r="Z21">
        <f>HYPERLINK("https://klasma.github.io/Logging_2480/fåglar/A 15455-2025 prioriterade fågelarter.docx", "A 15455-2025")</f>
        <v/>
      </c>
    </row>
    <row r="22" ht="15" customHeight="1">
      <c r="A22" t="inlineStr">
        <is>
          <t>A 47252-2024</t>
        </is>
      </c>
      <c r="B22" s="1" t="n">
        <v>45586.73461805555</v>
      </c>
      <c r="C22" s="1" t="n">
        <v>45928</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15738-2023</t>
        </is>
      </c>
      <c r="B23" s="1" t="n">
        <v>45020</v>
      </c>
      <c r="C23" s="1" t="n">
        <v>45928</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49036-2024</t>
        </is>
      </c>
      <c r="B24" s="1" t="n">
        <v>45594</v>
      </c>
      <c r="C24" s="1" t="n">
        <v>45928</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46146-2024</t>
        </is>
      </c>
      <c r="B25" s="1" t="n">
        <v>45581</v>
      </c>
      <c r="C25" s="1" t="n">
        <v>45928</v>
      </c>
      <c r="D25" t="inlineStr">
        <is>
          <t>VÄSTERBOTTENS LÄN</t>
        </is>
      </c>
      <c r="E25" t="inlineStr">
        <is>
          <t>UMEÅ</t>
        </is>
      </c>
      <c r="G25" t="n">
        <v>8.300000000000001</v>
      </c>
      <c r="H25" t="n">
        <v>3</v>
      </c>
      <c r="I25" t="n">
        <v>1</v>
      </c>
      <c r="J25" t="n">
        <v>4</v>
      </c>
      <c r="K25" t="n">
        <v>0</v>
      </c>
      <c r="L25" t="n">
        <v>0</v>
      </c>
      <c r="M25" t="n">
        <v>0</v>
      </c>
      <c r="N25" t="n">
        <v>0</v>
      </c>
      <c r="O25" t="n">
        <v>4</v>
      </c>
      <c r="P25" t="n">
        <v>0</v>
      </c>
      <c r="Q25" t="n">
        <v>7</v>
      </c>
      <c r="R25" s="2" t="inlineStr">
        <is>
          <t>Garnlav
Granticka
Spillkråka
Ullticka
Vedticka
Gråspett
Kungsfågel</t>
        </is>
      </c>
      <c r="S25">
        <f>HYPERLINK("https://klasma.github.io/Logging_2480/artfynd/A 46146-2024 artfynd.xlsx", "A 46146-2024")</f>
        <v/>
      </c>
      <c r="T25">
        <f>HYPERLINK("https://klasma.github.io/Logging_2480/kartor/A 46146-2024 karta.png", "A 46146-2024")</f>
        <v/>
      </c>
      <c r="V25">
        <f>HYPERLINK("https://klasma.github.io/Logging_2480/klagomål/A 46146-2024 FSC-klagomål.docx", "A 46146-2024")</f>
        <v/>
      </c>
      <c r="W25">
        <f>HYPERLINK("https://klasma.github.io/Logging_2480/klagomålsmail/A 46146-2024 FSC-klagomål mail.docx", "A 46146-2024")</f>
        <v/>
      </c>
      <c r="X25">
        <f>HYPERLINK("https://klasma.github.io/Logging_2480/tillsyn/A 46146-2024 tillsynsbegäran.docx", "A 46146-2024")</f>
        <v/>
      </c>
      <c r="Y25">
        <f>HYPERLINK("https://klasma.github.io/Logging_2480/tillsynsmail/A 46146-2024 tillsynsbegäran mail.docx", "A 46146-2024")</f>
        <v/>
      </c>
      <c r="Z25">
        <f>HYPERLINK("https://klasma.github.io/Logging_2480/fåglar/A 46146-2024 prioriterade fågelarter.docx", "A 46146-2024")</f>
        <v/>
      </c>
    </row>
    <row r="26" ht="15" customHeight="1">
      <c r="A26" t="inlineStr">
        <is>
          <t>A 21922-2025</t>
        </is>
      </c>
      <c r="B26" s="1" t="n">
        <v>45784.52596064815</v>
      </c>
      <c r="C26" s="1" t="n">
        <v>45928</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22575-2024</t>
        </is>
      </c>
      <c r="B27" s="1" t="n">
        <v>45447</v>
      </c>
      <c r="C27" s="1" t="n">
        <v>45928</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45928</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11780-2025</t>
        </is>
      </c>
      <c r="B29" s="1" t="n">
        <v>45727</v>
      </c>
      <c r="C29" s="1" t="n">
        <v>45928</v>
      </c>
      <c r="D29" t="inlineStr">
        <is>
          <t>VÄSTERBOTTENS LÄN</t>
        </is>
      </c>
      <c r="E29" t="inlineStr">
        <is>
          <t>UMEÅ</t>
        </is>
      </c>
      <c r="F29" t="inlineStr">
        <is>
          <t>Kommuner</t>
        </is>
      </c>
      <c r="G29" t="n">
        <v>1.2</v>
      </c>
      <c r="H29" t="n">
        <v>1</v>
      </c>
      <c r="I29" t="n">
        <v>2</v>
      </c>
      <c r="J29" t="n">
        <v>3</v>
      </c>
      <c r="K29" t="n">
        <v>1</v>
      </c>
      <c r="L29" t="n">
        <v>0</v>
      </c>
      <c r="M29" t="n">
        <v>0</v>
      </c>
      <c r="N29" t="n">
        <v>0</v>
      </c>
      <c r="O29" t="n">
        <v>4</v>
      </c>
      <c r="P29" t="n">
        <v>1</v>
      </c>
      <c r="Q29" t="n">
        <v>7</v>
      </c>
      <c r="R29" s="2" t="inlineStr">
        <is>
          <t>Grantickeporing
Granticka
Leptoporus mollis
Ullticka
Trådticka
Vedticka
Huggorm</t>
        </is>
      </c>
      <c r="S29">
        <f>HYPERLINK("https://klasma.github.io/Logging_2480/artfynd/A 11780-2025 artfynd.xlsx", "A 11780-2025")</f>
        <v/>
      </c>
      <c r="T29">
        <f>HYPERLINK("https://klasma.github.io/Logging_2480/kartor/A 11780-2025 karta.png", "A 11780-2025")</f>
        <v/>
      </c>
      <c r="V29">
        <f>HYPERLINK("https://klasma.github.io/Logging_2480/klagomål/A 11780-2025 FSC-klagomål.docx", "A 11780-2025")</f>
        <v/>
      </c>
      <c r="W29">
        <f>HYPERLINK("https://klasma.github.io/Logging_2480/klagomålsmail/A 11780-2025 FSC-klagomål mail.docx", "A 11780-2025")</f>
        <v/>
      </c>
      <c r="X29">
        <f>HYPERLINK("https://klasma.github.io/Logging_2480/tillsyn/A 11780-2025 tillsynsbegäran.docx", "A 11780-2025")</f>
        <v/>
      </c>
      <c r="Y29">
        <f>HYPERLINK("https://klasma.github.io/Logging_2480/tillsynsmail/A 11780-2025 tillsynsbegäran mail.docx", "A 11780-2025")</f>
        <v/>
      </c>
    </row>
    <row r="30" ht="15" customHeight="1">
      <c r="A30" t="inlineStr">
        <is>
          <t>A 16100-2024</t>
        </is>
      </c>
      <c r="B30" s="1" t="n">
        <v>45406.44877314815</v>
      </c>
      <c r="C30" s="1" t="n">
        <v>45928</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45928</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23008-2022</t>
        </is>
      </c>
      <c r="B32" s="1" t="n">
        <v>44715</v>
      </c>
      <c r="C32" s="1" t="n">
        <v>45928</v>
      </c>
      <c r="D32" t="inlineStr">
        <is>
          <t>VÄSTERBOTTENS LÄN</t>
        </is>
      </c>
      <c r="E32" t="inlineStr">
        <is>
          <t>UMEÅ</t>
        </is>
      </c>
      <c r="G32" t="n">
        <v>2.6</v>
      </c>
      <c r="H32" t="n">
        <v>2</v>
      </c>
      <c r="I32" t="n">
        <v>0</v>
      </c>
      <c r="J32" t="n">
        <v>4</v>
      </c>
      <c r="K32" t="n">
        <v>1</v>
      </c>
      <c r="L32" t="n">
        <v>0</v>
      </c>
      <c r="M32" t="n">
        <v>0</v>
      </c>
      <c r="N32" t="n">
        <v>0</v>
      </c>
      <c r="O32" t="n">
        <v>5</v>
      </c>
      <c r="P32" t="n">
        <v>1</v>
      </c>
      <c r="Q32" t="n">
        <v>6</v>
      </c>
      <c r="R32" s="2" t="inlineStr">
        <is>
          <t>Rynkskinn
Granticka
Leptoporus mollis
Talltita
Ullticka
Revlummer</t>
        </is>
      </c>
      <c r="S32">
        <f>HYPERLINK("https://klasma.github.io/Logging_2480/artfynd/A 23008-2022 artfynd.xlsx", "A 23008-2022")</f>
        <v/>
      </c>
      <c r="T32">
        <f>HYPERLINK("https://klasma.github.io/Logging_2480/kartor/A 23008-2022 karta.png", "A 23008-2022")</f>
        <v/>
      </c>
      <c r="V32">
        <f>HYPERLINK("https://klasma.github.io/Logging_2480/klagomål/A 23008-2022 FSC-klagomål.docx", "A 23008-2022")</f>
        <v/>
      </c>
      <c r="W32">
        <f>HYPERLINK("https://klasma.github.io/Logging_2480/klagomålsmail/A 23008-2022 FSC-klagomål mail.docx", "A 23008-2022")</f>
        <v/>
      </c>
      <c r="X32">
        <f>HYPERLINK("https://klasma.github.io/Logging_2480/tillsyn/A 23008-2022 tillsynsbegäran.docx", "A 23008-2022")</f>
        <v/>
      </c>
      <c r="Y32">
        <f>HYPERLINK("https://klasma.github.io/Logging_2480/tillsynsmail/A 23008-2022 tillsynsbegäran mail.docx", "A 23008-2022")</f>
        <v/>
      </c>
      <c r="Z32">
        <f>HYPERLINK("https://klasma.github.io/Logging_2480/fåglar/A 23008-2022 prioriterade fågelarter.docx", "A 23008-2022")</f>
        <v/>
      </c>
    </row>
    <row r="33" ht="15" customHeight="1">
      <c r="A33" t="inlineStr">
        <is>
          <t>A 14927-2023</t>
        </is>
      </c>
      <c r="B33" s="1" t="n">
        <v>45014</v>
      </c>
      <c r="C33" s="1" t="n">
        <v>45928</v>
      </c>
      <c r="D33" t="inlineStr">
        <is>
          <t>VÄSTERBOTTENS LÄN</t>
        </is>
      </c>
      <c r="E33" t="inlineStr">
        <is>
          <t>UMEÅ</t>
        </is>
      </c>
      <c r="F33" t="inlineStr">
        <is>
          <t>Kommuner</t>
        </is>
      </c>
      <c r="G33" t="n">
        <v>6.3</v>
      </c>
      <c r="H33" t="n">
        <v>3</v>
      </c>
      <c r="I33" t="n">
        <v>2</v>
      </c>
      <c r="J33" t="n">
        <v>3</v>
      </c>
      <c r="K33" t="n">
        <v>0</v>
      </c>
      <c r="L33" t="n">
        <v>0</v>
      </c>
      <c r="M33" t="n">
        <v>0</v>
      </c>
      <c r="N33" t="n">
        <v>0</v>
      </c>
      <c r="O33" t="n">
        <v>3</v>
      </c>
      <c r="P33" t="n">
        <v>0</v>
      </c>
      <c r="Q33" t="n">
        <v>6</v>
      </c>
      <c r="R33" s="2" t="inlineStr">
        <is>
          <t>Motaggsvamp
Spillkråka
Talltita
Dropptaggsvamp
Vedticka
Tjäder</t>
        </is>
      </c>
      <c r="S33">
        <f>HYPERLINK("https://klasma.github.io/Logging_2480/artfynd/A 14927-2023 artfynd.xlsx", "A 14927-2023")</f>
        <v/>
      </c>
      <c r="T33">
        <f>HYPERLINK("https://klasma.github.io/Logging_2480/kartor/A 14927-2023 karta.png", "A 14927-2023")</f>
        <v/>
      </c>
      <c r="V33">
        <f>HYPERLINK("https://klasma.github.io/Logging_2480/klagomål/A 14927-2023 FSC-klagomål.docx", "A 14927-2023")</f>
        <v/>
      </c>
      <c r="W33">
        <f>HYPERLINK("https://klasma.github.io/Logging_2480/klagomålsmail/A 14927-2023 FSC-klagomål mail.docx", "A 14927-2023")</f>
        <v/>
      </c>
      <c r="X33">
        <f>HYPERLINK("https://klasma.github.io/Logging_2480/tillsyn/A 14927-2023 tillsynsbegäran.docx", "A 14927-2023")</f>
        <v/>
      </c>
      <c r="Y33">
        <f>HYPERLINK("https://klasma.github.io/Logging_2480/tillsynsmail/A 14927-2023 tillsynsbegäran mail.docx", "A 14927-2023")</f>
        <v/>
      </c>
      <c r="Z33">
        <f>HYPERLINK("https://klasma.github.io/Logging_2480/fåglar/A 14927-2023 prioriterade fågelarter.docx", "A 14927-2023")</f>
        <v/>
      </c>
    </row>
    <row r="34" ht="15" customHeight="1">
      <c r="A34" t="inlineStr">
        <is>
          <t>A 21871-2025</t>
        </is>
      </c>
      <c r="B34" s="1" t="n">
        <v>45784</v>
      </c>
      <c r="C34" s="1" t="n">
        <v>45928</v>
      </c>
      <c r="D34" t="inlineStr">
        <is>
          <t>VÄSTERBOTTENS LÄN</t>
        </is>
      </c>
      <c r="E34" t="inlineStr">
        <is>
          <t>UMEÅ</t>
        </is>
      </c>
      <c r="G34" t="n">
        <v>20.7</v>
      </c>
      <c r="H34" t="n">
        <v>1</v>
      </c>
      <c r="I34" t="n">
        <v>2</v>
      </c>
      <c r="J34" t="n">
        <v>4</v>
      </c>
      <c r="K34" t="n">
        <v>0</v>
      </c>
      <c r="L34" t="n">
        <v>0</v>
      </c>
      <c r="M34" t="n">
        <v>0</v>
      </c>
      <c r="N34" t="n">
        <v>0</v>
      </c>
      <c r="O34" t="n">
        <v>4</v>
      </c>
      <c r="P34" t="n">
        <v>0</v>
      </c>
      <c r="Q34" t="n">
        <v>6</v>
      </c>
      <c r="R34" s="2" t="inlineStr">
        <is>
          <t>Garnlav
Granticka
Talltita
Violettgrå tagellav
Granbarkgnagare
Nästlav</t>
        </is>
      </c>
      <c r="S34">
        <f>HYPERLINK("https://klasma.github.io/Logging_2480/artfynd/A 21871-2025 artfynd.xlsx", "A 21871-2025")</f>
        <v/>
      </c>
      <c r="T34">
        <f>HYPERLINK("https://klasma.github.io/Logging_2480/kartor/A 21871-2025 karta.png", "A 21871-2025")</f>
        <v/>
      </c>
      <c r="V34">
        <f>HYPERLINK("https://klasma.github.io/Logging_2480/klagomål/A 21871-2025 FSC-klagomål.docx", "A 21871-2025")</f>
        <v/>
      </c>
      <c r="W34">
        <f>HYPERLINK("https://klasma.github.io/Logging_2480/klagomålsmail/A 21871-2025 FSC-klagomål mail.docx", "A 21871-2025")</f>
        <v/>
      </c>
      <c r="X34">
        <f>HYPERLINK("https://klasma.github.io/Logging_2480/tillsyn/A 21871-2025 tillsynsbegäran.docx", "A 21871-2025")</f>
        <v/>
      </c>
      <c r="Y34">
        <f>HYPERLINK("https://klasma.github.io/Logging_2480/tillsynsmail/A 21871-2025 tillsynsbegäran mail.docx", "A 21871-2025")</f>
        <v/>
      </c>
      <c r="Z34">
        <f>HYPERLINK("https://klasma.github.io/Logging_2480/fåglar/A 21871-2025 prioriterade fågelarter.docx", "A 21871-2025")</f>
        <v/>
      </c>
    </row>
    <row r="35" ht="15" customHeight="1">
      <c r="A35" t="inlineStr">
        <is>
          <t>A 28430-2025</t>
        </is>
      </c>
      <c r="B35" s="1" t="n">
        <v>45819.37813657407</v>
      </c>
      <c r="C35" s="1" t="n">
        <v>45928</v>
      </c>
      <c r="D35" t="inlineStr">
        <is>
          <t>VÄSTERBOTTENS LÄN</t>
        </is>
      </c>
      <c r="E35" t="inlineStr">
        <is>
          <t>UMEÅ</t>
        </is>
      </c>
      <c r="F35" t="inlineStr">
        <is>
          <t>Holmen skog AB</t>
        </is>
      </c>
      <c r="G35" t="n">
        <v>2.4</v>
      </c>
      <c r="H35" t="n">
        <v>1</v>
      </c>
      <c r="I35" t="n">
        <v>1</v>
      </c>
      <c r="J35" t="n">
        <v>4</v>
      </c>
      <c r="K35" t="n">
        <v>1</v>
      </c>
      <c r="L35" t="n">
        <v>0</v>
      </c>
      <c r="M35" t="n">
        <v>0</v>
      </c>
      <c r="N35" t="n">
        <v>0</v>
      </c>
      <c r="O35" t="n">
        <v>5</v>
      </c>
      <c r="P35" t="n">
        <v>1</v>
      </c>
      <c r="Q35" t="n">
        <v>6</v>
      </c>
      <c r="R35" s="2" t="inlineStr">
        <is>
          <t>Rynkskinn
Garnlav
Granticka
Spillkråka
Ullticka
Vedticka</t>
        </is>
      </c>
      <c r="S35">
        <f>HYPERLINK("https://klasma.github.io/Logging_2480/artfynd/A 28430-2025 artfynd.xlsx", "A 28430-2025")</f>
        <v/>
      </c>
      <c r="T35">
        <f>HYPERLINK("https://klasma.github.io/Logging_2480/kartor/A 28430-2025 karta.png", "A 28430-2025")</f>
        <v/>
      </c>
      <c r="V35">
        <f>HYPERLINK("https://klasma.github.io/Logging_2480/klagomål/A 28430-2025 FSC-klagomål.docx", "A 28430-2025")</f>
        <v/>
      </c>
      <c r="W35">
        <f>HYPERLINK("https://klasma.github.io/Logging_2480/klagomålsmail/A 28430-2025 FSC-klagomål mail.docx", "A 28430-2025")</f>
        <v/>
      </c>
      <c r="X35">
        <f>HYPERLINK("https://klasma.github.io/Logging_2480/tillsyn/A 28430-2025 tillsynsbegäran.docx", "A 28430-2025")</f>
        <v/>
      </c>
      <c r="Y35">
        <f>HYPERLINK("https://klasma.github.io/Logging_2480/tillsynsmail/A 28430-2025 tillsynsbegäran mail.docx", "A 28430-2025")</f>
        <v/>
      </c>
      <c r="Z35">
        <f>HYPERLINK("https://klasma.github.io/Logging_2480/fåglar/A 28430-2025 prioriterade fågelarter.docx", "A 28430-2025")</f>
        <v/>
      </c>
    </row>
    <row r="36" ht="15" customHeight="1">
      <c r="A36" t="inlineStr">
        <is>
          <t>A 61439-2020</t>
        </is>
      </c>
      <c r="B36" s="1" t="n">
        <v>44157</v>
      </c>
      <c r="C36" s="1" t="n">
        <v>45928</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32316-2022</t>
        </is>
      </c>
      <c r="B37" s="1" t="n">
        <v>44781</v>
      </c>
      <c r="C37" s="1" t="n">
        <v>45928</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36893-2025</t>
        </is>
      </c>
      <c r="B38" s="1" t="n">
        <v>45874.46988425926</v>
      </c>
      <c r="C38" s="1" t="n">
        <v>45928</v>
      </c>
      <c r="D38" t="inlineStr">
        <is>
          <t>VÄSTERBOTTENS LÄN</t>
        </is>
      </c>
      <c r="E38" t="inlineStr">
        <is>
          <t>UMEÅ</t>
        </is>
      </c>
      <c r="G38" t="n">
        <v>11.4</v>
      </c>
      <c r="H38" t="n">
        <v>1</v>
      </c>
      <c r="I38" t="n">
        <v>2</v>
      </c>
      <c r="J38" t="n">
        <v>3</v>
      </c>
      <c r="K38" t="n">
        <v>0</v>
      </c>
      <c r="L38" t="n">
        <v>0</v>
      </c>
      <c r="M38" t="n">
        <v>0</v>
      </c>
      <c r="N38" t="n">
        <v>0</v>
      </c>
      <c r="O38" t="n">
        <v>3</v>
      </c>
      <c r="P38" t="n">
        <v>0</v>
      </c>
      <c r="Q38" t="n">
        <v>5</v>
      </c>
      <c r="R38" s="2" t="inlineStr">
        <is>
          <t>Garnlav
Granticka
Järpe
Thomsons trägnagare
Trådticka</t>
        </is>
      </c>
      <c r="S38">
        <f>HYPERLINK("https://klasma.github.io/Logging_2480/artfynd/A 36893-2025 artfynd.xlsx", "A 36893-2025")</f>
        <v/>
      </c>
      <c r="T38">
        <f>HYPERLINK("https://klasma.github.io/Logging_2480/kartor/A 36893-2025 karta.png", "A 36893-2025")</f>
        <v/>
      </c>
      <c r="V38">
        <f>HYPERLINK("https://klasma.github.io/Logging_2480/klagomål/A 36893-2025 FSC-klagomål.docx", "A 36893-2025")</f>
        <v/>
      </c>
      <c r="W38">
        <f>HYPERLINK("https://klasma.github.io/Logging_2480/klagomålsmail/A 36893-2025 FSC-klagomål mail.docx", "A 36893-2025")</f>
        <v/>
      </c>
      <c r="X38">
        <f>HYPERLINK("https://klasma.github.io/Logging_2480/tillsyn/A 36893-2025 tillsynsbegäran.docx", "A 36893-2025")</f>
        <v/>
      </c>
      <c r="Y38">
        <f>HYPERLINK("https://klasma.github.io/Logging_2480/tillsynsmail/A 36893-2025 tillsynsbegäran mail.docx", "A 36893-2025")</f>
        <v/>
      </c>
      <c r="Z38">
        <f>HYPERLINK("https://klasma.github.io/Logging_2480/fåglar/A 36893-2025 prioriterade fågelarter.docx", "A 36893-2025")</f>
        <v/>
      </c>
    </row>
    <row r="39" ht="15" customHeight="1">
      <c r="A39" t="inlineStr">
        <is>
          <t>A 15648-2023</t>
        </is>
      </c>
      <c r="B39" s="1" t="n">
        <v>45019</v>
      </c>
      <c r="C39" s="1" t="n">
        <v>45928</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13479-2022</t>
        </is>
      </c>
      <c r="B40" s="1" t="n">
        <v>44645</v>
      </c>
      <c r="C40" s="1" t="n">
        <v>45928</v>
      </c>
      <c r="D40" t="inlineStr">
        <is>
          <t>VÄSTERBOTTENS LÄN</t>
        </is>
      </c>
      <c r="E40" t="inlineStr">
        <is>
          <t>UMEÅ</t>
        </is>
      </c>
      <c r="G40" t="n">
        <v>6.2</v>
      </c>
      <c r="H40" t="n">
        <v>5</v>
      </c>
      <c r="I40" t="n">
        <v>0</v>
      </c>
      <c r="J40" t="n">
        <v>3</v>
      </c>
      <c r="K40" t="n">
        <v>0</v>
      </c>
      <c r="L40" t="n">
        <v>0</v>
      </c>
      <c r="M40" t="n">
        <v>0</v>
      </c>
      <c r="N40" t="n">
        <v>0</v>
      </c>
      <c r="O40" t="n">
        <v>3</v>
      </c>
      <c r="P40" t="n">
        <v>0</v>
      </c>
      <c r="Q40" t="n">
        <v>5</v>
      </c>
      <c r="R40" s="2" t="inlineStr">
        <is>
          <t>Dammfladdermus
Fransfladdermus
Nordfladdermus
Trollpipistrell
Vattenfladdermus</t>
        </is>
      </c>
      <c r="S40">
        <f>HYPERLINK("https://klasma.github.io/Logging_2480/artfynd/A 13479-2022 artfynd.xlsx", "A 13479-2022")</f>
        <v/>
      </c>
      <c r="T40">
        <f>HYPERLINK("https://klasma.github.io/Logging_2480/kartor/A 13479-2022 karta.png", "A 13479-2022")</f>
        <v/>
      </c>
      <c r="V40">
        <f>HYPERLINK("https://klasma.github.io/Logging_2480/klagomål/A 13479-2022 FSC-klagomål.docx", "A 13479-2022")</f>
        <v/>
      </c>
      <c r="W40">
        <f>HYPERLINK("https://klasma.github.io/Logging_2480/klagomålsmail/A 13479-2022 FSC-klagomål mail.docx", "A 13479-2022")</f>
        <v/>
      </c>
      <c r="X40">
        <f>HYPERLINK("https://klasma.github.io/Logging_2480/tillsyn/A 13479-2022 tillsynsbegäran.docx", "A 13479-2022")</f>
        <v/>
      </c>
      <c r="Y40">
        <f>HYPERLINK("https://klasma.github.io/Logging_2480/tillsynsmail/A 13479-2022 tillsynsbegäran mail.docx", "A 13479-2022")</f>
        <v/>
      </c>
    </row>
    <row r="41" ht="15" customHeight="1">
      <c r="A41" t="inlineStr">
        <is>
          <t>A 11796-2025</t>
        </is>
      </c>
      <c r="B41" s="1" t="n">
        <v>45727</v>
      </c>
      <c r="C41" s="1" t="n">
        <v>45928</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45928</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45928</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45928</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45928</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21628-2021</t>
        </is>
      </c>
      <c r="B46" s="1" t="n">
        <v>44321.91877314815</v>
      </c>
      <c r="C46" s="1" t="n">
        <v>45928</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45691-2023</t>
        </is>
      </c>
      <c r="B47" s="1" t="n">
        <v>45195</v>
      </c>
      <c r="C47" s="1" t="n">
        <v>45928</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684-2023</t>
        </is>
      </c>
      <c r="B48" s="1" t="n">
        <v>44925</v>
      </c>
      <c r="C48" s="1" t="n">
        <v>45928</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535-2025</t>
        </is>
      </c>
      <c r="B49" s="1" t="n">
        <v>45664.51217592593</v>
      </c>
      <c r="C49" s="1" t="n">
        <v>45928</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52764-2024</t>
        </is>
      </c>
      <c r="B50" s="1" t="n">
        <v>45610.51162037037</v>
      </c>
      <c r="C50" s="1" t="n">
        <v>45928</v>
      </c>
      <c r="D50" t="inlineStr">
        <is>
          <t>VÄSTERBOTTENS LÄN</t>
        </is>
      </c>
      <c r="E50" t="inlineStr">
        <is>
          <t>UMEÅ</t>
        </is>
      </c>
      <c r="G50" t="n">
        <v>4.8</v>
      </c>
      <c r="H50" t="n">
        <v>0</v>
      </c>
      <c r="I50" t="n">
        <v>2</v>
      </c>
      <c r="J50" t="n">
        <v>2</v>
      </c>
      <c r="K50" t="n">
        <v>0</v>
      </c>
      <c r="L50" t="n">
        <v>0</v>
      </c>
      <c r="M50" t="n">
        <v>0</v>
      </c>
      <c r="N50" t="n">
        <v>0</v>
      </c>
      <c r="O50" t="n">
        <v>2</v>
      </c>
      <c r="P50" t="n">
        <v>0</v>
      </c>
      <c r="Q50" t="n">
        <v>4</v>
      </c>
      <c r="R50" s="2" t="inlineStr">
        <is>
          <t>Granticka
Violettgrå tagellav
Trådticka
Vågbandad barkbock</t>
        </is>
      </c>
      <c r="S50">
        <f>HYPERLINK("https://klasma.github.io/Logging_2480/artfynd/A 52764-2024 artfynd.xlsx", "A 52764-2024")</f>
        <v/>
      </c>
      <c r="T50">
        <f>HYPERLINK("https://klasma.github.io/Logging_2480/kartor/A 52764-2024 karta.png", "A 52764-2024")</f>
        <v/>
      </c>
      <c r="V50">
        <f>HYPERLINK("https://klasma.github.io/Logging_2480/klagomål/A 52764-2024 FSC-klagomål.docx", "A 52764-2024")</f>
        <v/>
      </c>
      <c r="W50">
        <f>HYPERLINK("https://klasma.github.io/Logging_2480/klagomålsmail/A 52764-2024 FSC-klagomål mail.docx", "A 52764-2024")</f>
        <v/>
      </c>
      <c r="X50">
        <f>HYPERLINK("https://klasma.github.io/Logging_2480/tillsyn/A 52764-2024 tillsynsbegäran.docx", "A 52764-2024")</f>
        <v/>
      </c>
      <c r="Y50">
        <f>HYPERLINK("https://klasma.github.io/Logging_2480/tillsynsmail/A 52764-2024 tillsynsbegäran mail.docx", "A 52764-2024")</f>
        <v/>
      </c>
    </row>
    <row r="51" ht="15" customHeight="1">
      <c r="A51" t="inlineStr">
        <is>
          <t>A 2643-2025</t>
        </is>
      </c>
      <c r="B51" s="1" t="n">
        <v>45676.48310185185</v>
      </c>
      <c r="C51" s="1" t="n">
        <v>45928</v>
      </c>
      <c r="D51" t="inlineStr">
        <is>
          <t>VÄSTERBOTTENS LÄN</t>
        </is>
      </c>
      <c r="E51" t="inlineStr">
        <is>
          <t>UMEÅ</t>
        </is>
      </c>
      <c r="F51" t="inlineStr">
        <is>
          <t>Övriga Aktiebolag</t>
        </is>
      </c>
      <c r="G51" t="n">
        <v>12.6</v>
      </c>
      <c r="H51" t="n">
        <v>0</v>
      </c>
      <c r="I51" t="n">
        <v>1</v>
      </c>
      <c r="J51" t="n">
        <v>3</v>
      </c>
      <c r="K51" t="n">
        <v>0</v>
      </c>
      <c r="L51" t="n">
        <v>0</v>
      </c>
      <c r="M51" t="n">
        <v>0</v>
      </c>
      <c r="N51" t="n">
        <v>0</v>
      </c>
      <c r="O51" t="n">
        <v>3</v>
      </c>
      <c r="P51" t="n">
        <v>0</v>
      </c>
      <c r="Q51" t="n">
        <v>4</v>
      </c>
      <c r="R51" s="2" t="inlineStr">
        <is>
          <t>Garnlav
Kolflarnlav
Ullticka
Dropptaggsvamp</t>
        </is>
      </c>
      <c r="S51">
        <f>HYPERLINK("https://klasma.github.io/Logging_2480/artfynd/A 2643-2025 artfynd.xlsx", "A 2643-2025")</f>
        <v/>
      </c>
      <c r="T51">
        <f>HYPERLINK("https://klasma.github.io/Logging_2480/kartor/A 2643-2025 karta.png", "A 2643-2025")</f>
        <v/>
      </c>
      <c r="V51">
        <f>HYPERLINK("https://klasma.github.io/Logging_2480/klagomål/A 2643-2025 FSC-klagomål.docx", "A 2643-2025")</f>
        <v/>
      </c>
      <c r="W51">
        <f>HYPERLINK("https://klasma.github.io/Logging_2480/klagomålsmail/A 2643-2025 FSC-klagomål mail.docx", "A 2643-2025")</f>
        <v/>
      </c>
      <c r="X51">
        <f>HYPERLINK("https://klasma.github.io/Logging_2480/tillsyn/A 2643-2025 tillsynsbegäran.docx", "A 2643-2025")</f>
        <v/>
      </c>
      <c r="Y51">
        <f>HYPERLINK("https://klasma.github.io/Logging_2480/tillsynsmail/A 2643-2025 tillsynsbegäran mail.docx", "A 2643-2025")</f>
        <v/>
      </c>
    </row>
    <row r="52" ht="15" customHeight="1">
      <c r="A52" t="inlineStr">
        <is>
          <t>A 5029-2022</t>
        </is>
      </c>
      <c r="B52" s="1" t="n">
        <v>44593.65526620371</v>
      </c>
      <c r="C52" s="1" t="n">
        <v>45928</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18725-2024</t>
        </is>
      </c>
      <c r="B53" s="1" t="n">
        <v>45426</v>
      </c>
      <c r="C53" s="1" t="n">
        <v>45928</v>
      </c>
      <c r="D53" t="inlineStr">
        <is>
          <t>VÄSTERBOTTENS LÄN</t>
        </is>
      </c>
      <c r="E53" t="inlineStr">
        <is>
          <t>UMEÅ</t>
        </is>
      </c>
      <c r="F53" t="inlineStr">
        <is>
          <t>Holmen skog AB</t>
        </is>
      </c>
      <c r="G53" t="n">
        <v>6.6</v>
      </c>
      <c r="H53" t="n">
        <v>1</v>
      </c>
      <c r="I53" t="n">
        <v>0</v>
      </c>
      <c r="J53" t="n">
        <v>4</v>
      </c>
      <c r="K53" t="n">
        <v>0</v>
      </c>
      <c r="L53" t="n">
        <v>0</v>
      </c>
      <c r="M53" t="n">
        <v>0</v>
      </c>
      <c r="N53" t="n">
        <v>0</v>
      </c>
      <c r="O53" t="n">
        <v>4</v>
      </c>
      <c r="P53" t="n">
        <v>0</v>
      </c>
      <c r="Q53" t="n">
        <v>4</v>
      </c>
      <c r="R53" s="2" t="inlineStr">
        <is>
          <t>Garnlav
Orange taggsvamp
Talltita
Vedskivlav</t>
        </is>
      </c>
      <c r="S53">
        <f>HYPERLINK("https://klasma.github.io/Logging_2480/artfynd/A 18725-2024 artfynd.xlsx", "A 18725-2024")</f>
        <v/>
      </c>
      <c r="T53">
        <f>HYPERLINK("https://klasma.github.io/Logging_2480/kartor/A 18725-2024 karta.png", "A 18725-2024")</f>
        <v/>
      </c>
      <c r="V53">
        <f>HYPERLINK("https://klasma.github.io/Logging_2480/klagomål/A 18725-2024 FSC-klagomål.docx", "A 18725-2024")</f>
        <v/>
      </c>
      <c r="W53">
        <f>HYPERLINK("https://klasma.github.io/Logging_2480/klagomålsmail/A 18725-2024 FSC-klagomål mail.docx", "A 18725-2024")</f>
        <v/>
      </c>
      <c r="X53">
        <f>HYPERLINK("https://klasma.github.io/Logging_2480/tillsyn/A 18725-2024 tillsynsbegäran.docx", "A 18725-2024")</f>
        <v/>
      </c>
      <c r="Y53">
        <f>HYPERLINK("https://klasma.github.io/Logging_2480/tillsynsmail/A 18725-2024 tillsynsbegäran mail.docx", "A 18725-2024")</f>
        <v/>
      </c>
      <c r="Z53">
        <f>HYPERLINK("https://klasma.github.io/Logging_2480/fåglar/A 18725-2024 prioriterade fågelarter.docx", "A 18725-2024")</f>
        <v/>
      </c>
    </row>
    <row r="54" ht="15" customHeight="1">
      <c r="A54" t="inlineStr">
        <is>
          <t>A 49447-2022</t>
        </is>
      </c>
      <c r="B54" s="1" t="n">
        <v>44861</v>
      </c>
      <c r="C54" s="1" t="n">
        <v>45928</v>
      </c>
      <c r="D54" t="inlineStr">
        <is>
          <t>VÄSTERBOTTENS LÄN</t>
        </is>
      </c>
      <c r="E54" t="inlineStr">
        <is>
          <t>UMEÅ</t>
        </is>
      </c>
      <c r="F54" t="inlineStr">
        <is>
          <t>Holmen skog AB</t>
        </is>
      </c>
      <c r="G54" t="n">
        <v>1.5</v>
      </c>
      <c r="H54" t="n">
        <v>0</v>
      </c>
      <c r="I54" t="n">
        <v>0</v>
      </c>
      <c r="J54" t="n">
        <v>4</v>
      </c>
      <c r="K54" t="n">
        <v>0</v>
      </c>
      <c r="L54" t="n">
        <v>0</v>
      </c>
      <c r="M54" t="n">
        <v>0</v>
      </c>
      <c r="N54" t="n">
        <v>0</v>
      </c>
      <c r="O54" t="n">
        <v>4</v>
      </c>
      <c r="P54" t="n">
        <v>0</v>
      </c>
      <c r="Q54" t="n">
        <v>4</v>
      </c>
      <c r="R54" s="2" t="inlineStr">
        <is>
          <t>Garnlav
Hapalopilus aurantiacus
Orange taggsvamp
Ullticka</t>
        </is>
      </c>
      <c r="S54">
        <f>HYPERLINK("https://klasma.github.io/Logging_2480/artfynd/A 49447-2022 artfynd.xlsx", "A 49447-2022")</f>
        <v/>
      </c>
      <c r="T54">
        <f>HYPERLINK("https://klasma.github.io/Logging_2480/kartor/A 49447-2022 karta.png", "A 49447-2022")</f>
        <v/>
      </c>
      <c r="V54">
        <f>HYPERLINK("https://klasma.github.io/Logging_2480/klagomål/A 49447-2022 FSC-klagomål.docx", "A 49447-2022")</f>
        <v/>
      </c>
      <c r="W54">
        <f>HYPERLINK("https://klasma.github.io/Logging_2480/klagomålsmail/A 49447-2022 FSC-klagomål mail.docx", "A 49447-2022")</f>
        <v/>
      </c>
      <c r="X54">
        <f>HYPERLINK("https://klasma.github.io/Logging_2480/tillsyn/A 49447-2022 tillsynsbegäran.docx", "A 49447-2022")</f>
        <v/>
      </c>
      <c r="Y54">
        <f>HYPERLINK("https://klasma.github.io/Logging_2480/tillsynsmail/A 49447-2022 tillsynsbegäran mail.docx", "A 49447-2022")</f>
        <v/>
      </c>
    </row>
    <row r="55" ht="15" customHeight="1">
      <c r="A55" t="inlineStr">
        <is>
          <t>A 61036-2022</t>
        </is>
      </c>
      <c r="B55" s="1" t="n">
        <v>44914.92446759259</v>
      </c>
      <c r="C55" s="1" t="n">
        <v>45928</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26484-2025</t>
        </is>
      </c>
      <c r="B56" s="1" t="n">
        <v>45807.47395833334</v>
      </c>
      <c r="C56" s="1" t="n">
        <v>45928</v>
      </c>
      <c r="D56" t="inlineStr">
        <is>
          <t>VÄSTERBOTTENS LÄN</t>
        </is>
      </c>
      <c r="E56" t="inlineStr">
        <is>
          <t>UMEÅ</t>
        </is>
      </c>
      <c r="G56" t="n">
        <v>5</v>
      </c>
      <c r="H56" t="n">
        <v>2</v>
      </c>
      <c r="I56" t="n">
        <v>2</v>
      </c>
      <c r="J56" t="n">
        <v>1</v>
      </c>
      <c r="K56" t="n">
        <v>0</v>
      </c>
      <c r="L56" t="n">
        <v>0</v>
      </c>
      <c r="M56" t="n">
        <v>0</v>
      </c>
      <c r="N56" t="n">
        <v>0</v>
      </c>
      <c r="O56" t="n">
        <v>1</v>
      </c>
      <c r="P56" t="n">
        <v>0</v>
      </c>
      <c r="Q56" t="n">
        <v>4</v>
      </c>
      <c r="R56" s="2" t="inlineStr">
        <is>
          <t>Garnlav
Spindelblomster
Vedticka
Fläcknycklar</t>
        </is>
      </c>
      <c r="S56">
        <f>HYPERLINK("https://klasma.github.io/Logging_2480/artfynd/A 26484-2025 artfynd.xlsx", "A 26484-2025")</f>
        <v/>
      </c>
      <c r="T56">
        <f>HYPERLINK("https://klasma.github.io/Logging_2480/kartor/A 26484-2025 karta.png", "A 26484-2025")</f>
        <v/>
      </c>
      <c r="V56">
        <f>HYPERLINK("https://klasma.github.io/Logging_2480/klagomål/A 26484-2025 FSC-klagomål.docx", "A 26484-2025")</f>
        <v/>
      </c>
      <c r="W56">
        <f>HYPERLINK("https://klasma.github.io/Logging_2480/klagomålsmail/A 26484-2025 FSC-klagomål mail.docx", "A 26484-2025")</f>
        <v/>
      </c>
      <c r="X56">
        <f>HYPERLINK("https://klasma.github.io/Logging_2480/tillsyn/A 26484-2025 tillsynsbegäran.docx", "A 26484-2025")</f>
        <v/>
      </c>
      <c r="Y56">
        <f>HYPERLINK("https://klasma.github.io/Logging_2480/tillsynsmail/A 26484-2025 tillsynsbegäran mail.docx", "A 26484-2025")</f>
        <v/>
      </c>
    </row>
    <row r="57" ht="15" customHeight="1">
      <c r="A57" t="inlineStr">
        <is>
          <t>A 33974-2024</t>
        </is>
      </c>
      <c r="B57" s="1" t="n">
        <v>45523.49939814815</v>
      </c>
      <c r="C57" s="1" t="n">
        <v>45928</v>
      </c>
      <c r="D57" t="inlineStr">
        <is>
          <t>VÄSTERBOTTENS LÄN</t>
        </is>
      </c>
      <c r="E57" t="inlineStr">
        <is>
          <t>UMEÅ</t>
        </is>
      </c>
      <c r="G57" t="n">
        <v>1.5</v>
      </c>
      <c r="H57" t="n">
        <v>2</v>
      </c>
      <c r="I57" t="n">
        <v>1</v>
      </c>
      <c r="J57" t="n">
        <v>3</v>
      </c>
      <c r="K57" t="n">
        <v>0</v>
      </c>
      <c r="L57" t="n">
        <v>0</v>
      </c>
      <c r="M57" t="n">
        <v>0</v>
      </c>
      <c r="N57" t="n">
        <v>0</v>
      </c>
      <c r="O57" t="n">
        <v>3</v>
      </c>
      <c r="P57" t="n">
        <v>0</v>
      </c>
      <c r="Q57" t="n">
        <v>4</v>
      </c>
      <c r="R57" s="2" t="inlineStr">
        <is>
          <t>Garnlav
Talltita
Tretåig hackspett
Vedticka</t>
        </is>
      </c>
      <c r="S57">
        <f>HYPERLINK("https://klasma.github.io/Logging_2480/artfynd/A 33974-2024 artfynd.xlsx", "A 33974-2024")</f>
        <v/>
      </c>
      <c r="T57">
        <f>HYPERLINK("https://klasma.github.io/Logging_2480/kartor/A 33974-2024 karta.png", "A 33974-2024")</f>
        <v/>
      </c>
      <c r="V57">
        <f>HYPERLINK("https://klasma.github.io/Logging_2480/klagomål/A 33974-2024 FSC-klagomål.docx", "A 33974-2024")</f>
        <v/>
      </c>
      <c r="W57">
        <f>HYPERLINK("https://klasma.github.io/Logging_2480/klagomålsmail/A 33974-2024 FSC-klagomål mail.docx", "A 33974-2024")</f>
        <v/>
      </c>
      <c r="X57">
        <f>HYPERLINK("https://klasma.github.io/Logging_2480/tillsyn/A 33974-2024 tillsynsbegäran.docx", "A 33974-2024")</f>
        <v/>
      </c>
      <c r="Y57">
        <f>HYPERLINK("https://klasma.github.io/Logging_2480/tillsynsmail/A 33974-2024 tillsynsbegäran mail.docx", "A 33974-2024")</f>
        <v/>
      </c>
      <c r="Z57">
        <f>HYPERLINK("https://klasma.github.io/Logging_2480/fåglar/A 33974-2024 prioriterade fågelarter.docx", "A 33974-2024")</f>
        <v/>
      </c>
    </row>
    <row r="58" ht="15" customHeight="1">
      <c r="A58" t="inlineStr">
        <is>
          <t>A 38400-2021</t>
        </is>
      </c>
      <c r="B58" s="1" t="n">
        <v>44406</v>
      </c>
      <c r="C58" s="1" t="n">
        <v>45928</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6054-2025</t>
        </is>
      </c>
      <c r="B59" s="1" t="n">
        <v>45695</v>
      </c>
      <c r="C59" s="1" t="n">
        <v>45928</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29917-2025</t>
        </is>
      </c>
      <c r="B60" s="1" t="n">
        <v>45826.41837962963</v>
      </c>
      <c r="C60" s="1" t="n">
        <v>45928</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37889-2023</t>
        </is>
      </c>
      <c r="B61" s="1" t="n">
        <v>45160</v>
      </c>
      <c r="C61" s="1" t="n">
        <v>45928</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3933-2025</t>
        </is>
      </c>
      <c r="B62" s="1" t="n">
        <v>45684.45954861111</v>
      </c>
      <c r="C62" s="1" t="n">
        <v>45928</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45928</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45928</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36794-2025</t>
        </is>
      </c>
      <c r="B65" s="1" t="n">
        <v>45873.64189814815</v>
      </c>
      <c r="C65" s="1" t="n">
        <v>45928</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49136-2024</t>
        </is>
      </c>
      <c r="B66" s="1" t="n">
        <v>45594.70607638889</v>
      </c>
      <c r="C66" s="1" t="n">
        <v>45928</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9771-2022</t>
        </is>
      </c>
      <c r="B67" s="1" t="n">
        <v>44619</v>
      </c>
      <c r="C67" s="1" t="n">
        <v>45928</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38440-2021</t>
        </is>
      </c>
      <c r="B68" s="1" t="n">
        <v>44406</v>
      </c>
      <c r="C68" s="1" t="n">
        <v>45928</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45928</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42193-2024</t>
        </is>
      </c>
      <c r="B70" s="1" t="n">
        <v>45562.50009259259</v>
      </c>
      <c r="C70" s="1" t="n">
        <v>45928</v>
      </c>
      <c r="D70" t="inlineStr">
        <is>
          <t>VÄSTERBOTTENS LÄN</t>
        </is>
      </c>
      <c r="E70" t="inlineStr">
        <is>
          <t>UMEÅ</t>
        </is>
      </c>
      <c r="F70" t="inlineStr">
        <is>
          <t>Kommuner</t>
        </is>
      </c>
      <c r="G70" t="n">
        <v>2.2</v>
      </c>
      <c r="H70" t="n">
        <v>1</v>
      </c>
      <c r="I70" t="n">
        <v>0</v>
      </c>
      <c r="J70" t="n">
        <v>2</v>
      </c>
      <c r="K70" t="n">
        <v>0</v>
      </c>
      <c r="L70" t="n">
        <v>0</v>
      </c>
      <c r="M70" t="n">
        <v>0</v>
      </c>
      <c r="N70" t="n">
        <v>0</v>
      </c>
      <c r="O70" t="n">
        <v>2</v>
      </c>
      <c r="P70" t="n">
        <v>0</v>
      </c>
      <c r="Q70" t="n">
        <v>2</v>
      </c>
      <c r="R70" s="2" t="inlineStr">
        <is>
          <t>Mjölsvärting
Talltita</t>
        </is>
      </c>
      <c r="S70">
        <f>HYPERLINK("https://klasma.github.io/Logging_2480/artfynd/A 42193-2024 artfynd.xlsx", "A 42193-2024")</f>
        <v/>
      </c>
      <c r="T70">
        <f>HYPERLINK("https://klasma.github.io/Logging_2480/kartor/A 42193-2024 karta.png", "A 42193-2024")</f>
        <v/>
      </c>
      <c r="V70">
        <f>HYPERLINK("https://klasma.github.io/Logging_2480/klagomål/A 42193-2024 FSC-klagomål.docx", "A 42193-2024")</f>
        <v/>
      </c>
      <c r="W70">
        <f>HYPERLINK("https://klasma.github.io/Logging_2480/klagomålsmail/A 42193-2024 FSC-klagomål mail.docx", "A 42193-2024")</f>
        <v/>
      </c>
      <c r="X70">
        <f>HYPERLINK("https://klasma.github.io/Logging_2480/tillsyn/A 42193-2024 tillsynsbegäran.docx", "A 42193-2024")</f>
        <v/>
      </c>
      <c r="Y70">
        <f>HYPERLINK("https://klasma.github.io/Logging_2480/tillsynsmail/A 42193-2024 tillsynsbegäran mail.docx", "A 42193-2024")</f>
        <v/>
      </c>
      <c r="Z70">
        <f>HYPERLINK("https://klasma.github.io/Logging_2480/fåglar/A 42193-2024 prioriterade fågelarter.docx", "A 42193-2024")</f>
        <v/>
      </c>
    </row>
    <row r="71" ht="15" customHeight="1">
      <c r="A71" t="inlineStr">
        <is>
          <t>A 7050-2024</t>
        </is>
      </c>
      <c r="B71" s="1" t="n">
        <v>45343</v>
      </c>
      <c r="C71" s="1" t="n">
        <v>45928</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8715-2024</t>
        </is>
      </c>
      <c r="B72" s="1" t="n">
        <v>45356</v>
      </c>
      <c r="C72" s="1" t="n">
        <v>45928</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30170-2025</t>
        </is>
      </c>
      <c r="B73" s="1" t="n">
        <v>45827.33780092592</v>
      </c>
      <c r="C73" s="1" t="n">
        <v>45928</v>
      </c>
      <c r="D73" t="inlineStr">
        <is>
          <t>VÄSTERBOTTENS LÄN</t>
        </is>
      </c>
      <c r="E73" t="inlineStr">
        <is>
          <t>UMEÅ</t>
        </is>
      </c>
      <c r="G73" t="n">
        <v>12.1</v>
      </c>
      <c r="H73" t="n">
        <v>0</v>
      </c>
      <c r="I73" t="n">
        <v>1</v>
      </c>
      <c r="J73" t="n">
        <v>1</v>
      </c>
      <c r="K73" t="n">
        <v>0</v>
      </c>
      <c r="L73" t="n">
        <v>0</v>
      </c>
      <c r="M73" t="n">
        <v>0</v>
      </c>
      <c r="N73" t="n">
        <v>0</v>
      </c>
      <c r="O73" t="n">
        <v>1</v>
      </c>
      <c r="P73" t="n">
        <v>0</v>
      </c>
      <c r="Q73" t="n">
        <v>2</v>
      </c>
      <c r="R73" s="2" t="inlineStr">
        <is>
          <t>Guldgräshoppa
Norrlandslav</t>
        </is>
      </c>
      <c r="S73">
        <f>HYPERLINK("https://klasma.github.io/Logging_2480/artfynd/A 30170-2025 artfynd.xlsx", "A 30170-2025")</f>
        <v/>
      </c>
      <c r="T73">
        <f>HYPERLINK("https://klasma.github.io/Logging_2480/kartor/A 30170-2025 karta.png", "A 30170-2025")</f>
        <v/>
      </c>
      <c r="V73">
        <f>HYPERLINK("https://klasma.github.io/Logging_2480/klagomål/A 30170-2025 FSC-klagomål.docx", "A 30170-2025")</f>
        <v/>
      </c>
      <c r="W73">
        <f>HYPERLINK("https://klasma.github.io/Logging_2480/klagomålsmail/A 30170-2025 FSC-klagomål mail.docx", "A 30170-2025")</f>
        <v/>
      </c>
      <c r="X73">
        <f>HYPERLINK("https://klasma.github.io/Logging_2480/tillsyn/A 30170-2025 tillsynsbegäran.docx", "A 30170-2025")</f>
        <v/>
      </c>
      <c r="Y73">
        <f>HYPERLINK("https://klasma.github.io/Logging_2480/tillsynsmail/A 30170-2025 tillsynsbegäran mail.docx", "A 30170-2025")</f>
        <v/>
      </c>
    </row>
    <row r="74" ht="15" customHeight="1">
      <c r="A74" t="inlineStr">
        <is>
          <t>A 30173-2025</t>
        </is>
      </c>
      <c r="B74" s="1" t="n">
        <v>45827.34200231481</v>
      </c>
      <c r="C74" s="1" t="n">
        <v>45928</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33215-2025</t>
        </is>
      </c>
      <c r="B75" s="1" t="n">
        <v>45840.63028935185</v>
      </c>
      <c r="C75" s="1" t="n">
        <v>45928</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18922-2023</t>
        </is>
      </c>
      <c r="B76" s="1" t="n">
        <v>45043</v>
      </c>
      <c r="C76" s="1" t="n">
        <v>45928</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34050-2024</t>
        </is>
      </c>
      <c r="B77" s="1" t="n">
        <v>45523.60684027777</v>
      </c>
      <c r="C77" s="1" t="n">
        <v>45928</v>
      </c>
      <c r="D77" t="inlineStr">
        <is>
          <t>VÄSTERBOTTENS LÄN</t>
        </is>
      </c>
      <c r="E77" t="inlineStr">
        <is>
          <t>UMEÅ</t>
        </is>
      </c>
      <c r="F77" t="inlineStr">
        <is>
          <t>Holmen skog AB</t>
        </is>
      </c>
      <c r="G77" t="n">
        <v>9.699999999999999</v>
      </c>
      <c r="H77" t="n">
        <v>0</v>
      </c>
      <c r="I77" t="n">
        <v>1</v>
      </c>
      <c r="J77" t="n">
        <v>1</v>
      </c>
      <c r="K77" t="n">
        <v>0</v>
      </c>
      <c r="L77" t="n">
        <v>0</v>
      </c>
      <c r="M77" t="n">
        <v>0</v>
      </c>
      <c r="N77" t="n">
        <v>0</v>
      </c>
      <c r="O77" t="n">
        <v>1</v>
      </c>
      <c r="P77" t="n">
        <v>0</v>
      </c>
      <c r="Q77" t="n">
        <v>2</v>
      </c>
      <c r="R77" s="2" t="inlineStr">
        <is>
          <t>Gränsticka
Vedticka</t>
        </is>
      </c>
      <c r="S77">
        <f>HYPERLINK("https://klasma.github.io/Logging_2480/artfynd/A 34050-2024 artfynd.xlsx", "A 34050-2024")</f>
        <v/>
      </c>
      <c r="T77">
        <f>HYPERLINK("https://klasma.github.io/Logging_2480/kartor/A 34050-2024 karta.png", "A 34050-2024")</f>
        <v/>
      </c>
      <c r="V77">
        <f>HYPERLINK("https://klasma.github.io/Logging_2480/klagomål/A 34050-2024 FSC-klagomål.docx", "A 34050-2024")</f>
        <v/>
      </c>
      <c r="W77">
        <f>HYPERLINK("https://klasma.github.io/Logging_2480/klagomålsmail/A 34050-2024 FSC-klagomål mail.docx", "A 34050-2024")</f>
        <v/>
      </c>
      <c r="X77">
        <f>HYPERLINK("https://klasma.github.io/Logging_2480/tillsyn/A 34050-2024 tillsynsbegäran.docx", "A 34050-2024")</f>
        <v/>
      </c>
      <c r="Y77">
        <f>HYPERLINK("https://klasma.github.io/Logging_2480/tillsynsmail/A 34050-2024 tillsynsbegäran mail.docx", "A 34050-2024")</f>
        <v/>
      </c>
    </row>
    <row r="78" ht="15" customHeight="1">
      <c r="A78" t="inlineStr">
        <is>
          <t>A 38393-2021</t>
        </is>
      </c>
      <c r="B78" s="1" t="n">
        <v>44406</v>
      </c>
      <c r="C78" s="1" t="n">
        <v>45928</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45928</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45928</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45928</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45928</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45928</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45928</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45928</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45928</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48771-2022</t>
        </is>
      </c>
      <c r="B87" s="1" t="n">
        <v>44859.59534722222</v>
      </c>
      <c r="C87" s="1" t="n">
        <v>45928</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23035-2022</t>
        </is>
      </c>
      <c r="B88" s="1" t="n">
        <v>44715</v>
      </c>
      <c r="C88" s="1" t="n">
        <v>45928</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49658-2022</t>
        </is>
      </c>
      <c r="B89" s="1" t="n">
        <v>44862</v>
      </c>
      <c r="C89" s="1" t="n">
        <v>45928</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47038-2021</t>
        </is>
      </c>
      <c r="B90" s="1" t="n">
        <v>44446</v>
      </c>
      <c r="C90" s="1" t="n">
        <v>45928</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38683-2021</t>
        </is>
      </c>
      <c r="B91" s="1" t="n">
        <v>44407</v>
      </c>
      <c r="C91" s="1" t="n">
        <v>45928</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58670-2023</t>
        </is>
      </c>
      <c r="B92" s="1" t="n">
        <v>45251</v>
      </c>
      <c r="C92" s="1" t="n">
        <v>45928</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63810-2023</t>
        </is>
      </c>
      <c r="B93" s="1" t="n">
        <v>45275</v>
      </c>
      <c r="C93" s="1" t="n">
        <v>45928</v>
      </c>
      <c r="D93" t="inlineStr">
        <is>
          <t>VÄSTERBOTTENS LÄN</t>
        </is>
      </c>
      <c r="E93" t="inlineStr">
        <is>
          <t>UMEÅ</t>
        </is>
      </c>
      <c r="G93" t="n">
        <v>1.1</v>
      </c>
      <c r="H93" t="n">
        <v>1</v>
      </c>
      <c r="I93" t="n">
        <v>0</v>
      </c>
      <c r="J93" t="n">
        <v>1</v>
      </c>
      <c r="K93" t="n">
        <v>0</v>
      </c>
      <c r="L93" t="n">
        <v>0</v>
      </c>
      <c r="M93" t="n">
        <v>0</v>
      </c>
      <c r="N93" t="n">
        <v>0</v>
      </c>
      <c r="O93" t="n">
        <v>1</v>
      </c>
      <c r="P93" t="n">
        <v>0</v>
      </c>
      <c r="Q93" t="n">
        <v>1</v>
      </c>
      <c r="R93" s="2" t="inlineStr">
        <is>
          <t>Spillkråka</t>
        </is>
      </c>
      <c r="S93">
        <f>HYPERLINK("https://klasma.github.io/Logging_2480/artfynd/A 63810-2023 artfynd.xlsx", "A 63810-2023")</f>
        <v/>
      </c>
      <c r="T93">
        <f>HYPERLINK("https://klasma.github.io/Logging_2480/kartor/A 63810-2023 karta.png", "A 63810-2023")</f>
        <v/>
      </c>
      <c r="V93">
        <f>HYPERLINK("https://klasma.github.io/Logging_2480/klagomål/A 63810-2023 FSC-klagomål.docx", "A 63810-2023")</f>
        <v/>
      </c>
      <c r="W93">
        <f>HYPERLINK("https://klasma.github.io/Logging_2480/klagomålsmail/A 63810-2023 FSC-klagomål mail.docx", "A 63810-2023")</f>
        <v/>
      </c>
      <c r="X93">
        <f>HYPERLINK("https://klasma.github.io/Logging_2480/tillsyn/A 63810-2023 tillsynsbegäran.docx", "A 63810-2023")</f>
        <v/>
      </c>
      <c r="Y93">
        <f>HYPERLINK("https://klasma.github.io/Logging_2480/tillsynsmail/A 63810-2023 tillsynsbegäran mail.docx", "A 63810-2023")</f>
        <v/>
      </c>
      <c r="Z93">
        <f>HYPERLINK("https://klasma.github.io/Logging_2480/fåglar/A 63810-2023 prioriterade fågelarter.docx", "A 63810-2023")</f>
        <v/>
      </c>
    </row>
    <row r="94" ht="15" customHeight="1">
      <c r="A94" t="inlineStr">
        <is>
          <t>A 11502-2022</t>
        </is>
      </c>
      <c r="B94" s="1" t="n">
        <v>44631</v>
      </c>
      <c r="C94" s="1" t="n">
        <v>45928</v>
      </c>
      <c r="D94" t="inlineStr">
        <is>
          <t>VÄSTERBOTTENS LÄN</t>
        </is>
      </c>
      <c r="E94" t="inlineStr">
        <is>
          <t>UMEÅ</t>
        </is>
      </c>
      <c r="F94" t="inlineStr">
        <is>
          <t>Kommuner</t>
        </is>
      </c>
      <c r="G94" t="n">
        <v>1.8</v>
      </c>
      <c r="H94" t="n">
        <v>0</v>
      </c>
      <c r="I94" t="n">
        <v>0</v>
      </c>
      <c r="J94" t="n">
        <v>1</v>
      </c>
      <c r="K94" t="n">
        <v>0</v>
      </c>
      <c r="L94" t="n">
        <v>0</v>
      </c>
      <c r="M94" t="n">
        <v>0</v>
      </c>
      <c r="N94" t="n">
        <v>0</v>
      </c>
      <c r="O94" t="n">
        <v>1</v>
      </c>
      <c r="P94" t="n">
        <v>0</v>
      </c>
      <c r="Q94" t="n">
        <v>1</v>
      </c>
      <c r="R94" s="2" t="inlineStr">
        <is>
          <t>Violettgrå tagellav</t>
        </is>
      </c>
      <c r="S94">
        <f>HYPERLINK("https://klasma.github.io/Logging_2480/artfynd/A 11502-2022 artfynd.xlsx", "A 11502-2022")</f>
        <v/>
      </c>
      <c r="T94">
        <f>HYPERLINK("https://klasma.github.io/Logging_2480/kartor/A 11502-2022 karta.png", "A 11502-2022")</f>
        <v/>
      </c>
      <c r="V94">
        <f>HYPERLINK("https://klasma.github.io/Logging_2480/klagomål/A 11502-2022 FSC-klagomål.docx", "A 11502-2022")</f>
        <v/>
      </c>
      <c r="W94">
        <f>HYPERLINK("https://klasma.github.io/Logging_2480/klagomålsmail/A 11502-2022 FSC-klagomål mail.docx", "A 11502-2022")</f>
        <v/>
      </c>
      <c r="X94">
        <f>HYPERLINK("https://klasma.github.io/Logging_2480/tillsyn/A 11502-2022 tillsynsbegäran.docx", "A 11502-2022")</f>
        <v/>
      </c>
      <c r="Y94">
        <f>HYPERLINK("https://klasma.github.io/Logging_2480/tillsynsmail/A 11502-2022 tillsynsbegäran mail.docx", "A 11502-2022")</f>
        <v/>
      </c>
    </row>
    <row r="95" ht="15" customHeight="1">
      <c r="A95" t="inlineStr">
        <is>
          <t>A 45633-2024</t>
        </is>
      </c>
      <c r="B95" s="1" t="n">
        <v>45579.47168981482</v>
      </c>
      <c r="C95" s="1" t="n">
        <v>45928</v>
      </c>
      <c r="D95" t="inlineStr">
        <is>
          <t>VÄSTERBOTTENS LÄN</t>
        </is>
      </c>
      <c r="E95" t="inlineStr">
        <is>
          <t>UMEÅ</t>
        </is>
      </c>
      <c r="F95" t="inlineStr">
        <is>
          <t>Holmen skog AB</t>
        </is>
      </c>
      <c r="G95" t="n">
        <v>5.4</v>
      </c>
      <c r="H95" t="n">
        <v>0</v>
      </c>
      <c r="I95" t="n">
        <v>0</v>
      </c>
      <c r="J95" t="n">
        <v>1</v>
      </c>
      <c r="K95" t="n">
        <v>0</v>
      </c>
      <c r="L95" t="n">
        <v>0</v>
      </c>
      <c r="M95" t="n">
        <v>0</v>
      </c>
      <c r="N95" t="n">
        <v>0</v>
      </c>
      <c r="O95" t="n">
        <v>1</v>
      </c>
      <c r="P95" t="n">
        <v>0</v>
      </c>
      <c r="Q95" t="n">
        <v>1</v>
      </c>
      <c r="R95" s="2" t="inlineStr">
        <is>
          <t>Mörk kolflarnlav</t>
        </is>
      </c>
      <c r="S95">
        <f>HYPERLINK("https://klasma.github.io/Logging_2480/artfynd/A 45633-2024 artfynd.xlsx", "A 45633-2024")</f>
        <v/>
      </c>
      <c r="T95">
        <f>HYPERLINK("https://klasma.github.io/Logging_2480/kartor/A 45633-2024 karta.png", "A 45633-2024")</f>
        <v/>
      </c>
      <c r="V95">
        <f>HYPERLINK("https://klasma.github.io/Logging_2480/klagomål/A 45633-2024 FSC-klagomål.docx", "A 45633-2024")</f>
        <v/>
      </c>
      <c r="W95">
        <f>HYPERLINK("https://klasma.github.io/Logging_2480/klagomålsmail/A 45633-2024 FSC-klagomål mail.docx", "A 45633-2024")</f>
        <v/>
      </c>
      <c r="X95">
        <f>HYPERLINK("https://klasma.github.io/Logging_2480/tillsyn/A 45633-2024 tillsynsbegäran.docx", "A 45633-2024")</f>
        <v/>
      </c>
      <c r="Y95">
        <f>HYPERLINK("https://klasma.github.io/Logging_2480/tillsynsmail/A 45633-2024 tillsynsbegäran mail.docx", "A 45633-2024")</f>
        <v/>
      </c>
    </row>
    <row r="96" ht="15" customHeight="1">
      <c r="A96" t="inlineStr">
        <is>
          <t>A 26250-2023</t>
        </is>
      </c>
      <c r="B96" s="1" t="n">
        <v>45086</v>
      </c>
      <c r="C96" s="1" t="n">
        <v>45928</v>
      </c>
      <c r="D96" t="inlineStr">
        <is>
          <t>VÄSTERBOTTENS LÄN</t>
        </is>
      </c>
      <c r="E96" t="inlineStr">
        <is>
          <t>UMEÅ</t>
        </is>
      </c>
      <c r="G96" t="n">
        <v>1.3</v>
      </c>
      <c r="H96" t="n">
        <v>1</v>
      </c>
      <c r="I96" t="n">
        <v>0</v>
      </c>
      <c r="J96" t="n">
        <v>0</v>
      </c>
      <c r="K96" t="n">
        <v>0</v>
      </c>
      <c r="L96" t="n">
        <v>0</v>
      </c>
      <c r="M96" t="n">
        <v>0</v>
      </c>
      <c r="N96" t="n">
        <v>0</v>
      </c>
      <c r="O96" t="n">
        <v>0</v>
      </c>
      <c r="P96" t="n">
        <v>0</v>
      </c>
      <c r="Q96" t="n">
        <v>1</v>
      </c>
      <c r="R96" s="2" t="inlineStr">
        <is>
          <t>Huggorm</t>
        </is>
      </c>
      <c r="S96">
        <f>HYPERLINK("https://klasma.github.io/Logging_2480/artfynd/A 26250-2023 artfynd.xlsx", "A 26250-2023")</f>
        <v/>
      </c>
      <c r="T96">
        <f>HYPERLINK("https://klasma.github.io/Logging_2480/kartor/A 26250-2023 karta.png", "A 26250-2023")</f>
        <v/>
      </c>
      <c r="V96">
        <f>HYPERLINK("https://klasma.github.io/Logging_2480/klagomål/A 26250-2023 FSC-klagomål.docx", "A 26250-2023")</f>
        <v/>
      </c>
      <c r="W96">
        <f>HYPERLINK("https://klasma.github.io/Logging_2480/klagomålsmail/A 26250-2023 FSC-klagomål mail.docx", "A 26250-2023")</f>
        <v/>
      </c>
      <c r="X96">
        <f>HYPERLINK("https://klasma.github.io/Logging_2480/tillsyn/A 26250-2023 tillsynsbegäran.docx", "A 26250-2023")</f>
        <v/>
      </c>
      <c r="Y96">
        <f>HYPERLINK("https://klasma.github.io/Logging_2480/tillsynsmail/A 26250-2023 tillsynsbegäran mail.docx", "A 26250-2023")</f>
        <v/>
      </c>
    </row>
    <row r="97" ht="15" customHeight="1">
      <c r="A97" t="inlineStr">
        <is>
          <t>A 45429-2024</t>
        </is>
      </c>
      <c r="B97" s="1" t="n">
        <v>45576</v>
      </c>
      <c r="C97" s="1" t="n">
        <v>45928</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11781-2025</t>
        </is>
      </c>
      <c r="B98" s="1" t="n">
        <v>45727</v>
      </c>
      <c r="C98" s="1" t="n">
        <v>45928</v>
      </c>
      <c r="D98" t="inlineStr">
        <is>
          <t>VÄSTERBOTTENS LÄN</t>
        </is>
      </c>
      <c r="E98" t="inlineStr">
        <is>
          <t>UMEÅ</t>
        </is>
      </c>
      <c r="F98" t="inlineStr">
        <is>
          <t>Kommuner</t>
        </is>
      </c>
      <c r="G98" t="n">
        <v>0.5</v>
      </c>
      <c r="H98" t="n">
        <v>0</v>
      </c>
      <c r="I98" t="n">
        <v>0</v>
      </c>
      <c r="J98" t="n">
        <v>1</v>
      </c>
      <c r="K98" t="n">
        <v>0</v>
      </c>
      <c r="L98" t="n">
        <v>0</v>
      </c>
      <c r="M98" t="n">
        <v>0</v>
      </c>
      <c r="N98" t="n">
        <v>0</v>
      </c>
      <c r="O98" t="n">
        <v>1</v>
      </c>
      <c r="P98" t="n">
        <v>0</v>
      </c>
      <c r="Q98" t="n">
        <v>1</v>
      </c>
      <c r="R98" s="2" t="inlineStr">
        <is>
          <t>Vitgrynig nållav</t>
        </is>
      </c>
      <c r="S98">
        <f>HYPERLINK("https://klasma.github.io/Logging_2480/artfynd/A 11781-2025 artfynd.xlsx", "A 11781-2025")</f>
        <v/>
      </c>
      <c r="T98">
        <f>HYPERLINK("https://klasma.github.io/Logging_2480/kartor/A 11781-2025 karta.png", "A 11781-2025")</f>
        <v/>
      </c>
      <c r="V98">
        <f>HYPERLINK("https://klasma.github.io/Logging_2480/klagomål/A 11781-2025 FSC-klagomål.docx", "A 11781-2025")</f>
        <v/>
      </c>
      <c r="W98">
        <f>HYPERLINK("https://klasma.github.io/Logging_2480/klagomålsmail/A 11781-2025 FSC-klagomål mail.docx", "A 11781-2025")</f>
        <v/>
      </c>
      <c r="X98">
        <f>HYPERLINK("https://klasma.github.io/Logging_2480/tillsyn/A 11781-2025 tillsynsbegäran.docx", "A 11781-2025")</f>
        <v/>
      </c>
      <c r="Y98">
        <f>HYPERLINK("https://klasma.github.io/Logging_2480/tillsynsmail/A 11781-2025 tillsynsbegäran mail.docx", "A 11781-2025")</f>
        <v/>
      </c>
    </row>
    <row r="99" ht="15" customHeight="1">
      <c r="A99" t="inlineStr">
        <is>
          <t>A 42835-2025</t>
        </is>
      </c>
      <c r="B99" s="1" t="n">
        <v>45908</v>
      </c>
      <c r="C99" s="1" t="n">
        <v>45928</v>
      </c>
      <c r="D99" t="inlineStr">
        <is>
          <t>VÄSTERBOTTENS LÄN</t>
        </is>
      </c>
      <c r="E99" t="inlineStr">
        <is>
          <t>UMEÅ</t>
        </is>
      </c>
      <c r="F99" t="inlineStr">
        <is>
          <t>Övriga statliga verk och myndigheter</t>
        </is>
      </c>
      <c r="G99" t="n">
        <v>1.1</v>
      </c>
      <c r="H99" t="n">
        <v>0</v>
      </c>
      <c r="I99" t="n">
        <v>0</v>
      </c>
      <c r="J99" t="n">
        <v>1</v>
      </c>
      <c r="K99" t="n">
        <v>0</v>
      </c>
      <c r="L99" t="n">
        <v>0</v>
      </c>
      <c r="M99" t="n">
        <v>0</v>
      </c>
      <c r="N99" t="n">
        <v>0</v>
      </c>
      <c r="O99" t="n">
        <v>1</v>
      </c>
      <c r="P99" t="n">
        <v>0</v>
      </c>
      <c r="Q99" t="n">
        <v>1</v>
      </c>
      <c r="R99" s="2" t="inlineStr">
        <is>
          <t>Klofibbla</t>
        </is>
      </c>
      <c r="S99">
        <f>HYPERLINK("https://klasma.github.io/Logging_2480/artfynd/A 42835-2025 artfynd.xlsx", "A 42835-2025")</f>
        <v/>
      </c>
      <c r="T99">
        <f>HYPERLINK("https://klasma.github.io/Logging_2480/kartor/A 42835-2025 karta.png", "A 42835-2025")</f>
        <v/>
      </c>
      <c r="V99">
        <f>HYPERLINK("https://klasma.github.io/Logging_2480/klagomål/A 42835-2025 FSC-klagomål.docx", "A 42835-2025")</f>
        <v/>
      </c>
      <c r="W99">
        <f>HYPERLINK("https://klasma.github.io/Logging_2480/klagomålsmail/A 42835-2025 FSC-klagomål mail.docx", "A 42835-2025")</f>
        <v/>
      </c>
      <c r="X99">
        <f>HYPERLINK("https://klasma.github.io/Logging_2480/tillsyn/A 42835-2025 tillsynsbegäran.docx", "A 42835-2025")</f>
        <v/>
      </c>
      <c r="Y99">
        <f>HYPERLINK("https://klasma.github.io/Logging_2480/tillsynsmail/A 42835-2025 tillsynsbegäran mail.docx", "A 42835-2025")</f>
        <v/>
      </c>
    </row>
    <row r="100" ht="15" customHeight="1">
      <c r="A100" t="inlineStr">
        <is>
          <t>A 43550-2024</t>
        </is>
      </c>
      <c r="B100" s="1" t="n">
        <v>45569.38002314815</v>
      </c>
      <c r="C100" s="1" t="n">
        <v>45928</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45928</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36880-2025</t>
        </is>
      </c>
      <c r="B102" s="1" t="n">
        <v>45874.43534722222</v>
      </c>
      <c r="C102" s="1" t="n">
        <v>45928</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49850-2021</t>
        </is>
      </c>
      <c r="B103" s="1" t="n">
        <v>44455</v>
      </c>
      <c r="C103" s="1" t="n">
        <v>45928</v>
      </c>
      <c r="D103" t="inlineStr">
        <is>
          <t>VÄSTERBOTTENS LÄN</t>
        </is>
      </c>
      <c r="E103" t="inlineStr">
        <is>
          <t>UMEÅ</t>
        </is>
      </c>
      <c r="G103" t="n">
        <v>3.8</v>
      </c>
      <c r="H103" t="n">
        <v>0</v>
      </c>
      <c r="I103" t="n">
        <v>0</v>
      </c>
      <c r="J103" t="n">
        <v>1</v>
      </c>
      <c r="K103" t="n">
        <v>0</v>
      </c>
      <c r="L103" t="n">
        <v>0</v>
      </c>
      <c r="M103" t="n">
        <v>0</v>
      </c>
      <c r="N103" t="n">
        <v>0</v>
      </c>
      <c r="O103" t="n">
        <v>1</v>
      </c>
      <c r="P103" t="n">
        <v>0</v>
      </c>
      <c r="Q103" t="n">
        <v>1</v>
      </c>
      <c r="R103" s="2" t="inlineStr">
        <is>
          <t>Skogshare</t>
        </is>
      </c>
      <c r="S103">
        <f>HYPERLINK("https://klasma.github.io/Logging_2480/artfynd/A 49850-2021 artfynd.xlsx", "A 49850-2021")</f>
        <v/>
      </c>
      <c r="T103">
        <f>HYPERLINK("https://klasma.github.io/Logging_2480/kartor/A 49850-2021 karta.png", "A 49850-2021")</f>
        <v/>
      </c>
      <c r="V103">
        <f>HYPERLINK("https://klasma.github.io/Logging_2480/klagomål/A 49850-2021 FSC-klagomål.docx", "A 49850-2021")</f>
        <v/>
      </c>
      <c r="W103">
        <f>HYPERLINK("https://klasma.github.io/Logging_2480/klagomålsmail/A 49850-2021 FSC-klagomål mail.docx", "A 49850-2021")</f>
        <v/>
      </c>
      <c r="X103">
        <f>HYPERLINK("https://klasma.github.io/Logging_2480/tillsyn/A 49850-2021 tillsynsbegäran.docx", "A 49850-2021")</f>
        <v/>
      </c>
      <c r="Y103">
        <f>HYPERLINK("https://klasma.github.io/Logging_2480/tillsynsmail/A 49850-2021 tillsynsbegäran mail.docx", "A 49850-2021")</f>
        <v/>
      </c>
    </row>
    <row r="104" ht="15" customHeight="1">
      <c r="A104" t="inlineStr">
        <is>
          <t>A 15654-2023</t>
        </is>
      </c>
      <c r="B104" s="1" t="n">
        <v>45019</v>
      </c>
      <c r="C104" s="1" t="n">
        <v>45928</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40665-2024</t>
        </is>
      </c>
      <c r="B105" s="1" t="n">
        <v>45558.34784722222</v>
      </c>
      <c r="C105" s="1" t="n">
        <v>45928</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43029-2024</t>
        </is>
      </c>
      <c r="B106" s="1" t="n">
        <v>45567.41245370371</v>
      </c>
      <c r="C106" s="1" t="n">
        <v>45928</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18248-2021</t>
        </is>
      </c>
      <c r="B107" s="1" t="n">
        <v>44305</v>
      </c>
      <c r="C107" s="1" t="n">
        <v>45928</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43519-2022</t>
        </is>
      </c>
      <c r="B108" s="1" t="n">
        <v>44837</v>
      </c>
      <c r="C108" s="1" t="n">
        <v>45928</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45928</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45928</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45928</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18703-2024</t>
        </is>
      </c>
      <c r="B112" s="1" t="n">
        <v>45426</v>
      </c>
      <c r="C112" s="1" t="n">
        <v>45928</v>
      </c>
      <c r="D112" t="inlineStr">
        <is>
          <t>VÄSTERBOTTENS LÄN</t>
        </is>
      </c>
      <c r="E112" t="inlineStr">
        <is>
          <t>UMEÅ</t>
        </is>
      </c>
      <c r="F112" t="inlineStr">
        <is>
          <t>Holmen skog AB</t>
        </is>
      </c>
      <c r="G112" t="n">
        <v>2</v>
      </c>
      <c r="H112" t="n">
        <v>1</v>
      </c>
      <c r="I112" t="n">
        <v>0</v>
      </c>
      <c r="J112" t="n">
        <v>1</v>
      </c>
      <c r="K112" t="n">
        <v>0</v>
      </c>
      <c r="L112" t="n">
        <v>0</v>
      </c>
      <c r="M112" t="n">
        <v>0</v>
      </c>
      <c r="N112" t="n">
        <v>0</v>
      </c>
      <c r="O112" t="n">
        <v>1</v>
      </c>
      <c r="P112" t="n">
        <v>0</v>
      </c>
      <c r="Q112" t="n">
        <v>1</v>
      </c>
      <c r="R112" s="2" t="inlineStr">
        <is>
          <t>Spillkråka</t>
        </is>
      </c>
      <c r="S112">
        <f>HYPERLINK("https://klasma.github.io/Logging_2480/artfynd/A 18703-2024 artfynd.xlsx", "A 18703-2024")</f>
        <v/>
      </c>
      <c r="T112">
        <f>HYPERLINK("https://klasma.github.io/Logging_2480/kartor/A 18703-2024 karta.png", "A 18703-2024")</f>
        <v/>
      </c>
      <c r="V112">
        <f>HYPERLINK("https://klasma.github.io/Logging_2480/klagomål/A 18703-2024 FSC-klagomål.docx", "A 18703-2024")</f>
        <v/>
      </c>
      <c r="W112">
        <f>HYPERLINK("https://klasma.github.io/Logging_2480/klagomålsmail/A 18703-2024 FSC-klagomål mail.docx", "A 18703-2024")</f>
        <v/>
      </c>
      <c r="X112">
        <f>HYPERLINK("https://klasma.github.io/Logging_2480/tillsyn/A 18703-2024 tillsynsbegäran.docx", "A 18703-2024")</f>
        <v/>
      </c>
      <c r="Y112">
        <f>HYPERLINK("https://klasma.github.io/Logging_2480/tillsynsmail/A 18703-2024 tillsynsbegäran mail.docx", "A 18703-2024")</f>
        <v/>
      </c>
      <c r="Z112">
        <f>HYPERLINK("https://klasma.github.io/Logging_2480/fåglar/A 18703-2024 prioriterade fågelarter.docx", "A 18703-2024")</f>
        <v/>
      </c>
    </row>
    <row r="113" ht="15" customHeight="1">
      <c r="A113" t="inlineStr">
        <is>
          <t>A 56135-2024</t>
        </is>
      </c>
      <c r="B113" s="1" t="n">
        <v>45624</v>
      </c>
      <c r="C113" s="1" t="n">
        <v>45928</v>
      </c>
      <c r="D113" t="inlineStr">
        <is>
          <t>VÄSTERBOTTENS LÄN</t>
        </is>
      </c>
      <c r="E113" t="inlineStr">
        <is>
          <t>UMEÅ</t>
        </is>
      </c>
      <c r="G113" t="n">
        <v>19.9</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56135-2024 artfynd.xlsx", "A 56135-2024")</f>
        <v/>
      </c>
      <c r="T113">
        <f>HYPERLINK("https://klasma.github.io/Logging_2480/kartor/A 56135-2024 karta.png", "A 56135-2024")</f>
        <v/>
      </c>
      <c r="V113">
        <f>HYPERLINK("https://klasma.github.io/Logging_2480/klagomål/A 56135-2024 FSC-klagomål.docx", "A 56135-2024")</f>
        <v/>
      </c>
      <c r="W113">
        <f>HYPERLINK("https://klasma.github.io/Logging_2480/klagomålsmail/A 56135-2024 FSC-klagomål mail.docx", "A 56135-2024")</f>
        <v/>
      </c>
      <c r="X113">
        <f>HYPERLINK("https://klasma.github.io/Logging_2480/tillsyn/A 56135-2024 tillsynsbegäran.docx", "A 56135-2024")</f>
        <v/>
      </c>
      <c r="Y113">
        <f>HYPERLINK("https://klasma.github.io/Logging_2480/tillsynsmail/A 56135-2024 tillsynsbegäran mail.docx", "A 56135-2024")</f>
        <v/>
      </c>
    </row>
    <row r="114" ht="15" customHeight="1">
      <c r="A114" t="inlineStr">
        <is>
          <t>A 28262-2023</t>
        </is>
      </c>
      <c r="B114" s="1" t="n">
        <v>45099</v>
      </c>
      <c r="C114" s="1" t="n">
        <v>45928</v>
      </c>
      <c r="D114" t="inlineStr">
        <is>
          <t>VÄSTERBOTTENS LÄN</t>
        </is>
      </c>
      <c r="E114" t="inlineStr">
        <is>
          <t>UMEÅ</t>
        </is>
      </c>
      <c r="F114" t="inlineStr">
        <is>
          <t>Holmen skog AB</t>
        </is>
      </c>
      <c r="G114" t="n">
        <v>2.6</v>
      </c>
      <c r="H114" t="n">
        <v>0</v>
      </c>
      <c r="I114" t="n">
        <v>1</v>
      </c>
      <c r="J114" t="n">
        <v>0</v>
      </c>
      <c r="K114" t="n">
        <v>0</v>
      </c>
      <c r="L114" t="n">
        <v>0</v>
      </c>
      <c r="M114" t="n">
        <v>0</v>
      </c>
      <c r="N114" t="n">
        <v>0</v>
      </c>
      <c r="O114" t="n">
        <v>0</v>
      </c>
      <c r="P114" t="n">
        <v>0</v>
      </c>
      <c r="Q114" t="n">
        <v>1</v>
      </c>
      <c r="R114" s="2" t="inlineStr">
        <is>
          <t>Gulskölding</t>
        </is>
      </c>
      <c r="S114">
        <f>HYPERLINK("https://klasma.github.io/Logging_2480/artfynd/A 28262-2023 artfynd.xlsx", "A 28262-2023")</f>
        <v/>
      </c>
      <c r="T114">
        <f>HYPERLINK("https://klasma.github.io/Logging_2480/kartor/A 28262-2023 karta.png", "A 28262-2023")</f>
        <v/>
      </c>
      <c r="V114">
        <f>HYPERLINK("https://klasma.github.io/Logging_2480/klagomål/A 28262-2023 FSC-klagomål.docx", "A 28262-2023")</f>
        <v/>
      </c>
      <c r="W114">
        <f>HYPERLINK("https://klasma.github.io/Logging_2480/klagomålsmail/A 28262-2023 FSC-klagomål mail.docx", "A 28262-2023")</f>
        <v/>
      </c>
      <c r="X114">
        <f>HYPERLINK("https://klasma.github.io/Logging_2480/tillsyn/A 28262-2023 tillsynsbegäran.docx", "A 28262-2023")</f>
        <v/>
      </c>
      <c r="Y114">
        <f>HYPERLINK("https://klasma.github.io/Logging_2480/tillsynsmail/A 28262-2023 tillsynsbegäran mail.docx", "A 28262-2023")</f>
        <v/>
      </c>
    </row>
    <row r="115" ht="15" customHeight="1">
      <c r="A115" t="inlineStr">
        <is>
          <t>A 39554-2023</t>
        </is>
      </c>
      <c r="B115" s="1" t="n">
        <v>45167</v>
      </c>
      <c r="C115" s="1" t="n">
        <v>45928</v>
      </c>
      <c r="D115" t="inlineStr">
        <is>
          <t>VÄSTERBOTTENS LÄN</t>
        </is>
      </c>
      <c r="E115" t="inlineStr">
        <is>
          <t>UMEÅ</t>
        </is>
      </c>
      <c r="F115" t="inlineStr">
        <is>
          <t>Holmen skog AB</t>
        </is>
      </c>
      <c r="G115" t="n">
        <v>3.5</v>
      </c>
      <c r="H115" t="n">
        <v>0</v>
      </c>
      <c r="I115" t="n">
        <v>0</v>
      </c>
      <c r="J115" t="n">
        <v>1</v>
      </c>
      <c r="K115" t="n">
        <v>0</v>
      </c>
      <c r="L115" t="n">
        <v>0</v>
      </c>
      <c r="M115" t="n">
        <v>0</v>
      </c>
      <c r="N115" t="n">
        <v>0</v>
      </c>
      <c r="O115" t="n">
        <v>1</v>
      </c>
      <c r="P115" t="n">
        <v>0</v>
      </c>
      <c r="Q115" t="n">
        <v>1</v>
      </c>
      <c r="R115" s="2" t="inlineStr">
        <is>
          <t>Blanksvart spiklav</t>
        </is>
      </c>
      <c r="S115">
        <f>HYPERLINK("https://klasma.github.io/Logging_2480/artfynd/A 39554-2023 artfynd.xlsx", "A 39554-2023")</f>
        <v/>
      </c>
      <c r="T115">
        <f>HYPERLINK("https://klasma.github.io/Logging_2480/kartor/A 39554-2023 karta.png", "A 39554-2023")</f>
        <v/>
      </c>
      <c r="V115">
        <f>HYPERLINK("https://klasma.github.io/Logging_2480/klagomål/A 39554-2023 FSC-klagomål.docx", "A 39554-2023")</f>
        <v/>
      </c>
      <c r="W115">
        <f>HYPERLINK("https://klasma.github.io/Logging_2480/klagomålsmail/A 39554-2023 FSC-klagomål mail.docx", "A 39554-2023")</f>
        <v/>
      </c>
      <c r="X115">
        <f>HYPERLINK("https://klasma.github.io/Logging_2480/tillsyn/A 39554-2023 tillsynsbegäran.docx", "A 39554-2023")</f>
        <v/>
      </c>
      <c r="Y115">
        <f>HYPERLINK("https://klasma.github.io/Logging_2480/tillsynsmail/A 39554-2023 tillsynsbegäran mail.docx", "A 39554-2023")</f>
        <v/>
      </c>
    </row>
    <row r="116" ht="15" customHeight="1">
      <c r="A116" t="inlineStr">
        <is>
          <t>A 40851-2024</t>
        </is>
      </c>
      <c r="B116" s="1" t="n">
        <v>45558</v>
      </c>
      <c r="C116" s="1" t="n">
        <v>45928</v>
      </c>
      <c r="D116" t="inlineStr">
        <is>
          <t>VÄSTERBOTTENS LÄN</t>
        </is>
      </c>
      <c r="E116" t="inlineStr">
        <is>
          <t>UMEÅ</t>
        </is>
      </c>
      <c r="G116" t="n">
        <v>2.9</v>
      </c>
      <c r="H116" t="n">
        <v>1</v>
      </c>
      <c r="I116" t="n">
        <v>0</v>
      </c>
      <c r="J116" t="n">
        <v>1</v>
      </c>
      <c r="K116" t="n">
        <v>0</v>
      </c>
      <c r="L116" t="n">
        <v>0</v>
      </c>
      <c r="M116" t="n">
        <v>0</v>
      </c>
      <c r="N116" t="n">
        <v>0</v>
      </c>
      <c r="O116" t="n">
        <v>1</v>
      </c>
      <c r="P116" t="n">
        <v>0</v>
      </c>
      <c r="Q116" t="n">
        <v>1</v>
      </c>
      <c r="R116" s="2" t="inlineStr">
        <is>
          <t>Havsörn</t>
        </is>
      </c>
      <c r="S116">
        <f>HYPERLINK("https://klasma.github.io/Logging_2480/artfynd/A 40851-2024 artfynd.xlsx", "A 40851-2024")</f>
        <v/>
      </c>
      <c r="T116">
        <f>HYPERLINK("https://klasma.github.io/Logging_2480/kartor/A 40851-2024 karta.png", "A 40851-2024")</f>
        <v/>
      </c>
      <c r="V116">
        <f>HYPERLINK("https://klasma.github.io/Logging_2480/klagomål/A 40851-2024 FSC-klagomål.docx", "A 40851-2024")</f>
        <v/>
      </c>
      <c r="W116">
        <f>HYPERLINK("https://klasma.github.io/Logging_2480/klagomålsmail/A 40851-2024 FSC-klagomål mail.docx", "A 40851-2024")</f>
        <v/>
      </c>
      <c r="X116">
        <f>HYPERLINK("https://klasma.github.io/Logging_2480/tillsyn/A 40851-2024 tillsynsbegäran.docx", "A 40851-2024")</f>
        <v/>
      </c>
      <c r="Y116">
        <f>HYPERLINK("https://klasma.github.io/Logging_2480/tillsynsmail/A 40851-2024 tillsynsbegäran mail.docx", "A 40851-2024")</f>
        <v/>
      </c>
      <c r="Z116">
        <f>HYPERLINK("https://klasma.github.io/Logging_2480/fåglar/A 40851-2024 prioriterade fågelarter.docx", "A 40851-2024")</f>
        <v/>
      </c>
    </row>
    <row r="117" ht="15" customHeight="1">
      <c r="A117" t="inlineStr">
        <is>
          <t>A 31311-2023</t>
        </is>
      </c>
      <c r="B117" s="1" t="n">
        <v>45104</v>
      </c>
      <c r="C117" s="1" t="n">
        <v>45928</v>
      </c>
      <c r="D117" t="inlineStr">
        <is>
          <t>VÄSTERBOTTENS LÄN</t>
        </is>
      </c>
      <c r="E117" t="inlineStr">
        <is>
          <t>UMEÅ</t>
        </is>
      </c>
      <c r="G117" t="n">
        <v>3.2</v>
      </c>
      <c r="H117" t="n">
        <v>0</v>
      </c>
      <c r="I117" t="n">
        <v>0</v>
      </c>
      <c r="J117" t="n">
        <v>1</v>
      </c>
      <c r="K117" t="n">
        <v>0</v>
      </c>
      <c r="L117" t="n">
        <v>0</v>
      </c>
      <c r="M117" t="n">
        <v>0</v>
      </c>
      <c r="N117" t="n">
        <v>0</v>
      </c>
      <c r="O117" t="n">
        <v>1</v>
      </c>
      <c r="P117" t="n">
        <v>0</v>
      </c>
      <c r="Q117" t="n">
        <v>1</v>
      </c>
      <c r="R117" s="2" t="inlineStr">
        <is>
          <t>Garnlav</t>
        </is>
      </c>
      <c r="S117">
        <f>HYPERLINK("https://klasma.github.io/Logging_2480/artfynd/A 31311-2023 artfynd.xlsx", "A 31311-2023")</f>
        <v/>
      </c>
      <c r="T117">
        <f>HYPERLINK("https://klasma.github.io/Logging_2480/kartor/A 31311-2023 karta.png", "A 31311-2023")</f>
        <v/>
      </c>
      <c r="V117">
        <f>HYPERLINK("https://klasma.github.io/Logging_2480/klagomål/A 31311-2023 FSC-klagomål.docx", "A 31311-2023")</f>
        <v/>
      </c>
      <c r="W117">
        <f>HYPERLINK("https://klasma.github.io/Logging_2480/klagomålsmail/A 31311-2023 FSC-klagomål mail.docx", "A 31311-2023")</f>
        <v/>
      </c>
      <c r="X117">
        <f>HYPERLINK("https://klasma.github.io/Logging_2480/tillsyn/A 31311-2023 tillsynsbegäran.docx", "A 31311-2023")</f>
        <v/>
      </c>
      <c r="Y117">
        <f>HYPERLINK("https://klasma.github.io/Logging_2480/tillsynsmail/A 31311-2023 tillsynsbegäran mail.docx", "A 31311-2023")</f>
        <v/>
      </c>
    </row>
    <row r="118" ht="15" customHeight="1">
      <c r="A118" t="inlineStr">
        <is>
          <t>A 26932-2024</t>
        </is>
      </c>
      <c r="B118" s="1" t="n">
        <v>45470</v>
      </c>
      <c r="C118" s="1" t="n">
        <v>45928</v>
      </c>
      <c r="D118" t="inlineStr">
        <is>
          <t>VÄSTERBOTTENS LÄN</t>
        </is>
      </c>
      <c r="E118" t="inlineStr">
        <is>
          <t>UMEÅ</t>
        </is>
      </c>
      <c r="G118" t="n">
        <v>4</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26932-2024 artfynd.xlsx", "A 26932-2024")</f>
        <v/>
      </c>
      <c r="T118">
        <f>HYPERLINK("https://klasma.github.io/Logging_2480/kartor/A 26932-2024 karta.png", "A 26932-2024")</f>
        <v/>
      </c>
      <c r="V118">
        <f>HYPERLINK("https://klasma.github.io/Logging_2480/klagomål/A 26932-2024 FSC-klagomål.docx", "A 26932-2024")</f>
        <v/>
      </c>
      <c r="W118">
        <f>HYPERLINK("https://klasma.github.io/Logging_2480/klagomålsmail/A 26932-2024 FSC-klagomål mail.docx", "A 26932-2024")</f>
        <v/>
      </c>
      <c r="X118">
        <f>HYPERLINK("https://klasma.github.io/Logging_2480/tillsyn/A 26932-2024 tillsynsbegäran.docx", "A 26932-2024")</f>
        <v/>
      </c>
      <c r="Y118">
        <f>HYPERLINK("https://klasma.github.io/Logging_2480/tillsynsmail/A 26932-2024 tillsynsbegäran mail.docx", "A 26932-2024")</f>
        <v/>
      </c>
    </row>
    <row r="119" ht="15" customHeight="1">
      <c r="A119" t="inlineStr">
        <is>
          <t>A 29397-2025</t>
        </is>
      </c>
      <c r="B119" s="1" t="n">
        <v>45824.60902777778</v>
      </c>
      <c r="C119" s="1" t="n">
        <v>45928</v>
      </c>
      <c r="D119" t="inlineStr">
        <is>
          <t>VÄSTERBOTTENS LÄN</t>
        </is>
      </c>
      <c r="E119" t="inlineStr">
        <is>
          <t>UMEÅ</t>
        </is>
      </c>
      <c r="F119" t="inlineStr">
        <is>
          <t>Holmen skog AB</t>
        </is>
      </c>
      <c r="G119" t="n">
        <v>4</v>
      </c>
      <c r="H119" t="n">
        <v>1</v>
      </c>
      <c r="I119" t="n">
        <v>0</v>
      </c>
      <c r="J119" t="n">
        <v>0</v>
      </c>
      <c r="K119" t="n">
        <v>0</v>
      </c>
      <c r="L119" t="n">
        <v>0</v>
      </c>
      <c r="M119" t="n">
        <v>0</v>
      </c>
      <c r="N119" t="n">
        <v>0</v>
      </c>
      <c r="O119" t="n">
        <v>0</v>
      </c>
      <c r="P119" t="n">
        <v>0</v>
      </c>
      <c r="Q119" t="n">
        <v>1</v>
      </c>
      <c r="R119" s="2" t="inlineStr">
        <is>
          <t>Tjäder</t>
        </is>
      </c>
      <c r="S119">
        <f>HYPERLINK("https://klasma.github.io/Logging_2480/artfynd/A 29397-2025 artfynd.xlsx", "A 29397-2025")</f>
        <v/>
      </c>
      <c r="T119">
        <f>HYPERLINK("https://klasma.github.io/Logging_2480/kartor/A 29397-2025 karta.png", "A 29397-2025")</f>
        <v/>
      </c>
      <c r="V119">
        <f>HYPERLINK("https://klasma.github.io/Logging_2480/klagomål/A 29397-2025 FSC-klagomål.docx", "A 29397-2025")</f>
        <v/>
      </c>
      <c r="W119">
        <f>HYPERLINK("https://klasma.github.io/Logging_2480/klagomålsmail/A 29397-2025 FSC-klagomål mail.docx", "A 29397-2025")</f>
        <v/>
      </c>
      <c r="X119">
        <f>HYPERLINK("https://klasma.github.io/Logging_2480/tillsyn/A 29397-2025 tillsynsbegäran.docx", "A 29397-2025")</f>
        <v/>
      </c>
      <c r="Y119">
        <f>HYPERLINK("https://klasma.github.io/Logging_2480/tillsynsmail/A 29397-2025 tillsynsbegäran mail.docx", "A 29397-2025")</f>
        <v/>
      </c>
      <c r="Z119">
        <f>HYPERLINK("https://klasma.github.io/Logging_2480/fåglar/A 29397-2025 prioriterade fågelarter.docx", "A 29397-2025")</f>
        <v/>
      </c>
    </row>
    <row r="120" ht="15" customHeight="1">
      <c r="A120" t="inlineStr">
        <is>
          <t>A 16839-2022</t>
        </is>
      </c>
      <c r="B120" s="1" t="n">
        <v>44673</v>
      </c>
      <c r="C120" s="1" t="n">
        <v>45928</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34496-2025</t>
        </is>
      </c>
      <c r="B121" s="1" t="n">
        <v>45847</v>
      </c>
      <c r="C121" s="1" t="n">
        <v>45928</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59075-2022</t>
        </is>
      </c>
      <c r="B122" s="1" t="n">
        <v>44904</v>
      </c>
      <c r="C122" s="1" t="n">
        <v>45928</v>
      </c>
      <c r="D122" t="inlineStr">
        <is>
          <t>VÄSTERBOTTENS LÄN</t>
        </is>
      </c>
      <c r="E122" t="inlineStr">
        <is>
          <t>UMEÅ</t>
        </is>
      </c>
      <c r="G122" t="n">
        <v>0.4</v>
      </c>
      <c r="H122" t="n">
        <v>0</v>
      </c>
      <c r="I122" t="n">
        <v>1</v>
      </c>
      <c r="J122" t="n">
        <v>0</v>
      </c>
      <c r="K122" t="n">
        <v>0</v>
      </c>
      <c r="L122" t="n">
        <v>0</v>
      </c>
      <c r="M122" t="n">
        <v>0</v>
      </c>
      <c r="N122" t="n">
        <v>0</v>
      </c>
      <c r="O122" t="n">
        <v>0</v>
      </c>
      <c r="P122" t="n">
        <v>0</v>
      </c>
      <c r="Q122" t="n">
        <v>1</v>
      </c>
      <c r="R122" s="2" t="inlineStr">
        <is>
          <t>Vedticka</t>
        </is>
      </c>
      <c r="S122">
        <f>HYPERLINK("https://klasma.github.io/Logging_2480/artfynd/A 59075-2022 artfynd.xlsx", "A 59075-2022")</f>
        <v/>
      </c>
      <c r="T122">
        <f>HYPERLINK("https://klasma.github.io/Logging_2480/kartor/A 59075-2022 karta.png", "A 59075-2022")</f>
        <v/>
      </c>
      <c r="V122">
        <f>HYPERLINK("https://klasma.github.io/Logging_2480/klagomål/A 59075-2022 FSC-klagomål.docx", "A 59075-2022")</f>
        <v/>
      </c>
      <c r="W122">
        <f>HYPERLINK("https://klasma.github.io/Logging_2480/klagomålsmail/A 59075-2022 FSC-klagomål mail.docx", "A 59075-2022")</f>
        <v/>
      </c>
      <c r="X122">
        <f>HYPERLINK("https://klasma.github.io/Logging_2480/tillsyn/A 59075-2022 tillsynsbegäran.docx", "A 59075-2022")</f>
        <v/>
      </c>
      <c r="Y122">
        <f>HYPERLINK("https://klasma.github.io/Logging_2480/tillsynsmail/A 59075-2022 tillsynsbegäran mail.docx", "A 59075-2022")</f>
        <v/>
      </c>
    </row>
    <row r="123" ht="15" customHeight="1">
      <c r="A123" t="inlineStr">
        <is>
          <t>A 31318-2022</t>
        </is>
      </c>
      <c r="B123" s="1" t="n">
        <v>44772</v>
      </c>
      <c r="C123" s="1" t="n">
        <v>45928</v>
      </c>
      <c r="D123" t="inlineStr">
        <is>
          <t>VÄSTERBOTTENS LÄN</t>
        </is>
      </c>
      <c r="E123" t="inlineStr">
        <is>
          <t>UMEÅ</t>
        </is>
      </c>
      <c r="G123" t="n">
        <v>11.3</v>
      </c>
      <c r="H123" t="n">
        <v>1</v>
      </c>
      <c r="I123" t="n">
        <v>0</v>
      </c>
      <c r="J123" t="n">
        <v>1</v>
      </c>
      <c r="K123" t="n">
        <v>0</v>
      </c>
      <c r="L123" t="n">
        <v>0</v>
      </c>
      <c r="M123" t="n">
        <v>0</v>
      </c>
      <c r="N123" t="n">
        <v>0</v>
      </c>
      <c r="O123" t="n">
        <v>1</v>
      </c>
      <c r="P123" t="n">
        <v>0</v>
      </c>
      <c r="Q123" t="n">
        <v>1</v>
      </c>
      <c r="R123" s="2" t="inlineStr">
        <is>
          <t>Sävsparv</t>
        </is>
      </c>
      <c r="S123">
        <f>HYPERLINK("https://klasma.github.io/Logging_2480/artfynd/A 31318-2022 artfynd.xlsx", "A 31318-2022")</f>
        <v/>
      </c>
      <c r="T123">
        <f>HYPERLINK("https://klasma.github.io/Logging_2480/kartor/A 31318-2022 karta.png", "A 31318-2022")</f>
        <v/>
      </c>
      <c r="V123">
        <f>HYPERLINK("https://klasma.github.io/Logging_2480/klagomål/A 31318-2022 FSC-klagomål.docx", "A 31318-2022")</f>
        <v/>
      </c>
      <c r="W123">
        <f>HYPERLINK("https://klasma.github.io/Logging_2480/klagomålsmail/A 31318-2022 FSC-klagomål mail.docx", "A 31318-2022")</f>
        <v/>
      </c>
      <c r="X123">
        <f>HYPERLINK("https://klasma.github.io/Logging_2480/tillsyn/A 31318-2022 tillsynsbegäran.docx", "A 31318-2022")</f>
        <v/>
      </c>
      <c r="Y123">
        <f>HYPERLINK("https://klasma.github.io/Logging_2480/tillsynsmail/A 31318-2022 tillsynsbegäran mail.docx", "A 31318-2022")</f>
        <v/>
      </c>
      <c r="Z123">
        <f>HYPERLINK("https://klasma.github.io/Logging_2480/fåglar/A 31318-2022 prioriterade fågelarter.docx", "A 31318-2022")</f>
        <v/>
      </c>
    </row>
    <row r="124" ht="15" customHeight="1">
      <c r="A124" t="inlineStr">
        <is>
          <t>A 41674-2023</t>
        </is>
      </c>
      <c r="B124" s="1" t="n">
        <v>45176</v>
      </c>
      <c r="C124" s="1" t="n">
        <v>45928</v>
      </c>
      <c r="D124" t="inlineStr">
        <is>
          <t>VÄSTERBOTTENS LÄN</t>
        </is>
      </c>
      <c r="E124" t="inlineStr">
        <is>
          <t>UMEÅ</t>
        </is>
      </c>
      <c r="F124" t="inlineStr">
        <is>
          <t>Holmen skog AB</t>
        </is>
      </c>
      <c r="G124" t="n">
        <v>4.1</v>
      </c>
      <c r="H124" t="n">
        <v>1</v>
      </c>
      <c r="I124" t="n">
        <v>0</v>
      </c>
      <c r="J124" t="n">
        <v>1</v>
      </c>
      <c r="K124" t="n">
        <v>0</v>
      </c>
      <c r="L124" t="n">
        <v>0</v>
      </c>
      <c r="M124" t="n">
        <v>0</v>
      </c>
      <c r="N124" t="n">
        <v>0</v>
      </c>
      <c r="O124" t="n">
        <v>1</v>
      </c>
      <c r="P124" t="n">
        <v>0</v>
      </c>
      <c r="Q124" t="n">
        <v>1</v>
      </c>
      <c r="R124" s="2" t="inlineStr">
        <is>
          <t>Nordfladdermus</t>
        </is>
      </c>
      <c r="S124">
        <f>HYPERLINK("https://klasma.github.io/Logging_2480/artfynd/A 41674-2023 artfynd.xlsx", "A 41674-2023")</f>
        <v/>
      </c>
      <c r="T124">
        <f>HYPERLINK("https://klasma.github.io/Logging_2480/kartor/A 41674-2023 karta.png", "A 41674-2023")</f>
        <v/>
      </c>
      <c r="V124">
        <f>HYPERLINK("https://klasma.github.io/Logging_2480/klagomål/A 41674-2023 FSC-klagomål.docx", "A 41674-2023")</f>
        <v/>
      </c>
      <c r="W124">
        <f>HYPERLINK("https://klasma.github.io/Logging_2480/klagomålsmail/A 41674-2023 FSC-klagomål mail.docx", "A 41674-2023")</f>
        <v/>
      </c>
      <c r="X124">
        <f>HYPERLINK("https://klasma.github.io/Logging_2480/tillsyn/A 41674-2023 tillsynsbegäran.docx", "A 41674-2023")</f>
        <v/>
      </c>
      <c r="Y124">
        <f>HYPERLINK("https://klasma.github.io/Logging_2480/tillsynsmail/A 41674-2023 tillsynsbegäran mail.docx", "A 41674-2023")</f>
        <v/>
      </c>
    </row>
    <row r="125" ht="15" customHeight="1">
      <c r="A125" t="inlineStr">
        <is>
          <t>A 39233-2022</t>
        </is>
      </c>
      <c r="B125" s="1" t="n">
        <v>44817.5884375</v>
      </c>
      <c r="C125" s="1" t="n">
        <v>45928</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48946-2020</t>
        </is>
      </c>
      <c r="B126" s="1" t="n">
        <v>44102</v>
      </c>
      <c r="C126" s="1" t="n">
        <v>45928</v>
      </c>
      <c r="D126" t="inlineStr">
        <is>
          <t>VÄSTERBOTTENS LÄN</t>
        </is>
      </c>
      <c r="E126" t="inlineStr">
        <is>
          <t>UMEÅ</t>
        </is>
      </c>
      <c r="G126" t="n">
        <v>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45928</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45928</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45928</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3940-2022</t>
        </is>
      </c>
      <c r="B130" s="1" t="n">
        <v>44587</v>
      </c>
      <c r="C130" s="1" t="n">
        <v>45928</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40825-2022</t>
        </is>
      </c>
      <c r="B131" s="1" t="n">
        <v>44824.91319444445</v>
      </c>
      <c r="C131" s="1" t="n">
        <v>45928</v>
      </c>
      <c r="D131" t="inlineStr">
        <is>
          <t>VÄSTERBOTTENS LÄN</t>
        </is>
      </c>
      <c r="E131" t="inlineStr">
        <is>
          <t>UMEÅ</t>
        </is>
      </c>
      <c r="G131" t="n">
        <v>2.8</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45928</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45928</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45928</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38402-2021</t>
        </is>
      </c>
      <c r="B135" s="1" t="n">
        <v>44406</v>
      </c>
      <c r="C135" s="1" t="n">
        <v>45928</v>
      </c>
      <c r="D135" t="inlineStr">
        <is>
          <t>VÄSTERBOTTENS LÄN</t>
        </is>
      </c>
      <c r="E135" t="inlineStr">
        <is>
          <t>UMEÅ</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38403-2021</t>
        </is>
      </c>
      <c r="B136" s="1" t="n">
        <v>44406</v>
      </c>
      <c r="C136" s="1" t="n">
        <v>45928</v>
      </c>
      <c r="D136" t="inlineStr">
        <is>
          <t>VÄSTERBOTTENS LÄN</t>
        </is>
      </c>
      <c r="E136" t="inlineStr">
        <is>
          <t>UMEÅ</t>
        </is>
      </c>
      <c r="F136" t="inlineStr">
        <is>
          <t>Övriga statliga verk och myndigheter</t>
        </is>
      </c>
      <c r="G136" t="n">
        <v>3</v>
      </c>
      <c r="H136" t="n">
        <v>0</v>
      </c>
      <c r="I136" t="n">
        <v>0</v>
      </c>
      <c r="J136" t="n">
        <v>0</v>
      </c>
      <c r="K136" t="n">
        <v>0</v>
      </c>
      <c r="L136" t="n">
        <v>0</v>
      </c>
      <c r="M136" t="n">
        <v>0</v>
      </c>
      <c r="N136" t="n">
        <v>0</v>
      </c>
      <c r="O136" t="n">
        <v>0</v>
      </c>
      <c r="P136" t="n">
        <v>0</v>
      </c>
      <c r="Q136" t="n">
        <v>0</v>
      </c>
      <c r="R136" s="2" t="inlineStr"/>
    </row>
    <row r="137" ht="15" customHeight="1">
      <c r="A137" t="inlineStr">
        <is>
          <t>A 38435-2021</t>
        </is>
      </c>
      <c r="B137" s="1" t="n">
        <v>44406</v>
      </c>
      <c r="C137" s="1" t="n">
        <v>45928</v>
      </c>
      <c r="D137" t="inlineStr">
        <is>
          <t>VÄSTERBOTTENS LÄN</t>
        </is>
      </c>
      <c r="E137" t="inlineStr">
        <is>
          <t>UMEÅ</t>
        </is>
      </c>
      <c r="F137" t="inlineStr">
        <is>
          <t>Övriga statliga verk och myndigheter</t>
        </is>
      </c>
      <c r="G137" t="n">
        <v>1.9</v>
      </c>
      <c r="H137" t="n">
        <v>0</v>
      </c>
      <c r="I137" t="n">
        <v>0</v>
      </c>
      <c r="J137" t="n">
        <v>0</v>
      </c>
      <c r="K137" t="n">
        <v>0</v>
      </c>
      <c r="L137" t="n">
        <v>0</v>
      </c>
      <c r="M137" t="n">
        <v>0</v>
      </c>
      <c r="N137" t="n">
        <v>0</v>
      </c>
      <c r="O137" t="n">
        <v>0</v>
      </c>
      <c r="P137" t="n">
        <v>0</v>
      </c>
      <c r="Q137" t="n">
        <v>0</v>
      </c>
      <c r="R137" s="2" t="inlineStr"/>
    </row>
    <row r="138" ht="15" customHeight="1">
      <c r="A138" t="inlineStr">
        <is>
          <t>A 38439-2021</t>
        </is>
      </c>
      <c r="B138" s="1" t="n">
        <v>44406</v>
      </c>
      <c r="C138" s="1" t="n">
        <v>45928</v>
      </c>
      <c r="D138" t="inlineStr">
        <is>
          <t>VÄSTERBOTTENS LÄN</t>
        </is>
      </c>
      <c r="E138" t="inlineStr">
        <is>
          <t>UMEÅ</t>
        </is>
      </c>
      <c r="F138" t="inlineStr">
        <is>
          <t>Kommuner</t>
        </is>
      </c>
      <c r="G138" t="n">
        <v>4.6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45928</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45928</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45928</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45928</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45928</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45928</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45928</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45928</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45928</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45928</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45928</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38519-2021</t>
        </is>
      </c>
      <c r="B150" s="1" t="n">
        <v>44407</v>
      </c>
      <c r="C150" s="1" t="n">
        <v>45928</v>
      </c>
      <c r="D150" t="inlineStr">
        <is>
          <t>VÄSTERBOTTENS LÄN</t>
        </is>
      </c>
      <c r="E150" t="inlineStr">
        <is>
          <t>UMEÅ</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45928</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45928</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45928</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45928</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45928</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45928</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61918-2020</t>
        </is>
      </c>
      <c r="B157" s="1" t="n">
        <v>44158</v>
      </c>
      <c r="C157" s="1" t="n">
        <v>45928</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45928</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45928</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38397-2021</t>
        </is>
      </c>
      <c r="B160" s="1" t="n">
        <v>44406</v>
      </c>
      <c r="C160" s="1" t="n">
        <v>45928</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45928</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45928</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45928</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45928</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61450-2020</t>
        </is>
      </c>
      <c r="B165" s="1" t="n">
        <v>44158</v>
      </c>
      <c r="C165" s="1" t="n">
        <v>45928</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50206-2022</t>
        </is>
      </c>
      <c r="B166" s="1" t="n">
        <v>44865</v>
      </c>
      <c r="C166" s="1" t="n">
        <v>45928</v>
      </c>
      <c r="D166" t="inlineStr">
        <is>
          <t>VÄSTERBOTTENS LÄN</t>
        </is>
      </c>
      <c r="E166" t="inlineStr">
        <is>
          <t>UMEÅ</t>
        </is>
      </c>
      <c r="F166" t="inlineStr">
        <is>
          <t>Holmen skog AB</t>
        </is>
      </c>
      <c r="G166" t="n">
        <v>3.6</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45928</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45928</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38391-2021</t>
        </is>
      </c>
      <c r="B169" s="1" t="n">
        <v>44406</v>
      </c>
      <c r="C169" s="1" t="n">
        <v>45928</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45928</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45928</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45928</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45928</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51412-2020</t>
        </is>
      </c>
      <c r="B174" s="1" t="n">
        <v>44106</v>
      </c>
      <c r="C174" s="1" t="n">
        <v>45928</v>
      </c>
      <c r="D174" t="inlineStr">
        <is>
          <t>VÄSTERBOTTENS LÄN</t>
        </is>
      </c>
      <c r="E174" t="inlineStr">
        <is>
          <t>UMEÅ</t>
        </is>
      </c>
      <c r="G174" t="n">
        <v>5.9</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45928</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45928</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45928</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45928</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45928</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45928</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45928</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62581-2020</t>
        </is>
      </c>
      <c r="B182" s="1" t="n">
        <v>44160</v>
      </c>
      <c r="C182" s="1" t="n">
        <v>45928</v>
      </c>
      <c r="D182" t="inlineStr">
        <is>
          <t>VÄSTERBOTTENS LÄN</t>
        </is>
      </c>
      <c r="E182" t="inlineStr">
        <is>
          <t>UMEÅ</t>
        </is>
      </c>
      <c r="G182" t="n">
        <v>0.9</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45928</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45928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45928</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45928</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45928</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45928</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53782-2020</t>
        </is>
      </c>
      <c r="B189" s="1" t="n">
        <v>44123</v>
      </c>
      <c r="C189" s="1" t="n">
        <v>45928</v>
      </c>
      <c r="D189" t="inlineStr">
        <is>
          <t>VÄSTERBOTTENS LÄN</t>
        </is>
      </c>
      <c r="E189" t="inlineStr">
        <is>
          <t>UMEÅ</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45928</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2505-2021</t>
        </is>
      </c>
      <c r="B191" s="1" t="n">
        <v>44214</v>
      </c>
      <c r="C191" s="1" t="n">
        <v>45928</v>
      </c>
      <c r="D191" t="inlineStr">
        <is>
          <t>VÄSTERBOTTENS LÄN</t>
        </is>
      </c>
      <c r="E191" t="inlineStr">
        <is>
          <t>UMEÅ</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45928</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45928</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45928</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45928</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53294-2020</t>
        </is>
      </c>
      <c r="B196" s="1" t="n">
        <v>44123</v>
      </c>
      <c r="C196" s="1" t="n">
        <v>45928</v>
      </c>
      <c r="D196" t="inlineStr">
        <is>
          <t>VÄSTERBOTTENS LÄN</t>
        </is>
      </c>
      <c r="E196" t="inlineStr">
        <is>
          <t>UMEÅ</t>
        </is>
      </c>
      <c r="G196" t="n">
        <v>1.5</v>
      </c>
      <c r="H196" t="n">
        <v>0</v>
      </c>
      <c r="I196" t="n">
        <v>0</v>
      </c>
      <c r="J196" t="n">
        <v>0</v>
      </c>
      <c r="K196" t="n">
        <v>0</v>
      </c>
      <c r="L196" t="n">
        <v>0</v>
      </c>
      <c r="M196" t="n">
        <v>0</v>
      </c>
      <c r="N196" t="n">
        <v>0</v>
      </c>
      <c r="O196" t="n">
        <v>0</v>
      </c>
      <c r="P196" t="n">
        <v>0</v>
      </c>
      <c r="Q196" t="n">
        <v>0</v>
      </c>
      <c r="R196" s="2" t="inlineStr"/>
    </row>
    <row r="197" ht="15" customHeight="1">
      <c r="A197" t="inlineStr">
        <is>
          <t>A 48613-2021</t>
        </is>
      </c>
      <c r="B197" s="1" t="n">
        <v>44452</v>
      </c>
      <c r="C197" s="1" t="n">
        <v>45928</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45928</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28109-2021</t>
        </is>
      </c>
      <c r="B199" s="1" t="n">
        <v>44355</v>
      </c>
      <c r="C199" s="1" t="n">
        <v>45928</v>
      </c>
      <c r="D199" t="inlineStr">
        <is>
          <t>VÄSTERBOTTENS LÄN</t>
        </is>
      </c>
      <c r="E199" t="inlineStr">
        <is>
          <t>UMEÅ</t>
        </is>
      </c>
      <c r="G199" t="n">
        <v>2.2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45928</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45928</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45928</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45928</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45928</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45928</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8223-2022</t>
        </is>
      </c>
      <c r="B206" s="1" t="n">
        <v>44609</v>
      </c>
      <c r="C206" s="1" t="n">
        <v>45928</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38892-2021</t>
        </is>
      </c>
      <c r="B207" s="1" t="n">
        <v>44410</v>
      </c>
      <c r="C207" s="1" t="n">
        <v>45928</v>
      </c>
      <c r="D207" t="inlineStr">
        <is>
          <t>VÄSTERBOTTENS LÄN</t>
        </is>
      </c>
      <c r="E207" t="inlineStr">
        <is>
          <t>UMEÅ</t>
        </is>
      </c>
      <c r="F207" t="inlineStr">
        <is>
          <t>Övriga statliga verk och myndigheter</t>
        </is>
      </c>
      <c r="G207" t="n">
        <v>0.2</v>
      </c>
      <c r="H207" t="n">
        <v>0</v>
      </c>
      <c r="I207" t="n">
        <v>0</v>
      </c>
      <c r="J207" t="n">
        <v>0</v>
      </c>
      <c r="K207" t="n">
        <v>0</v>
      </c>
      <c r="L207" t="n">
        <v>0</v>
      </c>
      <c r="M207" t="n">
        <v>0</v>
      </c>
      <c r="N207" t="n">
        <v>0</v>
      </c>
      <c r="O207" t="n">
        <v>0</v>
      </c>
      <c r="P207" t="n">
        <v>0</v>
      </c>
      <c r="Q207" t="n">
        <v>0</v>
      </c>
      <c r="R207" s="2" t="inlineStr"/>
    </row>
    <row r="208" ht="15" customHeight="1">
      <c r="A208" t="inlineStr">
        <is>
          <t>A 58916-2020</t>
        </is>
      </c>
      <c r="B208" s="1" t="n">
        <v>44146</v>
      </c>
      <c r="C208" s="1" t="n">
        <v>45928</v>
      </c>
      <c r="D208" t="inlineStr">
        <is>
          <t>VÄSTERBOTTENS LÄN</t>
        </is>
      </c>
      <c r="E208" t="inlineStr">
        <is>
          <t>UMEÅ</t>
        </is>
      </c>
      <c r="G208" t="n">
        <v>0.4</v>
      </c>
      <c r="H208" t="n">
        <v>0</v>
      </c>
      <c r="I208" t="n">
        <v>0</v>
      </c>
      <c r="J208" t="n">
        <v>0</v>
      </c>
      <c r="K208" t="n">
        <v>0</v>
      </c>
      <c r="L208" t="n">
        <v>0</v>
      </c>
      <c r="M208" t="n">
        <v>0</v>
      </c>
      <c r="N208" t="n">
        <v>0</v>
      </c>
      <c r="O208" t="n">
        <v>0</v>
      </c>
      <c r="P208" t="n">
        <v>0</v>
      </c>
      <c r="Q208" t="n">
        <v>0</v>
      </c>
      <c r="R208" s="2" t="inlineStr"/>
    </row>
    <row r="209" ht="15" customHeight="1">
      <c r="A209" t="inlineStr">
        <is>
          <t>A 11538-2022</t>
        </is>
      </c>
      <c r="B209" s="1" t="n">
        <v>44631</v>
      </c>
      <c r="C209" s="1" t="n">
        <v>45928</v>
      </c>
      <c r="D209" t="inlineStr">
        <is>
          <t>VÄSTERBOTTENS LÄN</t>
        </is>
      </c>
      <c r="E209" t="inlineStr">
        <is>
          <t>UMEÅ</t>
        </is>
      </c>
      <c r="F209" t="inlineStr">
        <is>
          <t>Kommuner</t>
        </is>
      </c>
      <c r="G209" t="n">
        <v>0.8</v>
      </c>
      <c r="H209" t="n">
        <v>0</v>
      </c>
      <c r="I209" t="n">
        <v>0</v>
      </c>
      <c r="J209" t="n">
        <v>0</v>
      </c>
      <c r="K209" t="n">
        <v>0</v>
      </c>
      <c r="L209" t="n">
        <v>0</v>
      </c>
      <c r="M209" t="n">
        <v>0</v>
      </c>
      <c r="N209" t="n">
        <v>0</v>
      </c>
      <c r="O209" t="n">
        <v>0</v>
      </c>
      <c r="P209" t="n">
        <v>0</v>
      </c>
      <c r="Q209" t="n">
        <v>0</v>
      </c>
      <c r="R209" s="2" t="inlineStr"/>
    </row>
    <row r="210" ht="15" customHeight="1">
      <c r="A210" t="inlineStr">
        <is>
          <t>A 54436-2020</t>
        </is>
      </c>
      <c r="B210" s="1" t="n">
        <v>44124</v>
      </c>
      <c r="C210" s="1" t="n">
        <v>45928</v>
      </c>
      <c r="D210" t="inlineStr">
        <is>
          <t>VÄSTERBOTTENS LÄN</t>
        </is>
      </c>
      <c r="E210" t="inlineStr">
        <is>
          <t>UMEÅ</t>
        </is>
      </c>
      <c r="G210" t="n">
        <v>2</v>
      </c>
      <c r="H210" t="n">
        <v>0</v>
      </c>
      <c r="I210" t="n">
        <v>0</v>
      </c>
      <c r="J210" t="n">
        <v>0</v>
      </c>
      <c r="K210" t="n">
        <v>0</v>
      </c>
      <c r="L210" t="n">
        <v>0</v>
      </c>
      <c r="M210" t="n">
        <v>0</v>
      </c>
      <c r="N210" t="n">
        <v>0</v>
      </c>
      <c r="O210" t="n">
        <v>0</v>
      </c>
      <c r="P210" t="n">
        <v>0</v>
      </c>
      <c r="Q210" t="n">
        <v>0</v>
      </c>
      <c r="R210" s="2" t="inlineStr"/>
    </row>
    <row r="211" ht="15" customHeight="1">
      <c r="A211" t="inlineStr">
        <is>
          <t>A 4478-2021</t>
        </is>
      </c>
      <c r="B211" s="1" t="n">
        <v>44222</v>
      </c>
      <c r="C211" s="1" t="n">
        <v>45928</v>
      </c>
      <c r="D211" t="inlineStr">
        <is>
          <t>VÄSTERBOTTENS LÄN</t>
        </is>
      </c>
      <c r="E211" t="inlineStr">
        <is>
          <t>UMEÅ</t>
        </is>
      </c>
      <c r="G211" t="n">
        <v>0.7</v>
      </c>
      <c r="H211" t="n">
        <v>0</v>
      </c>
      <c r="I211" t="n">
        <v>0</v>
      </c>
      <c r="J211" t="n">
        <v>0</v>
      </c>
      <c r="K211" t="n">
        <v>0</v>
      </c>
      <c r="L211" t="n">
        <v>0</v>
      </c>
      <c r="M211" t="n">
        <v>0</v>
      </c>
      <c r="N211" t="n">
        <v>0</v>
      </c>
      <c r="O211" t="n">
        <v>0</v>
      </c>
      <c r="P211" t="n">
        <v>0</v>
      </c>
      <c r="Q211" t="n">
        <v>0</v>
      </c>
      <c r="R211" s="2" t="inlineStr"/>
    </row>
    <row r="212" ht="15" customHeight="1">
      <c r="A212" t="inlineStr">
        <is>
          <t>A 58213-2020</t>
        </is>
      </c>
      <c r="B212" s="1" t="n">
        <v>44140</v>
      </c>
      <c r="C212" s="1" t="n">
        <v>45928</v>
      </c>
      <c r="D212" t="inlineStr">
        <is>
          <t>VÄSTERBOTTENS LÄN</t>
        </is>
      </c>
      <c r="E212" t="inlineStr">
        <is>
          <t>UMEÅ</t>
        </is>
      </c>
      <c r="G212" t="n">
        <v>5.3</v>
      </c>
      <c r="H212" t="n">
        <v>0</v>
      </c>
      <c r="I212" t="n">
        <v>0</v>
      </c>
      <c r="J212" t="n">
        <v>0</v>
      </c>
      <c r="K212" t="n">
        <v>0</v>
      </c>
      <c r="L212" t="n">
        <v>0</v>
      </c>
      <c r="M212" t="n">
        <v>0</v>
      </c>
      <c r="N212" t="n">
        <v>0</v>
      </c>
      <c r="O212" t="n">
        <v>0</v>
      </c>
      <c r="P212" t="n">
        <v>0</v>
      </c>
      <c r="Q212" t="n">
        <v>0</v>
      </c>
      <c r="R212" s="2" t="inlineStr"/>
    </row>
    <row r="213" ht="15" customHeight="1">
      <c r="A213" t="inlineStr">
        <is>
          <t>A 47124-2022</t>
        </is>
      </c>
      <c r="B213" s="1" t="n">
        <v>44851</v>
      </c>
      <c r="C213" s="1" t="n">
        <v>45928</v>
      </c>
      <c r="D213" t="inlineStr">
        <is>
          <t>VÄSTERBOTTENS LÄN</t>
        </is>
      </c>
      <c r="E213" t="inlineStr">
        <is>
          <t>UMEÅ</t>
        </is>
      </c>
      <c r="G213" t="n">
        <v>1.7</v>
      </c>
      <c r="H213" t="n">
        <v>0</v>
      </c>
      <c r="I213" t="n">
        <v>0</v>
      </c>
      <c r="J213" t="n">
        <v>0</v>
      </c>
      <c r="K213" t="n">
        <v>0</v>
      </c>
      <c r="L213" t="n">
        <v>0</v>
      </c>
      <c r="M213" t="n">
        <v>0</v>
      </c>
      <c r="N213" t="n">
        <v>0</v>
      </c>
      <c r="O213" t="n">
        <v>0</v>
      </c>
      <c r="P213" t="n">
        <v>0</v>
      </c>
      <c r="Q213" t="n">
        <v>0</v>
      </c>
      <c r="R213" s="2" t="inlineStr"/>
    </row>
    <row r="214" ht="15" customHeight="1">
      <c r="A214" t="inlineStr">
        <is>
          <t>A 11515-2022</t>
        </is>
      </c>
      <c r="B214" s="1" t="n">
        <v>44631</v>
      </c>
      <c r="C214" s="1" t="n">
        <v>45928</v>
      </c>
      <c r="D214" t="inlineStr">
        <is>
          <t>VÄSTERBOTTENS LÄN</t>
        </is>
      </c>
      <c r="E214" t="inlineStr">
        <is>
          <t>UMEÅ</t>
        </is>
      </c>
      <c r="F214" t="inlineStr">
        <is>
          <t>Kommuner</t>
        </is>
      </c>
      <c r="G214" t="n">
        <v>3.3</v>
      </c>
      <c r="H214" t="n">
        <v>0</v>
      </c>
      <c r="I214" t="n">
        <v>0</v>
      </c>
      <c r="J214" t="n">
        <v>0</v>
      </c>
      <c r="K214" t="n">
        <v>0</v>
      </c>
      <c r="L214" t="n">
        <v>0</v>
      </c>
      <c r="M214" t="n">
        <v>0</v>
      </c>
      <c r="N214" t="n">
        <v>0</v>
      </c>
      <c r="O214" t="n">
        <v>0</v>
      </c>
      <c r="P214" t="n">
        <v>0</v>
      </c>
      <c r="Q214" t="n">
        <v>0</v>
      </c>
      <c r="R214" s="2" t="inlineStr"/>
    </row>
    <row r="215" ht="15" customHeight="1">
      <c r="A215" t="inlineStr">
        <is>
          <t>A 46410-2022</t>
        </is>
      </c>
      <c r="B215" s="1" t="n">
        <v>44846</v>
      </c>
      <c r="C215" s="1" t="n">
        <v>45928</v>
      </c>
      <c r="D215" t="inlineStr">
        <is>
          <t>VÄSTERBOTTENS LÄN</t>
        </is>
      </c>
      <c r="E215" t="inlineStr">
        <is>
          <t>UMEÅ</t>
        </is>
      </c>
      <c r="G215" t="n">
        <v>2.1</v>
      </c>
      <c r="H215" t="n">
        <v>0</v>
      </c>
      <c r="I215" t="n">
        <v>0</v>
      </c>
      <c r="J215" t="n">
        <v>0</v>
      </c>
      <c r="K215" t="n">
        <v>0</v>
      </c>
      <c r="L215" t="n">
        <v>0</v>
      </c>
      <c r="M215" t="n">
        <v>0</v>
      </c>
      <c r="N215" t="n">
        <v>0</v>
      </c>
      <c r="O215" t="n">
        <v>0</v>
      </c>
      <c r="P215" t="n">
        <v>0</v>
      </c>
      <c r="Q215" t="n">
        <v>0</v>
      </c>
      <c r="R215" s="2" t="inlineStr"/>
    </row>
    <row r="216" ht="15" customHeight="1">
      <c r="A216" t="inlineStr">
        <is>
          <t>A 27172-2021</t>
        </is>
      </c>
      <c r="B216" s="1" t="n">
        <v>44350</v>
      </c>
      <c r="C216" s="1" t="n">
        <v>45928</v>
      </c>
      <c r="D216" t="inlineStr">
        <is>
          <t>VÄSTERBOTTENS LÄN</t>
        </is>
      </c>
      <c r="E216" t="inlineStr">
        <is>
          <t>UMEÅ</t>
        </is>
      </c>
      <c r="G216" t="n">
        <v>0.4</v>
      </c>
      <c r="H216" t="n">
        <v>0</v>
      </c>
      <c r="I216" t="n">
        <v>0</v>
      </c>
      <c r="J216" t="n">
        <v>0</v>
      </c>
      <c r="K216" t="n">
        <v>0</v>
      </c>
      <c r="L216" t="n">
        <v>0</v>
      </c>
      <c r="M216" t="n">
        <v>0</v>
      </c>
      <c r="N216" t="n">
        <v>0</v>
      </c>
      <c r="O216" t="n">
        <v>0</v>
      </c>
      <c r="P216" t="n">
        <v>0</v>
      </c>
      <c r="Q216" t="n">
        <v>0</v>
      </c>
      <c r="R216" s="2" t="inlineStr"/>
    </row>
    <row r="217" ht="15" customHeight="1">
      <c r="A217" t="inlineStr">
        <is>
          <t>A 38746-2021</t>
        </is>
      </c>
      <c r="B217" s="1" t="n">
        <v>44410</v>
      </c>
      <c r="C217" s="1" t="n">
        <v>45928</v>
      </c>
      <c r="D217" t="inlineStr">
        <is>
          <t>VÄSTERBOTTENS LÄN</t>
        </is>
      </c>
      <c r="E217" t="inlineStr">
        <is>
          <t>UMEÅ</t>
        </is>
      </c>
      <c r="F217" t="inlineStr">
        <is>
          <t>Övriga statliga verk och myndigheter</t>
        </is>
      </c>
      <c r="G217" t="n">
        <v>0.3</v>
      </c>
      <c r="H217" t="n">
        <v>0</v>
      </c>
      <c r="I217" t="n">
        <v>0</v>
      </c>
      <c r="J217" t="n">
        <v>0</v>
      </c>
      <c r="K217" t="n">
        <v>0</v>
      </c>
      <c r="L217" t="n">
        <v>0</v>
      </c>
      <c r="M217" t="n">
        <v>0</v>
      </c>
      <c r="N217" t="n">
        <v>0</v>
      </c>
      <c r="O217" t="n">
        <v>0</v>
      </c>
      <c r="P217" t="n">
        <v>0</v>
      </c>
      <c r="Q217" t="n">
        <v>0</v>
      </c>
      <c r="R217" s="2" t="inlineStr"/>
    </row>
    <row r="218" ht="15" customHeight="1">
      <c r="A218" t="inlineStr">
        <is>
          <t>A 38541-2021</t>
        </is>
      </c>
      <c r="B218" s="1" t="n">
        <v>44407</v>
      </c>
      <c r="C218" s="1" t="n">
        <v>45928</v>
      </c>
      <c r="D218" t="inlineStr">
        <is>
          <t>VÄSTERBOTTENS LÄN</t>
        </is>
      </c>
      <c r="E218" t="inlineStr">
        <is>
          <t>UMEÅ</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38398-2021</t>
        </is>
      </c>
      <c r="B219" s="1" t="n">
        <v>44406</v>
      </c>
      <c r="C219" s="1" t="n">
        <v>45928</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38399-2021</t>
        </is>
      </c>
      <c r="B220" s="1" t="n">
        <v>44406</v>
      </c>
      <c r="C220" s="1" t="n">
        <v>45928</v>
      </c>
      <c r="D220" t="inlineStr">
        <is>
          <t>VÄSTERBOTTENS LÄN</t>
        </is>
      </c>
      <c r="E220" t="inlineStr">
        <is>
          <t>UMEÅ</t>
        </is>
      </c>
      <c r="G220" t="n">
        <v>0.3</v>
      </c>
      <c r="H220" t="n">
        <v>0</v>
      </c>
      <c r="I220" t="n">
        <v>0</v>
      </c>
      <c r="J220" t="n">
        <v>0</v>
      </c>
      <c r="K220" t="n">
        <v>0</v>
      </c>
      <c r="L220" t="n">
        <v>0</v>
      </c>
      <c r="M220" t="n">
        <v>0</v>
      </c>
      <c r="N220" t="n">
        <v>0</v>
      </c>
      <c r="O220" t="n">
        <v>0</v>
      </c>
      <c r="P220" t="n">
        <v>0</v>
      </c>
      <c r="Q220" t="n">
        <v>0</v>
      </c>
      <c r="R220" s="2" t="inlineStr"/>
    </row>
    <row r="221" ht="15" customHeight="1">
      <c r="A221" t="inlineStr">
        <is>
          <t>A 38449-2021</t>
        </is>
      </c>
      <c r="B221" s="1" t="n">
        <v>44406</v>
      </c>
      <c r="C221" s="1" t="n">
        <v>45928</v>
      </c>
      <c r="D221" t="inlineStr">
        <is>
          <t>VÄSTERBOTTENS LÄN</t>
        </is>
      </c>
      <c r="E221" t="inlineStr">
        <is>
          <t>UMEÅ</t>
        </is>
      </c>
      <c r="F221" t="inlineStr">
        <is>
          <t>Kommuner</t>
        </is>
      </c>
      <c r="G221" t="n">
        <v>0.1</v>
      </c>
      <c r="H221" t="n">
        <v>0</v>
      </c>
      <c r="I221" t="n">
        <v>0</v>
      </c>
      <c r="J221" t="n">
        <v>0</v>
      </c>
      <c r="K221" t="n">
        <v>0</v>
      </c>
      <c r="L221" t="n">
        <v>0</v>
      </c>
      <c r="M221" t="n">
        <v>0</v>
      </c>
      <c r="N221" t="n">
        <v>0</v>
      </c>
      <c r="O221" t="n">
        <v>0</v>
      </c>
      <c r="P221" t="n">
        <v>0</v>
      </c>
      <c r="Q221" t="n">
        <v>0</v>
      </c>
      <c r="R221" s="2" t="inlineStr"/>
    </row>
    <row r="222" ht="15" customHeight="1">
      <c r="A222" t="inlineStr">
        <is>
          <t>A 38514-2021</t>
        </is>
      </c>
      <c r="B222" s="1" t="n">
        <v>44407</v>
      </c>
      <c r="C222" s="1" t="n">
        <v>45928</v>
      </c>
      <c r="D222" t="inlineStr">
        <is>
          <t>VÄSTERBOTTENS LÄN</t>
        </is>
      </c>
      <c r="E222" t="inlineStr">
        <is>
          <t>UMEÅ</t>
        </is>
      </c>
      <c r="F222" t="inlineStr">
        <is>
          <t>Kommuner</t>
        </is>
      </c>
      <c r="G222" t="n">
        <v>1.7</v>
      </c>
      <c r="H222" t="n">
        <v>0</v>
      </c>
      <c r="I222" t="n">
        <v>0</v>
      </c>
      <c r="J222" t="n">
        <v>0</v>
      </c>
      <c r="K222" t="n">
        <v>0</v>
      </c>
      <c r="L222" t="n">
        <v>0</v>
      </c>
      <c r="M222" t="n">
        <v>0</v>
      </c>
      <c r="N222" t="n">
        <v>0</v>
      </c>
      <c r="O222" t="n">
        <v>0</v>
      </c>
      <c r="P222" t="n">
        <v>0</v>
      </c>
      <c r="Q222" t="n">
        <v>0</v>
      </c>
      <c r="R222" s="2" t="inlineStr"/>
    </row>
    <row r="223" ht="15" customHeight="1">
      <c r="A223" t="inlineStr">
        <is>
          <t>A 16210-2022</t>
        </is>
      </c>
      <c r="B223" s="1" t="n">
        <v>44670.33633101852</v>
      </c>
      <c r="C223" s="1" t="n">
        <v>45928</v>
      </c>
      <c r="D223" t="inlineStr">
        <is>
          <t>VÄSTERBOTTENS LÄN</t>
        </is>
      </c>
      <c r="E223" t="inlineStr">
        <is>
          <t>UMEÅ</t>
        </is>
      </c>
      <c r="F223" t="inlineStr">
        <is>
          <t>Kommuner</t>
        </is>
      </c>
      <c r="G223" t="n">
        <v>1.3</v>
      </c>
      <c r="H223" t="n">
        <v>0</v>
      </c>
      <c r="I223" t="n">
        <v>0</v>
      </c>
      <c r="J223" t="n">
        <v>0</v>
      </c>
      <c r="K223" t="n">
        <v>0</v>
      </c>
      <c r="L223" t="n">
        <v>0</v>
      </c>
      <c r="M223" t="n">
        <v>0</v>
      </c>
      <c r="N223" t="n">
        <v>0</v>
      </c>
      <c r="O223" t="n">
        <v>0</v>
      </c>
      <c r="P223" t="n">
        <v>0</v>
      </c>
      <c r="Q223" t="n">
        <v>0</v>
      </c>
      <c r="R223" s="2" t="inlineStr"/>
    </row>
    <row r="224" ht="15" customHeight="1">
      <c r="A224" t="inlineStr">
        <is>
          <t>A 38717-2021</t>
        </is>
      </c>
      <c r="B224" s="1" t="n">
        <v>44410</v>
      </c>
      <c r="C224" s="1" t="n">
        <v>45928</v>
      </c>
      <c r="D224" t="inlineStr">
        <is>
          <t>VÄSTERBOTTENS LÄN</t>
        </is>
      </c>
      <c r="E224" t="inlineStr">
        <is>
          <t>UMEÅ</t>
        </is>
      </c>
      <c r="F224" t="inlineStr">
        <is>
          <t>Kommuner</t>
        </is>
      </c>
      <c r="G224" t="n">
        <v>1.1</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45928</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45928</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38923-2021</t>
        </is>
      </c>
      <c r="B227" s="1" t="n">
        <v>44410</v>
      </c>
      <c r="C227" s="1" t="n">
        <v>45928</v>
      </c>
      <c r="D227" t="inlineStr">
        <is>
          <t>VÄSTERBOTTENS LÄN</t>
        </is>
      </c>
      <c r="E227" t="inlineStr">
        <is>
          <t>UMEÅ</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70068-2021</t>
        </is>
      </c>
      <c r="B228" s="1" t="n">
        <v>44533</v>
      </c>
      <c r="C228" s="1" t="n">
        <v>45928</v>
      </c>
      <c r="D228" t="inlineStr">
        <is>
          <t>VÄSTERBOTTENS LÄN</t>
        </is>
      </c>
      <c r="E228" t="inlineStr">
        <is>
          <t>UMEÅ</t>
        </is>
      </c>
      <c r="G228" t="n">
        <v>3.6</v>
      </c>
      <c r="H228" t="n">
        <v>0</v>
      </c>
      <c r="I228" t="n">
        <v>0</v>
      </c>
      <c r="J228" t="n">
        <v>0</v>
      </c>
      <c r="K228" t="n">
        <v>0</v>
      </c>
      <c r="L228" t="n">
        <v>0</v>
      </c>
      <c r="M228" t="n">
        <v>0</v>
      </c>
      <c r="N228" t="n">
        <v>0</v>
      </c>
      <c r="O228" t="n">
        <v>0</v>
      </c>
      <c r="P228" t="n">
        <v>0</v>
      </c>
      <c r="Q228" t="n">
        <v>0</v>
      </c>
      <c r="R228" s="2" t="inlineStr"/>
    </row>
    <row r="229" ht="15" customHeight="1">
      <c r="A229" t="inlineStr">
        <is>
          <t>A 38543-2021</t>
        </is>
      </c>
      <c r="B229" s="1" t="n">
        <v>44407</v>
      </c>
      <c r="C229" s="1" t="n">
        <v>45928</v>
      </c>
      <c r="D229" t="inlineStr">
        <is>
          <t>VÄSTERBOTTENS LÄN</t>
        </is>
      </c>
      <c r="E229" t="inlineStr">
        <is>
          <t>UMEÅ</t>
        </is>
      </c>
      <c r="F229" t="inlineStr">
        <is>
          <t>Kommuner</t>
        </is>
      </c>
      <c r="G229" t="n">
        <v>1.7</v>
      </c>
      <c r="H229" t="n">
        <v>0</v>
      </c>
      <c r="I229" t="n">
        <v>0</v>
      </c>
      <c r="J229" t="n">
        <v>0</v>
      </c>
      <c r="K229" t="n">
        <v>0</v>
      </c>
      <c r="L229" t="n">
        <v>0</v>
      </c>
      <c r="M229" t="n">
        <v>0</v>
      </c>
      <c r="N229" t="n">
        <v>0</v>
      </c>
      <c r="O229" t="n">
        <v>0</v>
      </c>
      <c r="P229" t="n">
        <v>0</v>
      </c>
      <c r="Q229" t="n">
        <v>0</v>
      </c>
      <c r="R229" s="2" t="inlineStr"/>
    </row>
    <row r="230" ht="15" customHeight="1">
      <c r="A230" t="inlineStr">
        <is>
          <t>A 38547-2021</t>
        </is>
      </c>
      <c r="B230" s="1" t="n">
        <v>44407</v>
      </c>
      <c r="C230" s="1" t="n">
        <v>45928</v>
      </c>
      <c r="D230" t="inlineStr">
        <is>
          <t>VÄSTERBOTTENS LÄN</t>
        </is>
      </c>
      <c r="E230" t="inlineStr">
        <is>
          <t>UMEÅ</t>
        </is>
      </c>
      <c r="F230" t="inlineStr">
        <is>
          <t>Kommuner</t>
        </is>
      </c>
      <c r="G230" t="n">
        <v>2</v>
      </c>
      <c r="H230" t="n">
        <v>0</v>
      </c>
      <c r="I230" t="n">
        <v>0</v>
      </c>
      <c r="J230" t="n">
        <v>0</v>
      </c>
      <c r="K230" t="n">
        <v>0</v>
      </c>
      <c r="L230" t="n">
        <v>0</v>
      </c>
      <c r="M230" t="n">
        <v>0</v>
      </c>
      <c r="N230" t="n">
        <v>0</v>
      </c>
      <c r="O230" t="n">
        <v>0</v>
      </c>
      <c r="P230" t="n">
        <v>0</v>
      </c>
      <c r="Q230" t="n">
        <v>0</v>
      </c>
      <c r="R230" s="2" t="inlineStr"/>
    </row>
    <row r="231" ht="15" customHeight="1">
      <c r="A231" t="inlineStr">
        <is>
          <t>A 9770-2022</t>
        </is>
      </c>
      <c r="B231" s="1" t="n">
        <v>44619.72355324074</v>
      </c>
      <c r="C231" s="1" t="n">
        <v>45928</v>
      </c>
      <c r="D231" t="inlineStr">
        <is>
          <t>VÄSTERBOTTENS LÄN</t>
        </is>
      </c>
      <c r="E231" t="inlineStr">
        <is>
          <t>UMEÅ</t>
        </is>
      </c>
      <c r="G231" t="n">
        <v>2.6</v>
      </c>
      <c r="H231" t="n">
        <v>0</v>
      </c>
      <c r="I231" t="n">
        <v>0</v>
      </c>
      <c r="J231" t="n">
        <v>0</v>
      </c>
      <c r="K231" t="n">
        <v>0</v>
      </c>
      <c r="L231" t="n">
        <v>0</v>
      </c>
      <c r="M231" t="n">
        <v>0</v>
      </c>
      <c r="N231" t="n">
        <v>0</v>
      </c>
      <c r="O231" t="n">
        <v>0</v>
      </c>
      <c r="P231" t="n">
        <v>0</v>
      </c>
      <c r="Q231" t="n">
        <v>0</v>
      </c>
      <c r="R231" s="2" t="inlineStr"/>
    </row>
    <row r="232" ht="15" customHeight="1">
      <c r="A232" t="inlineStr">
        <is>
          <t>A 38731-2021</t>
        </is>
      </c>
      <c r="B232" s="1" t="n">
        <v>44410</v>
      </c>
      <c r="C232" s="1" t="n">
        <v>45928</v>
      </c>
      <c r="D232" t="inlineStr">
        <is>
          <t>VÄSTERBOTTENS LÄN</t>
        </is>
      </c>
      <c r="E232" t="inlineStr">
        <is>
          <t>UMEÅ</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38912-2021</t>
        </is>
      </c>
      <c r="B233" s="1" t="n">
        <v>44410</v>
      </c>
      <c r="C233" s="1" t="n">
        <v>45928</v>
      </c>
      <c r="D233" t="inlineStr">
        <is>
          <t>VÄSTERBOTTENS LÄN</t>
        </is>
      </c>
      <c r="E233" t="inlineStr">
        <is>
          <t>UMEÅ</t>
        </is>
      </c>
      <c r="F233" t="inlineStr">
        <is>
          <t>Övriga statliga verk och myndigheter</t>
        </is>
      </c>
      <c r="G233" t="n">
        <v>1.7</v>
      </c>
      <c r="H233" t="n">
        <v>0</v>
      </c>
      <c r="I233" t="n">
        <v>0</v>
      </c>
      <c r="J233" t="n">
        <v>0</v>
      </c>
      <c r="K233" t="n">
        <v>0</v>
      </c>
      <c r="L233" t="n">
        <v>0</v>
      </c>
      <c r="M233" t="n">
        <v>0</v>
      </c>
      <c r="N233" t="n">
        <v>0</v>
      </c>
      <c r="O233" t="n">
        <v>0</v>
      </c>
      <c r="P233" t="n">
        <v>0</v>
      </c>
      <c r="Q233" t="n">
        <v>0</v>
      </c>
      <c r="R233" s="2" t="inlineStr"/>
    </row>
    <row r="234" ht="15" customHeight="1">
      <c r="A234" t="inlineStr">
        <is>
          <t>A 21581-2021</t>
        </is>
      </c>
      <c r="B234" s="1" t="n">
        <v>44321</v>
      </c>
      <c r="C234" s="1" t="n">
        <v>45928</v>
      </c>
      <c r="D234" t="inlineStr">
        <is>
          <t>VÄSTERBOTTENS LÄN</t>
        </is>
      </c>
      <c r="E234" t="inlineStr">
        <is>
          <t>UMEÅ</t>
        </is>
      </c>
      <c r="G234" t="n">
        <v>0.9</v>
      </c>
      <c r="H234" t="n">
        <v>0</v>
      </c>
      <c r="I234" t="n">
        <v>0</v>
      </c>
      <c r="J234" t="n">
        <v>0</v>
      </c>
      <c r="K234" t="n">
        <v>0</v>
      </c>
      <c r="L234" t="n">
        <v>0</v>
      </c>
      <c r="M234" t="n">
        <v>0</v>
      </c>
      <c r="N234" t="n">
        <v>0</v>
      </c>
      <c r="O234" t="n">
        <v>0</v>
      </c>
      <c r="P234" t="n">
        <v>0</v>
      </c>
      <c r="Q234" t="n">
        <v>0</v>
      </c>
      <c r="R234" s="2" t="inlineStr"/>
    </row>
    <row r="235" ht="15" customHeight="1">
      <c r="A235" t="inlineStr">
        <is>
          <t>A 55411-2020</t>
        </is>
      </c>
      <c r="B235" s="1" t="n">
        <v>44131</v>
      </c>
      <c r="C235" s="1" t="n">
        <v>45928</v>
      </c>
      <c r="D235" t="inlineStr">
        <is>
          <t>VÄSTERBOTTENS LÄN</t>
        </is>
      </c>
      <c r="E235" t="inlineStr">
        <is>
          <t>UMEÅ</t>
        </is>
      </c>
      <c r="G235" t="n">
        <v>0.7</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45928</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45928</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2857-2022</t>
        </is>
      </c>
      <c r="B238" s="1" t="n">
        <v>44581.48346064815</v>
      </c>
      <c r="C238" s="1" t="n">
        <v>45928</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45928</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52309-2021</t>
        </is>
      </c>
      <c r="B240" s="1" t="n">
        <v>44463</v>
      </c>
      <c r="C240" s="1" t="n">
        <v>45928</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9147-2025</t>
        </is>
      </c>
      <c r="B241" s="1" t="n">
        <v>45714</v>
      </c>
      <c r="C241" s="1" t="n">
        <v>45928</v>
      </c>
      <c r="D241" t="inlineStr">
        <is>
          <t>VÄSTERBOTTENS LÄN</t>
        </is>
      </c>
      <c r="E241" t="inlineStr">
        <is>
          <t>UMEÅ</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16909-2021</t>
        </is>
      </c>
      <c r="B242" s="1" t="n">
        <v>44294</v>
      </c>
      <c r="C242" s="1" t="n">
        <v>45928</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4449-2021</t>
        </is>
      </c>
      <c r="B243" s="1" t="n">
        <v>44224</v>
      </c>
      <c r="C243" s="1" t="n">
        <v>45928</v>
      </c>
      <c r="D243" t="inlineStr">
        <is>
          <t>VÄSTERBOTTENS LÄN</t>
        </is>
      </c>
      <c r="E243" t="inlineStr">
        <is>
          <t>UMEÅ</t>
        </is>
      </c>
      <c r="G243" t="n">
        <v>2.5</v>
      </c>
      <c r="H243" t="n">
        <v>0</v>
      </c>
      <c r="I243" t="n">
        <v>0</v>
      </c>
      <c r="J243" t="n">
        <v>0</v>
      </c>
      <c r="K243" t="n">
        <v>0</v>
      </c>
      <c r="L243" t="n">
        <v>0</v>
      </c>
      <c r="M243" t="n">
        <v>0</v>
      </c>
      <c r="N243" t="n">
        <v>0</v>
      </c>
      <c r="O243" t="n">
        <v>0</v>
      </c>
      <c r="P243" t="n">
        <v>0</v>
      </c>
      <c r="Q243" t="n">
        <v>0</v>
      </c>
      <c r="R243" s="2" t="inlineStr"/>
    </row>
    <row r="244" ht="15" customHeight="1">
      <c r="A244" t="inlineStr">
        <is>
          <t>A 4473-2021</t>
        </is>
      </c>
      <c r="B244" s="1" t="n">
        <v>44222</v>
      </c>
      <c r="C244" s="1" t="n">
        <v>45928</v>
      </c>
      <c r="D244" t="inlineStr">
        <is>
          <t>VÄSTERBOTTENS LÄN</t>
        </is>
      </c>
      <c r="E244" t="inlineStr">
        <is>
          <t>UMEÅ</t>
        </is>
      </c>
      <c r="G244" t="n">
        <v>4.9</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45928</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45928</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19272-2025</t>
        </is>
      </c>
      <c r="B247" s="1" t="n">
        <v>45769.52287037037</v>
      </c>
      <c r="C247" s="1" t="n">
        <v>45928</v>
      </c>
      <c r="D247" t="inlineStr">
        <is>
          <t>VÄSTERBOTTENS LÄN</t>
        </is>
      </c>
      <c r="E247" t="inlineStr">
        <is>
          <t>UMEÅ</t>
        </is>
      </c>
      <c r="F247" t="inlineStr">
        <is>
          <t>Holmen skog AB</t>
        </is>
      </c>
      <c r="G247" t="n">
        <v>1.4</v>
      </c>
      <c r="H247" t="n">
        <v>0</v>
      </c>
      <c r="I247" t="n">
        <v>0</v>
      </c>
      <c r="J247" t="n">
        <v>0</v>
      </c>
      <c r="K247" t="n">
        <v>0</v>
      </c>
      <c r="L247" t="n">
        <v>0</v>
      </c>
      <c r="M247" t="n">
        <v>0</v>
      </c>
      <c r="N247" t="n">
        <v>0</v>
      </c>
      <c r="O247" t="n">
        <v>0</v>
      </c>
      <c r="P247" t="n">
        <v>0</v>
      </c>
      <c r="Q247" t="n">
        <v>0</v>
      </c>
      <c r="R247" s="2" t="inlineStr"/>
    </row>
    <row r="248" ht="15" customHeight="1">
      <c r="A248" t="inlineStr">
        <is>
          <t>A 46439-2022</t>
        </is>
      </c>
      <c r="B248" s="1" t="n">
        <v>44848</v>
      </c>
      <c r="C248" s="1" t="n">
        <v>45928</v>
      </c>
      <c r="D248" t="inlineStr">
        <is>
          <t>VÄSTERBOTTENS LÄN</t>
        </is>
      </c>
      <c r="E248" t="inlineStr">
        <is>
          <t>UMEÅ</t>
        </is>
      </c>
      <c r="F248" t="inlineStr">
        <is>
          <t>Holmen skog AB</t>
        </is>
      </c>
      <c r="G248" t="n">
        <v>5.4</v>
      </c>
      <c r="H248" t="n">
        <v>0</v>
      </c>
      <c r="I248" t="n">
        <v>0</v>
      </c>
      <c r="J248" t="n">
        <v>0</v>
      </c>
      <c r="K248" t="n">
        <v>0</v>
      </c>
      <c r="L248" t="n">
        <v>0</v>
      </c>
      <c r="M248" t="n">
        <v>0</v>
      </c>
      <c r="N248" t="n">
        <v>0</v>
      </c>
      <c r="O248" t="n">
        <v>0</v>
      </c>
      <c r="P248" t="n">
        <v>0</v>
      </c>
      <c r="Q248" t="n">
        <v>0</v>
      </c>
      <c r="R248" s="2" t="inlineStr"/>
    </row>
    <row r="249" ht="15" customHeight="1">
      <c r="A249" t="inlineStr">
        <is>
          <t>A 7376-2022</t>
        </is>
      </c>
      <c r="B249" s="1" t="n">
        <v>44606</v>
      </c>
      <c r="C249" s="1" t="n">
        <v>45928</v>
      </c>
      <c r="D249" t="inlineStr">
        <is>
          <t>VÄSTERBOTTENS LÄN</t>
        </is>
      </c>
      <c r="E249" t="inlineStr">
        <is>
          <t>UMEÅ</t>
        </is>
      </c>
      <c r="G249" t="n">
        <v>16.1</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45928</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45928</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703-2022</t>
        </is>
      </c>
      <c r="B252" s="1" t="n">
        <v>44566</v>
      </c>
      <c r="C252" s="1" t="n">
        <v>45928</v>
      </c>
      <c r="D252" t="inlineStr">
        <is>
          <t>VÄSTERBOTTENS LÄN</t>
        </is>
      </c>
      <c r="E252" t="inlineStr">
        <is>
          <t>UMEÅ</t>
        </is>
      </c>
      <c r="G252" t="n">
        <v>3.8</v>
      </c>
      <c r="H252" t="n">
        <v>0</v>
      </c>
      <c r="I252" t="n">
        <v>0</v>
      </c>
      <c r="J252" t="n">
        <v>0</v>
      </c>
      <c r="K252" t="n">
        <v>0</v>
      </c>
      <c r="L252" t="n">
        <v>0</v>
      </c>
      <c r="M252" t="n">
        <v>0</v>
      </c>
      <c r="N252" t="n">
        <v>0</v>
      </c>
      <c r="O252" t="n">
        <v>0</v>
      </c>
      <c r="P252" t="n">
        <v>0</v>
      </c>
      <c r="Q252" t="n">
        <v>0</v>
      </c>
      <c r="R252" s="2" t="inlineStr"/>
    </row>
    <row r="253" ht="15" customHeight="1">
      <c r="A253" t="inlineStr">
        <is>
          <t>A 6169-2022</t>
        </is>
      </c>
      <c r="B253" s="1" t="n">
        <v>44599.93688657408</v>
      </c>
      <c r="C253" s="1" t="n">
        <v>45928</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16003-2024</t>
        </is>
      </c>
      <c r="B254" s="1" t="n">
        <v>45405</v>
      </c>
      <c r="C254" s="1" t="n">
        <v>45928</v>
      </c>
      <c r="D254" t="inlineStr">
        <is>
          <t>VÄSTERBOTTENS LÄN</t>
        </is>
      </c>
      <c r="E254" t="inlineStr">
        <is>
          <t>UMEÅ</t>
        </is>
      </c>
      <c r="G254" t="n">
        <v>1.3</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45928</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45881-2022</t>
        </is>
      </c>
      <c r="B256" s="1" t="n">
        <v>44846</v>
      </c>
      <c r="C256" s="1" t="n">
        <v>45928</v>
      </c>
      <c r="D256" t="inlineStr">
        <is>
          <t>VÄSTERBOTTENS LÄN</t>
        </is>
      </c>
      <c r="E256" t="inlineStr">
        <is>
          <t>UMEÅ</t>
        </is>
      </c>
      <c r="G256" t="n">
        <v>5.4</v>
      </c>
      <c r="H256" t="n">
        <v>0</v>
      </c>
      <c r="I256" t="n">
        <v>0</v>
      </c>
      <c r="J256" t="n">
        <v>0</v>
      </c>
      <c r="K256" t="n">
        <v>0</v>
      </c>
      <c r="L256" t="n">
        <v>0</v>
      </c>
      <c r="M256" t="n">
        <v>0</v>
      </c>
      <c r="N256" t="n">
        <v>0</v>
      </c>
      <c r="O256" t="n">
        <v>0</v>
      </c>
      <c r="P256" t="n">
        <v>0</v>
      </c>
      <c r="Q256" t="n">
        <v>0</v>
      </c>
      <c r="R256" s="2" t="inlineStr"/>
    </row>
    <row r="257" ht="15" customHeight="1">
      <c r="A257" t="inlineStr">
        <is>
          <t>A 50723-2020</t>
        </is>
      </c>
      <c r="B257" s="1" t="n">
        <v>44105</v>
      </c>
      <c r="C257" s="1" t="n">
        <v>45928</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43974-2024</t>
        </is>
      </c>
      <c r="B258" s="1" t="n">
        <v>45572</v>
      </c>
      <c r="C258" s="1" t="n">
        <v>45928</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55590-2021</t>
        </is>
      </c>
      <c r="B259" s="1" t="n">
        <v>44475.92033564814</v>
      </c>
      <c r="C259" s="1" t="n">
        <v>45928</v>
      </c>
      <c r="D259" t="inlineStr">
        <is>
          <t>VÄSTERBOTTENS LÄN</t>
        </is>
      </c>
      <c r="E259" t="inlineStr">
        <is>
          <t>UMEÅ</t>
        </is>
      </c>
      <c r="G259" t="n">
        <v>1</v>
      </c>
      <c r="H259" t="n">
        <v>0</v>
      </c>
      <c r="I259" t="n">
        <v>0</v>
      </c>
      <c r="J259" t="n">
        <v>0</v>
      </c>
      <c r="K259" t="n">
        <v>0</v>
      </c>
      <c r="L259" t="n">
        <v>0</v>
      </c>
      <c r="M259" t="n">
        <v>0</v>
      </c>
      <c r="N259" t="n">
        <v>0</v>
      </c>
      <c r="O259" t="n">
        <v>0</v>
      </c>
      <c r="P259" t="n">
        <v>0</v>
      </c>
      <c r="Q259" t="n">
        <v>0</v>
      </c>
      <c r="R259" s="2" t="inlineStr"/>
    </row>
    <row r="260" ht="15" customHeight="1">
      <c r="A260" t="inlineStr">
        <is>
          <t>A 19972-2025</t>
        </is>
      </c>
      <c r="B260" s="1" t="n">
        <v>45771.68980324074</v>
      </c>
      <c r="C260" s="1" t="n">
        <v>45928</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42043-2022</t>
        </is>
      </c>
      <c r="B261" s="1" t="n">
        <v>44830</v>
      </c>
      <c r="C261" s="1" t="n">
        <v>45928</v>
      </c>
      <c r="D261" t="inlineStr">
        <is>
          <t>VÄSTERBOTTENS LÄN</t>
        </is>
      </c>
      <c r="E261" t="inlineStr">
        <is>
          <t>UMEÅ</t>
        </is>
      </c>
      <c r="G261" t="n">
        <v>0.8</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45928</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45928</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25859-2021</t>
        </is>
      </c>
      <c r="B264" s="1" t="n">
        <v>44343</v>
      </c>
      <c r="C264" s="1" t="n">
        <v>45928</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53836-2020</t>
        </is>
      </c>
      <c r="B265" s="1" t="n">
        <v>44124</v>
      </c>
      <c r="C265" s="1" t="n">
        <v>45928</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46408-2022</t>
        </is>
      </c>
      <c r="B266" s="1" t="n">
        <v>44846</v>
      </c>
      <c r="C266" s="1" t="n">
        <v>45928</v>
      </c>
      <c r="D266" t="inlineStr">
        <is>
          <t>VÄSTERBOTTENS LÄN</t>
        </is>
      </c>
      <c r="E266" t="inlineStr">
        <is>
          <t>UMEÅ</t>
        </is>
      </c>
      <c r="G266" t="n">
        <v>2.8</v>
      </c>
      <c r="H266" t="n">
        <v>0</v>
      </c>
      <c r="I266" t="n">
        <v>0</v>
      </c>
      <c r="J266" t="n">
        <v>0</v>
      </c>
      <c r="K266" t="n">
        <v>0</v>
      </c>
      <c r="L266" t="n">
        <v>0</v>
      </c>
      <c r="M266" t="n">
        <v>0</v>
      </c>
      <c r="N266" t="n">
        <v>0</v>
      </c>
      <c r="O266" t="n">
        <v>0</v>
      </c>
      <c r="P266" t="n">
        <v>0</v>
      </c>
      <c r="Q266" t="n">
        <v>0</v>
      </c>
      <c r="R266" s="2" t="inlineStr"/>
    </row>
    <row r="267" ht="15" customHeight="1">
      <c r="A267" t="inlineStr">
        <is>
          <t>A 43591-2021</t>
        </is>
      </c>
      <c r="B267" s="1" t="n">
        <v>44433</v>
      </c>
      <c r="C267" s="1" t="n">
        <v>45928</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22609-2022</t>
        </is>
      </c>
      <c r="B268" s="1" t="n">
        <v>44714</v>
      </c>
      <c r="C268" s="1" t="n">
        <v>45928</v>
      </c>
      <c r="D268" t="inlineStr">
        <is>
          <t>VÄSTERBOTTENS LÄN</t>
        </is>
      </c>
      <c r="E268" t="inlineStr">
        <is>
          <t>UMEÅ</t>
        </is>
      </c>
      <c r="G268" t="n">
        <v>4.3</v>
      </c>
      <c r="H268" t="n">
        <v>0</v>
      </c>
      <c r="I268" t="n">
        <v>0</v>
      </c>
      <c r="J268" t="n">
        <v>0</v>
      </c>
      <c r="K268" t="n">
        <v>0</v>
      </c>
      <c r="L268" t="n">
        <v>0</v>
      </c>
      <c r="M268" t="n">
        <v>0</v>
      </c>
      <c r="N268" t="n">
        <v>0</v>
      </c>
      <c r="O268" t="n">
        <v>0</v>
      </c>
      <c r="P268" t="n">
        <v>0</v>
      </c>
      <c r="Q268" t="n">
        <v>0</v>
      </c>
      <c r="R268" s="2" t="inlineStr"/>
    </row>
    <row r="269" ht="15" customHeight="1">
      <c r="A269" t="inlineStr">
        <is>
          <t>A 20143-2025</t>
        </is>
      </c>
      <c r="B269" s="1" t="n">
        <v>45772.53152777778</v>
      </c>
      <c r="C269" s="1" t="n">
        <v>45928</v>
      </c>
      <c r="D269" t="inlineStr">
        <is>
          <t>VÄSTERBOTTENS LÄN</t>
        </is>
      </c>
      <c r="E269" t="inlineStr">
        <is>
          <t>UMEÅ</t>
        </is>
      </c>
      <c r="G269" t="n">
        <v>1.4</v>
      </c>
      <c r="H269" t="n">
        <v>0</v>
      </c>
      <c r="I269" t="n">
        <v>0</v>
      </c>
      <c r="J269" t="n">
        <v>0</v>
      </c>
      <c r="K269" t="n">
        <v>0</v>
      </c>
      <c r="L269" t="n">
        <v>0</v>
      </c>
      <c r="M269" t="n">
        <v>0</v>
      </c>
      <c r="N269" t="n">
        <v>0</v>
      </c>
      <c r="O269" t="n">
        <v>0</v>
      </c>
      <c r="P269" t="n">
        <v>0</v>
      </c>
      <c r="Q269" t="n">
        <v>0</v>
      </c>
      <c r="R269" s="2" t="inlineStr"/>
    </row>
    <row r="270" ht="15" customHeight="1">
      <c r="A270" t="inlineStr">
        <is>
          <t>A 4084-2022</t>
        </is>
      </c>
      <c r="B270" s="1" t="n">
        <v>44588.39104166667</v>
      </c>
      <c r="C270" s="1" t="n">
        <v>45928</v>
      </c>
      <c r="D270" t="inlineStr">
        <is>
          <t>VÄSTERBOTTENS LÄN</t>
        </is>
      </c>
      <c r="E270" t="inlineStr">
        <is>
          <t>UMEÅ</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33952-2022</t>
        </is>
      </c>
      <c r="B271" s="1" t="n">
        <v>44790</v>
      </c>
      <c r="C271" s="1" t="n">
        <v>45928</v>
      </c>
      <c r="D271" t="inlineStr">
        <is>
          <t>VÄSTERBOTTENS LÄN</t>
        </is>
      </c>
      <c r="E271" t="inlineStr">
        <is>
          <t>UMEÅ</t>
        </is>
      </c>
      <c r="G271" t="n">
        <v>3.6</v>
      </c>
      <c r="H271" t="n">
        <v>0</v>
      </c>
      <c r="I271" t="n">
        <v>0</v>
      </c>
      <c r="J271" t="n">
        <v>0</v>
      </c>
      <c r="K271" t="n">
        <v>0</v>
      </c>
      <c r="L271" t="n">
        <v>0</v>
      </c>
      <c r="M271" t="n">
        <v>0</v>
      </c>
      <c r="N271" t="n">
        <v>0</v>
      </c>
      <c r="O271" t="n">
        <v>0</v>
      </c>
      <c r="P271" t="n">
        <v>0</v>
      </c>
      <c r="Q271" t="n">
        <v>0</v>
      </c>
      <c r="R271" s="2" t="inlineStr"/>
    </row>
    <row r="272" ht="15" customHeight="1">
      <c r="A272" t="inlineStr">
        <is>
          <t>A 44983-2022</t>
        </is>
      </c>
      <c r="B272" s="1" t="n">
        <v>44841</v>
      </c>
      <c r="C272" s="1" t="n">
        <v>45928</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60088-2021</t>
        </is>
      </c>
      <c r="B273" s="1" t="n">
        <v>44495</v>
      </c>
      <c r="C273" s="1" t="n">
        <v>45928</v>
      </c>
      <c r="D273" t="inlineStr">
        <is>
          <t>VÄSTERBOTTENS LÄN</t>
        </is>
      </c>
      <c r="E273" t="inlineStr">
        <is>
          <t>UMEÅ</t>
        </is>
      </c>
      <c r="G273" t="n">
        <v>0.6</v>
      </c>
      <c r="H273" t="n">
        <v>0</v>
      </c>
      <c r="I273" t="n">
        <v>0</v>
      </c>
      <c r="J273" t="n">
        <v>0</v>
      </c>
      <c r="K273" t="n">
        <v>0</v>
      </c>
      <c r="L273" t="n">
        <v>0</v>
      </c>
      <c r="M273" t="n">
        <v>0</v>
      </c>
      <c r="N273" t="n">
        <v>0</v>
      </c>
      <c r="O273" t="n">
        <v>0</v>
      </c>
      <c r="P273" t="n">
        <v>0</v>
      </c>
      <c r="Q273" t="n">
        <v>0</v>
      </c>
      <c r="R273" s="2" t="inlineStr"/>
    </row>
    <row r="274" ht="15" customHeight="1">
      <c r="A274" t="inlineStr">
        <is>
          <t>A 17632-2024</t>
        </is>
      </c>
      <c r="B274" s="1" t="n">
        <v>45418</v>
      </c>
      <c r="C274" s="1" t="n">
        <v>45928</v>
      </c>
      <c r="D274" t="inlineStr">
        <is>
          <t>VÄSTERBOTTENS LÄN</t>
        </is>
      </c>
      <c r="E274" t="inlineStr">
        <is>
          <t>UMEÅ</t>
        </is>
      </c>
      <c r="G274" t="n">
        <v>1.6</v>
      </c>
      <c r="H274" t="n">
        <v>0</v>
      </c>
      <c r="I274" t="n">
        <v>0</v>
      </c>
      <c r="J274" t="n">
        <v>0</v>
      </c>
      <c r="K274" t="n">
        <v>0</v>
      </c>
      <c r="L274" t="n">
        <v>0</v>
      </c>
      <c r="M274" t="n">
        <v>0</v>
      </c>
      <c r="N274" t="n">
        <v>0</v>
      </c>
      <c r="O274" t="n">
        <v>0</v>
      </c>
      <c r="P274" t="n">
        <v>0</v>
      </c>
      <c r="Q274" t="n">
        <v>0</v>
      </c>
      <c r="R274" s="2" t="inlineStr"/>
    </row>
    <row r="275" ht="15" customHeight="1">
      <c r="A275" t="inlineStr">
        <is>
          <t>A 26137-2023</t>
        </is>
      </c>
      <c r="B275" s="1" t="n">
        <v>45091</v>
      </c>
      <c r="C275" s="1" t="n">
        <v>45928</v>
      </c>
      <c r="D275" t="inlineStr">
        <is>
          <t>VÄSTERBOTTENS LÄN</t>
        </is>
      </c>
      <c r="E275" t="inlineStr">
        <is>
          <t>UMEÅ</t>
        </is>
      </c>
      <c r="G275" t="n">
        <v>1.5</v>
      </c>
      <c r="H275" t="n">
        <v>0</v>
      </c>
      <c r="I275" t="n">
        <v>0</v>
      </c>
      <c r="J275" t="n">
        <v>0</v>
      </c>
      <c r="K275" t="n">
        <v>0</v>
      </c>
      <c r="L275" t="n">
        <v>0</v>
      </c>
      <c r="M275" t="n">
        <v>0</v>
      </c>
      <c r="N275" t="n">
        <v>0</v>
      </c>
      <c r="O275" t="n">
        <v>0</v>
      </c>
      <c r="P275" t="n">
        <v>0</v>
      </c>
      <c r="Q275" t="n">
        <v>0</v>
      </c>
      <c r="R275" s="2" t="inlineStr"/>
    </row>
    <row r="276" ht="15" customHeight="1">
      <c r="A276" t="inlineStr">
        <is>
          <t>A 26138-2023</t>
        </is>
      </c>
      <c r="B276" s="1" t="n">
        <v>45091</v>
      </c>
      <c r="C276" s="1" t="n">
        <v>45928</v>
      </c>
      <c r="D276" t="inlineStr">
        <is>
          <t>VÄSTERBOTTENS LÄN</t>
        </is>
      </c>
      <c r="E276" t="inlineStr">
        <is>
          <t>UMEÅ</t>
        </is>
      </c>
      <c r="G276" t="n">
        <v>1.5</v>
      </c>
      <c r="H276" t="n">
        <v>0</v>
      </c>
      <c r="I276" t="n">
        <v>0</v>
      </c>
      <c r="J276" t="n">
        <v>0</v>
      </c>
      <c r="K276" t="n">
        <v>0</v>
      </c>
      <c r="L276" t="n">
        <v>0</v>
      </c>
      <c r="M276" t="n">
        <v>0</v>
      </c>
      <c r="N276" t="n">
        <v>0</v>
      </c>
      <c r="O276" t="n">
        <v>0</v>
      </c>
      <c r="P276" t="n">
        <v>0</v>
      </c>
      <c r="Q276" t="n">
        <v>0</v>
      </c>
      <c r="R276" s="2" t="inlineStr"/>
    </row>
    <row r="277" ht="15" customHeight="1">
      <c r="A277" t="inlineStr">
        <is>
          <t>A 44185-2022</t>
        </is>
      </c>
      <c r="B277" s="1" t="n">
        <v>44839.46023148148</v>
      </c>
      <c r="C277" s="1" t="n">
        <v>45928</v>
      </c>
      <c r="D277" t="inlineStr">
        <is>
          <t>VÄSTERBOTTENS LÄN</t>
        </is>
      </c>
      <c r="E277" t="inlineStr">
        <is>
          <t>UMEÅ</t>
        </is>
      </c>
      <c r="G277" t="n">
        <v>0.4</v>
      </c>
      <c r="H277" t="n">
        <v>0</v>
      </c>
      <c r="I277" t="n">
        <v>0</v>
      </c>
      <c r="J277" t="n">
        <v>0</v>
      </c>
      <c r="K277" t="n">
        <v>0</v>
      </c>
      <c r="L277" t="n">
        <v>0</v>
      </c>
      <c r="M277" t="n">
        <v>0</v>
      </c>
      <c r="N277" t="n">
        <v>0</v>
      </c>
      <c r="O277" t="n">
        <v>0</v>
      </c>
      <c r="P277" t="n">
        <v>0</v>
      </c>
      <c r="Q277" t="n">
        <v>0</v>
      </c>
      <c r="R277" s="2" t="inlineStr"/>
    </row>
    <row r="278" ht="15" customHeight="1">
      <c r="A278" t="inlineStr">
        <is>
          <t>A 21159-2024</t>
        </is>
      </c>
      <c r="B278" s="1" t="n">
        <v>45440.42893518518</v>
      </c>
      <c r="C278" s="1" t="n">
        <v>45928</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17359-2023</t>
        </is>
      </c>
      <c r="B279" s="1" t="n">
        <v>45033</v>
      </c>
      <c r="C279" s="1" t="n">
        <v>45928</v>
      </c>
      <c r="D279" t="inlineStr">
        <is>
          <t>VÄSTERBOTTENS LÄN</t>
        </is>
      </c>
      <c r="E279" t="inlineStr">
        <is>
          <t>UMEÅ</t>
        </is>
      </c>
      <c r="F279" t="inlineStr">
        <is>
          <t>Kommuner</t>
        </is>
      </c>
      <c r="G279" t="n">
        <v>2.6</v>
      </c>
      <c r="H279" t="n">
        <v>0</v>
      </c>
      <c r="I279" t="n">
        <v>0</v>
      </c>
      <c r="J279" t="n">
        <v>0</v>
      </c>
      <c r="K279" t="n">
        <v>0</v>
      </c>
      <c r="L279" t="n">
        <v>0</v>
      </c>
      <c r="M279" t="n">
        <v>0</v>
      </c>
      <c r="N279" t="n">
        <v>0</v>
      </c>
      <c r="O279" t="n">
        <v>0</v>
      </c>
      <c r="P279" t="n">
        <v>0</v>
      </c>
      <c r="Q279" t="n">
        <v>0</v>
      </c>
      <c r="R279" s="2" t="inlineStr"/>
    </row>
    <row r="280" ht="15" customHeight="1">
      <c r="A280" t="inlineStr">
        <is>
          <t>A 11157-2022</t>
        </is>
      </c>
      <c r="B280" s="1" t="n">
        <v>44629.39452546297</v>
      </c>
      <c r="C280" s="1" t="n">
        <v>45928</v>
      </c>
      <c r="D280" t="inlineStr">
        <is>
          <t>VÄSTERBOTTENS LÄN</t>
        </is>
      </c>
      <c r="E280" t="inlineStr">
        <is>
          <t>UMEÅ</t>
        </is>
      </c>
      <c r="G280" t="n">
        <v>2.3</v>
      </c>
      <c r="H280" t="n">
        <v>0</v>
      </c>
      <c r="I280" t="n">
        <v>0</v>
      </c>
      <c r="J280" t="n">
        <v>0</v>
      </c>
      <c r="K280" t="n">
        <v>0</v>
      </c>
      <c r="L280" t="n">
        <v>0</v>
      </c>
      <c r="M280" t="n">
        <v>0</v>
      </c>
      <c r="N280" t="n">
        <v>0</v>
      </c>
      <c r="O280" t="n">
        <v>0</v>
      </c>
      <c r="P280" t="n">
        <v>0</v>
      </c>
      <c r="Q280" t="n">
        <v>0</v>
      </c>
      <c r="R280" s="2" t="inlineStr"/>
    </row>
    <row r="281" ht="15" customHeight="1">
      <c r="A281" t="inlineStr">
        <is>
          <t>A 68705-2020</t>
        </is>
      </c>
      <c r="B281" s="1" t="n">
        <v>44186</v>
      </c>
      <c r="C281" s="1" t="n">
        <v>45928</v>
      </c>
      <c r="D281" t="inlineStr">
        <is>
          <t>VÄSTERBOTTENS LÄN</t>
        </is>
      </c>
      <c r="E281" t="inlineStr">
        <is>
          <t>UMEÅ</t>
        </is>
      </c>
      <c r="G281" t="n">
        <v>4.1</v>
      </c>
      <c r="H281" t="n">
        <v>0</v>
      </c>
      <c r="I281" t="n">
        <v>0</v>
      </c>
      <c r="J281" t="n">
        <v>0</v>
      </c>
      <c r="K281" t="n">
        <v>0</v>
      </c>
      <c r="L281" t="n">
        <v>0</v>
      </c>
      <c r="M281" t="n">
        <v>0</v>
      </c>
      <c r="N281" t="n">
        <v>0</v>
      </c>
      <c r="O281" t="n">
        <v>0</v>
      </c>
      <c r="P281" t="n">
        <v>0</v>
      </c>
      <c r="Q281" t="n">
        <v>0</v>
      </c>
      <c r="R281" s="2" t="inlineStr"/>
    </row>
    <row r="282" ht="15" customHeight="1">
      <c r="A282" t="inlineStr">
        <is>
          <t>A 7382-2022</t>
        </is>
      </c>
      <c r="B282" s="1" t="n">
        <v>44606.61752314815</v>
      </c>
      <c r="C282" s="1" t="n">
        <v>45928</v>
      </c>
      <c r="D282" t="inlineStr">
        <is>
          <t>VÄSTERBOTTENS LÄN</t>
        </is>
      </c>
      <c r="E282" t="inlineStr">
        <is>
          <t>UMEÅ</t>
        </is>
      </c>
      <c r="G282" t="n">
        <v>3.8</v>
      </c>
      <c r="H282" t="n">
        <v>0</v>
      </c>
      <c r="I282" t="n">
        <v>0</v>
      </c>
      <c r="J282" t="n">
        <v>0</v>
      </c>
      <c r="K282" t="n">
        <v>0</v>
      </c>
      <c r="L282" t="n">
        <v>0</v>
      </c>
      <c r="M282" t="n">
        <v>0</v>
      </c>
      <c r="N282" t="n">
        <v>0</v>
      </c>
      <c r="O282" t="n">
        <v>0</v>
      </c>
      <c r="P282" t="n">
        <v>0</v>
      </c>
      <c r="Q282" t="n">
        <v>0</v>
      </c>
      <c r="R282" s="2" t="inlineStr"/>
    </row>
    <row r="283" ht="15" customHeight="1">
      <c r="A283" t="inlineStr">
        <is>
          <t>A 44730-2022</t>
        </is>
      </c>
      <c r="B283" s="1" t="n">
        <v>44840</v>
      </c>
      <c r="C283" s="1" t="n">
        <v>45928</v>
      </c>
      <c r="D283" t="inlineStr">
        <is>
          <t>VÄSTERBOTTENS LÄN</t>
        </is>
      </c>
      <c r="E283" t="inlineStr">
        <is>
          <t>UMEÅ</t>
        </is>
      </c>
      <c r="G283" t="n">
        <v>3</v>
      </c>
      <c r="H283" t="n">
        <v>0</v>
      </c>
      <c r="I283" t="n">
        <v>0</v>
      </c>
      <c r="J283" t="n">
        <v>0</v>
      </c>
      <c r="K283" t="n">
        <v>0</v>
      </c>
      <c r="L283" t="n">
        <v>0</v>
      </c>
      <c r="M283" t="n">
        <v>0</v>
      </c>
      <c r="N283" t="n">
        <v>0</v>
      </c>
      <c r="O283" t="n">
        <v>0</v>
      </c>
      <c r="P283" t="n">
        <v>0</v>
      </c>
      <c r="Q283" t="n">
        <v>0</v>
      </c>
      <c r="R283" s="2" t="inlineStr"/>
    </row>
    <row r="284" ht="15" customHeight="1">
      <c r="A284" t="inlineStr">
        <is>
          <t>A 33229-2021</t>
        </is>
      </c>
      <c r="B284" s="1" t="n">
        <v>44376</v>
      </c>
      <c r="C284" s="1" t="n">
        <v>45928</v>
      </c>
      <c r="D284" t="inlineStr">
        <is>
          <t>VÄSTERBOTTENS LÄN</t>
        </is>
      </c>
      <c r="E284" t="inlineStr">
        <is>
          <t>UMEÅ</t>
        </is>
      </c>
      <c r="G284" t="n">
        <v>2.5</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45928</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7356-2022</t>
        </is>
      </c>
      <c r="B286" s="1" t="n">
        <v>44606</v>
      </c>
      <c r="C286" s="1" t="n">
        <v>45928</v>
      </c>
      <c r="D286" t="inlineStr">
        <is>
          <t>VÄSTERBOTTENS LÄN</t>
        </is>
      </c>
      <c r="E286" t="inlineStr">
        <is>
          <t>UMEÅ</t>
        </is>
      </c>
      <c r="G286" t="n">
        <v>7.3</v>
      </c>
      <c r="H286" t="n">
        <v>0</v>
      </c>
      <c r="I286" t="n">
        <v>0</v>
      </c>
      <c r="J286" t="n">
        <v>0</v>
      </c>
      <c r="K286" t="n">
        <v>0</v>
      </c>
      <c r="L286" t="n">
        <v>0</v>
      </c>
      <c r="M286" t="n">
        <v>0</v>
      </c>
      <c r="N286" t="n">
        <v>0</v>
      </c>
      <c r="O286" t="n">
        <v>0</v>
      </c>
      <c r="P286" t="n">
        <v>0</v>
      </c>
      <c r="Q286" t="n">
        <v>0</v>
      </c>
      <c r="R286" s="2" t="inlineStr"/>
    </row>
    <row r="287" ht="15" customHeight="1">
      <c r="A287" t="inlineStr">
        <is>
          <t>A 27104-2022</t>
        </is>
      </c>
      <c r="B287" s="1" t="n">
        <v>44741</v>
      </c>
      <c r="C287" s="1" t="n">
        <v>45928</v>
      </c>
      <c r="D287" t="inlineStr">
        <is>
          <t>VÄSTERBOTTENS LÄN</t>
        </is>
      </c>
      <c r="E287" t="inlineStr">
        <is>
          <t>UMEÅ</t>
        </is>
      </c>
      <c r="G287" t="n">
        <v>2.5</v>
      </c>
      <c r="H287" t="n">
        <v>0</v>
      </c>
      <c r="I287" t="n">
        <v>0</v>
      </c>
      <c r="J287" t="n">
        <v>0</v>
      </c>
      <c r="K287" t="n">
        <v>0</v>
      </c>
      <c r="L287" t="n">
        <v>0</v>
      </c>
      <c r="M287" t="n">
        <v>0</v>
      </c>
      <c r="N287" t="n">
        <v>0</v>
      </c>
      <c r="O287" t="n">
        <v>0</v>
      </c>
      <c r="P287" t="n">
        <v>0</v>
      </c>
      <c r="Q287" t="n">
        <v>0</v>
      </c>
      <c r="R287" s="2" t="inlineStr"/>
    </row>
    <row r="288" ht="15" customHeight="1">
      <c r="A288" t="inlineStr">
        <is>
          <t>A 19061-2024</t>
        </is>
      </c>
      <c r="B288" s="1" t="n">
        <v>45427.93501157407</v>
      </c>
      <c r="C288" s="1" t="n">
        <v>45928</v>
      </c>
      <c r="D288" t="inlineStr">
        <is>
          <t>VÄSTERBOTTENS LÄN</t>
        </is>
      </c>
      <c r="E288" t="inlineStr">
        <is>
          <t>UMEÅ</t>
        </is>
      </c>
      <c r="G288" t="n">
        <v>4.4</v>
      </c>
      <c r="H288" t="n">
        <v>0</v>
      </c>
      <c r="I288" t="n">
        <v>0</v>
      </c>
      <c r="J288" t="n">
        <v>0</v>
      </c>
      <c r="K288" t="n">
        <v>0</v>
      </c>
      <c r="L288" t="n">
        <v>0</v>
      </c>
      <c r="M288" t="n">
        <v>0</v>
      </c>
      <c r="N288" t="n">
        <v>0</v>
      </c>
      <c r="O288" t="n">
        <v>0</v>
      </c>
      <c r="P288" t="n">
        <v>0</v>
      </c>
      <c r="Q288" t="n">
        <v>0</v>
      </c>
      <c r="R288" s="2" t="inlineStr"/>
    </row>
    <row r="289" ht="15" customHeight="1">
      <c r="A289" t="inlineStr">
        <is>
          <t>A 46413-2022</t>
        </is>
      </c>
      <c r="B289" s="1" t="n">
        <v>44846</v>
      </c>
      <c r="C289" s="1" t="n">
        <v>45928</v>
      </c>
      <c r="D289" t="inlineStr">
        <is>
          <t>VÄSTERBOTTENS LÄN</t>
        </is>
      </c>
      <c r="E289" t="inlineStr">
        <is>
          <t>UMEÅ</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17438-2021</t>
        </is>
      </c>
      <c r="B290" s="1" t="n">
        <v>44299</v>
      </c>
      <c r="C290" s="1" t="n">
        <v>45928</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41525-2023</t>
        </is>
      </c>
      <c r="B291" s="1" t="n">
        <v>45173</v>
      </c>
      <c r="C291" s="1" t="n">
        <v>45928</v>
      </c>
      <c r="D291" t="inlineStr">
        <is>
          <t>VÄSTERBOTTENS LÄN</t>
        </is>
      </c>
      <c r="E291" t="inlineStr">
        <is>
          <t>UMEÅ</t>
        </is>
      </c>
      <c r="G291" t="n">
        <v>0.5</v>
      </c>
      <c r="H291" t="n">
        <v>0</v>
      </c>
      <c r="I291" t="n">
        <v>0</v>
      </c>
      <c r="J291" t="n">
        <v>0</v>
      </c>
      <c r="K291" t="n">
        <v>0</v>
      </c>
      <c r="L291" t="n">
        <v>0</v>
      </c>
      <c r="M291" t="n">
        <v>0</v>
      </c>
      <c r="N291" t="n">
        <v>0</v>
      </c>
      <c r="O291" t="n">
        <v>0</v>
      </c>
      <c r="P291" t="n">
        <v>0</v>
      </c>
      <c r="Q291" t="n">
        <v>0</v>
      </c>
      <c r="R291" s="2" t="inlineStr"/>
    </row>
    <row r="292" ht="15" customHeight="1">
      <c r="A292" t="inlineStr">
        <is>
          <t>A 38220-2021</t>
        </is>
      </c>
      <c r="B292" s="1" t="n">
        <v>44407</v>
      </c>
      <c r="C292" s="1" t="n">
        <v>45928</v>
      </c>
      <c r="D292" t="inlineStr">
        <is>
          <t>VÄSTERBOTTENS LÄN</t>
        </is>
      </c>
      <c r="E292" t="inlineStr">
        <is>
          <t>UMEÅ</t>
        </is>
      </c>
      <c r="G292" t="n">
        <v>3</v>
      </c>
      <c r="H292" t="n">
        <v>0</v>
      </c>
      <c r="I292" t="n">
        <v>0</v>
      </c>
      <c r="J292" t="n">
        <v>0</v>
      </c>
      <c r="K292" t="n">
        <v>0</v>
      </c>
      <c r="L292" t="n">
        <v>0</v>
      </c>
      <c r="M292" t="n">
        <v>0</v>
      </c>
      <c r="N292" t="n">
        <v>0</v>
      </c>
      <c r="O292" t="n">
        <v>0</v>
      </c>
      <c r="P292" t="n">
        <v>0</v>
      </c>
      <c r="Q292" t="n">
        <v>0</v>
      </c>
      <c r="R292" s="2" t="inlineStr"/>
    </row>
    <row r="293" ht="15" customHeight="1">
      <c r="A293" t="inlineStr">
        <is>
          <t>A 22755-2024</t>
        </is>
      </c>
      <c r="B293" s="1" t="n">
        <v>45448.42561342593</v>
      </c>
      <c r="C293" s="1" t="n">
        <v>45928</v>
      </c>
      <c r="D293" t="inlineStr">
        <is>
          <t>VÄSTERBOTTENS LÄN</t>
        </is>
      </c>
      <c r="E293" t="inlineStr">
        <is>
          <t>UMEÅ</t>
        </is>
      </c>
      <c r="F293" t="inlineStr">
        <is>
          <t>Holmen skog AB</t>
        </is>
      </c>
      <c r="G293" t="n">
        <v>0.9</v>
      </c>
      <c r="H293" t="n">
        <v>0</v>
      </c>
      <c r="I293" t="n">
        <v>0</v>
      </c>
      <c r="J293" t="n">
        <v>0</v>
      </c>
      <c r="K293" t="n">
        <v>0</v>
      </c>
      <c r="L293" t="n">
        <v>0</v>
      </c>
      <c r="M293" t="n">
        <v>0</v>
      </c>
      <c r="N293" t="n">
        <v>0</v>
      </c>
      <c r="O293" t="n">
        <v>0</v>
      </c>
      <c r="P293" t="n">
        <v>0</v>
      </c>
      <c r="Q293" t="n">
        <v>0</v>
      </c>
      <c r="R293" s="2" t="inlineStr"/>
    </row>
    <row r="294" ht="15" customHeight="1">
      <c r="A294" t="inlineStr">
        <is>
          <t>A 56676-2021</t>
        </is>
      </c>
      <c r="B294" s="1" t="n">
        <v>44481.32383101852</v>
      </c>
      <c r="C294" s="1" t="n">
        <v>45928</v>
      </c>
      <c r="D294" t="inlineStr">
        <is>
          <t>VÄSTERBOTTENS LÄN</t>
        </is>
      </c>
      <c r="E294" t="inlineStr">
        <is>
          <t>UMEÅ</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40032-2023</t>
        </is>
      </c>
      <c r="B295" s="1" t="n">
        <v>45167</v>
      </c>
      <c r="C295" s="1" t="n">
        <v>45928</v>
      </c>
      <c r="D295" t="inlineStr">
        <is>
          <t>VÄSTERBOTTENS LÄN</t>
        </is>
      </c>
      <c r="E295" t="inlineStr">
        <is>
          <t>UMEÅ</t>
        </is>
      </c>
      <c r="G295" t="n">
        <v>5.5</v>
      </c>
      <c r="H295" t="n">
        <v>0</v>
      </c>
      <c r="I295" t="n">
        <v>0</v>
      </c>
      <c r="J295" t="n">
        <v>0</v>
      </c>
      <c r="K295" t="n">
        <v>0</v>
      </c>
      <c r="L295" t="n">
        <v>0</v>
      </c>
      <c r="M295" t="n">
        <v>0</v>
      </c>
      <c r="N295" t="n">
        <v>0</v>
      </c>
      <c r="O295" t="n">
        <v>0</v>
      </c>
      <c r="P295" t="n">
        <v>0</v>
      </c>
      <c r="Q295" t="n">
        <v>0</v>
      </c>
      <c r="R295" s="2" t="inlineStr"/>
    </row>
    <row r="296" ht="15" customHeight="1">
      <c r="A296" t="inlineStr">
        <is>
          <t>A 50287-2023</t>
        </is>
      </c>
      <c r="B296" s="1" t="n">
        <v>45216</v>
      </c>
      <c r="C296" s="1" t="n">
        <v>45928</v>
      </c>
      <c r="D296" t="inlineStr">
        <is>
          <t>VÄSTERBOTTENS LÄN</t>
        </is>
      </c>
      <c r="E296" t="inlineStr">
        <is>
          <t>UMEÅ</t>
        </is>
      </c>
      <c r="F296" t="inlineStr">
        <is>
          <t>Holmen skog AB</t>
        </is>
      </c>
      <c r="G296" t="n">
        <v>1.3</v>
      </c>
      <c r="H296" t="n">
        <v>0</v>
      </c>
      <c r="I296" t="n">
        <v>0</v>
      </c>
      <c r="J296" t="n">
        <v>0</v>
      </c>
      <c r="K296" t="n">
        <v>0</v>
      </c>
      <c r="L296" t="n">
        <v>0</v>
      </c>
      <c r="M296" t="n">
        <v>0</v>
      </c>
      <c r="N296" t="n">
        <v>0</v>
      </c>
      <c r="O296" t="n">
        <v>0</v>
      </c>
      <c r="P296" t="n">
        <v>0</v>
      </c>
      <c r="Q296" t="n">
        <v>0</v>
      </c>
      <c r="R296" s="2" t="inlineStr"/>
    </row>
    <row r="297" ht="15" customHeight="1">
      <c r="A297" t="inlineStr">
        <is>
          <t>A 44968-2022</t>
        </is>
      </c>
      <c r="B297" s="1" t="n">
        <v>44840</v>
      </c>
      <c r="C297" s="1" t="n">
        <v>45928</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59228-2023</t>
        </is>
      </c>
      <c r="B298" s="1" t="n">
        <v>45252</v>
      </c>
      <c r="C298" s="1" t="n">
        <v>45928</v>
      </c>
      <c r="D298" t="inlineStr">
        <is>
          <t>VÄSTERBOTTENS LÄN</t>
        </is>
      </c>
      <c r="E298" t="inlineStr">
        <is>
          <t>UMEÅ</t>
        </is>
      </c>
      <c r="G298" t="n">
        <v>1.4</v>
      </c>
      <c r="H298" t="n">
        <v>0</v>
      </c>
      <c r="I298" t="n">
        <v>0</v>
      </c>
      <c r="J298" t="n">
        <v>0</v>
      </c>
      <c r="K298" t="n">
        <v>0</v>
      </c>
      <c r="L298" t="n">
        <v>0</v>
      </c>
      <c r="M298" t="n">
        <v>0</v>
      </c>
      <c r="N298" t="n">
        <v>0</v>
      </c>
      <c r="O298" t="n">
        <v>0</v>
      </c>
      <c r="P298" t="n">
        <v>0</v>
      </c>
      <c r="Q298" t="n">
        <v>0</v>
      </c>
      <c r="R298" s="2" t="inlineStr"/>
    </row>
    <row r="299" ht="15" customHeight="1">
      <c r="A299" t="inlineStr">
        <is>
          <t>A 955-2024</t>
        </is>
      </c>
      <c r="B299" s="1" t="n">
        <v>45301</v>
      </c>
      <c r="C299" s="1" t="n">
        <v>45928</v>
      </c>
      <c r="D299" t="inlineStr">
        <is>
          <t>VÄSTERBOTTENS LÄN</t>
        </is>
      </c>
      <c r="E299" t="inlineStr">
        <is>
          <t>UMEÅ</t>
        </is>
      </c>
      <c r="G299" t="n">
        <v>3.7</v>
      </c>
      <c r="H299" t="n">
        <v>0</v>
      </c>
      <c r="I299" t="n">
        <v>0</v>
      </c>
      <c r="J299" t="n">
        <v>0</v>
      </c>
      <c r="K299" t="n">
        <v>0</v>
      </c>
      <c r="L299" t="n">
        <v>0</v>
      </c>
      <c r="M299" t="n">
        <v>0</v>
      </c>
      <c r="N299" t="n">
        <v>0</v>
      </c>
      <c r="O299" t="n">
        <v>0</v>
      </c>
      <c r="P299" t="n">
        <v>0</v>
      </c>
      <c r="Q299" t="n">
        <v>0</v>
      </c>
      <c r="R299" s="2" t="inlineStr"/>
    </row>
    <row r="300" ht="15" customHeight="1">
      <c r="A300" t="inlineStr">
        <is>
          <t>A 10898-2025</t>
        </is>
      </c>
      <c r="B300" s="1" t="n">
        <v>45722</v>
      </c>
      <c r="C300" s="1" t="n">
        <v>45928</v>
      </c>
      <c r="D300" t="inlineStr">
        <is>
          <t>VÄSTERBOTTENS LÄN</t>
        </is>
      </c>
      <c r="E300" t="inlineStr">
        <is>
          <t>UMEÅ</t>
        </is>
      </c>
      <c r="G300" t="n">
        <v>1.1</v>
      </c>
      <c r="H300" t="n">
        <v>0</v>
      </c>
      <c r="I300" t="n">
        <v>0</v>
      </c>
      <c r="J300" t="n">
        <v>0</v>
      </c>
      <c r="K300" t="n">
        <v>0</v>
      </c>
      <c r="L300" t="n">
        <v>0</v>
      </c>
      <c r="M300" t="n">
        <v>0</v>
      </c>
      <c r="N300" t="n">
        <v>0</v>
      </c>
      <c r="O300" t="n">
        <v>0</v>
      </c>
      <c r="P300" t="n">
        <v>0</v>
      </c>
      <c r="Q300" t="n">
        <v>0</v>
      </c>
      <c r="R300" s="2" t="inlineStr"/>
    </row>
    <row r="301" ht="15" customHeight="1">
      <c r="A301" t="inlineStr">
        <is>
          <t>A 14403-2025</t>
        </is>
      </c>
      <c r="B301" s="1" t="n">
        <v>45741.46083333333</v>
      </c>
      <c r="C301" s="1" t="n">
        <v>45928</v>
      </c>
      <c r="D301" t="inlineStr">
        <is>
          <t>VÄSTERBOTTENS LÄN</t>
        </is>
      </c>
      <c r="E301" t="inlineStr">
        <is>
          <t>UMEÅ</t>
        </is>
      </c>
      <c r="G301" t="n">
        <v>1.8</v>
      </c>
      <c r="H301" t="n">
        <v>0</v>
      </c>
      <c r="I301" t="n">
        <v>0</v>
      </c>
      <c r="J301" t="n">
        <v>0</v>
      </c>
      <c r="K301" t="n">
        <v>0</v>
      </c>
      <c r="L301" t="n">
        <v>0</v>
      </c>
      <c r="M301" t="n">
        <v>0</v>
      </c>
      <c r="N301" t="n">
        <v>0</v>
      </c>
      <c r="O301" t="n">
        <v>0</v>
      </c>
      <c r="P301" t="n">
        <v>0</v>
      </c>
      <c r="Q301" t="n">
        <v>0</v>
      </c>
      <c r="R301" s="2" t="inlineStr"/>
    </row>
    <row r="302" ht="15" customHeight="1">
      <c r="A302" t="inlineStr">
        <is>
          <t>A 12723-2025</t>
        </is>
      </c>
      <c r="B302" s="1" t="n">
        <v>45733.49011574074</v>
      </c>
      <c r="C302" s="1" t="n">
        <v>45928</v>
      </c>
      <c r="D302" t="inlineStr">
        <is>
          <t>VÄSTERBOTTENS LÄN</t>
        </is>
      </c>
      <c r="E302" t="inlineStr">
        <is>
          <t>UMEÅ</t>
        </is>
      </c>
      <c r="G302" t="n">
        <v>5.3</v>
      </c>
      <c r="H302" t="n">
        <v>0</v>
      </c>
      <c r="I302" t="n">
        <v>0</v>
      </c>
      <c r="J302" t="n">
        <v>0</v>
      </c>
      <c r="K302" t="n">
        <v>0</v>
      </c>
      <c r="L302" t="n">
        <v>0</v>
      </c>
      <c r="M302" t="n">
        <v>0</v>
      </c>
      <c r="N302" t="n">
        <v>0</v>
      </c>
      <c r="O302" t="n">
        <v>0</v>
      </c>
      <c r="P302" t="n">
        <v>0</v>
      </c>
      <c r="Q302" t="n">
        <v>0</v>
      </c>
      <c r="R302" s="2" t="inlineStr"/>
    </row>
    <row r="303" ht="15" customHeight="1">
      <c r="A303" t="inlineStr">
        <is>
          <t>A 49525-2023</t>
        </is>
      </c>
      <c r="B303" s="1" t="n">
        <v>45205</v>
      </c>
      <c r="C303" s="1" t="n">
        <v>45928</v>
      </c>
      <c r="D303" t="inlineStr">
        <is>
          <t>VÄSTERBOTTENS LÄN</t>
        </is>
      </c>
      <c r="E303" t="inlineStr">
        <is>
          <t>UMEÅ</t>
        </is>
      </c>
      <c r="G303" t="n">
        <v>2</v>
      </c>
      <c r="H303" t="n">
        <v>0</v>
      </c>
      <c r="I303" t="n">
        <v>0</v>
      </c>
      <c r="J303" t="n">
        <v>0</v>
      </c>
      <c r="K303" t="n">
        <v>0</v>
      </c>
      <c r="L303" t="n">
        <v>0</v>
      </c>
      <c r="M303" t="n">
        <v>0</v>
      </c>
      <c r="N303" t="n">
        <v>0</v>
      </c>
      <c r="O303" t="n">
        <v>0</v>
      </c>
      <c r="P303" t="n">
        <v>0</v>
      </c>
      <c r="Q303" t="n">
        <v>0</v>
      </c>
      <c r="R303" s="2" t="inlineStr"/>
    </row>
    <row r="304" ht="15" customHeight="1">
      <c r="A304" t="inlineStr">
        <is>
          <t>A 10718-2025</t>
        </is>
      </c>
      <c r="B304" s="1" t="n">
        <v>45722.37076388889</v>
      </c>
      <c r="C304" s="1" t="n">
        <v>45928</v>
      </c>
      <c r="D304" t="inlineStr">
        <is>
          <t>VÄSTERBOTTENS LÄN</t>
        </is>
      </c>
      <c r="E304" t="inlineStr">
        <is>
          <t>UMEÅ</t>
        </is>
      </c>
      <c r="G304" t="n">
        <v>2.1</v>
      </c>
      <c r="H304" t="n">
        <v>0</v>
      </c>
      <c r="I304" t="n">
        <v>0</v>
      </c>
      <c r="J304" t="n">
        <v>0</v>
      </c>
      <c r="K304" t="n">
        <v>0</v>
      </c>
      <c r="L304" t="n">
        <v>0</v>
      </c>
      <c r="M304" t="n">
        <v>0</v>
      </c>
      <c r="N304" t="n">
        <v>0</v>
      </c>
      <c r="O304" t="n">
        <v>0</v>
      </c>
      <c r="P304" t="n">
        <v>0</v>
      </c>
      <c r="Q304" t="n">
        <v>0</v>
      </c>
      <c r="R304" s="2" t="inlineStr"/>
    </row>
    <row r="305" ht="15" customHeight="1">
      <c r="A305" t="inlineStr">
        <is>
          <t>A 26861-2024</t>
        </is>
      </c>
      <c r="B305" s="1" t="n">
        <v>45470</v>
      </c>
      <c r="C305" s="1" t="n">
        <v>45928</v>
      </c>
      <c r="D305" t="inlineStr">
        <is>
          <t>VÄSTERBOTTENS LÄN</t>
        </is>
      </c>
      <c r="E305" t="inlineStr">
        <is>
          <t>UMEÅ</t>
        </is>
      </c>
      <c r="G305" t="n">
        <v>0.3</v>
      </c>
      <c r="H305" t="n">
        <v>0</v>
      </c>
      <c r="I305" t="n">
        <v>0</v>
      </c>
      <c r="J305" t="n">
        <v>0</v>
      </c>
      <c r="K305" t="n">
        <v>0</v>
      </c>
      <c r="L305" t="n">
        <v>0</v>
      </c>
      <c r="M305" t="n">
        <v>0</v>
      </c>
      <c r="N305" t="n">
        <v>0</v>
      </c>
      <c r="O305" t="n">
        <v>0</v>
      </c>
      <c r="P305" t="n">
        <v>0</v>
      </c>
      <c r="Q305" t="n">
        <v>0</v>
      </c>
      <c r="R305" s="2" t="inlineStr"/>
    </row>
    <row r="306" ht="15" customHeight="1">
      <c r="A306" t="inlineStr">
        <is>
          <t>A 34488-2021</t>
        </is>
      </c>
      <c r="B306" s="1" t="n">
        <v>44382.3005787037</v>
      </c>
      <c r="C306" s="1" t="n">
        <v>45928</v>
      </c>
      <c r="D306" t="inlineStr">
        <is>
          <t>VÄSTERBOTTENS LÄN</t>
        </is>
      </c>
      <c r="E306" t="inlineStr">
        <is>
          <t>UMEÅ</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1480-2023</t>
        </is>
      </c>
      <c r="B307" s="1" t="n">
        <v>44937</v>
      </c>
      <c r="C307" s="1" t="n">
        <v>45928</v>
      </c>
      <c r="D307" t="inlineStr">
        <is>
          <t>VÄSTERBOTTENS LÄN</t>
        </is>
      </c>
      <c r="E307" t="inlineStr">
        <is>
          <t>UMEÅ</t>
        </is>
      </c>
      <c r="G307" t="n">
        <v>2.9</v>
      </c>
      <c r="H307" t="n">
        <v>0</v>
      </c>
      <c r="I307" t="n">
        <v>0</v>
      </c>
      <c r="J307" t="n">
        <v>0</v>
      </c>
      <c r="K307" t="n">
        <v>0</v>
      </c>
      <c r="L307" t="n">
        <v>0</v>
      </c>
      <c r="M307" t="n">
        <v>0</v>
      </c>
      <c r="N307" t="n">
        <v>0</v>
      </c>
      <c r="O307" t="n">
        <v>0</v>
      </c>
      <c r="P307" t="n">
        <v>0</v>
      </c>
      <c r="Q307" t="n">
        <v>0</v>
      </c>
      <c r="R307" s="2" t="inlineStr"/>
    </row>
    <row r="308" ht="15" customHeight="1">
      <c r="A308" t="inlineStr">
        <is>
          <t>A 31903-2024</t>
        </is>
      </c>
      <c r="B308" s="1" t="n">
        <v>45510.32447916667</v>
      </c>
      <c r="C308" s="1" t="n">
        <v>45928</v>
      </c>
      <c r="D308" t="inlineStr">
        <is>
          <t>VÄSTERBOTTENS LÄN</t>
        </is>
      </c>
      <c r="E308" t="inlineStr">
        <is>
          <t>UMEÅ</t>
        </is>
      </c>
      <c r="F308" t="inlineStr">
        <is>
          <t>Holmen skog AB</t>
        </is>
      </c>
      <c r="G308" t="n">
        <v>6.3</v>
      </c>
      <c r="H308" t="n">
        <v>0</v>
      </c>
      <c r="I308" t="n">
        <v>0</v>
      </c>
      <c r="J308" t="n">
        <v>0</v>
      </c>
      <c r="K308" t="n">
        <v>0</v>
      </c>
      <c r="L308" t="n">
        <v>0</v>
      </c>
      <c r="M308" t="n">
        <v>0</v>
      </c>
      <c r="N308" t="n">
        <v>0</v>
      </c>
      <c r="O308" t="n">
        <v>0</v>
      </c>
      <c r="P308" t="n">
        <v>0</v>
      </c>
      <c r="Q308" t="n">
        <v>0</v>
      </c>
      <c r="R308" s="2" t="inlineStr"/>
    </row>
    <row r="309" ht="15" customHeight="1">
      <c r="A309" t="inlineStr">
        <is>
          <t>A 40736-2025</t>
        </is>
      </c>
      <c r="B309" s="1" t="n">
        <v>45897.36565972222</v>
      </c>
      <c r="C309" s="1" t="n">
        <v>45928</v>
      </c>
      <c r="D309" t="inlineStr">
        <is>
          <t>VÄSTERBOTTENS LÄN</t>
        </is>
      </c>
      <c r="E309" t="inlineStr">
        <is>
          <t>UMEÅ</t>
        </is>
      </c>
      <c r="G309" t="n">
        <v>4.5</v>
      </c>
      <c r="H309" t="n">
        <v>0</v>
      </c>
      <c r="I309" t="n">
        <v>0</v>
      </c>
      <c r="J309" t="n">
        <v>0</v>
      </c>
      <c r="K309" t="n">
        <v>0</v>
      </c>
      <c r="L309" t="n">
        <v>0</v>
      </c>
      <c r="M309" t="n">
        <v>0</v>
      </c>
      <c r="N309" t="n">
        <v>0</v>
      </c>
      <c r="O309" t="n">
        <v>0</v>
      </c>
      <c r="P309" t="n">
        <v>0</v>
      </c>
      <c r="Q309" t="n">
        <v>0</v>
      </c>
      <c r="R309" s="2" t="inlineStr"/>
    </row>
    <row r="310" ht="15" customHeight="1">
      <c r="A310" t="inlineStr">
        <is>
          <t>A 10568-2024</t>
        </is>
      </c>
      <c r="B310" s="1" t="n">
        <v>45366</v>
      </c>
      <c r="C310" s="1" t="n">
        <v>45928</v>
      </c>
      <c r="D310" t="inlineStr">
        <is>
          <t>VÄSTERBOTTENS LÄN</t>
        </is>
      </c>
      <c r="E310" t="inlineStr">
        <is>
          <t>UMEÅ</t>
        </is>
      </c>
      <c r="G310" t="n">
        <v>6.3</v>
      </c>
      <c r="H310" t="n">
        <v>0</v>
      </c>
      <c r="I310" t="n">
        <v>0</v>
      </c>
      <c r="J310" t="n">
        <v>0</v>
      </c>
      <c r="K310" t="n">
        <v>0</v>
      </c>
      <c r="L310" t="n">
        <v>0</v>
      </c>
      <c r="M310" t="n">
        <v>0</v>
      </c>
      <c r="N310" t="n">
        <v>0</v>
      </c>
      <c r="O310" t="n">
        <v>0</v>
      </c>
      <c r="P310" t="n">
        <v>0</v>
      </c>
      <c r="Q310" t="n">
        <v>0</v>
      </c>
      <c r="R310" s="2" t="inlineStr"/>
    </row>
    <row r="311" ht="15" customHeight="1">
      <c r="A311" t="inlineStr">
        <is>
          <t>A 40924-2025</t>
        </is>
      </c>
      <c r="B311" s="1" t="n">
        <v>45897.63927083334</v>
      </c>
      <c r="C311" s="1" t="n">
        <v>45928</v>
      </c>
      <c r="D311" t="inlineStr">
        <is>
          <t>VÄSTERBOTTENS LÄN</t>
        </is>
      </c>
      <c r="E311" t="inlineStr">
        <is>
          <t>UMEÅ</t>
        </is>
      </c>
      <c r="F311" t="inlineStr">
        <is>
          <t>Holmen skog AB</t>
        </is>
      </c>
      <c r="G311" t="n">
        <v>1</v>
      </c>
      <c r="H311" t="n">
        <v>0</v>
      </c>
      <c r="I311" t="n">
        <v>0</v>
      </c>
      <c r="J311" t="n">
        <v>0</v>
      </c>
      <c r="K311" t="n">
        <v>0</v>
      </c>
      <c r="L311" t="n">
        <v>0</v>
      </c>
      <c r="M311" t="n">
        <v>0</v>
      </c>
      <c r="N311" t="n">
        <v>0</v>
      </c>
      <c r="O311" t="n">
        <v>0</v>
      </c>
      <c r="P311" t="n">
        <v>0</v>
      </c>
      <c r="Q311" t="n">
        <v>0</v>
      </c>
      <c r="R311" s="2" t="inlineStr"/>
    </row>
    <row r="312" ht="15" customHeight="1">
      <c r="A312" t="inlineStr">
        <is>
          <t>A 41163-2025</t>
        </is>
      </c>
      <c r="B312" s="1" t="n">
        <v>45898.53366898148</v>
      </c>
      <c r="C312" s="1" t="n">
        <v>45928</v>
      </c>
      <c r="D312" t="inlineStr">
        <is>
          <t>VÄSTERBOTTENS LÄN</t>
        </is>
      </c>
      <c r="E312" t="inlineStr">
        <is>
          <t>UMEÅ</t>
        </is>
      </c>
      <c r="F312" t="inlineStr">
        <is>
          <t>Holmen skog AB</t>
        </is>
      </c>
      <c r="G312" t="n">
        <v>2</v>
      </c>
      <c r="H312" t="n">
        <v>0</v>
      </c>
      <c r="I312" t="n">
        <v>0</v>
      </c>
      <c r="J312" t="n">
        <v>0</v>
      </c>
      <c r="K312" t="n">
        <v>0</v>
      </c>
      <c r="L312" t="n">
        <v>0</v>
      </c>
      <c r="M312" t="n">
        <v>0</v>
      </c>
      <c r="N312" t="n">
        <v>0</v>
      </c>
      <c r="O312" t="n">
        <v>0</v>
      </c>
      <c r="P312" t="n">
        <v>0</v>
      </c>
      <c r="Q312" t="n">
        <v>0</v>
      </c>
      <c r="R312" s="2" t="inlineStr"/>
    </row>
    <row r="313" ht="15" customHeight="1">
      <c r="A313" t="inlineStr">
        <is>
          <t>A 7205-2025</t>
        </is>
      </c>
      <c r="B313" s="1" t="n">
        <v>45702.46836805555</v>
      </c>
      <c r="C313" s="1" t="n">
        <v>45928</v>
      </c>
      <c r="D313" t="inlineStr">
        <is>
          <t>VÄSTERBOTTENS LÄN</t>
        </is>
      </c>
      <c r="E313" t="inlineStr">
        <is>
          <t>UMEÅ</t>
        </is>
      </c>
      <c r="G313" t="n">
        <v>1</v>
      </c>
      <c r="H313" t="n">
        <v>0</v>
      </c>
      <c r="I313" t="n">
        <v>0</v>
      </c>
      <c r="J313" t="n">
        <v>0</v>
      </c>
      <c r="K313" t="n">
        <v>0</v>
      </c>
      <c r="L313" t="n">
        <v>0</v>
      </c>
      <c r="M313" t="n">
        <v>0</v>
      </c>
      <c r="N313" t="n">
        <v>0</v>
      </c>
      <c r="O313" t="n">
        <v>0</v>
      </c>
      <c r="P313" t="n">
        <v>0</v>
      </c>
      <c r="Q313" t="n">
        <v>0</v>
      </c>
      <c r="R313" s="2" t="inlineStr"/>
    </row>
    <row r="314" ht="15" customHeight="1">
      <c r="A314" t="inlineStr">
        <is>
          <t>A 57914-2022</t>
        </is>
      </c>
      <c r="B314" s="1" t="n">
        <v>44900.36453703704</v>
      </c>
      <c r="C314" s="1" t="n">
        <v>45928</v>
      </c>
      <c r="D314" t="inlineStr">
        <is>
          <t>VÄSTERBOTTENS LÄN</t>
        </is>
      </c>
      <c r="E314" t="inlineStr">
        <is>
          <t>UMEÅ</t>
        </is>
      </c>
      <c r="G314" t="n">
        <v>1.1</v>
      </c>
      <c r="H314" t="n">
        <v>0</v>
      </c>
      <c r="I314" t="n">
        <v>0</v>
      </c>
      <c r="J314" t="n">
        <v>0</v>
      </c>
      <c r="K314" t="n">
        <v>0</v>
      </c>
      <c r="L314" t="n">
        <v>0</v>
      </c>
      <c r="M314" t="n">
        <v>0</v>
      </c>
      <c r="N314" t="n">
        <v>0</v>
      </c>
      <c r="O314" t="n">
        <v>0</v>
      </c>
      <c r="P314" t="n">
        <v>0</v>
      </c>
      <c r="Q314" t="n">
        <v>0</v>
      </c>
      <c r="R314" s="2" t="inlineStr"/>
    </row>
    <row r="315" ht="15" customHeight="1">
      <c r="A315" t="inlineStr">
        <is>
          <t>A 47171-2024</t>
        </is>
      </c>
      <c r="B315" s="1" t="n">
        <v>45586.6135300926</v>
      </c>
      <c r="C315" s="1" t="n">
        <v>45928</v>
      </c>
      <c r="D315" t="inlineStr">
        <is>
          <t>VÄSTERBOTTENS LÄN</t>
        </is>
      </c>
      <c r="E315" t="inlineStr">
        <is>
          <t>UMEÅ</t>
        </is>
      </c>
      <c r="F315" t="inlineStr">
        <is>
          <t>Holmen skog AB</t>
        </is>
      </c>
      <c r="G315" t="n">
        <v>5.2</v>
      </c>
      <c r="H315" t="n">
        <v>0</v>
      </c>
      <c r="I315" t="n">
        <v>0</v>
      </c>
      <c r="J315" t="n">
        <v>0</v>
      </c>
      <c r="K315" t="n">
        <v>0</v>
      </c>
      <c r="L315" t="n">
        <v>0</v>
      </c>
      <c r="M315" t="n">
        <v>0</v>
      </c>
      <c r="N315" t="n">
        <v>0</v>
      </c>
      <c r="O315" t="n">
        <v>0</v>
      </c>
      <c r="P315" t="n">
        <v>0</v>
      </c>
      <c r="Q315" t="n">
        <v>0</v>
      </c>
      <c r="R315" s="2" t="inlineStr"/>
    </row>
    <row r="316" ht="15" customHeight="1">
      <c r="A316" t="inlineStr">
        <is>
          <t>A 45359-2024</t>
        </is>
      </c>
      <c r="B316" s="1" t="n">
        <v>45576.48241898148</v>
      </c>
      <c r="C316" s="1" t="n">
        <v>45928</v>
      </c>
      <c r="D316" t="inlineStr">
        <is>
          <t>VÄSTERBOTTENS LÄN</t>
        </is>
      </c>
      <c r="E316" t="inlineStr">
        <is>
          <t>UMEÅ</t>
        </is>
      </c>
      <c r="F316" t="inlineStr">
        <is>
          <t>Holmen skog AB</t>
        </is>
      </c>
      <c r="G316" t="n">
        <v>1</v>
      </c>
      <c r="H316" t="n">
        <v>0</v>
      </c>
      <c r="I316" t="n">
        <v>0</v>
      </c>
      <c r="J316" t="n">
        <v>0</v>
      </c>
      <c r="K316" t="n">
        <v>0</v>
      </c>
      <c r="L316" t="n">
        <v>0</v>
      </c>
      <c r="M316" t="n">
        <v>0</v>
      </c>
      <c r="N316" t="n">
        <v>0</v>
      </c>
      <c r="O316" t="n">
        <v>0</v>
      </c>
      <c r="P316" t="n">
        <v>0</v>
      </c>
      <c r="Q316" t="n">
        <v>0</v>
      </c>
      <c r="R316" s="2" t="inlineStr"/>
    </row>
    <row r="317" ht="15" customHeight="1">
      <c r="A317" t="inlineStr">
        <is>
          <t>A 40928-2025</t>
        </is>
      </c>
      <c r="B317" s="1" t="n">
        <v>45897.6433912037</v>
      </c>
      <c r="C317" s="1" t="n">
        <v>45928</v>
      </c>
      <c r="D317" t="inlineStr">
        <is>
          <t>VÄSTERBOTTENS LÄN</t>
        </is>
      </c>
      <c r="E317" t="inlineStr">
        <is>
          <t>UMEÅ</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40949-2025</t>
        </is>
      </c>
      <c r="B318" s="1" t="n">
        <v>45897.6609837963</v>
      </c>
      <c r="C318" s="1" t="n">
        <v>45928</v>
      </c>
      <c r="D318" t="inlineStr">
        <is>
          <t>VÄSTERBOTTENS LÄN</t>
        </is>
      </c>
      <c r="E318" t="inlineStr">
        <is>
          <t>UMEÅ</t>
        </is>
      </c>
      <c r="F318" t="inlineStr">
        <is>
          <t>Holmen skog AB</t>
        </is>
      </c>
      <c r="G318" t="n">
        <v>0.6</v>
      </c>
      <c r="H318" t="n">
        <v>0</v>
      </c>
      <c r="I318" t="n">
        <v>0</v>
      </c>
      <c r="J318" t="n">
        <v>0</v>
      </c>
      <c r="K318" t="n">
        <v>0</v>
      </c>
      <c r="L318" t="n">
        <v>0</v>
      </c>
      <c r="M318" t="n">
        <v>0</v>
      </c>
      <c r="N318" t="n">
        <v>0</v>
      </c>
      <c r="O318" t="n">
        <v>0</v>
      </c>
      <c r="P318" t="n">
        <v>0</v>
      </c>
      <c r="Q318" t="n">
        <v>0</v>
      </c>
      <c r="R318" s="2" t="inlineStr"/>
    </row>
    <row r="319" ht="15" customHeight="1">
      <c r="A319" t="inlineStr">
        <is>
          <t>A 45872-2024</t>
        </is>
      </c>
      <c r="B319" s="1" t="n">
        <v>45580.37296296296</v>
      </c>
      <c r="C319" s="1" t="n">
        <v>45928</v>
      </c>
      <c r="D319" t="inlineStr">
        <is>
          <t>VÄSTERBOTTENS LÄN</t>
        </is>
      </c>
      <c r="E319" t="inlineStr">
        <is>
          <t>UMEÅ</t>
        </is>
      </c>
      <c r="F319" t="inlineStr">
        <is>
          <t>Holmen skog AB</t>
        </is>
      </c>
      <c r="G319" t="n">
        <v>3.4</v>
      </c>
      <c r="H319" t="n">
        <v>0</v>
      </c>
      <c r="I319" t="n">
        <v>0</v>
      </c>
      <c r="J319" t="n">
        <v>0</v>
      </c>
      <c r="K319" t="n">
        <v>0</v>
      </c>
      <c r="L319" t="n">
        <v>0</v>
      </c>
      <c r="M319" t="n">
        <v>0</v>
      </c>
      <c r="N319" t="n">
        <v>0</v>
      </c>
      <c r="O319" t="n">
        <v>0</v>
      </c>
      <c r="P319" t="n">
        <v>0</v>
      </c>
      <c r="Q319" t="n">
        <v>0</v>
      </c>
      <c r="R319" s="2" t="inlineStr"/>
    </row>
    <row r="320" ht="15" customHeight="1">
      <c r="A320" t="inlineStr">
        <is>
          <t>A 56563-2021</t>
        </is>
      </c>
      <c r="B320" s="1" t="n">
        <v>44480</v>
      </c>
      <c r="C320" s="1" t="n">
        <v>45928</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9607-2023</t>
        </is>
      </c>
      <c r="B321" s="1" t="n">
        <v>44983</v>
      </c>
      <c r="C321" s="1" t="n">
        <v>45928</v>
      </c>
      <c r="D321" t="inlineStr">
        <is>
          <t>VÄSTERBOTTENS LÄN</t>
        </is>
      </c>
      <c r="E321" t="inlineStr">
        <is>
          <t>UMEÅ</t>
        </is>
      </c>
      <c r="F321" t="inlineStr">
        <is>
          <t>Holmen skog AB</t>
        </is>
      </c>
      <c r="G321" t="n">
        <v>5.2</v>
      </c>
      <c r="H321" t="n">
        <v>0</v>
      </c>
      <c r="I321" t="n">
        <v>0</v>
      </c>
      <c r="J321" t="n">
        <v>0</v>
      </c>
      <c r="K321" t="n">
        <v>0</v>
      </c>
      <c r="L321" t="n">
        <v>0</v>
      </c>
      <c r="M321" t="n">
        <v>0</v>
      </c>
      <c r="N321" t="n">
        <v>0</v>
      </c>
      <c r="O321" t="n">
        <v>0</v>
      </c>
      <c r="P321" t="n">
        <v>0</v>
      </c>
      <c r="Q321" t="n">
        <v>0</v>
      </c>
      <c r="R321" s="2" t="inlineStr"/>
    </row>
    <row r="322" ht="15" customHeight="1">
      <c r="A322" t="inlineStr">
        <is>
          <t>A 56743-2023</t>
        </is>
      </c>
      <c r="B322" s="1" t="n">
        <v>45244</v>
      </c>
      <c r="C322" s="1" t="n">
        <v>45928</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17344-2025</t>
        </is>
      </c>
      <c r="B323" s="1" t="n">
        <v>45756.67138888889</v>
      </c>
      <c r="C323" s="1" t="n">
        <v>45928</v>
      </c>
      <c r="D323" t="inlineStr">
        <is>
          <t>VÄSTERBOTTENS LÄN</t>
        </is>
      </c>
      <c r="E323" t="inlineStr">
        <is>
          <t>UMEÅ</t>
        </is>
      </c>
      <c r="G323" t="n">
        <v>3.3</v>
      </c>
      <c r="H323" t="n">
        <v>0</v>
      </c>
      <c r="I323" t="n">
        <v>0</v>
      </c>
      <c r="J323" t="n">
        <v>0</v>
      </c>
      <c r="K323" t="n">
        <v>0</v>
      </c>
      <c r="L323" t="n">
        <v>0</v>
      </c>
      <c r="M323" t="n">
        <v>0</v>
      </c>
      <c r="N323" t="n">
        <v>0</v>
      </c>
      <c r="O323" t="n">
        <v>0</v>
      </c>
      <c r="P323" t="n">
        <v>0</v>
      </c>
      <c r="Q323" t="n">
        <v>0</v>
      </c>
      <c r="R323" s="2" t="inlineStr"/>
    </row>
    <row r="324" ht="15" customHeight="1">
      <c r="A324" t="inlineStr">
        <is>
          <t>A 61451-2020</t>
        </is>
      </c>
      <c r="B324" s="1" t="n">
        <v>44158.03034722222</v>
      </c>
      <c r="C324" s="1" t="n">
        <v>45928</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46122-2024</t>
        </is>
      </c>
      <c r="B325" s="1" t="n">
        <v>45581.41333333333</v>
      </c>
      <c r="C325" s="1" t="n">
        <v>45928</v>
      </c>
      <c r="D325" t="inlineStr">
        <is>
          <t>VÄSTERBOTTENS LÄN</t>
        </is>
      </c>
      <c r="E325" t="inlineStr">
        <is>
          <t>UMEÅ</t>
        </is>
      </c>
      <c r="G325" t="n">
        <v>3.2</v>
      </c>
      <c r="H325" t="n">
        <v>0</v>
      </c>
      <c r="I325" t="n">
        <v>0</v>
      </c>
      <c r="J325" t="n">
        <v>0</v>
      </c>
      <c r="K325" t="n">
        <v>0</v>
      </c>
      <c r="L325" t="n">
        <v>0</v>
      </c>
      <c r="M325" t="n">
        <v>0</v>
      </c>
      <c r="N325" t="n">
        <v>0</v>
      </c>
      <c r="O325" t="n">
        <v>0</v>
      </c>
      <c r="P325" t="n">
        <v>0</v>
      </c>
      <c r="Q325" t="n">
        <v>0</v>
      </c>
      <c r="R325" s="2" t="inlineStr"/>
    </row>
    <row r="326" ht="15" customHeight="1">
      <c r="A326" t="inlineStr">
        <is>
          <t>A 41751-2025</t>
        </is>
      </c>
      <c r="B326" s="1" t="n">
        <v>45902</v>
      </c>
      <c r="C326" s="1" t="n">
        <v>45928</v>
      </c>
      <c r="D326" t="inlineStr">
        <is>
          <t>VÄSTERBOTTENS LÄN</t>
        </is>
      </c>
      <c r="E326" t="inlineStr">
        <is>
          <t>UMEÅ</t>
        </is>
      </c>
      <c r="G326" t="n">
        <v>2.3</v>
      </c>
      <c r="H326" t="n">
        <v>0</v>
      </c>
      <c r="I326" t="n">
        <v>0</v>
      </c>
      <c r="J326" t="n">
        <v>0</v>
      </c>
      <c r="K326" t="n">
        <v>0</v>
      </c>
      <c r="L326" t="n">
        <v>0</v>
      </c>
      <c r="M326" t="n">
        <v>0</v>
      </c>
      <c r="N326" t="n">
        <v>0</v>
      </c>
      <c r="O326" t="n">
        <v>0</v>
      </c>
      <c r="P326" t="n">
        <v>0</v>
      </c>
      <c r="Q326" t="n">
        <v>0</v>
      </c>
      <c r="R326" s="2" t="inlineStr"/>
    </row>
    <row r="327" ht="15" customHeight="1">
      <c r="A327" t="inlineStr">
        <is>
          <t>A 15105-2024</t>
        </is>
      </c>
      <c r="B327" s="1" t="n">
        <v>45399</v>
      </c>
      <c r="C327" s="1" t="n">
        <v>45928</v>
      </c>
      <c r="D327" t="inlineStr">
        <is>
          <t>VÄSTERBOTTENS LÄN</t>
        </is>
      </c>
      <c r="E327" t="inlineStr">
        <is>
          <t>UMEÅ</t>
        </is>
      </c>
      <c r="G327" t="n">
        <v>2.2</v>
      </c>
      <c r="H327" t="n">
        <v>0</v>
      </c>
      <c r="I327" t="n">
        <v>0</v>
      </c>
      <c r="J327" t="n">
        <v>0</v>
      </c>
      <c r="K327" t="n">
        <v>0</v>
      </c>
      <c r="L327" t="n">
        <v>0</v>
      </c>
      <c r="M327" t="n">
        <v>0</v>
      </c>
      <c r="N327" t="n">
        <v>0</v>
      </c>
      <c r="O327" t="n">
        <v>0</v>
      </c>
      <c r="P327" t="n">
        <v>0</v>
      </c>
      <c r="Q327" t="n">
        <v>0</v>
      </c>
      <c r="R327" s="2" t="inlineStr"/>
    </row>
    <row r="328" ht="15" customHeight="1">
      <c r="A328" t="inlineStr">
        <is>
          <t>A 31928-2024</t>
        </is>
      </c>
      <c r="B328" s="1" t="n">
        <v>45510.40539351852</v>
      </c>
      <c r="C328" s="1" t="n">
        <v>45928</v>
      </c>
      <c r="D328" t="inlineStr">
        <is>
          <t>VÄSTERBOTTENS LÄN</t>
        </is>
      </c>
      <c r="E328" t="inlineStr">
        <is>
          <t>UMEÅ</t>
        </is>
      </c>
      <c r="F328" t="inlineStr">
        <is>
          <t>Holmen skog AB</t>
        </is>
      </c>
      <c r="G328" t="n">
        <v>1</v>
      </c>
      <c r="H328" t="n">
        <v>0</v>
      </c>
      <c r="I328" t="n">
        <v>0</v>
      </c>
      <c r="J328" t="n">
        <v>0</v>
      </c>
      <c r="K328" t="n">
        <v>0</v>
      </c>
      <c r="L328" t="n">
        <v>0</v>
      </c>
      <c r="M328" t="n">
        <v>0</v>
      </c>
      <c r="N328" t="n">
        <v>0</v>
      </c>
      <c r="O328" t="n">
        <v>0</v>
      </c>
      <c r="P328" t="n">
        <v>0</v>
      </c>
      <c r="Q328" t="n">
        <v>0</v>
      </c>
      <c r="R328" s="2" t="inlineStr"/>
    </row>
    <row r="329" ht="15" customHeight="1">
      <c r="A329" t="inlineStr">
        <is>
          <t>A 41732-2023</t>
        </is>
      </c>
      <c r="B329" s="1" t="n">
        <v>45176</v>
      </c>
      <c r="C329" s="1" t="n">
        <v>45928</v>
      </c>
      <c r="D329" t="inlineStr">
        <is>
          <t>VÄSTERBOTTENS LÄN</t>
        </is>
      </c>
      <c r="E329" t="inlineStr">
        <is>
          <t>UMEÅ</t>
        </is>
      </c>
      <c r="F329" t="inlineStr">
        <is>
          <t>Holmen skog AB</t>
        </is>
      </c>
      <c r="G329" t="n">
        <v>1</v>
      </c>
      <c r="H329" t="n">
        <v>0</v>
      </c>
      <c r="I329" t="n">
        <v>0</v>
      </c>
      <c r="J329" t="n">
        <v>0</v>
      </c>
      <c r="K329" t="n">
        <v>0</v>
      </c>
      <c r="L329" t="n">
        <v>0</v>
      </c>
      <c r="M329" t="n">
        <v>0</v>
      </c>
      <c r="N329" t="n">
        <v>0</v>
      </c>
      <c r="O329" t="n">
        <v>0</v>
      </c>
      <c r="P329" t="n">
        <v>0</v>
      </c>
      <c r="Q329" t="n">
        <v>0</v>
      </c>
      <c r="R329" s="2" t="inlineStr"/>
    </row>
    <row r="330" ht="15" customHeight="1">
      <c r="A330" t="inlineStr">
        <is>
          <t>A 25687-2024</t>
        </is>
      </c>
      <c r="B330" s="1" t="n">
        <v>45463</v>
      </c>
      <c r="C330" s="1" t="n">
        <v>45928</v>
      </c>
      <c r="D330" t="inlineStr">
        <is>
          <t>VÄSTERBOTTENS LÄN</t>
        </is>
      </c>
      <c r="E330" t="inlineStr">
        <is>
          <t>UMEÅ</t>
        </is>
      </c>
      <c r="G330" t="n">
        <v>1</v>
      </c>
      <c r="H330" t="n">
        <v>0</v>
      </c>
      <c r="I330" t="n">
        <v>0</v>
      </c>
      <c r="J330" t="n">
        <v>0</v>
      </c>
      <c r="K330" t="n">
        <v>0</v>
      </c>
      <c r="L330" t="n">
        <v>0</v>
      </c>
      <c r="M330" t="n">
        <v>0</v>
      </c>
      <c r="N330" t="n">
        <v>0</v>
      </c>
      <c r="O330" t="n">
        <v>0</v>
      </c>
      <c r="P330" t="n">
        <v>0</v>
      </c>
      <c r="Q330" t="n">
        <v>0</v>
      </c>
      <c r="R330" s="2" t="inlineStr"/>
    </row>
    <row r="331" ht="15" customHeight="1">
      <c r="A331" t="inlineStr">
        <is>
          <t>A 35625-2024</t>
        </is>
      </c>
      <c r="B331" s="1" t="n">
        <v>45531.73709490741</v>
      </c>
      <c r="C331" s="1" t="n">
        <v>45928</v>
      </c>
      <c r="D331" t="inlineStr">
        <is>
          <t>VÄSTERBOTTENS LÄN</t>
        </is>
      </c>
      <c r="E331" t="inlineStr">
        <is>
          <t>UMEÅ</t>
        </is>
      </c>
      <c r="G331" t="n">
        <v>1.5</v>
      </c>
      <c r="H331" t="n">
        <v>0</v>
      </c>
      <c r="I331" t="n">
        <v>0</v>
      </c>
      <c r="J331" t="n">
        <v>0</v>
      </c>
      <c r="K331" t="n">
        <v>0</v>
      </c>
      <c r="L331" t="n">
        <v>0</v>
      </c>
      <c r="M331" t="n">
        <v>0</v>
      </c>
      <c r="N331" t="n">
        <v>0</v>
      </c>
      <c r="O331" t="n">
        <v>0</v>
      </c>
      <c r="P331" t="n">
        <v>0</v>
      </c>
      <c r="Q331" t="n">
        <v>0</v>
      </c>
      <c r="R331" s="2" t="inlineStr"/>
    </row>
    <row r="332" ht="15" customHeight="1">
      <c r="A332" t="inlineStr">
        <is>
          <t>A 25690-2025</t>
        </is>
      </c>
      <c r="B332" s="1" t="n">
        <v>45803.66153935185</v>
      </c>
      <c r="C332" s="1" t="n">
        <v>45928</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42198-2025</t>
        </is>
      </c>
      <c r="B333" s="1" t="n">
        <v>45904.48623842592</v>
      </c>
      <c r="C333" s="1" t="n">
        <v>45928</v>
      </c>
      <c r="D333" t="inlineStr">
        <is>
          <t>VÄSTERBOTTENS LÄN</t>
        </is>
      </c>
      <c r="E333" t="inlineStr">
        <is>
          <t>UMEÅ</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42204-2025</t>
        </is>
      </c>
      <c r="B334" s="1" t="n">
        <v>45904.49043981481</v>
      </c>
      <c r="C334" s="1" t="n">
        <v>45928</v>
      </c>
      <c r="D334" t="inlineStr">
        <is>
          <t>VÄSTERBOTTENS LÄN</t>
        </is>
      </c>
      <c r="E334" t="inlineStr">
        <is>
          <t>UMEÅ</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50879-2023</t>
        </is>
      </c>
      <c r="B335" s="1" t="n">
        <v>45211</v>
      </c>
      <c r="C335" s="1" t="n">
        <v>45928</v>
      </c>
      <c r="D335" t="inlineStr">
        <is>
          <t>VÄSTERBOTTENS LÄN</t>
        </is>
      </c>
      <c r="E335" t="inlineStr">
        <is>
          <t>UMEÅ</t>
        </is>
      </c>
      <c r="G335" t="n">
        <v>2.7</v>
      </c>
      <c r="H335" t="n">
        <v>0</v>
      </c>
      <c r="I335" t="n">
        <v>0</v>
      </c>
      <c r="J335" t="n">
        <v>0</v>
      </c>
      <c r="K335" t="n">
        <v>0</v>
      </c>
      <c r="L335" t="n">
        <v>0</v>
      </c>
      <c r="M335" t="n">
        <v>0</v>
      </c>
      <c r="N335" t="n">
        <v>0</v>
      </c>
      <c r="O335" t="n">
        <v>0</v>
      </c>
      <c r="P335" t="n">
        <v>0</v>
      </c>
      <c r="Q335" t="n">
        <v>0</v>
      </c>
      <c r="R335" s="2" t="inlineStr"/>
    </row>
    <row r="336" ht="15" customHeight="1">
      <c r="A336" t="inlineStr">
        <is>
          <t>A 35434-2024</t>
        </is>
      </c>
      <c r="B336" s="1" t="n">
        <v>45531.41466435185</v>
      </c>
      <c r="C336" s="1" t="n">
        <v>45928</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9671-2024</t>
        </is>
      </c>
      <c r="B337" s="1" t="n">
        <v>45362.46013888889</v>
      </c>
      <c r="C337" s="1" t="n">
        <v>45928</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42176-2025</t>
        </is>
      </c>
      <c r="B338" s="1" t="n">
        <v>45904.44513888889</v>
      </c>
      <c r="C338" s="1" t="n">
        <v>45928</v>
      </c>
      <c r="D338" t="inlineStr">
        <is>
          <t>VÄSTERBOTTENS LÄN</t>
        </is>
      </c>
      <c r="E338" t="inlineStr">
        <is>
          <t>UMEÅ</t>
        </is>
      </c>
      <c r="F338" t="inlineStr">
        <is>
          <t>Holmen skog AB</t>
        </is>
      </c>
      <c r="G338" t="n">
        <v>1.6</v>
      </c>
      <c r="H338" t="n">
        <v>0</v>
      </c>
      <c r="I338" t="n">
        <v>0</v>
      </c>
      <c r="J338" t="n">
        <v>0</v>
      </c>
      <c r="K338" t="n">
        <v>0</v>
      </c>
      <c r="L338" t="n">
        <v>0</v>
      </c>
      <c r="M338" t="n">
        <v>0</v>
      </c>
      <c r="N338" t="n">
        <v>0</v>
      </c>
      <c r="O338" t="n">
        <v>0</v>
      </c>
      <c r="P338" t="n">
        <v>0</v>
      </c>
      <c r="Q338" t="n">
        <v>0</v>
      </c>
      <c r="R338" s="2" t="inlineStr"/>
    </row>
    <row r="339" ht="15" customHeight="1">
      <c r="A339" t="inlineStr">
        <is>
          <t>A 41176-2025</t>
        </is>
      </c>
      <c r="B339" s="1" t="n">
        <v>45898</v>
      </c>
      <c r="C339" s="1" t="n">
        <v>45928</v>
      </c>
      <c r="D339" t="inlineStr">
        <is>
          <t>VÄSTERBOTTENS LÄN</t>
        </is>
      </c>
      <c r="E339" t="inlineStr">
        <is>
          <t>UMEÅ</t>
        </is>
      </c>
      <c r="G339" t="n">
        <v>4.3</v>
      </c>
      <c r="H339" t="n">
        <v>0</v>
      </c>
      <c r="I339" t="n">
        <v>0</v>
      </c>
      <c r="J339" t="n">
        <v>0</v>
      </c>
      <c r="K339" t="n">
        <v>0</v>
      </c>
      <c r="L339" t="n">
        <v>0</v>
      </c>
      <c r="M339" t="n">
        <v>0</v>
      </c>
      <c r="N339" t="n">
        <v>0</v>
      </c>
      <c r="O339" t="n">
        <v>0</v>
      </c>
      <c r="P339" t="n">
        <v>0</v>
      </c>
      <c r="Q339" t="n">
        <v>0</v>
      </c>
      <c r="R339" s="2" t="inlineStr"/>
    </row>
    <row r="340" ht="15" customHeight="1">
      <c r="A340" t="inlineStr">
        <is>
          <t>A 11061-2025</t>
        </is>
      </c>
      <c r="B340" s="1" t="n">
        <v>45723.51538194445</v>
      </c>
      <c r="C340" s="1" t="n">
        <v>45928</v>
      </c>
      <c r="D340" t="inlineStr">
        <is>
          <t>VÄSTERBOTTENS LÄN</t>
        </is>
      </c>
      <c r="E340" t="inlineStr">
        <is>
          <t>UMEÅ</t>
        </is>
      </c>
      <c r="G340" t="n">
        <v>1.8</v>
      </c>
      <c r="H340" t="n">
        <v>0</v>
      </c>
      <c r="I340" t="n">
        <v>0</v>
      </c>
      <c r="J340" t="n">
        <v>0</v>
      </c>
      <c r="K340" t="n">
        <v>0</v>
      </c>
      <c r="L340" t="n">
        <v>0</v>
      </c>
      <c r="M340" t="n">
        <v>0</v>
      </c>
      <c r="N340" t="n">
        <v>0</v>
      </c>
      <c r="O340" t="n">
        <v>0</v>
      </c>
      <c r="P340" t="n">
        <v>0</v>
      </c>
      <c r="Q340" t="n">
        <v>0</v>
      </c>
      <c r="R340" s="2" t="inlineStr"/>
    </row>
    <row r="341" ht="15" customHeight="1">
      <c r="A341" t="inlineStr">
        <is>
          <t>A 47141-2021</t>
        </is>
      </c>
      <c r="B341" s="1" t="n">
        <v>44446.91958333334</v>
      </c>
      <c r="C341" s="1" t="n">
        <v>45928</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41466-2025</t>
        </is>
      </c>
      <c r="B342" s="1" t="n">
        <v>45901</v>
      </c>
      <c r="C342" s="1" t="n">
        <v>45928</v>
      </c>
      <c r="D342" t="inlineStr">
        <is>
          <t>VÄSTERBOTTENS LÄN</t>
        </is>
      </c>
      <c r="E342" t="inlineStr">
        <is>
          <t>UMEÅ</t>
        </is>
      </c>
      <c r="G342" t="n">
        <v>0.3</v>
      </c>
      <c r="H342" t="n">
        <v>0</v>
      </c>
      <c r="I342" t="n">
        <v>0</v>
      </c>
      <c r="J342" t="n">
        <v>0</v>
      </c>
      <c r="K342" t="n">
        <v>0</v>
      </c>
      <c r="L342" t="n">
        <v>0</v>
      </c>
      <c r="M342" t="n">
        <v>0</v>
      </c>
      <c r="N342" t="n">
        <v>0</v>
      </c>
      <c r="O342" t="n">
        <v>0</v>
      </c>
      <c r="P342" t="n">
        <v>0</v>
      </c>
      <c r="Q342" t="n">
        <v>0</v>
      </c>
      <c r="R342" s="2" t="inlineStr"/>
    </row>
    <row r="343" ht="15" customHeight="1">
      <c r="A343" t="inlineStr">
        <is>
          <t>A 7384-2022</t>
        </is>
      </c>
      <c r="B343" s="1" t="n">
        <v>44606.62334490741</v>
      </c>
      <c r="C343" s="1" t="n">
        <v>45928</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41580-2025</t>
        </is>
      </c>
      <c r="B344" s="1" t="n">
        <v>45901.62168981481</v>
      </c>
      <c r="C344" s="1" t="n">
        <v>45928</v>
      </c>
      <c r="D344" t="inlineStr">
        <is>
          <t>VÄSTERBOTTENS LÄN</t>
        </is>
      </c>
      <c r="E344" t="inlineStr">
        <is>
          <t>UMEÅ</t>
        </is>
      </c>
      <c r="G344" t="n">
        <v>2.6</v>
      </c>
      <c r="H344" t="n">
        <v>0</v>
      </c>
      <c r="I344" t="n">
        <v>0</v>
      </c>
      <c r="J344" t="n">
        <v>0</v>
      </c>
      <c r="K344" t="n">
        <v>0</v>
      </c>
      <c r="L344" t="n">
        <v>0</v>
      </c>
      <c r="M344" t="n">
        <v>0</v>
      </c>
      <c r="N344" t="n">
        <v>0</v>
      </c>
      <c r="O344" t="n">
        <v>0</v>
      </c>
      <c r="P344" t="n">
        <v>0</v>
      </c>
      <c r="Q344" t="n">
        <v>0</v>
      </c>
      <c r="R344" s="2" t="inlineStr"/>
    </row>
    <row r="345" ht="15" customHeight="1">
      <c r="A345" t="inlineStr">
        <is>
          <t>A 42649-2024</t>
        </is>
      </c>
      <c r="B345" s="1" t="n">
        <v>45566</v>
      </c>
      <c r="C345" s="1" t="n">
        <v>45928</v>
      </c>
      <c r="D345" t="inlineStr">
        <is>
          <t>VÄSTERBOTTENS LÄN</t>
        </is>
      </c>
      <c r="E345" t="inlineStr">
        <is>
          <t>UMEÅ</t>
        </is>
      </c>
      <c r="F345" t="inlineStr">
        <is>
          <t>Holmen skog AB</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25683-2025</t>
        </is>
      </c>
      <c r="B346" s="1" t="n">
        <v>45803.65159722222</v>
      </c>
      <c r="C346" s="1" t="n">
        <v>45928</v>
      </c>
      <c r="D346" t="inlineStr">
        <is>
          <t>VÄSTERBOTTENS LÄN</t>
        </is>
      </c>
      <c r="E346" t="inlineStr">
        <is>
          <t>UMEÅ</t>
        </is>
      </c>
      <c r="G346" t="n">
        <v>4.9</v>
      </c>
      <c r="H346" t="n">
        <v>0</v>
      </c>
      <c r="I346" t="n">
        <v>0</v>
      </c>
      <c r="J346" t="n">
        <v>0</v>
      </c>
      <c r="K346" t="n">
        <v>0</v>
      </c>
      <c r="L346" t="n">
        <v>0</v>
      </c>
      <c r="M346" t="n">
        <v>0</v>
      </c>
      <c r="N346" t="n">
        <v>0</v>
      </c>
      <c r="O346" t="n">
        <v>0</v>
      </c>
      <c r="P346" t="n">
        <v>0</v>
      </c>
      <c r="Q346" t="n">
        <v>0</v>
      </c>
      <c r="R346" s="2" t="inlineStr"/>
    </row>
    <row r="347" ht="15" customHeight="1">
      <c r="A347" t="inlineStr">
        <is>
          <t>A 38750-2021</t>
        </is>
      </c>
      <c r="B347" s="1" t="n">
        <v>44410</v>
      </c>
      <c r="C347" s="1" t="n">
        <v>45928</v>
      </c>
      <c r="D347" t="inlineStr">
        <is>
          <t>VÄSTERBOTTENS LÄN</t>
        </is>
      </c>
      <c r="E347" t="inlineStr">
        <is>
          <t>UMEÅ</t>
        </is>
      </c>
      <c r="F347" t="inlineStr">
        <is>
          <t>Kommuner</t>
        </is>
      </c>
      <c r="G347" t="n">
        <v>1.7</v>
      </c>
      <c r="H347" t="n">
        <v>0</v>
      </c>
      <c r="I347" t="n">
        <v>0</v>
      </c>
      <c r="J347" t="n">
        <v>0</v>
      </c>
      <c r="K347" t="n">
        <v>0</v>
      </c>
      <c r="L347" t="n">
        <v>0</v>
      </c>
      <c r="M347" t="n">
        <v>0</v>
      </c>
      <c r="N347" t="n">
        <v>0</v>
      </c>
      <c r="O347" t="n">
        <v>0</v>
      </c>
      <c r="P347" t="n">
        <v>0</v>
      </c>
      <c r="Q347" t="n">
        <v>0</v>
      </c>
      <c r="R347" s="2" t="inlineStr"/>
    </row>
    <row r="348" ht="15" customHeight="1">
      <c r="A348" t="inlineStr">
        <is>
          <t>A 43975-2024</t>
        </is>
      </c>
      <c r="B348" s="1" t="n">
        <v>45572.49075231481</v>
      </c>
      <c r="C348" s="1" t="n">
        <v>45928</v>
      </c>
      <c r="D348" t="inlineStr">
        <is>
          <t>VÄSTERBOTTENS LÄN</t>
        </is>
      </c>
      <c r="E348" t="inlineStr">
        <is>
          <t>UMEÅ</t>
        </is>
      </c>
      <c r="G348" t="n">
        <v>6.8</v>
      </c>
      <c r="H348" t="n">
        <v>0</v>
      </c>
      <c r="I348" t="n">
        <v>0</v>
      </c>
      <c r="J348" t="n">
        <v>0</v>
      </c>
      <c r="K348" t="n">
        <v>0</v>
      </c>
      <c r="L348" t="n">
        <v>0</v>
      </c>
      <c r="M348" t="n">
        <v>0</v>
      </c>
      <c r="N348" t="n">
        <v>0</v>
      </c>
      <c r="O348" t="n">
        <v>0</v>
      </c>
      <c r="P348" t="n">
        <v>0</v>
      </c>
      <c r="Q348" t="n">
        <v>0</v>
      </c>
      <c r="R348" s="2" t="inlineStr"/>
    </row>
    <row r="349" ht="15" customHeight="1">
      <c r="A349" t="inlineStr">
        <is>
          <t>A 42617-2025</t>
        </is>
      </c>
      <c r="B349" s="1" t="n">
        <v>45905.71921296296</v>
      </c>
      <c r="C349" s="1" t="n">
        <v>45928</v>
      </c>
      <c r="D349" t="inlineStr">
        <is>
          <t>VÄSTERBOTTENS LÄN</t>
        </is>
      </c>
      <c r="E349" t="inlineStr">
        <is>
          <t>UMEÅ</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45343-2024</t>
        </is>
      </c>
      <c r="B350" s="1" t="n">
        <v>45576.47199074074</v>
      </c>
      <c r="C350" s="1" t="n">
        <v>45928</v>
      </c>
      <c r="D350" t="inlineStr">
        <is>
          <t>VÄSTERBOTTENS LÄN</t>
        </is>
      </c>
      <c r="E350" t="inlineStr">
        <is>
          <t>UMEÅ</t>
        </is>
      </c>
      <c r="F350" t="inlineStr">
        <is>
          <t>Holmen skog AB</t>
        </is>
      </c>
      <c r="G350" t="n">
        <v>6.1</v>
      </c>
      <c r="H350" t="n">
        <v>0</v>
      </c>
      <c r="I350" t="n">
        <v>0</v>
      </c>
      <c r="J350" t="n">
        <v>0</v>
      </c>
      <c r="K350" t="n">
        <v>0</v>
      </c>
      <c r="L350" t="n">
        <v>0</v>
      </c>
      <c r="M350" t="n">
        <v>0</v>
      </c>
      <c r="N350" t="n">
        <v>0</v>
      </c>
      <c r="O350" t="n">
        <v>0</v>
      </c>
      <c r="P350" t="n">
        <v>0</v>
      </c>
      <c r="Q350" t="n">
        <v>0</v>
      </c>
      <c r="R350" s="2" t="inlineStr"/>
    </row>
    <row r="351" ht="15" customHeight="1">
      <c r="A351" t="inlineStr">
        <is>
          <t>A 36056-2025</t>
        </is>
      </c>
      <c r="B351" s="1" t="n">
        <v>45866.39083333333</v>
      </c>
      <c r="C351" s="1" t="n">
        <v>45928</v>
      </c>
      <c r="D351" t="inlineStr">
        <is>
          <t>VÄSTERBOTTENS LÄN</t>
        </is>
      </c>
      <c r="E351" t="inlineStr">
        <is>
          <t>UMEÅ</t>
        </is>
      </c>
      <c r="F351" t="inlineStr">
        <is>
          <t>Holmen skog AB</t>
        </is>
      </c>
      <c r="G351" t="n">
        <v>4.1</v>
      </c>
      <c r="H351" t="n">
        <v>0</v>
      </c>
      <c r="I351" t="n">
        <v>0</v>
      </c>
      <c r="J351" t="n">
        <v>0</v>
      </c>
      <c r="K351" t="n">
        <v>0</v>
      </c>
      <c r="L351" t="n">
        <v>0</v>
      </c>
      <c r="M351" t="n">
        <v>0</v>
      </c>
      <c r="N351" t="n">
        <v>0</v>
      </c>
      <c r="O351" t="n">
        <v>0</v>
      </c>
      <c r="P351" t="n">
        <v>0</v>
      </c>
      <c r="Q351" t="n">
        <v>0</v>
      </c>
      <c r="R351" s="2" t="inlineStr"/>
    </row>
    <row r="352" ht="15" customHeight="1">
      <c r="A352" t="inlineStr">
        <is>
          <t>A 17928-2023</t>
        </is>
      </c>
      <c r="B352" s="1" t="n">
        <v>45037</v>
      </c>
      <c r="C352" s="1" t="n">
        <v>45928</v>
      </c>
      <c r="D352" t="inlineStr">
        <is>
          <t>VÄSTERBOTTENS LÄN</t>
        </is>
      </c>
      <c r="E352" t="inlineStr">
        <is>
          <t>UMEÅ</t>
        </is>
      </c>
      <c r="F352" t="inlineStr">
        <is>
          <t>Kommuner</t>
        </is>
      </c>
      <c r="G352" t="n">
        <v>1.1</v>
      </c>
      <c r="H352" t="n">
        <v>0</v>
      </c>
      <c r="I352" t="n">
        <v>0</v>
      </c>
      <c r="J352" t="n">
        <v>0</v>
      </c>
      <c r="K352" t="n">
        <v>0</v>
      </c>
      <c r="L352" t="n">
        <v>0</v>
      </c>
      <c r="M352" t="n">
        <v>0</v>
      </c>
      <c r="N352" t="n">
        <v>0</v>
      </c>
      <c r="O352" t="n">
        <v>0</v>
      </c>
      <c r="P352" t="n">
        <v>0</v>
      </c>
      <c r="Q352" t="n">
        <v>0</v>
      </c>
      <c r="R352" s="2" t="inlineStr"/>
    </row>
    <row r="353" ht="15" customHeight="1">
      <c r="A353" t="inlineStr">
        <is>
          <t>A 36084-2025</t>
        </is>
      </c>
      <c r="B353" s="1" t="n">
        <v>45866.460625</v>
      </c>
      <c r="C353" s="1" t="n">
        <v>45928</v>
      </c>
      <c r="D353" t="inlineStr">
        <is>
          <t>VÄSTERBOTTENS LÄN</t>
        </is>
      </c>
      <c r="E353" t="inlineStr">
        <is>
          <t>UMEÅ</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36114-2025</t>
        </is>
      </c>
      <c r="B354" s="1" t="n">
        <v>45866.57740740741</v>
      </c>
      <c r="C354" s="1" t="n">
        <v>45928</v>
      </c>
      <c r="D354" t="inlineStr">
        <is>
          <t>VÄSTERBOTTENS LÄN</t>
        </is>
      </c>
      <c r="E354" t="inlineStr">
        <is>
          <t>UMEÅ</t>
        </is>
      </c>
      <c r="F354" t="inlineStr">
        <is>
          <t>Holmen skog AB</t>
        </is>
      </c>
      <c r="G354" t="n">
        <v>3</v>
      </c>
      <c r="H354" t="n">
        <v>0</v>
      </c>
      <c r="I354" t="n">
        <v>0</v>
      </c>
      <c r="J354" t="n">
        <v>0</v>
      </c>
      <c r="K354" t="n">
        <v>0</v>
      </c>
      <c r="L354" t="n">
        <v>0</v>
      </c>
      <c r="M354" t="n">
        <v>0</v>
      </c>
      <c r="N354" t="n">
        <v>0</v>
      </c>
      <c r="O354" t="n">
        <v>0</v>
      </c>
      <c r="P354" t="n">
        <v>0</v>
      </c>
      <c r="Q354" t="n">
        <v>0</v>
      </c>
      <c r="R354" s="2" t="inlineStr"/>
    </row>
    <row r="355" ht="15" customHeight="1">
      <c r="A355" t="inlineStr">
        <is>
          <t>A 18889-2025</t>
        </is>
      </c>
      <c r="B355" s="1" t="n">
        <v>45764.44584490741</v>
      </c>
      <c r="C355" s="1" t="n">
        <v>45928</v>
      </c>
      <c r="D355" t="inlineStr">
        <is>
          <t>VÄSTERBOTTENS LÄN</t>
        </is>
      </c>
      <c r="E355" t="inlineStr">
        <is>
          <t>UMEÅ</t>
        </is>
      </c>
      <c r="F355" t="inlineStr">
        <is>
          <t>Holmen skog AB</t>
        </is>
      </c>
      <c r="G355" t="n">
        <v>8.1</v>
      </c>
      <c r="H355" t="n">
        <v>0</v>
      </c>
      <c r="I355" t="n">
        <v>0</v>
      </c>
      <c r="J355" t="n">
        <v>0</v>
      </c>
      <c r="K355" t="n">
        <v>0</v>
      </c>
      <c r="L355" t="n">
        <v>0</v>
      </c>
      <c r="M355" t="n">
        <v>0</v>
      </c>
      <c r="N355" t="n">
        <v>0</v>
      </c>
      <c r="O355" t="n">
        <v>0</v>
      </c>
      <c r="P355" t="n">
        <v>0</v>
      </c>
      <c r="Q355" t="n">
        <v>0</v>
      </c>
      <c r="R355" s="2" t="inlineStr"/>
    </row>
    <row r="356" ht="15" customHeight="1">
      <c r="A356" t="inlineStr">
        <is>
          <t>A 48635-2024</t>
        </is>
      </c>
      <c r="B356" s="1" t="n">
        <v>45593.46998842592</v>
      </c>
      <c r="C356" s="1" t="n">
        <v>45928</v>
      </c>
      <c r="D356" t="inlineStr">
        <is>
          <t>VÄSTERBOTTENS LÄN</t>
        </is>
      </c>
      <c r="E356" t="inlineStr">
        <is>
          <t>UMEÅ</t>
        </is>
      </c>
      <c r="F356" t="inlineStr">
        <is>
          <t>Holmen skog AB</t>
        </is>
      </c>
      <c r="G356" t="n">
        <v>0.7</v>
      </c>
      <c r="H356" t="n">
        <v>0</v>
      </c>
      <c r="I356" t="n">
        <v>0</v>
      </c>
      <c r="J356" t="n">
        <v>0</v>
      </c>
      <c r="K356" t="n">
        <v>0</v>
      </c>
      <c r="L356" t="n">
        <v>0</v>
      </c>
      <c r="M356" t="n">
        <v>0</v>
      </c>
      <c r="N356" t="n">
        <v>0</v>
      </c>
      <c r="O356" t="n">
        <v>0</v>
      </c>
      <c r="P356" t="n">
        <v>0</v>
      </c>
      <c r="Q356" t="n">
        <v>0</v>
      </c>
      <c r="R356" s="2" t="inlineStr"/>
    </row>
    <row r="357" ht="15" customHeight="1">
      <c r="A357" t="inlineStr">
        <is>
          <t>A 13821-2025</t>
        </is>
      </c>
      <c r="B357" s="1" t="n">
        <v>45737.53157407408</v>
      </c>
      <c r="C357" s="1" t="n">
        <v>45928</v>
      </c>
      <c r="D357" t="inlineStr">
        <is>
          <t>VÄSTERBOTTENS LÄN</t>
        </is>
      </c>
      <c r="E357" t="inlineStr">
        <is>
          <t>UMEÅ</t>
        </is>
      </c>
      <c r="G357" t="n">
        <v>7.1</v>
      </c>
      <c r="H357" t="n">
        <v>0</v>
      </c>
      <c r="I357" t="n">
        <v>0</v>
      </c>
      <c r="J357" t="n">
        <v>0</v>
      </c>
      <c r="K357" t="n">
        <v>0</v>
      </c>
      <c r="L357" t="n">
        <v>0</v>
      </c>
      <c r="M357" t="n">
        <v>0</v>
      </c>
      <c r="N357" t="n">
        <v>0</v>
      </c>
      <c r="O357" t="n">
        <v>0</v>
      </c>
      <c r="P357" t="n">
        <v>0</v>
      </c>
      <c r="Q357" t="n">
        <v>0</v>
      </c>
      <c r="R357" s="2" t="inlineStr"/>
    </row>
    <row r="358" ht="15" customHeight="1">
      <c r="A358" t="inlineStr">
        <is>
          <t>A 31200-2024</t>
        </is>
      </c>
      <c r="B358" s="1" t="n">
        <v>45503</v>
      </c>
      <c r="C358" s="1" t="n">
        <v>45928</v>
      </c>
      <c r="D358" t="inlineStr">
        <is>
          <t>VÄSTERBOTTENS LÄN</t>
        </is>
      </c>
      <c r="E358" t="inlineStr">
        <is>
          <t>UMEÅ</t>
        </is>
      </c>
      <c r="F358" t="inlineStr">
        <is>
          <t>Holmen skog AB</t>
        </is>
      </c>
      <c r="G358" t="n">
        <v>3.7</v>
      </c>
      <c r="H358" t="n">
        <v>0</v>
      </c>
      <c r="I358" t="n">
        <v>0</v>
      </c>
      <c r="J358" t="n">
        <v>0</v>
      </c>
      <c r="K358" t="n">
        <v>0</v>
      </c>
      <c r="L358" t="n">
        <v>0</v>
      </c>
      <c r="M358" t="n">
        <v>0</v>
      </c>
      <c r="N358" t="n">
        <v>0</v>
      </c>
      <c r="O358" t="n">
        <v>0</v>
      </c>
      <c r="P358" t="n">
        <v>0</v>
      </c>
      <c r="Q358" t="n">
        <v>0</v>
      </c>
      <c r="R358" s="2" t="inlineStr"/>
    </row>
    <row r="359" ht="15" customHeight="1">
      <c r="A359" t="inlineStr">
        <is>
          <t>A 53181-2021</t>
        </is>
      </c>
      <c r="B359" s="1" t="n">
        <v>44467</v>
      </c>
      <c r="C359" s="1" t="n">
        <v>45928</v>
      </c>
      <c r="D359" t="inlineStr">
        <is>
          <t>VÄSTERBOTTENS LÄN</t>
        </is>
      </c>
      <c r="E359" t="inlineStr">
        <is>
          <t>UMEÅ</t>
        </is>
      </c>
      <c r="G359" t="n">
        <v>3.1</v>
      </c>
      <c r="H359" t="n">
        <v>0</v>
      </c>
      <c r="I359" t="n">
        <v>0</v>
      </c>
      <c r="J359" t="n">
        <v>0</v>
      </c>
      <c r="K359" t="n">
        <v>0</v>
      </c>
      <c r="L359" t="n">
        <v>0</v>
      </c>
      <c r="M359" t="n">
        <v>0</v>
      </c>
      <c r="N359" t="n">
        <v>0</v>
      </c>
      <c r="O359" t="n">
        <v>0</v>
      </c>
      <c r="P359" t="n">
        <v>0</v>
      </c>
      <c r="Q359" t="n">
        <v>0</v>
      </c>
      <c r="R359" s="2" t="inlineStr"/>
    </row>
    <row r="360" ht="15" customHeight="1">
      <c r="A360" t="inlineStr">
        <is>
          <t>A 52900-2023</t>
        </is>
      </c>
      <c r="B360" s="1" t="n">
        <v>45226</v>
      </c>
      <c r="C360" s="1" t="n">
        <v>45928</v>
      </c>
      <c r="D360" t="inlineStr">
        <is>
          <t>VÄSTERBOTTENS LÄN</t>
        </is>
      </c>
      <c r="E360" t="inlineStr">
        <is>
          <t>UMEÅ</t>
        </is>
      </c>
      <c r="F360" t="inlineStr">
        <is>
          <t>Holmen skog AB</t>
        </is>
      </c>
      <c r="G360" t="n">
        <v>5</v>
      </c>
      <c r="H360" t="n">
        <v>0</v>
      </c>
      <c r="I360" t="n">
        <v>0</v>
      </c>
      <c r="J360" t="n">
        <v>0</v>
      </c>
      <c r="K360" t="n">
        <v>0</v>
      </c>
      <c r="L360" t="n">
        <v>0</v>
      </c>
      <c r="M360" t="n">
        <v>0</v>
      </c>
      <c r="N360" t="n">
        <v>0</v>
      </c>
      <c r="O360" t="n">
        <v>0</v>
      </c>
      <c r="P360" t="n">
        <v>0</v>
      </c>
      <c r="Q360" t="n">
        <v>0</v>
      </c>
      <c r="R360" s="2" t="inlineStr"/>
    </row>
    <row r="361" ht="15" customHeight="1">
      <c r="A361" t="inlineStr">
        <is>
          <t>A 3411-2023</t>
        </is>
      </c>
      <c r="B361" s="1" t="n">
        <v>44949.55421296296</v>
      </c>
      <c r="C361" s="1" t="n">
        <v>45928</v>
      </c>
      <c r="D361" t="inlineStr">
        <is>
          <t>VÄSTERBOTTENS LÄN</t>
        </is>
      </c>
      <c r="E361" t="inlineStr">
        <is>
          <t>UMEÅ</t>
        </is>
      </c>
      <c r="G361" t="n">
        <v>2</v>
      </c>
      <c r="H361" t="n">
        <v>0</v>
      </c>
      <c r="I361" t="n">
        <v>0</v>
      </c>
      <c r="J361" t="n">
        <v>0</v>
      </c>
      <c r="K361" t="n">
        <v>0</v>
      </c>
      <c r="L361" t="n">
        <v>0</v>
      </c>
      <c r="M361" t="n">
        <v>0</v>
      </c>
      <c r="N361" t="n">
        <v>0</v>
      </c>
      <c r="O361" t="n">
        <v>0</v>
      </c>
      <c r="P361" t="n">
        <v>0</v>
      </c>
      <c r="Q361" t="n">
        <v>0</v>
      </c>
      <c r="R361" s="2" t="inlineStr"/>
    </row>
    <row r="362" ht="15" customHeight="1">
      <c r="A362" t="inlineStr">
        <is>
          <t>A 42010-2024</t>
        </is>
      </c>
      <c r="B362" s="1" t="n">
        <v>45561</v>
      </c>
      <c r="C362" s="1" t="n">
        <v>45928</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30216-2023</t>
        </is>
      </c>
      <c r="B363" s="1" t="n">
        <v>45110.63961805555</v>
      </c>
      <c r="C363" s="1" t="n">
        <v>45928</v>
      </c>
      <c r="D363" t="inlineStr">
        <is>
          <t>VÄSTERBOTTENS LÄN</t>
        </is>
      </c>
      <c r="E363" t="inlineStr">
        <is>
          <t>UMEÅ</t>
        </is>
      </c>
      <c r="F363" t="inlineStr">
        <is>
          <t>Holmen skog AB</t>
        </is>
      </c>
      <c r="G363" t="n">
        <v>3.4</v>
      </c>
      <c r="H363" t="n">
        <v>0</v>
      </c>
      <c r="I363" t="n">
        <v>0</v>
      </c>
      <c r="J363" t="n">
        <v>0</v>
      </c>
      <c r="K363" t="n">
        <v>0</v>
      </c>
      <c r="L363" t="n">
        <v>0</v>
      </c>
      <c r="M363" t="n">
        <v>0</v>
      </c>
      <c r="N363" t="n">
        <v>0</v>
      </c>
      <c r="O363" t="n">
        <v>0</v>
      </c>
      <c r="P363" t="n">
        <v>0</v>
      </c>
      <c r="Q363" t="n">
        <v>0</v>
      </c>
      <c r="R363" s="2" t="inlineStr"/>
    </row>
    <row r="364" ht="15" customHeight="1">
      <c r="A364" t="inlineStr">
        <is>
          <t>A 23751-2024</t>
        </is>
      </c>
      <c r="B364" s="1" t="n">
        <v>45455</v>
      </c>
      <c r="C364" s="1" t="n">
        <v>45928</v>
      </c>
      <c r="D364" t="inlineStr">
        <is>
          <t>VÄSTERBOTTENS LÄN</t>
        </is>
      </c>
      <c r="E364" t="inlineStr">
        <is>
          <t>UMEÅ</t>
        </is>
      </c>
      <c r="G364" t="n">
        <v>0.7</v>
      </c>
      <c r="H364" t="n">
        <v>0</v>
      </c>
      <c r="I364" t="n">
        <v>0</v>
      </c>
      <c r="J364" t="n">
        <v>0</v>
      </c>
      <c r="K364" t="n">
        <v>0</v>
      </c>
      <c r="L364" t="n">
        <v>0</v>
      </c>
      <c r="M364" t="n">
        <v>0</v>
      </c>
      <c r="N364" t="n">
        <v>0</v>
      </c>
      <c r="O364" t="n">
        <v>0</v>
      </c>
      <c r="P364" t="n">
        <v>0</v>
      </c>
      <c r="Q364" t="n">
        <v>0</v>
      </c>
      <c r="R364" s="2" t="inlineStr"/>
    </row>
    <row r="365" ht="15" customHeight="1">
      <c r="A365" t="inlineStr">
        <is>
          <t>A 8409-2022</t>
        </is>
      </c>
      <c r="B365" s="1" t="n">
        <v>44610.92238425926</v>
      </c>
      <c r="C365" s="1" t="n">
        <v>45928</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6174-2021</t>
        </is>
      </c>
      <c r="B366" s="1" t="n">
        <v>44232</v>
      </c>
      <c r="C366" s="1" t="n">
        <v>45928</v>
      </c>
      <c r="D366" t="inlineStr">
        <is>
          <t>VÄSTERBOTTENS LÄN</t>
        </is>
      </c>
      <c r="E366" t="inlineStr">
        <is>
          <t>UMEÅ</t>
        </is>
      </c>
      <c r="G366" t="n">
        <v>2.3</v>
      </c>
      <c r="H366" t="n">
        <v>0</v>
      </c>
      <c r="I366" t="n">
        <v>0</v>
      </c>
      <c r="J366" t="n">
        <v>0</v>
      </c>
      <c r="K366" t="n">
        <v>0</v>
      </c>
      <c r="L366" t="n">
        <v>0</v>
      </c>
      <c r="M366" t="n">
        <v>0</v>
      </c>
      <c r="N366" t="n">
        <v>0</v>
      </c>
      <c r="O366" t="n">
        <v>0</v>
      </c>
      <c r="P366" t="n">
        <v>0</v>
      </c>
      <c r="Q366" t="n">
        <v>0</v>
      </c>
      <c r="R366" s="2" t="inlineStr"/>
    </row>
    <row r="367" ht="15" customHeight="1">
      <c r="A367" t="inlineStr">
        <is>
          <t>A 13745-2021</t>
        </is>
      </c>
      <c r="B367" s="1" t="n">
        <v>44274</v>
      </c>
      <c r="C367" s="1" t="n">
        <v>45928</v>
      </c>
      <c r="D367" t="inlineStr">
        <is>
          <t>VÄSTERBOTTENS LÄN</t>
        </is>
      </c>
      <c r="E367" t="inlineStr">
        <is>
          <t>UMEÅ</t>
        </is>
      </c>
      <c r="G367" t="n">
        <v>1.7</v>
      </c>
      <c r="H367" t="n">
        <v>0</v>
      </c>
      <c r="I367" t="n">
        <v>0</v>
      </c>
      <c r="J367" t="n">
        <v>0</v>
      </c>
      <c r="K367" t="n">
        <v>0</v>
      </c>
      <c r="L367" t="n">
        <v>0</v>
      </c>
      <c r="M367" t="n">
        <v>0</v>
      </c>
      <c r="N367" t="n">
        <v>0</v>
      </c>
      <c r="O367" t="n">
        <v>0</v>
      </c>
      <c r="P367" t="n">
        <v>0</v>
      </c>
      <c r="Q367" t="n">
        <v>0</v>
      </c>
      <c r="R367" s="2" t="inlineStr"/>
    </row>
    <row r="368" ht="15" customHeight="1">
      <c r="A368" t="inlineStr">
        <is>
          <t>A 34550-2023</t>
        </is>
      </c>
      <c r="B368" s="1" t="n">
        <v>45140.49451388889</v>
      </c>
      <c r="C368" s="1" t="n">
        <v>45928</v>
      </c>
      <c r="D368" t="inlineStr">
        <is>
          <t>VÄSTERBOTTENS LÄN</t>
        </is>
      </c>
      <c r="E368" t="inlineStr">
        <is>
          <t>UMEÅ</t>
        </is>
      </c>
      <c r="F368" t="inlineStr">
        <is>
          <t>Holmen skog AB</t>
        </is>
      </c>
      <c r="G368" t="n">
        <v>0.9</v>
      </c>
      <c r="H368" t="n">
        <v>0</v>
      </c>
      <c r="I368" t="n">
        <v>0</v>
      </c>
      <c r="J368" t="n">
        <v>0</v>
      </c>
      <c r="K368" t="n">
        <v>0</v>
      </c>
      <c r="L368" t="n">
        <v>0</v>
      </c>
      <c r="M368" t="n">
        <v>0</v>
      </c>
      <c r="N368" t="n">
        <v>0</v>
      </c>
      <c r="O368" t="n">
        <v>0</v>
      </c>
      <c r="P368" t="n">
        <v>0</v>
      </c>
      <c r="Q368" t="n">
        <v>0</v>
      </c>
      <c r="R368" s="2" t="inlineStr"/>
    </row>
    <row r="369" ht="15" customHeight="1">
      <c r="A369" t="inlineStr">
        <is>
          <t>A 44244-2024</t>
        </is>
      </c>
      <c r="B369" s="1" t="n">
        <v>45573.42783564814</v>
      </c>
      <c r="C369" s="1" t="n">
        <v>45928</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42476-2025</t>
        </is>
      </c>
      <c r="B370" s="1" t="n">
        <v>45904</v>
      </c>
      <c r="C370" s="1" t="n">
        <v>45928</v>
      </c>
      <c r="D370" t="inlineStr">
        <is>
          <t>VÄSTERBOTTENS LÄN</t>
        </is>
      </c>
      <c r="E370" t="inlineStr">
        <is>
          <t>UMEÅ</t>
        </is>
      </c>
      <c r="G370" t="n">
        <v>2.9</v>
      </c>
      <c r="H370" t="n">
        <v>0</v>
      </c>
      <c r="I370" t="n">
        <v>0</v>
      </c>
      <c r="J370" t="n">
        <v>0</v>
      </c>
      <c r="K370" t="n">
        <v>0</v>
      </c>
      <c r="L370" t="n">
        <v>0</v>
      </c>
      <c r="M370" t="n">
        <v>0</v>
      </c>
      <c r="N370" t="n">
        <v>0</v>
      </c>
      <c r="O370" t="n">
        <v>0</v>
      </c>
      <c r="P370" t="n">
        <v>0</v>
      </c>
      <c r="Q370" t="n">
        <v>0</v>
      </c>
      <c r="R370" s="2" t="inlineStr"/>
    </row>
    <row r="371" ht="15" customHeight="1">
      <c r="A371" t="inlineStr">
        <is>
          <t>A 42854-2025</t>
        </is>
      </c>
      <c r="B371" s="1" t="n">
        <v>45908.60465277778</v>
      </c>
      <c r="C371" s="1" t="n">
        <v>45928</v>
      </c>
      <c r="D371" t="inlineStr">
        <is>
          <t>VÄSTERBOTTENS LÄN</t>
        </is>
      </c>
      <c r="E371" t="inlineStr">
        <is>
          <t>UMEÅ</t>
        </is>
      </c>
      <c r="G371" t="n">
        <v>1.1</v>
      </c>
      <c r="H371" t="n">
        <v>0</v>
      </c>
      <c r="I371" t="n">
        <v>0</v>
      </c>
      <c r="J371" t="n">
        <v>0</v>
      </c>
      <c r="K371" t="n">
        <v>0</v>
      </c>
      <c r="L371" t="n">
        <v>0</v>
      </c>
      <c r="M371" t="n">
        <v>0</v>
      </c>
      <c r="N371" t="n">
        <v>0</v>
      </c>
      <c r="O371" t="n">
        <v>0</v>
      </c>
      <c r="P371" t="n">
        <v>0</v>
      </c>
      <c r="Q371" t="n">
        <v>0</v>
      </c>
      <c r="R371" s="2" t="inlineStr"/>
    </row>
    <row r="372" ht="15" customHeight="1">
      <c r="A372" t="inlineStr">
        <is>
          <t>A 34709-2023</t>
        </is>
      </c>
      <c r="B372" s="1" t="n">
        <v>45141</v>
      </c>
      <c r="C372" s="1" t="n">
        <v>45928</v>
      </c>
      <c r="D372" t="inlineStr">
        <is>
          <t>VÄSTERBOTTENS LÄN</t>
        </is>
      </c>
      <c r="E372" t="inlineStr">
        <is>
          <t>UMEÅ</t>
        </is>
      </c>
      <c r="F372" t="inlineStr">
        <is>
          <t>Holmen skog AB</t>
        </is>
      </c>
      <c r="G372" t="n">
        <v>4.1</v>
      </c>
      <c r="H372" t="n">
        <v>0</v>
      </c>
      <c r="I372" t="n">
        <v>0</v>
      </c>
      <c r="J372" t="n">
        <v>0</v>
      </c>
      <c r="K372" t="n">
        <v>0</v>
      </c>
      <c r="L372" t="n">
        <v>0</v>
      </c>
      <c r="M372" t="n">
        <v>0</v>
      </c>
      <c r="N372" t="n">
        <v>0</v>
      </c>
      <c r="O372" t="n">
        <v>0</v>
      </c>
      <c r="P372" t="n">
        <v>0</v>
      </c>
      <c r="Q372" t="n">
        <v>0</v>
      </c>
      <c r="R372" s="2" t="inlineStr"/>
    </row>
    <row r="373" ht="15" customHeight="1">
      <c r="A373" t="inlineStr">
        <is>
          <t>A 49055-2024</t>
        </is>
      </c>
      <c r="B373" s="1" t="n">
        <v>45594</v>
      </c>
      <c r="C373" s="1" t="n">
        <v>45928</v>
      </c>
      <c r="D373" t="inlineStr">
        <is>
          <t>VÄSTERBOTTENS LÄN</t>
        </is>
      </c>
      <c r="E373" t="inlineStr">
        <is>
          <t>UMEÅ</t>
        </is>
      </c>
      <c r="G373" t="n">
        <v>11.4</v>
      </c>
      <c r="H373" t="n">
        <v>0</v>
      </c>
      <c r="I373" t="n">
        <v>0</v>
      </c>
      <c r="J373" t="n">
        <v>0</v>
      </c>
      <c r="K373" t="n">
        <v>0</v>
      </c>
      <c r="L373" t="n">
        <v>0</v>
      </c>
      <c r="M373" t="n">
        <v>0</v>
      </c>
      <c r="N373" t="n">
        <v>0</v>
      </c>
      <c r="O373" t="n">
        <v>0</v>
      </c>
      <c r="P373" t="n">
        <v>0</v>
      </c>
      <c r="Q373" t="n">
        <v>0</v>
      </c>
      <c r="R373" s="2" t="inlineStr"/>
    </row>
    <row r="374" ht="15" customHeight="1">
      <c r="A374" t="inlineStr">
        <is>
          <t>A 43111-2025</t>
        </is>
      </c>
      <c r="B374" s="1" t="n">
        <v>45909.66037037037</v>
      </c>
      <c r="C374" s="1" t="n">
        <v>45928</v>
      </c>
      <c r="D374" t="inlineStr">
        <is>
          <t>VÄSTERBOTTENS LÄN</t>
        </is>
      </c>
      <c r="E374" t="inlineStr">
        <is>
          <t>UMEÅ</t>
        </is>
      </c>
      <c r="G374" t="n">
        <v>1.1</v>
      </c>
      <c r="H374" t="n">
        <v>0</v>
      </c>
      <c r="I374" t="n">
        <v>0</v>
      </c>
      <c r="J374" t="n">
        <v>0</v>
      </c>
      <c r="K374" t="n">
        <v>0</v>
      </c>
      <c r="L374" t="n">
        <v>0</v>
      </c>
      <c r="M374" t="n">
        <v>0</v>
      </c>
      <c r="N374" t="n">
        <v>0</v>
      </c>
      <c r="O374" t="n">
        <v>0</v>
      </c>
      <c r="P374" t="n">
        <v>0</v>
      </c>
      <c r="Q374" t="n">
        <v>0</v>
      </c>
      <c r="R374" s="2" t="inlineStr"/>
    </row>
    <row r="375" ht="15" customHeight="1">
      <c r="A375" t="inlineStr">
        <is>
          <t>A 38144-2024</t>
        </is>
      </c>
      <c r="B375" s="1" t="n">
        <v>45545.42693287037</v>
      </c>
      <c r="C375" s="1" t="n">
        <v>45928</v>
      </c>
      <c r="D375" t="inlineStr">
        <is>
          <t>VÄSTERBOTTENS LÄN</t>
        </is>
      </c>
      <c r="E375" t="inlineStr">
        <is>
          <t>UMEÅ</t>
        </is>
      </c>
      <c r="G375" t="n">
        <v>2</v>
      </c>
      <c r="H375" t="n">
        <v>0</v>
      </c>
      <c r="I375" t="n">
        <v>0</v>
      </c>
      <c r="J375" t="n">
        <v>0</v>
      </c>
      <c r="K375" t="n">
        <v>0</v>
      </c>
      <c r="L375" t="n">
        <v>0</v>
      </c>
      <c r="M375" t="n">
        <v>0</v>
      </c>
      <c r="N375" t="n">
        <v>0</v>
      </c>
      <c r="O375" t="n">
        <v>0</v>
      </c>
      <c r="P375" t="n">
        <v>0</v>
      </c>
      <c r="Q375" t="n">
        <v>0</v>
      </c>
      <c r="R375" s="2" t="inlineStr"/>
    </row>
    <row r="376" ht="15" customHeight="1">
      <c r="A376" t="inlineStr">
        <is>
          <t>A 36334-2025</t>
        </is>
      </c>
      <c r="B376" s="1" t="n">
        <v>45868.43071759259</v>
      </c>
      <c r="C376" s="1" t="n">
        <v>45928</v>
      </c>
      <c r="D376" t="inlineStr">
        <is>
          <t>VÄSTERBOTTENS LÄN</t>
        </is>
      </c>
      <c r="E376" t="inlineStr">
        <is>
          <t>UMEÅ</t>
        </is>
      </c>
      <c r="F376" t="inlineStr">
        <is>
          <t>Holmen skog AB</t>
        </is>
      </c>
      <c r="G376" t="n">
        <v>0.9</v>
      </c>
      <c r="H376" t="n">
        <v>0</v>
      </c>
      <c r="I376" t="n">
        <v>0</v>
      </c>
      <c r="J376" t="n">
        <v>0</v>
      </c>
      <c r="K376" t="n">
        <v>0</v>
      </c>
      <c r="L376" t="n">
        <v>0</v>
      </c>
      <c r="M376" t="n">
        <v>0</v>
      </c>
      <c r="N376" t="n">
        <v>0</v>
      </c>
      <c r="O376" t="n">
        <v>0</v>
      </c>
      <c r="P376" t="n">
        <v>0</v>
      </c>
      <c r="Q376" t="n">
        <v>0</v>
      </c>
      <c r="R376" s="2" t="inlineStr"/>
    </row>
    <row r="377" ht="15" customHeight="1">
      <c r="A377" t="inlineStr">
        <is>
          <t>A 36309-2025</t>
        </is>
      </c>
      <c r="B377" s="1" t="n">
        <v>45868.33694444445</v>
      </c>
      <c r="C377" s="1" t="n">
        <v>45928</v>
      </c>
      <c r="D377" t="inlineStr">
        <is>
          <t>VÄSTERBOTTENS LÄN</t>
        </is>
      </c>
      <c r="E377" t="inlineStr">
        <is>
          <t>UMEÅ</t>
        </is>
      </c>
      <c r="F377" t="inlineStr">
        <is>
          <t>Holmen skog AB</t>
        </is>
      </c>
      <c r="G377" t="n">
        <v>2.8</v>
      </c>
      <c r="H377" t="n">
        <v>0</v>
      </c>
      <c r="I377" t="n">
        <v>0</v>
      </c>
      <c r="J377" t="n">
        <v>0</v>
      </c>
      <c r="K377" t="n">
        <v>0</v>
      </c>
      <c r="L377" t="n">
        <v>0</v>
      </c>
      <c r="M377" t="n">
        <v>0</v>
      </c>
      <c r="N377" t="n">
        <v>0</v>
      </c>
      <c r="O377" t="n">
        <v>0</v>
      </c>
      <c r="P377" t="n">
        <v>0</v>
      </c>
      <c r="Q377" t="n">
        <v>0</v>
      </c>
      <c r="R377" s="2" t="inlineStr"/>
    </row>
    <row r="378" ht="15" customHeight="1">
      <c r="A378" t="inlineStr">
        <is>
          <t>A 36217-2025</t>
        </is>
      </c>
      <c r="B378" s="1" t="n">
        <v>45867.49550925926</v>
      </c>
      <c r="C378" s="1" t="n">
        <v>45928</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42855-2025</t>
        </is>
      </c>
      <c r="B379" s="1" t="n">
        <v>45908</v>
      </c>
      <c r="C379" s="1" t="n">
        <v>45928</v>
      </c>
      <c r="D379" t="inlineStr">
        <is>
          <t>VÄSTERBOTTENS LÄN</t>
        </is>
      </c>
      <c r="E379" t="inlineStr">
        <is>
          <t>UMEÅ</t>
        </is>
      </c>
      <c r="G379" t="n">
        <v>0.8</v>
      </c>
      <c r="H379" t="n">
        <v>0</v>
      </c>
      <c r="I379" t="n">
        <v>0</v>
      </c>
      <c r="J379" t="n">
        <v>0</v>
      </c>
      <c r="K379" t="n">
        <v>0</v>
      </c>
      <c r="L379" t="n">
        <v>0</v>
      </c>
      <c r="M379" t="n">
        <v>0</v>
      </c>
      <c r="N379" t="n">
        <v>0</v>
      </c>
      <c r="O379" t="n">
        <v>0</v>
      </c>
      <c r="P379" t="n">
        <v>0</v>
      </c>
      <c r="Q379" t="n">
        <v>0</v>
      </c>
      <c r="R379" s="2" t="inlineStr"/>
    </row>
    <row r="380" ht="15" customHeight="1">
      <c r="A380" t="inlineStr">
        <is>
          <t>A 43016-2025</t>
        </is>
      </c>
      <c r="B380" s="1" t="n">
        <v>45909.49864583334</v>
      </c>
      <c r="C380" s="1" t="n">
        <v>45928</v>
      </c>
      <c r="D380" t="inlineStr">
        <is>
          <t>VÄSTERBOTTENS LÄN</t>
        </is>
      </c>
      <c r="E380" t="inlineStr">
        <is>
          <t>UMEÅ</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36233-2025</t>
        </is>
      </c>
      <c r="B381" s="1" t="n">
        <v>45867.54707175926</v>
      </c>
      <c r="C381" s="1" t="n">
        <v>45928</v>
      </c>
      <c r="D381" t="inlineStr">
        <is>
          <t>VÄSTERBOTTENS LÄN</t>
        </is>
      </c>
      <c r="E381" t="inlineStr">
        <is>
          <t>UMEÅ</t>
        </is>
      </c>
      <c r="F381" t="inlineStr">
        <is>
          <t>Holmen skog AB</t>
        </is>
      </c>
      <c r="G381" t="n">
        <v>3.9</v>
      </c>
      <c r="H381" t="n">
        <v>0</v>
      </c>
      <c r="I381" t="n">
        <v>0</v>
      </c>
      <c r="J381" t="n">
        <v>0</v>
      </c>
      <c r="K381" t="n">
        <v>0</v>
      </c>
      <c r="L381" t="n">
        <v>0</v>
      </c>
      <c r="M381" t="n">
        <v>0</v>
      </c>
      <c r="N381" t="n">
        <v>0</v>
      </c>
      <c r="O381" t="n">
        <v>0</v>
      </c>
      <c r="P381" t="n">
        <v>0</v>
      </c>
      <c r="Q381" t="n">
        <v>0</v>
      </c>
      <c r="R381" s="2" t="inlineStr"/>
    </row>
    <row r="382" ht="15" customHeight="1">
      <c r="A382" t="inlineStr">
        <is>
          <t>A 42939-2025</t>
        </is>
      </c>
      <c r="B382" s="1" t="n">
        <v>45909</v>
      </c>
      <c r="C382" s="1" t="n">
        <v>45928</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62721-2023</t>
        </is>
      </c>
      <c r="B383" s="1" t="n">
        <v>45271</v>
      </c>
      <c r="C383" s="1" t="n">
        <v>45928</v>
      </c>
      <c r="D383" t="inlineStr">
        <is>
          <t>VÄSTERBOTTENS LÄN</t>
        </is>
      </c>
      <c r="E383" t="inlineStr">
        <is>
          <t>UMEÅ</t>
        </is>
      </c>
      <c r="G383" t="n">
        <v>0.9</v>
      </c>
      <c r="H383" t="n">
        <v>0</v>
      </c>
      <c r="I383" t="n">
        <v>0</v>
      </c>
      <c r="J383" t="n">
        <v>0</v>
      </c>
      <c r="K383" t="n">
        <v>0</v>
      </c>
      <c r="L383" t="n">
        <v>0</v>
      </c>
      <c r="M383" t="n">
        <v>0</v>
      </c>
      <c r="N383" t="n">
        <v>0</v>
      </c>
      <c r="O383" t="n">
        <v>0</v>
      </c>
      <c r="P383" t="n">
        <v>0</v>
      </c>
      <c r="Q383" t="n">
        <v>0</v>
      </c>
      <c r="R383" s="2" t="inlineStr"/>
    </row>
    <row r="384" ht="15" customHeight="1">
      <c r="A384" t="inlineStr">
        <is>
          <t>A 57410-2024</t>
        </is>
      </c>
      <c r="B384" s="1" t="n">
        <v>45629</v>
      </c>
      <c r="C384" s="1" t="n">
        <v>45928</v>
      </c>
      <c r="D384" t="inlineStr">
        <is>
          <t>VÄSTERBOTTENS LÄN</t>
        </is>
      </c>
      <c r="E384" t="inlineStr">
        <is>
          <t>UMEÅ</t>
        </is>
      </c>
      <c r="G384" t="n">
        <v>0.7</v>
      </c>
      <c r="H384" t="n">
        <v>0</v>
      </c>
      <c r="I384" t="n">
        <v>0</v>
      </c>
      <c r="J384" t="n">
        <v>0</v>
      </c>
      <c r="K384" t="n">
        <v>0</v>
      </c>
      <c r="L384" t="n">
        <v>0</v>
      </c>
      <c r="M384" t="n">
        <v>0</v>
      </c>
      <c r="N384" t="n">
        <v>0</v>
      </c>
      <c r="O384" t="n">
        <v>0</v>
      </c>
      <c r="P384" t="n">
        <v>0</v>
      </c>
      <c r="Q384" t="n">
        <v>0</v>
      </c>
      <c r="R384" s="2" t="inlineStr"/>
    </row>
    <row r="385" ht="15" customHeight="1">
      <c r="A385" t="inlineStr">
        <is>
          <t>A 42987-2025</t>
        </is>
      </c>
      <c r="B385" s="1" t="n">
        <v>45909</v>
      </c>
      <c r="C385" s="1" t="n">
        <v>45928</v>
      </c>
      <c r="D385" t="inlineStr">
        <is>
          <t>VÄSTERBOTTENS LÄN</t>
        </is>
      </c>
      <c r="E385" t="inlineStr">
        <is>
          <t>UMEÅ</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16045-2021</t>
        </is>
      </c>
      <c r="B386" s="1" t="n">
        <v>44287.61318287037</v>
      </c>
      <c r="C386" s="1" t="n">
        <v>45928</v>
      </c>
      <c r="D386" t="inlineStr">
        <is>
          <t>VÄSTERBOTTENS LÄN</t>
        </is>
      </c>
      <c r="E386" t="inlineStr">
        <is>
          <t>UMEÅ</t>
        </is>
      </c>
      <c r="G386" t="n">
        <v>0.8</v>
      </c>
      <c r="H386" t="n">
        <v>0</v>
      </c>
      <c r="I386" t="n">
        <v>0</v>
      </c>
      <c r="J386" t="n">
        <v>0</v>
      </c>
      <c r="K386" t="n">
        <v>0</v>
      </c>
      <c r="L386" t="n">
        <v>0</v>
      </c>
      <c r="M386" t="n">
        <v>0</v>
      </c>
      <c r="N386" t="n">
        <v>0</v>
      </c>
      <c r="O386" t="n">
        <v>0</v>
      </c>
      <c r="P386" t="n">
        <v>0</v>
      </c>
      <c r="Q386" t="n">
        <v>0</v>
      </c>
      <c r="R386" s="2" t="inlineStr"/>
    </row>
    <row r="387" ht="15" customHeight="1">
      <c r="A387" t="inlineStr">
        <is>
          <t>A 27154-2024</t>
        </is>
      </c>
      <c r="B387" s="1" t="n">
        <v>45471.56107638889</v>
      </c>
      <c r="C387" s="1" t="n">
        <v>45928</v>
      </c>
      <c r="D387" t="inlineStr">
        <is>
          <t>VÄSTERBOTTENS LÄN</t>
        </is>
      </c>
      <c r="E387" t="inlineStr">
        <is>
          <t>UMEÅ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59343-2023</t>
        </is>
      </c>
      <c r="B388" s="1" t="n">
        <v>45253</v>
      </c>
      <c r="C388" s="1" t="n">
        <v>45928</v>
      </c>
      <c r="D388" t="inlineStr">
        <is>
          <t>VÄSTERBOTTENS LÄN</t>
        </is>
      </c>
      <c r="E388" t="inlineStr">
        <is>
          <t>UMEÅ</t>
        </is>
      </c>
      <c r="G388" t="n">
        <v>1.9</v>
      </c>
      <c r="H388" t="n">
        <v>0</v>
      </c>
      <c r="I388" t="n">
        <v>0</v>
      </c>
      <c r="J388" t="n">
        <v>0</v>
      </c>
      <c r="K388" t="n">
        <v>0</v>
      </c>
      <c r="L388" t="n">
        <v>0</v>
      </c>
      <c r="M388" t="n">
        <v>0</v>
      </c>
      <c r="N388" t="n">
        <v>0</v>
      </c>
      <c r="O388" t="n">
        <v>0</v>
      </c>
      <c r="P388" t="n">
        <v>0</v>
      </c>
      <c r="Q388" t="n">
        <v>0</v>
      </c>
      <c r="R388" s="2" t="inlineStr"/>
    </row>
    <row r="389" ht="15" customHeight="1">
      <c r="A389" t="inlineStr">
        <is>
          <t>A 17484-2022</t>
        </is>
      </c>
      <c r="B389" s="1" t="n">
        <v>44679</v>
      </c>
      <c r="C389" s="1" t="n">
        <v>45928</v>
      </c>
      <c r="D389" t="inlineStr">
        <is>
          <t>VÄSTERBOTTENS LÄN</t>
        </is>
      </c>
      <c r="E389" t="inlineStr">
        <is>
          <t>UMEÅ</t>
        </is>
      </c>
      <c r="G389" t="n">
        <v>1.7</v>
      </c>
      <c r="H389" t="n">
        <v>0</v>
      </c>
      <c r="I389" t="n">
        <v>0</v>
      </c>
      <c r="J389" t="n">
        <v>0</v>
      </c>
      <c r="K389" t="n">
        <v>0</v>
      </c>
      <c r="L389" t="n">
        <v>0</v>
      </c>
      <c r="M389" t="n">
        <v>0</v>
      </c>
      <c r="N389" t="n">
        <v>0</v>
      </c>
      <c r="O389" t="n">
        <v>0</v>
      </c>
      <c r="P389" t="n">
        <v>0</v>
      </c>
      <c r="Q389" t="n">
        <v>0</v>
      </c>
      <c r="R389" s="2" t="inlineStr"/>
    </row>
    <row r="390" ht="15" customHeight="1">
      <c r="A390" t="inlineStr">
        <is>
          <t>A 22365-2024</t>
        </is>
      </c>
      <c r="B390" s="1" t="n">
        <v>45446</v>
      </c>
      <c r="C390" s="1" t="n">
        <v>45928</v>
      </c>
      <c r="D390" t="inlineStr">
        <is>
          <t>VÄSTERBOTTENS LÄN</t>
        </is>
      </c>
      <c r="E390" t="inlineStr">
        <is>
          <t>UMEÅ</t>
        </is>
      </c>
      <c r="G390" t="n">
        <v>1.5</v>
      </c>
      <c r="H390" t="n">
        <v>0</v>
      </c>
      <c r="I390" t="n">
        <v>0</v>
      </c>
      <c r="J390" t="n">
        <v>0</v>
      </c>
      <c r="K390" t="n">
        <v>0</v>
      </c>
      <c r="L390" t="n">
        <v>0</v>
      </c>
      <c r="M390" t="n">
        <v>0</v>
      </c>
      <c r="N390" t="n">
        <v>0</v>
      </c>
      <c r="O390" t="n">
        <v>0</v>
      </c>
      <c r="P390" t="n">
        <v>0</v>
      </c>
      <c r="Q390" t="n">
        <v>0</v>
      </c>
      <c r="R390" s="2" t="inlineStr"/>
    </row>
    <row r="391" ht="15" customHeight="1">
      <c r="A391" t="inlineStr">
        <is>
          <t>A 52312-2022</t>
        </is>
      </c>
      <c r="B391" s="1" t="n">
        <v>44873</v>
      </c>
      <c r="C391" s="1" t="n">
        <v>45928</v>
      </c>
      <c r="D391" t="inlineStr">
        <is>
          <t>VÄSTERBOTTENS LÄN</t>
        </is>
      </c>
      <c r="E391" t="inlineStr">
        <is>
          <t>UMEÅ</t>
        </is>
      </c>
      <c r="G391" t="n">
        <v>1.4</v>
      </c>
      <c r="H391" t="n">
        <v>0</v>
      </c>
      <c r="I391" t="n">
        <v>0</v>
      </c>
      <c r="J391" t="n">
        <v>0</v>
      </c>
      <c r="K391" t="n">
        <v>0</v>
      </c>
      <c r="L391" t="n">
        <v>0</v>
      </c>
      <c r="M391" t="n">
        <v>0</v>
      </c>
      <c r="N391" t="n">
        <v>0</v>
      </c>
      <c r="O391" t="n">
        <v>0</v>
      </c>
      <c r="P391" t="n">
        <v>0</v>
      </c>
      <c r="Q391" t="n">
        <v>0</v>
      </c>
      <c r="R391" s="2" t="inlineStr"/>
    </row>
    <row r="392" ht="15" customHeight="1">
      <c r="A392" t="inlineStr">
        <is>
          <t>A 43840-2025</t>
        </is>
      </c>
      <c r="B392" s="1" t="n">
        <v>45912.63535879629</v>
      </c>
      <c r="C392" s="1" t="n">
        <v>45928</v>
      </c>
      <c r="D392" t="inlineStr">
        <is>
          <t>VÄSTERBOTTENS LÄN</t>
        </is>
      </c>
      <c r="E392" t="inlineStr">
        <is>
          <t>UMEÅ</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51990-2023</t>
        </is>
      </c>
      <c r="B393" s="1" t="n">
        <v>45216</v>
      </c>
      <c r="C393" s="1" t="n">
        <v>45928</v>
      </c>
      <c r="D393" t="inlineStr">
        <is>
          <t>VÄSTERBOTTENS LÄN</t>
        </is>
      </c>
      <c r="E393" t="inlineStr">
        <is>
          <t>UMEÅ</t>
        </is>
      </c>
      <c r="G393" t="n">
        <v>4.5</v>
      </c>
      <c r="H393" t="n">
        <v>0</v>
      </c>
      <c r="I393" t="n">
        <v>0</v>
      </c>
      <c r="J393" t="n">
        <v>0</v>
      </c>
      <c r="K393" t="n">
        <v>0</v>
      </c>
      <c r="L393" t="n">
        <v>0</v>
      </c>
      <c r="M393" t="n">
        <v>0</v>
      </c>
      <c r="N393" t="n">
        <v>0</v>
      </c>
      <c r="O393" t="n">
        <v>0</v>
      </c>
      <c r="P393" t="n">
        <v>0</v>
      </c>
      <c r="Q393" t="n">
        <v>0</v>
      </c>
      <c r="R393" s="2" t="inlineStr"/>
    </row>
    <row r="394" ht="15" customHeight="1">
      <c r="A394" t="inlineStr">
        <is>
          <t>A 43789-2025</t>
        </is>
      </c>
      <c r="B394" s="1" t="n">
        <v>45912.53976851852</v>
      </c>
      <c r="C394" s="1" t="n">
        <v>45928</v>
      </c>
      <c r="D394" t="inlineStr">
        <is>
          <t>VÄSTERBOTTENS LÄN</t>
        </is>
      </c>
      <c r="E394" t="inlineStr">
        <is>
          <t>UMEÅ</t>
        </is>
      </c>
      <c r="F394" t="inlineStr">
        <is>
          <t>Holmen skog AB</t>
        </is>
      </c>
      <c r="G394" t="n">
        <v>21.1</v>
      </c>
      <c r="H394" t="n">
        <v>0</v>
      </c>
      <c r="I394" t="n">
        <v>0</v>
      </c>
      <c r="J394" t="n">
        <v>0</v>
      </c>
      <c r="K394" t="n">
        <v>0</v>
      </c>
      <c r="L394" t="n">
        <v>0</v>
      </c>
      <c r="M394" t="n">
        <v>0</v>
      </c>
      <c r="N394" t="n">
        <v>0</v>
      </c>
      <c r="O394" t="n">
        <v>0</v>
      </c>
      <c r="P394" t="n">
        <v>0</v>
      </c>
      <c r="Q394" t="n">
        <v>0</v>
      </c>
      <c r="R394" s="2" t="inlineStr"/>
    </row>
    <row r="395" ht="15" customHeight="1">
      <c r="A395" t="inlineStr">
        <is>
          <t>A 7430-2022</t>
        </is>
      </c>
      <c r="B395" s="1" t="n">
        <v>44606.933125</v>
      </c>
      <c r="C395" s="1" t="n">
        <v>45928</v>
      </c>
      <c r="D395" t="inlineStr">
        <is>
          <t>VÄSTERBOTTENS LÄN</t>
        </is>
      </c>
      <c r="E395" t="inlineStr">
        <is>
          <t>UMEÅ</t>
        </is>
      </c>
      <c r="G395" t="n">
        <v>2.3</v>
      </c>
      <c r="H395" t="n">
        <v>0</v>
      </c>
      <c r="I395" t="n">
        <v>0</v>
      </c>
      <c r="J395" t="n">
        <v>0</v>
      </c>
      <c r="K395" t="n">
        <v>0</v>
      </c>
      <c r="L395" t="n">
        <v>0</v>
      </c>
      <c r="M395" t="n">
        <v>0</v>
      </c>
      <c r="N395" t="n">
        <v>0</v>
      </c>
      <c r="O395" t="n">
        <v>0</v>
      </c>
      <c r="P395" t="n">
        <v>0</v>
      </c>
      <c r="Q395" t="n">
        <v>0</v>
      </c>
      <c r="R395" s="2" t="inlineStr"/>
    </row>
    <row r="396" ht="15" customHeight="1">
      <c r="A396" t="inlineStr">
        <is>
          <t>A 26933-2024</t>
        </is>
      </c>
      <c r="B396" s="1" t="n">
        <v>45470</v>
      </c>
      <c r="C396" s="1" t="n">
        <v>45928</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37856-2024</t>
        </is>
      </c>
      <c r="B397" s="1" t="n">
        <v>45544</v>
      </c>
      <c r="C397" s="1" t="n">
        <v>45928</v>
      </c>
      <c r="D397" t="inlineStr">
        <is>
          <t>VÄSTERBOTTENS LÄN</t>
        </is>
      </c>
      <c r="E397" t="inlineStr">
        <is>
          <t>UMEÅ</t>
        </is>
      </c>
      <c r="G397" t="n">
        <v>5.4</v>
      </c>
      <c r="H397" t="n">
        <v>0</v>
      </c>
      <c r="I397" t="n">
        <v>0</v>
      </c>
      <c r="J397" t="n">
        <v>0</v>
      </c>
      <c r="K397" t="n">
        <v>0</v>
      </c>
      <c r="L397" t="n">
        <v>0</v>
      </c>
      <c r="M397" t="n">
        <v>0</v>
      </c>
      <c r="N397" t="n">
        <v>0</v>
      </c>
      <c r="O397" t="n">
        <v>0</v>
      </c>
      <c r="P397" t="n">
        <v>0</v>
      </c>
      <c r="Q397" t="n">
        <v>0</v>
      </c>
      <c r="R397" s="2" t="inlineStr"/>
    </row>
    <row r="398" ht="15" customHeight="1">
      <c r="A398" t="inlineStr">
        <is>
          <t>A 60645-2023</t>
        </is>
      </c>
      <c r="B398" s="1" t="n">
        <v>45260.41273148148</v>
      </c>
      <c r="C398" s="1" t="n">
        <v>45928</v>
      </c>
      <c r="D398" t="inlineStr">
        <is>
          <t>VÄSTERBOTTENS LÄN</t>
        </is>
      </c>
      <c r="E398" t="inlineStr">
        <is>
          <t>UMEÅ</t>
        </is>
      </c>
      <c r="G398" t="n">
        <v>2.5</v>
      </c>
      <c r="H398" t="n">
        <v>0</v>
      </c>
      <c r="I398" t="n">
        <v>0</v>
      </c>
      <c r="J398" t="n">
        <v>0</v>
      </c>
      <c r="K398" t="n">
        <v>0</v>
      </c>
      <c r="L398" t="n">
        <v>0</v>
      </c>
      <c r="M398" t="n">
        <v>0</v>
      </c>
      <c r="N398" t="n">
        <v>0</v>
      </c>
      <c r="O398" t="n">
        <v>0</v>
      </c>
      <c r="P398" t="n">
        <v>0</v>
      </c>
      <c r="Q398" t="n">
        <v>0</v>
      </c>
      <c r="R398" s="2" t="inlineStr"/>
    </row>
    <row r="399" ht="15" customHeight="1">
      <c r="A399" t="inlineStr">
        <is>
          <t>A 29655-2024</t>
        </is>
      </c>
      <c r="B399" s="1" t="n">
        <v>45484</v>
      </c>
      <c r="C399" s="1" t="n">
        <v>45928</v>
      </c>
      <c r="D399" t="inlineStr">
        <is>
          <t>VÄSTERBOTTENS LÄN</t>
        </is>
      </c>
      <c r="E399" t="inlineStr">
        <is>
          <t>UMEÅ</t>
        </is>
      </c>
      <c r="G399" t="n">
        <v>4.7</v>
      </c>
      <c r="H399" t="n">
        <v>0</v>
      </c>
      <c r="I399" t="n">
        <v>0</v>
      </c>
      <c r="J399" t="n">
        <v>0</v>
      </c>
      <c r="K399" t="n">
        <v>0</v>
      </c>
      <c r="L399" t="n">
        <v>0</v>
      </c>
      <c r="M399" t="n">
        <v>0</v>
      </c>
      <c r="N399" t="n">
        <v>0</v>
      </c>
      <c r="O399" t="n">
        <v>0</v>
      </c>
      <c r="P399" t="n">
        <v>0</v>
      </c>
      <c r="Q399" t="n">
        <v>0</v>
      </c>
      <c r="R399" s="2" t="inlineStr"/>
    </row>
    <row r="400" ht="15" customHeight="1">
      <c r="A400" t="inlineStr">
        <is>
          <t>A 29656-2024</t>
        </is>
      </c>
      <c r="B400" s="1" t="n">
        <v>45484.92354166666</v>
      </c>
      <c r="C400" s="1" t="n">
        <v>45928</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43889-2025</t>
        </is>
      </c>
      <c r="B401" s="1" t="n">
        <v>45912.6982175926</v>
      </c>
      <c r="C401" s="1" t="n">
        <v>45928</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7635-2024</t>
        </is>
      </c>
      <c r="B402" s="1" t="n">
        <v>45348.62467592592</v>
      </c>
      <c r="C402" s="1" t="n">
        <v>45928</v>
      </c>
      <c r="D402" t="inlineStr">
        <is>
          <t>VÄSTERBOTTENS LÄN</t>
        </is>
      </c>
      <c r="E402" t="inlineStr">
        <is>
          <t>UMEÅ</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52355-2024</t>
        </is>
      </c>
      <c r="B403" s="1" t="n">
        <v>45609.36373842593</v>
      </c>
      <c r="C403" s="1" t="n">
        <v>45928</v>
      </c>
      <c r="D403" t="inlineStr">
        <is>
          <t>VÄSTERBOTTENS LÄN</t>
        </is>
      </c>
      <c r="E403" t="inlineStr">
        <is>
          <t>UMEÅ</t>
        </is>
      </c>
      <c r="G403" t="n">
        <v>4.4</v>
      </c>
      <c r="H403" t="n">
        <v>0</v>
      </c>
      <c r="I403" t="n">
        <v>0</v>
      </c>
      <c r="J403" t="n">
        <v>0</v>
      </c>
      <c r="K403" t="n">
        <v>0</v>
      </c>
      <c r="L403" t="n">
        <v>0</v>
      </c>
      <c r="M403" t="n">
        <v>0</v>
      </c>
      <c r="N403" t="n">
        <v>0</v>
      </c>
      <c r="O403" t="n">
        <v>0</v>
      </c>
      <c r="P403" t="n">
        <v>0</v>
      </c>
      <c r="Q403" t="n">
        <v>0</v>
      </c>
      <c r="R403" s="2" t="inlineStr"/>
    </row>
    <row r="404" ht="15" customHeight="1">
      <c r="A404" t="inlineStr">
        <is>
          <t>A 52364-2024</t>
        </is>
      </c>
      <c r="B404" s="1" t="n">
        <v>45609.38349537037</v>
      </c>
      <c r="C404" s="1" t="n">
        <v>45928</v>
      </c>
      <c r="D404" t="inlineStr">
        <is>
          <t>VÄSTERBOTTENS LÄN</t>
        </is>
      </c>
      <c r="E404" t="inlineStr">
        <is>
          <t>UMEÅ</t>
        </is>
      </c>
      <c r="F404" t="inlineStr">
        <is>
          <t>Holmen skog AB</t>
        </is>
      </c>
      <c r="G404" t="n">
        <v>5.1</v>
      </c>
      <c r="H404" t="n">
        <v>0</v>
      </c>
      <c r="I404" t="n">
        <v>0</v>
      </c>
      <c r="J404" t="n">
        <v>0</v>
      </c>
      <c r="K404" t="n">
        <v>0</v>
      </c>
      <c r="L404" t="n">
        <v>0</v>
      </c>
      <c r="M404" t="n">
        <v>0</v>
      </c>
      <c r="N404" t="n">
        <v>0</v>
      </c>
      <c r="O404" t="n">
        <v>0</v>
      </c>
      <c r="P404" t="n">
        <v>0</v>
      </c>
      <c r="Q404" t="n">
        <v>0</v>
      </c>
      <c r="R404" s="2" t="inlineStr"/>
    </row>
    <row r="405" ht="15" customHeight="1">
      <c r="A405" t="inlineStr">
        <is>
          <t>A 43697-2025</t>
        </is>
      </c>
      <c r="B405" s="1" t="n">
        <v>45912.39591435185</v>
      </c>
      <c r="C405" s="1" t="n">
        <v>45928</v>
      </c>
      <c r="D405" t="inlineStr">
        <is>
          <t>VÄSTERBOTTENS LÄN</t>
        </is>
      </c>
      <c r="E405" t="inlineStr">
        <is>
          <t>UMEÅ</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43687-2025</t>
        </is>
      </c>
      <c r="B406" s="1" t="n">
        <v>45912</v>
      </c>
      <c r="C406" s="1" t="n">
        <v>45928</v>
      </c>
      <c r="D406" t="inlineStr">
        <is>
          <t>VÄSTERBOTTENS LÄN</t>
        </is>
      </c>
      <c r="E406" t="inlineStr">
        <is>
          <t>UMEÅ</t>
        </is>
      </c>
      <c r="F406" t="inlineStr">
        <is>
          <t>Holmen skog AB</t>
        </is>
      </c>
      <c r="G406" t="n">
        <v>0.9</v>
      </c>
      <c r="H406" t="n">
        <v>0</v>
      </c>
      <c r="I406" t="n">
        <v>0</v>
      </c>
      <c r="J406" t="n">
        <v>0</v>
      </c>
      <c r="K406" t="n">
        <v>0</v>
      </c>
      <c r="L406" t="n">
        <v>0</v>
      </c>
      <c r="M406" t="n">
        <v>0</v>
      </c>
      <c r="N406" t="n">
        <v>0</v>
      </c>
      <c r="O406" t="n">
        <v>0</v>
      </c>
      <c r="P406" t="n">
        <v>0</v>
      </c>
      <c r="Q406" t="n">
        <v>0</v>
      </c>
      <c r="R406" s="2" t="inlineStr"/>
    </row>
    <row r="407" ht="15" customHeight="1">
      <c r="A407" t="inlineStr">
        <is>
          <t>A 36578-2025</t>
        </is>
      </c>
      <c r="B407" s="1" t="n">
        <v>45870.41876157407</v>
      </c>
      <c r="C407" s="1" t="n">
        <v>45928</v>
      </c>
      <c r="D407" t="inlineStr">
        <is>
          <t>VÄSTERBOTTENS LÄN</t>
        </is>
      </c>
      <c r="E407" t="inlineStr">
        <is>
          <t>UMEÅ</t>
        </is>
      </c>
      <c r="F407" t="inlineStr">
        <is>
          <t>Holmen skog AB</t>
        </is>
      </c>
      <c r="G407" t="n">
        <v>7.6</v>
      </c>
      <c r="H407" t="n">
        <v>0</v>
      </c>
      <c r="I407" t="n">
        <v>0</v>
      </c>
      <c r="J407" t="n">
        <v>0</v>
      </c>
      <c r="K407" t="n">
        <v>0</v>
      </c>
      <c r="L407" t="n">
        <v>0</v>
      </c>
      <c r="M407" t="n">
        <v>0</v>
      </c>
      <c r="N407" t="n">
        <v>0</v>
      </c>
      <c r="O407" t="n">
        <v>0</v>
      </c>
      <c r="P407" t="n">
        <v>0</v>
      </c>
      <c r="Q407" t="n">
        <v>0</v>
      </c>
      <c r="R407" s="2" t="inlineStr"/>
    </row>
    <row r="408" ht="15" customHeight="1">
      <c r="A408" t="inlineStr">
        <is>
          <t>A 14734-2023</t>
        </is>
      </c>
      <c r="B408" s="1" t="n">
        <v>45013</v>
      </c>
      <c r="C408" s="1" t="n">
        <v>45928</v>
      </c>
      <c r="D408" t="inlineStr">
        <is>
          <t>VÄSTERBOTTENS LÄN</t>
        </is>
      </c>
      <c r="E408" t="inlineStr">
        <is>
          <t>UMEÅ</t>
        </is>
      </c>
      <c r="G408" t="n">
        <v>14.4</v>
      </c>
      <c r="H408" t="n">
        <v>0</v>
      </c>
      <c r="I408" t="n">
        <v>0</v>
      </c>
      <c r="J408" t="n">
        <v>0</v>
      </c>
      <c r="K408" t="n">
        <v>0</v>
      </c>
      <c r="L408" t="n">
        <v>0</v>
      </c>
      <c r="M408" t="n">
        <v>0</v>
      </c>
      <c r="N408" t="n">
        <v>0</v>
      </c>
      <c r="O408" t="n">
        <v>0</v>
      </c>
      <c r="P408" t="n">
        <v>0</v>
      </c>
      <c r="Q408" t="n">
        <v>0</v>
      </c>
      <c r="R408" s="2" t="inlineStr"/>
    </row>
    <row r="409" ht="15" customHeight="1">
      <c r="A409" t="inlineStr">
        <is>
          <t>A 42000-2024</t>
        </is>
      </c>
      <c r="B409" s="1" t="n">
        <v>45561.65799768519</v>
      </c>
      <c r="C409" s="1" t="n">
        <v>45928</v>
      </c>
      <c r="D409" t="inlineStr">
        <is>
          <t>VÄSTERBOTTENS LÄN</t>
        </is>
      </c>
      <c r="E409" t="inlineStr">
        <is>
          <t>UMEÅ</t>
        </is>
      </c>
      <c r="G409" t="n">
        <v>0.5</v>
      </c>
      <c r="H409" t="n">
        <v>0</v>
      </c>
      <c r="I409" t="n">
        <v>0</v>
      </c>
      <c r="J409" t="n">
        <v>0</v>
      </c>
      <c r="K409" t="n">
        <v>0</v>
      </c>
      <c r="L409" t="n">
        <v>0</v>
      </c>
      <c r="M409" t="n">
        <v>0</v>
      </c>
      <c r="N409" t="n">
        <v>0</v>
      </c>
      <c r="O409" t="n">
        <v>0</v>
      </c>
      <c r="P409" t="n">
        <v>0</v>
      </c>
      <c r="Q409" t="n">
        <v>0</v>
      </c>
      <c r="R409" s="2" t="inlineStr"/>
    </row>
    <row r="410" ht="15" customHeight="1">
      <c r="A410" t="inlineStr">
        <is>
          <t>A 28855-2024</t>
        </is>
      </c>
      <c r="B410" s="1" t="n">
        <v>45478</v>
      </c>
      <c r="C410" s="1" t="n">
        <v>45928</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28997-2024</t>
        </is>
      </c>
      <c r="B411" s="1" t="n">
        <v>45481</v>
      </c>
      <c r="C411" s="1" t="n">
        <v>45928</v>
      </c>
      <c r="D411" t="inlineStr">
        <is>
          <t>VÄSTERBOTTENS LÄN</t>
        </is>
      </c>
      <c r="E411" t="inlineStr">
        <is>
          <t>UMEÅ</t>
        </is>
      </c>
      <c r="G411" t="n">
        <v>2.3</v>
      </c>
      <c r="H411" t="n">
        <v>0</v>
      </c>
      <c r="I411" t="n">
        <v>0</v>
      </c>
      <c r="J411" t="n">
        <v>0</v>
      </c>
      <c r="K411" t="n">
        <v>0</v>
      </c>
      <c r="L411" t="n">
        <v>0</v>
      </c>
      <c r="M411" t="n">
        <v>0</v>
      </c>
      <c r="N411" t="n">
        <v>0</v>
      </c>
      <c r="O411" t="n">
        <v>0</v>
      </c>
      <c r="P411" t="n">
        <v>0</v>
      </c>
      <c r="Q411" t="n">
        <v>0</v>
      </c>
      <c r="R411" s="2" t="inlineStr"/>
    </row>
    <row r="412" ht="15" customHeight="1">
      <c r="A412" t="inlineStr">
        <is>
          <t>A 52679-2022</t>
        </is>
      </c>
      <c r="B412" s="1" t="n">
        <v>44874</v>
      </c>
      <c r="C412" s="1" t="n">
        <v>45928</v>
      </c>
      <c r="D412" t="inlineStr">
        <is>
          <t>VÄSTERBOTTENS LÄN</t>
        </is>
      </c>
      <c r="E412" t="inlineStr">
        <is>
          <t>UMEÅ</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19678-2024</t>
        </is>
      </c>
      <c r="B413" s="1" t="n">
        <v>45432.48533564815</v>
      </c>
      <c r="C413" s="1" t="n">
        <v>45928</v>
      </c>
      <c r="D413" t="inlineStr">
        <is>
          <t>VÄSTERBOTTENS LÄN</t>
        </is>
      </c>
      <c r="E413" t="inlineStr">
        <is>
          <t>UMEÅ</t>
        </is>
      </c>
      <c r="G413" t="n">
        <v>3.5</v>
      </c>
      <c r="H413" t="n">
        <v>0</v>
      </c>
      <c r="I413" t="n">
        <v>0</v>
      </c>
      <c r="J413" t="n">
        <v>0</v>
      </c>
      <c r="K413" t="n">
        <v>0</v>
      </c>
      <c r="L413" t="n">
        <v>0</v>
      </c>
      <c r="M413" t="n">
        <v>0</v>
      </c>
      <c r="N413" t="n">
        <v>0</v>
      </c>
      <c r="O413" t="n">
        <v>0</v>
      </c>
      <c r="P413" t="n">
        <v>0</v>
      </c>
      <c r="Q413" t="n">
        <v>0</v>
      </c>
      <c r="R413" s="2" t="inlineStr"/>
    </row>
    <row r="414" ht="15" customHeight="1">
      <c r="A414" t="inlineStr">
        <is>
          <t>A 35631-2024</t>
        </is>
      </c>
      <c r="B414" s="1" t="n">
        <v>45531.74990740741</v>
      </c>
      <c r="C414" s="1" t="n">
        <v>45928</v>
      </c>
      <c r="D414" t="inlineStr">
        <is>
          <t>VÄSTERBOTTENS LÄN</t>
        </is>
      </c>
      <c r="E414" t="inlineStr">
        <is>
          <t>UMEÅ</t>
        </is>
      </c>
      <c r="G414" t="n">
        <v>0.6</v>
      </c>
      <c r="H414" t="n">
        <v>0</v>
      </c>
      <c r="I414" t="n">
        <v>0</v>
      </c>
      <c r="J414" t="n">
        <v>0</v>
      </c>
      <c r="K414" t="n">
        <v>0</v>
      </c>
      <c r="L414" t="n">
        <v>0</v>
      </c>
      <c r="M414" t="n">
        <v>0</v>
      </c>
      <c r="N414" t="n">
        <v>0</v>
      </c>
      <c r="O414" t="n">
        <v>0</v>
      </c>
      <c r="P414" t="n">
        <v>0</v>
      </c>
      <c r="Q414" t="n">
        <v>0</v>
      </c>
      <c r="R414" s="2" t="inlineStr"/>
    </row>
    <row r="415" ht="15" customHeight="1">
      <c r="A415" t="inlineStr">
        <is>
          <t>A 19189-2024</t>
        </is>
      </c>
      <c r="B415" s="1" t="n">
        <v>45428</v>
      </c>
      <c r="C415" s="1" t="n">
        <v>45928</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26924-2024</t>
        </is>
      </c>
      <c r="B416" s="1" t="n">
        <v>45470.93101851852</v>
      </c>
      <c r="C416" s="1" t="n">
        <v>45928</v>
      </c>
      <c r="D416" t="inlineStr">
        <is>
          <t>VÄSTERBOTTENS LÄN</t>
        </is>
      </c>
      <c r="E416" t="inlineStr">
        <is>
          <t>UMEÅ</t>
        </is>
      </c>
      <c r="G416" t="n">
        <v>2.5</v>
      </c>
      <c r="H416" t="n">
        <v>0</v>
      </c>
      <c r="I416" t="n">
        <v>0</v>
      </c>
      <c r="J416" t="n">
        <v>0</v>
      </c>
      <c r="K416" t="n">
        <v>0</v>
      </c>
      <c r="L416" t="n">
        <v>0</v>
      </c>
      <c r="M416" t="n">
        <v>0</v>
      </c>
      <c r="N416" t="n">
        <v>0</v>
      </c>
      <c r="O416" t="n">
        <v>0</v>
      </c>
      <c r="P416" t="n">
        <v>0</v>
      </c>
      <c r="Q416" t="n">
        <v>0</v>
      </c>
      <c r="R416" s="2" t="inlineStr"/>
    </row>
    <row r="417" ht="15" customHeight="1">
      <c r="A417" t="inlineStr">
        <is>
          <t>A 32791-2024</t>
        </is>
      </c>
      <c r="B417" s="1" t="n">
        <v>45516.54195601852</v>
      </c>
      <c r="C417" s="1" t="n">
        <v>45928</v>
      </c>
      <c r="D417" t="inlineStr">
        <is>
          <t>VÄSTERBOTTENS LÄN</t>
        </is>
      </c>
      <c r="E417" t="inlineStr">
        <is>
          <t>UMEÅ</t>
        </is>
      </c>
      <c r="G417" t="n">
        <v>0.6</v>
      </c>
      <c r="H417" t="n">
        <v>0</v>
      </c>
      <c r="I417" t="n">
        <v>0</v>
      </c>
      <c r="J417" t="n">
        <v>0</v>
      </c>
      <c r="K417" t="n">
        <v>0</v>
      </c>
      <c r="L417" t="n">
        <v>0</v>
      </c>
      <c r="M417" t="n">
        <v>0</v>
      </c>
      <c r="N417" t="n">
        <v>0</v>
      </c>
      <c r="O417" t="n">
        <v>0</v>
      </c>
      <c r="P417" t="n">
        <v>0</v>
      </c>
      <c r="Q417" t="n">
        <v>0</v>
      </c>
      <c r="R417" s="2" t="inlineStr"/>
    </row>
    <row r="418" ht="15" customHeight="1">
      <c r="A418" t="inlineStr">
        <is>
          <t>A 27052-2024</t>
        </is>
      </c>
      <c r="B418" s="1" t="n">
        <v>45471</v>
      </c>
      <c r="C418" s="1" t="n">
        <v>45928</v>
      </c>
      <c r="D418" t="inlineStr">
        <is>
          <t>VÄSTERBOTTENS LÄN</t>
        </is>
      </c>
      <c r="E418" t="inlineStr">
        <is>
          <t>UMEÅ</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16999-2023</t>
        </is>
      </c>
      <c r="B419" s="1" t="n">
        <v>45033.92614583333</v>
      </c>
      <c r="C419" s="1" t="n">
        <v>45928</v>
      </c>
      <c r="D419" t="inlineStr">
        <is>
          <t>VÄSTERBOTTENS LÄN</t>
        </is>
      </c>
      <c r="E419" t="inlineStr">
        <is>
          <t>UMEÅ</t>
        </is>
      </c>
      <c r="G419" t="n">
        <v>20.1</v>
      </c>
      <c r="H419" t="n">
        <v>0</v>
      </c>
      <c r="I419" t="n">
        <v>0</v>
      </c>
      <c r="J419" t="n">
        <v>0</v>
      </c>
      <c r="K419" t="n">
        <v>0</v>
      </c>
      <c r="L419" t="n">
        <v>0</v>
      </c>
      <c r="M419" t="n">
        <v>0</v>
      </c>
      <c r="N419" t="n">
        <v>0</v>
      </c>
      <c r="O419" t="n">
        <v>0</v>
      </c>
      <c r="P419" t="n">
        <v>0</v>
      </c>
      <c r="Q419" t="n">
        <v>0</v>
      </c>
      <c r="R419" s="2" t="inlineStr"/>
    </row>
    <row r="420" ht="15" customHeight="1">
      <c r="A420" t="inlineStr">
        <is>
          <t>A 56749-2023</t>
        </is>
      </c>
      <c r="B420" s="1" t="n">
        <v>45244</v>
      </c>
      <c r="C420" s="1" t="n">
        <v>45928</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26872-2022</t>
        </is>
      </c>
      <c r="B421" s="1" t="n">
        <v>44740</v>
      </c>
      <c r="C421" s="1" t="n">
        <v>45928</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46028-2024</t>
        </is>
      </c>
      <c r="B422" s="1" t="n">
        <v>45580.70097222222</v>
      </c>
      <c r="C422" s="1" t="n">
        <v>45928</v>
      </c>
      <c r="D422" t="inlineStr">
        <is>
          <t>VÄSTERBOTTENS LÄN</t>
        </is>
      </c>
      <c r="E422" t="inlineStr">
        <is>
          <t>UMEÅ</t>
        </is>
      </c>
      <c r="G422" t="n">
        <v>3.4</v>
      </c>
      <c r="H422" t="n">
        <v>0</v>
      </c>
      <c r="I422" t="n">
        <v>0</v>
      </c>
      <c r="J422" t="n">
        <v>0</v>
      </c>
      <c r="K422" t="n">
        <v>0</v>
      </c>
      <c r="L422" t="n">
        <v>0</v>
      </c>
      <c r="M422" t="n">
        <v>0</v>
      </c>
      <c r="N422" t="n">
        <v>0</v>
      </c>
      <c r="O422" t="n">
        <v>0</v>
      </c>
      <c r="P422" t="n">
        <v>0</v>
      </c>
      <c r="Q422" t="n">
        <v>0</v>
      </c>
      <c r="R422" s="2" t="inlineStr"/>
    </row>
    <row r="423" ht="15" customHeight="1">
      <c r="A423" t="inlineStr">
        <is>
          <t>A 9924-2022</t>
        </is>
      </c>
      <c r="B423" s="1" t="n">
        <v>44620.92203703704</v>
      </c>
      <c r="C423" s="1" t="n">
        <v>45928</v>
      </c>
      <c r="D423" t="inlineStr">
        <is>
          <t>VÄSTERBOTTENS LÄN</t>
        </is>
      </c>
      <c r="E423" t="inlineStr">
        <is>
          <t>UMEÅ</t>
        </is>
      </c>
      <c r="G423" t="n">
        <v>2.8</v>
      </c>
      <c r="H423" t="n">
        <v>0</v>
      </c>
      <c r="I423" t="n">
        <v>0</v>
      </c>
      <c r="J423" t="n">
        <v>0</v>
      </c>
      <c r="K423" t="n">
        <v>0</v>
      </c>
      <c r="L423" t="n">
        <v>0</v>
      </c>
      <c r="M423" t="n">
        <v>0</v>
      </c>
      <c r="N423" t="n">
        <v>0</v>
      </c>
      <c r="O423" t="n">
        <v>0</v>
      </c>
      <c r="P423" t="n">
        <v>0</v>
      </c>
      <c r="Q423" t="n">
        <v>0</v>
      </c>
      <c r="R423" s="2" t="inlineStr"/>
    </row>
    <row r="424" ht="15" customHeight="1">
      <c r="A424" t="inlineStr">
        <is>
          <t>A 44494-2025</t>
        </is>
      </c>
      <c r="B424" s="1" t="n">
        <v>45916.66503472222</v>
      </c>
      <c r="C424" s="1" t="n">
        <v>45928</v>
      </c>
      <c r="D424" t="inlineStr">
        <is>
          <t>VÄSTERBOTTENS LÄN</t>
        </is>
      </c>
      <c r="E424" t="inlineStr">
        <is>
          <t>UMEÅ</t>
        </is>
      </c>
      <c r="F424" t="inlineStr">
        <is>
          <t>Kommuner</t>
        </is>
      </c>
      <c r="G424" t="n">
        <v>1</v>
      </c>
      <c r="H424" t="n">
        <v>0</v>
      </c>
      <c r="I424" t="n">
        <v>0</v>
      </c>
      <c r="J424" t="n">
        <v>0</v>
      </c>
      <c r="K424" t="n">
        <v>0</v>
      </c>
      <c r="L424" t="n">
        <v>0</v>
      </c>
      <c r="M424" t="n">
        <v>0</v>
      </c>
      <c r="N424" t="n">
        <v>0</v>
      </c>
      <c r="O424" t="n">
        <v>0</v>
      </c>
      <c r="P424" t="n">
        <v>0</v>
      </c>
      <c r="Q424" t="n">
        <v>0</v>
      </c>
      <c r="R424" s="2" t="inlineStr"/>
    </row>
    <row r="425" ht="15" customHeight="1">
      <c r="A425" t="inlineStr">
        <is>
          <t>A 36905-2025</t>
        </is>
      </c>
      <c r="B425" s="1" t="n">
        <v>45874.49083333334</v>
      </c>
      <c r="C425" s="1" t="n">
        <v>45928</v>
      </c>
      <c r="D425" t="inlineStr">
        <is>
          <t>VÄSTERBOTTENS LÄN</t>
        </is>
      </c>
      <c r="E425" t="inlineStr">
        <is>
          <t>UMEÅ</t>
        </is>
      </c>
      <c r="G425" t="n">
        <v>8</v>
      </c>
      <c r="H425" t="n">
        <v>0</v>
      </c>
      <c r="I425" t="n">
        <v>0</v>
      </c>
      <c r="J425" t="n">
        <v>0</v>
      </c>
      <c r="K425" t="n">
        <v>0</v>
      </c>
      <c r="L425" t="n">
        <v>0</v>
      </c>
      <c r="M425" t="n">
        <v>0</v>
      </c>
      <c r="N425" t="n">
        <v>0</v>
      </c>
      <c r="O425" t="n">
        <v>0</v>
      </c>
      <c r="P425" t="n">
        <v>0</v>
      </c>
      <c r="Q425" t="n">
        <v>0</v>
      </c>
      <c r="R425" s="2" t="inlineStr"/>
    </row>
    <row r="426" ht="15" customHeight="1">
      <c r="A426" t="inlineStr">
        <is>
          <t>A 25367-2023</t>
        </is>
      </c>
      <c r="B426" s="1" t="n">
        <v>45088.92412037037</v>
      </c>
      <c r="C426" s="1" t="n">
        <v>45928</v>
      </c>
      <c r="D426" t="inlineStr">
        <is>
          <t>VÄSTERBOTTENS LÄN</t>
        </is>
      </c>
      <c r="E426" t="inlineStr">
        <is>
          <t>UMEÅ</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36739-2025</t>
        </is>
      </c>
      <c r="B427" s="1" t="n">
        <v>45873.53224537037</v>
      </c>
      <c r="C427" s="1" t="n">
        <v>45928</v>
      </c>
      <c r="D427" t="inlineStr">
        <is>
          <t>VÄSTERBOTTENS LÄN</t>
        </is>
      </c>
      <c r="E427" t="inlineStr">
        <is>
          <t>UMEÅ</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33883-2024</t>
        </is>
      </c>
      <c r="B428" s="1" t="n">
        <v>45522.81311342592</v>
      </c>
      <c r="C428" s="1" t="n">
        <v>45928</v>
      </c>
      <c r="D428" t="inlineStr">
        <is>
          <t>VÄSTERBOTTENS LÄN</t>
        </is>
      </c>
      <c r="E428" t="inlineStr">
        <is>
          <t>UMEÅ</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22632-2024</t>
        </is>
      </c>
      <c r="B429" s="1" t="n">
        <v>45447.67429398148</v>
      </c>
      <c r="C429" s="1" t="n">
        <v>45928</v>
      </c>
      <c r="D429" t="inlineStr">
        <is>
          <t>VÄSTERBOTTENS LÄN</t>
        </is>
      </c>
      <c r="E429" t="inlineStr">
        <is>
          <t>UMEÅ</t>
        </is>
      </c>
      <c r="F429" t="inlineStr">
        <is>
          <t>Holmen skog AB</t>
        </is>
      </c>
      <c r="G429" t="n">
        <v>1.4</v>
      </c>
      <c r="H429" t="n">
        <v>0</v>
      </c>
      <c r="I429" t="n">
        <v>0</v>
      </c>
      <c r="J429" t="n">
        <v>0</v>
      </c>
      <c r="K429" t="n">
        <v>0</v>
      </c>
      <c r="L429" t="n">
        <v>0</v>
      </c>
      <c r="M429" t="n">
        <v>0</v>
      </c>
      <c r="N429" t="n">
        <v>0</v>
      </c>
      <c r="O429" t="n">
        <v>0</v>
      </c>
      <c r="P429" t="n">
        <v>0</v>
      </c>
      <c r="Q429" t="n">
        <v>0</v>
      </c>
      <c r="R429" s="2" t="inlineStr"/>
    </row>
    <row r="430" ht="15" customHeight="1">
      <c r="A430" t="inlineStr">
        <is>
          <t>A 44132-2022</t>
        </is>
      </c>
      <c r="B430" s="1" t="n">
        <v>44839.40086805556</v>
      </c>
      <c r="C430" s="1" t="n">
        <v>45928</v>
      </c>
      <c r="D430" t="inlineStr">
        <is>
          <t>VÄSTERBOTTENS LÄN</t>
        </is>
      </c>
      <c r="E430" t="inlineStr">
        <is>
          <t>UMEÅ</t>
        </is>
      </c>
      <c r="G430" t="n">
        <v>1.3</v>
      </c>
      <c r="H430" t="n">
        <v>0</v>
      </c>
      <c r="I430" t="n">
        <v>0</v>
      </c>
      <c r="J430" t="n">
        <v>0</v>
      </c>
      <c r="K430" t="n">
        <v>0</v>
      </c>
      <c r="L430" t="n">
        <v>0</v>
      </c>
      <c r="M430" t="n">
        <v>0</v>
      </c>
      <c r="N430" t="n">
        <v>0</v>
      </c>
      <c r="O430" t="n">
        <v>0</v>
      </c>
      <c r="P430" t="n">
        <v>0</v>
      </c>
      <c r="Q430" t="n">
        <v>0</v>
      </c>
      <c r="R430" s="2" t="inlineStr"/>
    </row>
    <row r="431" ht="15" customHeight="1">
      <c r="A431" t="inlineStr">
        <is>
          <t>A 34121-2021</t>
        </is>
      </c>
      <c r="B431" s="1" t="n">
        <v>44379</v>
      </c>
      <c r="C431" s="1" t="n">
        <v>45928</v>
      </c>
      <c r="D431" t="inlineStr">
        <is>
          <t>VÄSTERBOTTENS LÄN</t>
        </is>
      </c>
      <c r="E431" t="inlineStr">
        <is>
          <t>UMEÅ</t>
        </is>
      </c>
      <c r="G431" t="n">
        <v>2.5</v>
      </c>
      <c r="H431" t="n">
        <v>0</v>
      </c>
      <c r="I431" t="n">
        <v>0</v>
      </c>
      <c r="J431" t="n">
        <v>0</v>
      </c>
      <c r="K431" t="n">
        <v>0</v>
      </c>
      <c r="L431" t="n">
        <v>0</v>
      </c>
      <c r="M431" t="n">
        <v>0</v>
      </c>
      <c r="N431" t="n">
        <v>0</v>
      </c>
      <c r="O431" t="n">
        <v>0</v>
      </c>
      <c r="P431" t="n">
        <v>0</v>
      </c>
      <c r="Q431" t="n">
        <v>0</v>
      </c>
      <c r="R431" s="2" t="inlineStr"/>
    </row>
    <row r="432" ht="15" customHeight="1">
      <c r="A432" t="inlineStr">
        <is>
          <t>A 14091-2023</t>
        </is>
      </c>
      <c r="B432" s="1" t="n">
        <v>45007</v>
      </c>
      <c r="C432" s="1" t="n">
        <v>45928</v>
      </c>
      <c r="D432" t="inlineStr">
        <is>
          <t>VÄSTERBOTTENS LÄN</t>
        </is>
      </c>
      <c r="E432" t="inlineStr">
        <is>
          <t>UMEÅ</t>
        </is>
      </c>
      <c r="F432" t="inlineStr">
        <is>
          <t>Kommuner</t>
        </is>
      </c>
      <c r="G432" t="n">
        <v>0.8</v>
      </c>
      <c r="H432" t="n">
        <v>0</v>
      </c>
      <c r="I432" t="n">
        <v>0</v>
      </c>
      <c r="J432" t="n">
        <v>0</v>
      </c>
      <c r="K432" t="n">
        <v>0</v>
      </c>
      <c r="L432" t="n">
        <v>0</v>
      </c>
      <c r="M432" t="n">
        <v>0</v>
      </c>
      <c r="N432" t="n">
        <v>0</v>
      </c>
      <c r="O432" t="n">
        <v>0</v>
      </c>
      <c r="P432" t="n">
        <v>0</v>
      </c>
      <c r="Q432" t="n">
        <v>0</v>
      </c>
      <c r="R432" s="2" t="inlineStr"/>
    </row>
    <row r="433" ht="15" customHeight="1">
      <c r="A433" t="inlineStr">
        <is>
          <t>A 36902-2025</t>
        </is>
      </c>
      <c r="B433" s="1" t="n">
        <v>45874.48899305556</v>
      </c>
      <c r="C433" s="1" t="n">
        <v>45928</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38135-2024</t>
        </is>
      </c>
      <c r="B434" s="1" t="n">
        <v>45545.41424768518</v>
      </c>
      <c r="C434" s="1" t="n">
        <v>45928</v>
      </c>
      <c r="D434" t="inlineStr">
        <is>
          <t>VÄSTERBOTTENS LÄN</t>
        </is>
      </c>
      <c r="E434" t="inlineStr">
        <is>
          <t>UMEÅ</t>
        </is>
      </c>
      <c r="G434" t="n">
        <v>8.6</v>
      </c>
      <c r="H434" t="n">
        <v>0</v>
      </c>
      <c r="I434" t="n">
        <v>0</v>
      </c>
      <c r="J434" t="n">
        <v>0</v>
      </c>
      <c r="K434" t="n">
        <v>0</v>
      </c>
      <c r="L434" t="n">
        <v>0</v>
      </c>
      <c r="M434" t="n">
        <v>0</v>
      </c>
      <c r="N434" t="n">
        <v>0</v>
      </c>
      <c r="O434" t="n">
        <v>0</v>
      </c>
      <c r="P434" t="n">
        <v>0</v>
      </c>
      <c r="Q434" t="n">
        <v>0</v>
      </c>
      <c r="R434" s="2" t="inlineStr"/>
    </row>
    <row r="435" ht="15" customHeight="1">
      <c r="A435" t="inlineStr">
        <is>
          <t>A 20459-2021</t>
        </is>
      </c>
      <c r="B435" s="1" t="n">
        <v>44314</v>
      </c>
      <c r="C435" s="1" t="n">
        <v>45928</v>
      </c>
      <c r="D435" t="inlineStr">
        <is>
          <t>VÄSTERBOTTENS LÄN</t>
        </is>
      </c>
      <c r="E435" t="inlineStr">
        <is>
          <t>UMEÅ</t>
        </is>
      </c>
      <c r="G435" t="n">
        <v>0.3</v>
      </c>
      <c r="H435" t="n">
        <v>0</v>
      </c>
      <c r="I435" t="n">
        <v>0</v>
      </c>
      <c r="J435" t="n">
        <v>0</v>
      </c>
      <c r="K435" t="n">
        <v>0</v>
      </c>
      <c r="L435" t="n">
        <v>0</v>
      </c>
      <c r="M435" t="n">
        <v>0</v>
      </c>
      <c r="N435" t="n">
        <v>0</v>
      </c>
      <c r="O435" t="n">
        <v>0</v>
      </c>
      <c r="P435" t="n">
        <v>0</v>
      </c>
      <c r="Q435" t="n">
        <v>0</v>
      </c>
      <c r="R435" s="2" t="inlineStr"/>
    </row>
    <row r="436" ht="15" customHeight="1">
      <c r="A436" t="inlineStr">
        <is>
          <t>A 48586-2024</t>
        </is>
      </c>
      <c r="B436" s="1" t="n">
        <v>45593.42652777778</v>
      </c>
      <c r="C436" s="1" t="n">
        <v>45928</v>
      </c>
      <c r="D436" t="inlineStr">
        <is>
          <t>VÄSTERBOTTENS LÄN</t>
        </is>
      </c>
      <c r="E436" t="inlineStr">
        <is>
          <t>UMEÅ</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44064-2025</t>
        </is>
      </c>
      <c r="B437" s="1" t="n">
        <v>45915.54059027778</v>
      </c>
      <c r="C437" s="1" t="n">
        <v>45928</v>
      </c>
      <c r="D437" t="inlineStr">
        <is>
          <t>VÄSTERBOTTENS LÄN</t>
        </is>
      </c>
      <c r="E437" t="inlineStr">
        <is>
          <t>UMEÅ</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2737-2023</t>
        </is>
      </c>
      <c r="B438" s="1" t="n">
        <v>44944</v>
      </c>
      <c r="C438" s="1" t="n">
        <v>45928</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36901-2024</t>
        </is>
      </c>
      <c r="B439" s="1" t="n">
        <v>45538.62810185185</v>
      </c>
      <c r="C439" s="1" t="n">
        <v>45928</v>
      </c>
      <c r="D439" t="inlineStr">
        <is>
          <t>VÄSTERBOTTENS LÄN</t>
        </is>
      </c>
      <c r="E439" t="inlineStr">
        <is>
          <t>UMEÅ</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36932-2024</t>
        </is>
      </c>
      <c r="B440" s="1" t="n">
        <v>45538</v>
      </c>
      <c r="C440" s="1" t="n">
        <v>45928</v>
      </c>
      <c r="D440" t="inlineStr">
        <is>
          <t>VÄSTERBOTTENS LÄN</t>
        </is>
      </c>
      <c r="E440" t="inlineStr">
        <is>
          <t>UMEÅ</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37014-2024</t>
        </is>
      </c>
      <c r="B441" s="1" t="n">
        <v>45539</v>
      </c>
      <c r="C441" s="1" t="n">
        <v>45928</v>
      </c>
      <c r="D441" t="inlineStr">
        <is>
          <t>VÄSTERBOTTENS LÄN</t>
        </is>
      </c>
      <c r="E441" t="inlineStr">
        <is>
          <t>UMEÅ</t>
        </is>
      </c>
      <c r="G441" t="n">
        <v>3.2</v>
      </c>
      <c r="H441" t="n">
        <v>0</v>
      </c>
      <c r="I441" t="n">
        <v>0</v>
      </c>
      <c r="J441" t="n">
        <v>0</v>
      </c>
      <c r="K441" t="n">
        <v>0</v>
      </c>
      <c r="L441" t="n">
        <v>0</v>
      </c>
      <c r="M441" t="n">
        <v>0</v>
      </c>
      <c r="N441" t="n">
        <v>0</v>
      </c>
      <c r="O441" t="n">
        <v>0</v>
      </c>
      <c r="P441" t="n">
        <v>0</v>
      </c>
      <c r="Q441" t="n">
        <v>0</v>
      </c>
      <c r="R441" s="2" t="inlineStr"/>
    </row>
    <row r="442" ht="15" customHeight="1">
      <c r="A442" t="inlineStr">
        <is>
          <t>A 49359-2023</t>
        </is>
      </c>
      <c r="B442" s="1" t="n">
        <v>45211.33486111111</v>
      </c>
      <c r="C442" s="1" t="n">
        <v>45928</v>
      </c>
      <c r="D442" t="inlineStr">
        <is>
          <t>VÄSTERBOTTENS LÄN</t>
        </is>
      </c>
      <c r="E442" t="inlineStr">
        <is>
          <t>UMEÅ</t>
        </is>
      </c>
      <c r="G442" t="n">
        <v>5.2</v>
      </c>
      <c r="H442" t="n">
        <v>0</v>
      </c>
      <c r="I442" t="n">
        <v>0</v>
      </c>
      <c r="J442" t="n">
        <v>0</v>
      </c>
      <c r="K442" t="n">
        <v>0</v>
      </c>
      <c r="L442" t="n">
        <v>0</v>
      </c>
      <c r="M442" t="n">
        <v>0</v>
      </c>
      <c r="N442" t="n">
        <v>0</v>
      </c>
      <c r="O442" t="n">
        <v>0</v>
      </c>
      <c r="P442" t="n">
        <v>0</v>
      </c>
      <c r="Q442" t="n">
        <v>0</v>
      </c>
      <c r="R442" s="2" t="inlineStr"/>
    </row>
    <row r="443" ht="15" customHeight="1">
      <c r="A443" t="inlineStr">
        <is>
          <t>A 44420-2025</t>
        </is>
      </c>
      <c r="B443" s="1" t="n">
        <v>45916.54780092592</v>
      </c>
      <c r="C443" s="1" t="n">
        <v>45928</v>
      </c>
      <c r="D443" t="inlineStr">
        <is>
          <t>VÄSTERBOTTENS LÄN</t>
        </is>
      </c>
      <c r="E443" t="inlineStr">
        <is>
          <t>UMEÅ</t>
        </is>
      </c>
      <c r="G443" t="n">
        <v>2.8</v>
      </c>
      <c r="H443" t="n">
        <v>0</v>
      </c>
      <c r="I443" t="n">
        <v>0</v>
      </c>
      <c r="J443" t="n">
        <v>0</v>
      </c>
      <c r="K443" t="n">
        <v>0</v>
      </c>
      <c r="L443" t="n">
        <v>0</v>
      </c>
      <c r="M443" t="n">
        <v>0</v>
      </c>
      <c r="N443" t="n">
        <v>0</v>
      </c>
      <c r="O443" t="n">
        <v>0</v>
      </c>
      <c r="P443" t="n">
        <v>0</v>
      </c>
      <c r="Q443" t="n">
        <v>0</v>
      </c>
      <c r="R443" s="2" t="inlineStr"/>
    </row>
    <row r="444" ht="15" customHeight="1">
      <c r="A444" t="inlineStr">
        <is>
          <t>A 29652-2024</t>
        </is>
      </c>
      <c r="B444" s="1" t="n">
        <v>45484.92328703704</v>
      </c>
      <c r="C444" s="1" t="n">
        <v>45928</v>
      </c>
      <c r="D444" t="inlineStr">
        <is>
          <t>VÄSTERBOTTENS LÄN</t>
        </is>
      </c>
      <c r="E444" t="inlineStr">
        <is>
          <t>UMEÅ</t>
        </is>
      </c>
      <c r="G444" t="n">
        <v>0.7</v>
      </c>
      <c r="H444" t="n">
        <v>0</v>
      </c>
      <c r="I444" t="n">
        <v>0</v>
      </c>
      <c r="J444" t="n">
        <v>0</v>
      </c>
      <c r="K444" t="n">
        <v>0</v>
      </c>
      <c r="L444" t="n">
        <v>0</v>
      </c>
      <c r="M444" t="n">
        <v>0</v>
      </c>
      <c r="N444" t="n">
        <v>0</v>
      </c>
      <c r="O444" t="n">
        <v>0</v>
      </c>
      <c r="P444" t="n">
        <v>0</v>
      </c>
      <c r="Q444" t="n">
        <v>0</v>
      </c>
      <c r="R444" s="2" t="inlineStr"/>
    </row>
    <row r="445" ht="15" customHeight="1">
      <c r="A445" t="inlineStr">
        <is>
          <t>A 36746-2025</t>
        </is>
      </c>
      <c r="B445" s="1" t="n">
        <v>45873.54766203704</v>
      </c>
      <c r="C445" s="1" t="n">
        <v>45928</v>
      </c>
      <c r="D445" t="inlineStr">
        <is>
          <t>VÄSTERBOTTENS LÄN</t>
        </is>
      </c>
      <c r="E445" t="inlineStr">
        <is>
          <t>UMEÅ</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36747-2025</t>
        </is>
      </c>
      <c r="B446" s="1" t="n">
        <v>45873.54780092592</v>
      </c>
      <c r="C446" s="1" t="n">
        <v>45928</v>
      </c>
      <c r="D446" t="inlineStr">
        <is>
          <t>VÄSTERBOTTENS LÄN</t>
        </is>
      </c>
      <c r="E446" t="inlineStr">
        <is>
          <t>UMEÅ</t>
        </is>
      </c>
      <c r="F446" t="inlineStr">
        <is>
          <t>Holmen skog AB</t>
        </is>
      </c>
      <c r="G446" t="n">
        <v>5.8</v>
      </c>
      <c r="H446" t="n">
        <v>0</v>
      </c>
      <c r="I446" t="n">
        <v>0</v>
      </c>
      <c r="J446" t="n">
        <v>0</v>
      </c>
      <c r="K446" t="n">
        <v>0</v>
      </c>
      <c r="L446" t="n">
        <v>0</v>
      </c>
      <c r="M446" t="n">
        <v>0</v>
      </c>
      <c r="N446" t="n">
        <v>0</v>
      </c>
      <c r="O446" t="n">
        <v>0</v>
      </c>
      <c r="P446" t="n">
        <v>0</v>
      </c>
      <c r="Q446" t="n">
        <v>0</v>
      </c>
      <c r="R446" s="2" t="inlineStr"/>
    </row>
    <row r="447" ht="15" customHeight="1">
      <c r="A447" t="inlineStr">
        <is>
          <t>A 55856-2024</t>
        </is>
      </c>
      <c r="B447" s="1" t="n">
        <v>45623</v>
      </c>
      <c r="C447" s="1" t="n">
        <v>45928</v>
      </c>
      <c r="D447" t="inlineStr">
        <is>
          <t>VÄSTERBOTTENS LÄN</t>
        </is>
      </c>
      <c r="E447" t="inlineStr">
        <is>
          <t>UMEÅ</t>
        </is>
      </c>
      <c r="G447" t="n">
        <v>1.7</v>
      </c>
      <c r="H447" t="n">
        <v>0</v>
      </c>
      <c r="I447" t="n">
        <v>0</v>
      </c>
      <c r="J447" t="n">
        <v>0</v>
      </c>
      <c r="K447" t="n">
        <v>0</v>
      </c>
      <c r="L447" t="n">
        <v>0</v>
      </c>
      <c r="M447" t="n">
        <v>0</v>
      </c>
      <c r="N447" t="n">
        <v>0</v>
      </c>
      <c r="O447" t="n">
        <v>0</v>
      </c>
      <c r="P447" t="n">
        <v>0</v>
      </c>
      <c r="Q447" t="n">
        <v>0</v>
      </c>
      <c r="R447" s="2" t="inlineStr"/>
    </row>
    <row r="448" ht="15" customHeight="1">
      <c r="A448" t="inlineStr">
        <is>
          <t>A 24586-2022</t>
        </is>
      </c>
      <c r="B448" s="1" t="n">
        <v>44727.45271990741</v>
      </c>
      <c r="C448" s="1" t="n">
        <v>45928</v>
      </c>
      <c r="D448" t="inlineStr">
        <is>
          <t>VÄSTERBOTTENS LÄN</t>
        </is>
      </c>
      <c r="E448" t="inlineStr">
        <is>
          <t>UMEÅ</t>
        </is>
      </c>
      <c r="G448" t="n">
        <v>1</v>
      </c>
      <c r="H448" t="n">
        <v>0</v>
      </c>
      <c r="I448" t="n">
        <v>0</v>
      </c>
      <c r="J448" t="n">
        <v>0</v>
      </c>
      <c r="K448" t="n">
        <v>0</v>
      </c>
      <c r="L448" t="n">
        <v>0</v>
      </c>
      <c r="M448" t="n">
        <v>0</v>
      </c>
      <c r="N448" t="n">
        <v>0</v>
      </c>
      <c r="O448" t="n">
        <v>0</v>
      </c>
      <c r="P448" t="n">
        <v>0</v>
      </c>
      <c r="Q448" t="n">
        <v>0</v>
      </c>
      <c r="R448" s="2" t="inlineStr"/>
    </row>
    <row r="449" ht="15" customHeight="1">
      <c r="A449" t="inlineStr">
        <is>
          <t>A 9531-2023</t>
        </is>
      </c>
      <c r="B449" s="1" t="n">
        <v>44981</v>
      </c>
      <c r="C449" s="1" t="n">
        <v>45928</v>
      </c>
      <c r="D449" t="inlineStr">
        <is>
          <t>VÄSTERBOTTENS LÄN</t>
        </is>
      </c>
      <c r="E449" t="inlineStr">
        <is>
          <t>UMEÅ</t>
        </is>
      </c>
      <c r="G449" t="n">
        <v>3.7</v>
      </c>
      <c r="H449" t="n">
        <v>0</v>
      </c>
      <c r="I449" t="n">
        <v>0</v>
      </c>
      <c r="J449" t="n">
        <v>0</v>
      </c>
      <c r="K449" t="n">
        <v>0</v>
      </c>
      <c r="L449" t="n">
        <v>0</v>
      </c>
      <c r="M449" t="n">
        <v>0</v>
      </c>
      <c r="N449" t="n">
        <v>0</v>
      </c>
      <c r="O449" t="n">
        <v>0</v>
      </c>
      <c r="P449" t="n">
        <v>0</v>
      </c>
      <c r="Q449" t="n">
        <v>0</v>
      </c>
      <c r="R449" s="2" t="inlineStr"/>
    </row>
    <row r="450" ht="15" customHeight="1">
      <c r="A450" t="inlineStr">
        <is>
          <t>A 44168-2025</t>
        </is>
      </c>
      <c r="B450" s="1" t="n">
        <v>45915.59853009259</v>
      </c>
      <c r="C450" s="1" t="n">
        <v>45928</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2632-2023</t>
        </is>
      </c>
      <c r="B451" s="1" t="n">
        <v>44944</v>
      </c>
      <c r="C451" s="1" t="n">
        <v>45928</v>
      </c>
      <c r="D451" t="inlineStr">
        <is>
          <t>VÄSTERBOTTENS LÄN</t>
        </is>
      </c>
      <c r="E451" t="inlineStr">
        <is>
          <t>UMEÅ</t>
        </is>
      </c>
      <c r="G451" t="n">
        <v>0.3</v>
      </c>
      <c r="H451" t="n">
        <v>0</v>
      </c>
      <c r="I451" t="n">
        <v>0</v>
      </c>
      <c r="J451" t="n">
        <v>0</v>
      </c>
      <c r="K451" t="n">
        <v>0</v>
      </c>
      <c r="L451" t="n">
        <v>0</v>
      </c>
      <c r="M451" t="n">
        <v>0</v>
      </c>
      <c r="N451" t="n">
        <v>0</v>
      </c>
      <c r="O451" t="n">
        <v>0</v>
      </c>
      <c r="P451" t="n">
        <v>0</v>
      </c>
      <c r="Q451" t="n">
        <v>0</v>
      </c>
      <c r="R451" s="2" t="inlineStr"/>
    </row>
    <row r="452" ht="15" customHeight="1">
      <c r="A452" t="inlineStr">
        <is>
          <t>A 2634-2023</t>
        </is>
      </c>
      <c r="B452" s="1" t="n">
        <v>44944.4013425926</v>
      </c>
      <c r="C452" s="1" t="n">
        <v>45928</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44081-2025</t>
        </is>
      </c>
      <c r="B453" s="1" t="n">
        <v>45915.55290509259</v>
      </c>
      <c r="C453" s="1" t="n">
        <v>45928</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60323-2024</t>
        </is>
      </c>
      <c r="B454" s="1" t="n">
        <v>45641</v>
      </c>
      <c r="C454" s="1" t="n">
        <v>45928</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58284-2021</t>
        </is>
      </c>
      <c r="B455" s="1" t="n">
        <v>44487.97035879629</v>
      </c>
      <c r="C455" s="1" t="n">
        <v>45928</v>
      </c>
      <c r="D455" t="inlineStr">
        <is>
          <t>VÄSTERBOTTENS LÄN</t>
        </is>
      </c>
      <c r="E455" t="inlineStr">
        <is>
          <t>UMEÅ</t>
        </is>
      </c>
      <c r="F455" t="inlineStr">
        <is>
          <t>Kommuner</t>
        </is>
      </c>
      <c r="G455" t="n">
        <v>1.9</v>
      </c>
      <c r="H455" t="n">
        <v>0</v>
      </c>
      <c r="I455" t="n">
        <v>0</v>
      </c>
      <c r="J455" t="n">
        <v>0</v>
      </c>
      <c r="K455" t="n">
        <v>0</v>
      </c>
      <c r="L455" t="n">
        <v>0</v>
      </c>
      <c r="M455" t="n">
        <v>0</v>
      </c>
      <c r="N455" t="n">
        <v>0</v>
      </c>
      <c r="O455" t="n">
        <v>0</v>
      </c>
      <c r="P455" t="n">
        <v>0</v>
      </c>
      <c r="Q455" t="n">
        <v>0</v>
      </c>
      <c r="R455" s="2" t="inlineStr"/>
    </row>
    <row r="456" ht="15" customHeight="1">
      <c r="A456" t="inlineStr">
        <is>
          <t>A 44725-2025</t>
        </is>
      </c>
      <c r="B456" s="1" t="n">
        <v>45917.64240740741</v>
      </c>
      <c r="C456" s="1" t="n">
        <v>45928</v>
      </c>
      <c r="D456" t="inlineStr">
        <is>
          <t>VÄSTERBOTTENS LÄN</t>
        </is>
      </c>
      <c r="E456" t="inlineStr">
        <is>
          <t>UMEÅ</t>
        </is>
      </c>
      <c r="G456" t="n">
        <v>4.6</v>
      </c>
      <c r="H456" t="n">
        <v>0</v>
      </c>
      <c r="I456" t="n">
        <v>0</v>
      </c>
      <c r="J456" t="n">
        <v>0</v>
      </c>
      <c r="K456" t="n">
        <v>0</v>
      </c>
      <c r="L456" t="n">
        <v>0</v>
      </c>
      <c r="M456" t="n">
        <v>0</v>
      </c>
      <c r="N456" t="n">
        <v>0</v>
      </c>
      <c r="O456" t="n">
        <v>0</v>
      </c>
      <c r="P456" t="n">
        <v>0</v>
      </c>
      <c r="Q456" t="n">
        <v>0</v>
      </c>
      <c r="R456" s="2" t="inlineStr"/>
    </row>
    <row r="457" ht="15" customHeight="1">
      <c r="A457" t="inlineStr">
        <is>
          <t>A 18520-2023</t>
        </is>
      </c>
      <c r="B457" s="1" t="n">
        <v>45041</v>
      </c>
      <c r="C457" s="1" t="n">
        <v>45928</v>
      </c>
      <c r="D457" t="inlineStr">
        <is>
          <t>VÄSTERBOTTENS LÄN</t>
        </is>
      </c>
      <c r="E457" t="inlineStr">
        <is>
          <t>UMEÅ</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18527-2023</t>
        </is>
      </c>
      <c r="B458" s="1" t="n">
        <v>45041</v>
      </c>
      <c r="C458" s="1" t="n">
        <v>45928</v>
      </c>
      <c r="D458" t="inlineStr">
        <is>
          <t>VÄSTERBOTTENS LÄN</t>
        </is>
      </c>
      <c r="E458" t="inlineStr">
        <is>
          <t>UMEÅ</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14432-2022</t>
        </is>
      </c>
      <c r="B459" s="1" t="n">
        <v>44652.92743055556</v>
      </c>
      <c r="C459" s="1" t="n">
        <v>45928</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37309-2025</t>
        </is>
      </c>
      <c r="B460" s="1" t="n">
        <v>45876.595</v>
      </c>
      <c r="C460" s="1" t="n">
        <v>45928</v>
      </c>
      <c r="D460" t="inlineStr">
        <is>
          <t>VÄSTERBOTTENS LÄN</t>
        </is>
      </c>
      <c r="E460" t="inlineStr">
        <is>
          <t>UMEÅ</t>
        </is>
      </c>
      <c r="G460" t="n">
        <v>1.7</v>
      </c>
      <c r="H460" t="n">
        <v>0</v>
      </c>
      <c r="I460" t="n">
        <v>0</v>
      </c>
      <c r="J460" t="n">
        <v>0</v>
      </c>
      <c r="K460" t="n">
        <v>0</v>
      </c>
      <c r="L460" t="n">
        <v>0</v>
      </c>
      <c r="M460" t="n">
        <v>0</v>
      </c>
      <c r="N460" t="n">
        <v>0</v>
      </c>
      <c r="O460" t="n">
        <v>0</v>
      </c>
      <c r="P460" t="n">
        <v>0</v>
      </c>
      <c r="Q460" t="n">
        <v>0</v>
      </c>
      <c r="R460" s="2" t="inlineStr"/>
    </row>
    <row r="461" ht="15" customHeight="1">
      <c r="A461" t="inlineStr">
        <is>
          <t>A 37039-2025</t>
        </is>
      </c>
      <c r="B461" s="1" t="n">
        <v>45875.32471064815</v>
      </c>
      <c r="C461" s="1" t="n">
        <v>45928</v>
      </c>
      <c r="D461" t="inlineStr">
        <is>
          <t>VÄSTERBOTTENS LÄN</t>
        </is>
      </c>
      <c r="E461" t="inlineStr">
        <is>
          <t>UMEÅ</t>
        </is>
      </c>
      <c r="F461" t="inlineStr">
        <is>
          <t>Holmen skog AB</t>
        </is>
      </c>
      <c r="G461" t="n">
        <v>4.8</v>
      </c>
      <c r="H461" t="n">
        <v>0</v>
      </c>
      <c r="I461" t="n">
        <v>0</v>
      </c>
      <c r="J461" t="n">
        <v>0</v>
      </c>
      <c r="K461" t="n">
        <v>0</v>
      </c>
      <c r="L461" t="n">
        <v>0</v>
      </c>
      <c r="M461" t="n">
        <v>0</v>
      </c>
      <c r="N461" t="n">
        <v>0</v>
      </c>
      <c r="O461" t="n">
        <v>0</v>
      </c>
      <c r="P461" t="n">
        <v>0</v>
      </c>
      <c r="Q461" t="n">
        <v>0</v>
      </c>
      <c r="R461" s="2" t="inlineStr"/>
    </row>
    <row r="462" ht="15" customHeight="1">
      <c r="A462" t="inlineStr">
        <is>
          <t>A 29454-2023</t>
        </is>
      </c>
      <c r="B462" s="1" t="n">
        <v>45098</v>
      </c>
      <c r="C462" s="1" t="n">
        <v>45928</v>
      </c>
      <c r="D462" t="inlineStr">
        <is>
          <t>VÄSTERBOTTENS LÄN</t>
        </is>
      </c>
      <c r="E462" t="inlineStr">
        <is>
          <t>UMEÅ</t>
        </is>
      </c>
      <c r="G462" t="n">
        <v>5.7</v>
      </c>
      <c r="H462" t="n">
        <v>0</v>
      </c>
      <c r="I462" t="n">
        <v>0</v>
      </c>
      <c r="J462" t="n">
        <v>0</v>
      </c>
      <c r="K462" t="n">
        <v>0</v>
      </c>
      <c r="L462" t="n">
        <v>0</v>
      </c>
      <c r="M462" t="n">
        <v>0</v>
      </c>
      <c r="N462" t="n">
        <v>0</v>
      </c>
      <c r="O462" t="n">
        <v>0</v>
      </c>
      <c r="P462" t="n">
        <v>0</v>
      </c>
      <c r="Q462" t="n">
        <v>0</v>
      </c>
      <c r="R462" s="2" t="inlineStr"/>
    </row>
    <row r="463" ht="15" customHeight="1">
      <c r="A463" t="inlineStr">
        <is>
          <t>A 45657-2024</t>
        </is>
      </c>
      <c r="B463" s="1" t="n">
        <v>45579.49459490741</v>
      </c>
      <c r="C463" s="1" t="n">
        <v>45928</v>
      </c>
      <c r="D463" t="inlineStr">
        <is>
          <t>VÄSTERBOTTENS LÄN</t>
        </is>
      </c>
      <c r="E463" t="inlineStr">
        <is>
          <t>UMEÅ</t>
        </is>
      </c>
      <c r="F463" t="inlineStr">
        <is>
          <t>Kommuner</t>
        </is>
      </c>
      <c r="G463" t="n">
        <v>1.8</v>
      </c>
      <c r="H463" t="n">
        <v>0</v>
      </c>
      <c r="I463" t="n">
        <v>0</v>
      </c>
      <c r="J463" t="n">
        <v>0</v>
      </c>
      <c r="K463" t="n">
        <v>0</v>
      </c>
      <c r="L463" t="n">
        <v>0</v>
      </c>
      <c r="M463" t="n">
        <v>0</v>
      </c>
      <c r="N463" t="n">
        <v>0</v>
      </c>
      <c r="O463" t="n">
        <v>0</v>
      </c>
      <c r="P463" t="n">
        <v>0</v>
      </c>
      <c r="Q463" t="n">
        <v>0</v>
      </c>
      <c r="R463" s="2" t="inlineStr"/>
    </row>
    <row r="464" ht="15" customHeight="1">
      <c r="A464" t="inlineStr">
        <is>
          <t>A 36814-2025</t>
        </is>
      </c>
      <c r="B464" s="1" t="n">
        <v>45872</v>
      </c>
      <c r="C464" s="1" t="n">
        <v>45928</v>
      </c>
      <c r="D464" t="inlineStr">
        <is>
          <t>VÄSTERBOTTENS LÄN</t>
        </is>
      </c>
      <c r="E464" t="inlineStr">
        <is>
          <t>UMEÅ</t>
        </is>
      </c>
      <c r="G464" t="n">
        <v>1.7</v>
      </c>
      <c r="H464" t="n">
        <v>0</v>
      </c>
      <c r="I464" t="n">
        <v>0</v>
      </c>
      <c r="J464" t="n">
        <v>0</v>
      </c>
      <c r="K464" t="n">
        <v>0</v>
      </c>
      <c r="L464" t="n">
        <v>0</v>
      </c>
      <c r="M464" t="n">
        <v>0</v>
      </c>
      <c r="N464" t="n">
        <v>0</v>
      </c>
      <c r="O464" t="n">
        <v>0</v>
      </c>
      <c r="P464" t="n">
        <v>0</v>
      </c>
      <c r="Q464" t="n">
        <v>0</v>
      </c>
      <c r="R464" s="2" t="inlineStr"/>
    </row>
    <row r="465" ht="15" customHeight="1">
      <c r="A465" t="inlineStr">
        <is>
          <t>A 44730-2025</t>
        </is>
      </c>
      <c r="B465" s="1" t="n">
        <v>45917.65262731481</v>
      </c>
      <c r="C465" s="1" t="n">
        <v>45928</v>
      </c>
      <c r="D465" t="inlineStr">
        <is>
          <t>VÄSTERBOTTENS LÄN</t>
        </is>
      </c>
      <c r="E465" t="inlineStr">
        <is>
          <t>UMEÅ</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7774-2025</t>
        </is>
      </c>
      <c r="B466" s="1" t="n">
        <v>45706.57314814815</v>
      </c>
      <c r="C466" s="1" t="n">
        <v>45928</v>
      </c>
      <c r="D466" t="inlineStr">
        <is>
          <t>VÄSTERBOTTENS LÄN</t>
        </is>
      </c>
      <c r="E466" t="inlineStr">
        <is>
          <t>UMEÅ</t>
        </is>
      </c>
      <c r="G466" t="n">
        <v>2.6</v>
      </c>
      <c r="H466" t="n">
        <v>0</v>
      </c>
      <c r="I466" t="n">
        <v>0</v>
      </c>
      <c r="J466" t="n">
        <v>0</v>
      </c>
      <c r="K466" t="n">
        <v>0</v>
      </c>
      <c r="L466" t="n">
        <v>0</v>
      </c>
      <c r="M466" t="n">
        <v>0</v>
      </c>
      <c r="N466" t="n">
        <v>0</v>
      </c>
      <c r="O466" t="n">
        <v>0</v>
      </c>
      <c r="P466" t="n">
        <v>0</v>
      </c>
      <c r="Q466" t="n">
        <v>0</v>
      </c>
      <c r="R466" s="2" t="inlineStr"/>
    </row>
    <row r="467" ht="15" customHeight="1">
      <c r="A467" t="inlineStr">
        <is>
          <t>A 59735-2024</t>
        </is>
      </c>
      <c r="B467" s="1" t="n">
        <v>45639</v>
      </c>
      <c r="C467" s="1" t="n">
        <v>45928</v>
      </c>
      <c r="D467" t="inlineStr">
        <is>
          <t>VÄSTERBOTTENS LÄN</t>
        </is>
      </c>
      <c r="E467" t="inlineStr">
        <is>
          <t>UMEÅ</t>
        </is>
      </c>
      <c r="G467" t="n">
        <v>10.7</v>
      </c>
      <c r="H467" t="n">
        <v>0</v>
      </c>
      <c r="I467" t="n">
        <v>0</v>
      </c>
      <c r="J467" t="n">
        <v>0</v>
      </c>
      <c r="K467" t="n">
        <v>0</v>
      </c>
      <c r="L467" t="n">
        <v>0</v>
      </c>
      <c r="M467" t="n">
        <v>0</v>
      </c>
      <c r="N467" t="n">
        <v>0</v>
      </c>
      <c r="O467" t="n">
        <v>0</v>
      </c>
      <c r="P467" t="n">
        <v>0</v>
      </c>
      <c r="Q467" t="n">
        <v>0</v>
      </c>
      <c r="R467" s="2" t="inlineStr"/>
    </row>
    <row r="468" ht="15" customHeight="1">
      <c r="A468" t="inlineStr">
        <is>
          <t>A 2695-2023</t>
        </is>
      </c>
      <c r="B468" s="1" t="n">
        <v>44944</v>
      </c>
      <c r="C468" s="1" t="n">
        <v>45928</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37038-2025</t>
        </is>
      </c>
      <c r="B469" s="1" t="n">
        <v>45875.31435185186</v>
      </c>
      <c r="C469" s="1" t="n">
        <v>45928</v>
      </c>
      <c r="D469" t="inlineStr">
        <is>
          <t>VÄSTERBOTTENS LÄN</t>
        </is>
      </c>
      <c r="E469" t="inlineStr">
        <is>
          <t>UMEÅ</t>
        </is>
      </c>
      <c r="F469" t="inlineStr">
        <is>
          <t>Holmen skog AB</t>
        </is>
      </c>
      <c r="G469" t="n">
        <v>3.4</v>
      </c>
      <c r="H469" t="n">
        <v>0</v>
      </c>
      <c r="I469" t="n">
        <v>0</v>
      </c>
      <c r="J469" t="n">
        <v>0</v>
      </c>
      <c r="K469" t="n">
        <v>0</v>
      </c>
      <c r="L469" t="n">
        <v>0</v>
      </c>
      <c r="M469" t="n">
        <v>0</v>
      </c>
      <c r="N469" t="n">
        <v>0</v>
      </c>
      <c r="O469" t="n">
        <v>0</v>
      </c>
      <c r="P469" t="n">
        <v>0</v>
      </c>
      <c r="Q469" t="n">
        <v>0</v>
      </c>
      <c r="R469" s="2" t="inlineStr"/>
    </row>
    <row r="470" ht="15" customHeight="1">
      <c r="A470" t="inlineStr">
        <is>
          <t>A 62955-2020</t>
        </is>
      </c>
      <c r="B470" s="1" t="n">
        <v>44162</v>
      </c>
      <c r="C470" s="1" t="n">
        <v>45928</v>
      </c>
      <c r="D470" t="inlineStr">
        <is>
          <t>VÄSTERBOTTENS LÄN</t>
        </is>
      </c>
      <c r="E470" t="inlineStr">
        <is>
          <t>UMEÅ</t>
        </is>
      </c>
      <c r="G470" t="n">
        <v>0.6</v>
      </c>
      <c r="H470" t="n">
        <v>0</v>
      </c>
      <c r="I470" t="n">
        <v>0</v>
      </c>
      <c r="J470" t="n">
        <v>0</v>
      </c>
      <c r="K470" t="n">
        <v>0</v>
      </c>
      <c r="L470" t="n">
        <v>0</v>
      </c>
      <c r="M470" t="n">
        <v>0</v>
      </c>
      <c r="N470" t="n">
        <v>0</v>
      </c>
      <c r="O470" t="n">
        <v>0</v>
      </c>
      <c r="P470" t="n">
        <v>0</v>
      </c>
      <c r="Q470" t="n">
        <v>0</v>
      </c>
      <c r="R470" s="2" t="inlineStr"/>
    </row>
    <row r="471" ht="15" customHeight="1">
      <c r="A471" t="inlineStr">
        <is>
          <t>A 43708-2025</t>
        </is>
      </c>
      <c r="B471" s="1" t="n">
        <v>45912.40680555555</v>
      </c>
      <c r="C471" s="1" t="n">
        <v>45928</v>
      </c>
      <c r="D471" t="inlineStr">
        <is>
          <t>VÄSTERBOTTENS LÄN</t>
        </is>
      </c>
      <c r="E471" t="inlineStr">
        <is>
          <t>UMEÅ</t>
        </is>
      </c>
      <c r="G471" t="n">
        <v>2.3</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45928</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37308-2025</t>
        </is>
      </c>
      <c r="B473" s="1" t="n">
        <v>45876.59497685185</v>
      </c>
      <c r="C473" s="1" t="n">
        <v>45928</v>
      </c>
      <c r="D473" t="inlineStr">
        <is>
          <t>VÄSTERBOTTENS LÄN</t>
        </is>
      </c>
      <c r="E473" t="inlineStr">
        <is>
          <t>UMEÅ</t>
        </is>
      </c>
      <c r="G473" t="n">
        <v>1.4</v>
      </c>
      <c r="H473" t="n">
        <v>0</v>
      </c>
      <c r="I473" t="n">
        <v>0</v>
      </c>
      <c r="J473" t="n">
        <v>0</v>
      </c>
      <c r="K473" t="n">
        <v>0</v>
      </c>
      <c r="L473" t="n">
        <v>0</v>
      </c>
      <c r="M473" t="n">
        <v>0</v>
      </c>
      <c r="N473" t="n">
        <v>0</v>
      </c>
      <c r="O473" t="n">
        <v>0</v>
      </c>
      <c r="P473" t="n">
        <v>0</v>
      </c>
      <c r="Q473" t="n">
        <v>0</v>
      </c>
      <c r="R473" s="2" t="inlineStr"/>
    </row>
    <row r="474" ht="15" customHeight="1">
      <c r="A474" t="inlineStr">
        <is>
          <t>A 36854-2022</t>
        </is>
      </c>
      <c r="B474" s="1" t="n">
        <v>44805.60581018519</v>
      </c>
      <c r="C474" s="1" t="n">
        <v>45928</v>
      </c>
      <c r="D474" t="inlineStr">
        <is>
          <t>VÄSTERBOTTENS LÄN</t>
        </is>
      </c>
      <c r="E474" t="inlineStr">
        <is>
          <t>UMEÅ</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45928</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44751-2025</t>
        </is>
      </c>
      <c r="B476" s="1" t="n">
        <v>45917.68104166666</v>
      </c>
      <c r="C476" s="1" t="n">
        <v>45928</v>
      </c>
      <c r="D476" t="inlineStr">
        <is>
          <t>VÄSTERBOTTENS LÄN</t>
        </is>
      </c>
      <c r="E476" t="inlineStr">
        <is>
          <t>UMEÅ</t>
        </is>
      </c>
      <c r="G476" t="n">
        <v>9.1</v>
      </c>
      <c r="H476" t="n">
        <v>0</v>
      </c>
      <c r="I476" t="n">
        <v>0</v>
      </c>
      <c r="J476" t="n">
        <v>0</v>
      </c>
      <c r="K476" t="n">
        <v>0</v>
      </c>
      <c r="L476" t="n">
        <v>0</v>
      </c>
      <c r="M476" t="n">
        <v>0</v>
      </c>
      <c r="N476" t="n">
        <v>0</v>
      </c>
      <c r="O476" t="n">
        <v>0</v>
      </c>
      <c r="P476" t="n">
        <v>0</v>
      </c>
      <c r="Q476" t="n">
        <v>0</v>
      </c>
      <c r="R476" s="2" t="inlineStr"/>
    </row>
    <row r="477" ht="15" customHeight="1">
      <c r="A477" t="inlineStr">
        <is>
          <t>A 2048-2023</t>
        </is>
      </c>
      <c r="B477" s="1" t="n">
        <v>44939</v>
      </c>
      <c r="C477" s="1" t="n">
        <v>45928</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18322-2023</t>
        </is>
      </c>
      <c r="B478" s="1" t="n">
        <v>45041.61890046296</v>
      </c>
      <c r="C478" s="1" t="n">
        <v>45928</v>
      </c>
      <c r="D478" t="inlineStr">
        <is>
          <t>VÄSTERBOTTENS LÄN</t>
        </is>
      </c>
      <c r="E478" t="inlineStr">
        <is>
          <t>UMEÅ</t>
        </is>
      </c>
      <c r="G478" t="n">
        <v>1.5</v>
      </c>
      <c r="H478" t="n">
        <v>0</v>
      </c>
      <c r="I478" t="n">
        <v>0</v>
      </c>
      <c r="J478" t="n">
        <v>0</v>
      </c>
      <c r="K478" t="n">
        <v>0</v>
      </c>
      <c r="L478" t="n">
        <v>0</v>
      </c>
      <c r="M478" t="n">
        <v>0</v>
      </c>
      <c r="N478" t="n">
        <v>0</v>
      </c>
      <c r="O478" t="n">
        <v>0</v>
      </c>
      <c r="P478" t="n">
        <v>0</v>
      </c>
      <c r="Q478" t="n">
        <v>0</v>
      </c>
      <c r="R478" s="2" t="inlineStr"/>
    </row>
    <row r="479" ht="15" customHeight="1">
      <c r="A479" t="inlineStr">
        <is>
          <t>A 56208-2020</t>
        </is>
      </c>
      <c r="B479" s="1" t="n">
        <v>44133</v>
      </c>
      <c r="C479" s="1" t="n">
        <v>45928</v>
      </c>
      <c r="D479" t="inlineStr">
        <is>
          <t>VÄSTERBOTTENS LÄN</t>
        </is>
      </c>
      <c r="E479" t="inlineStr">
        <is>
          <t>UMEÅ</t>
        </is>
      </c>
      <c r="G479" t="n">
        <v>0.8</v>
      </c>
      <c r="H479" t="n">
        <v>0</v>
      </c>
      <c r="I479" t="n">
        <v>0</v>
      </c>
      <c r="J479" t="n">
        <v>0</v>
      </c>
      <c r="K479" t="n">
        <v>0</v>
      </c>
      <c r="L479" t="n">
        <v>0</v>
      </c>
      <c r="M479" t="n">
        <v>0</v>
      </c>
      <c r="N479" t="n">
        <v>0</v>
      </c>
      <c r="O479" t="n">
        <v>0</v>
      </c>
      <c r="P479" t="n">
        <v>0</v>
      </c>
      <c r="Q479" t="n">
        <v>0</v>
      </c>
      <c r="R479" s="2" t="inlineStr"/>
    </row>
    <row r="480" ht="15" customHeight="1">
      <c r="A480" t="inlineStr">
        <is>
          <t>A 5994-2025</t>
        </is>
      </c>
      <c r="B480" s="1" t="n">
        <v>45695</v>
      </c>
      <c r="C480" s="1" t="n">
        <v>45928</v>
      </c>
      <c r="D480" t="inlineStr">
        <is>
          <t>VÄSTERBOTTENS LÄN</t>
        </is>
      </c>
      <c r="E480" t="inlineStr">
        <is>
          <t>UMEÅ</t>
        </is>
      </c>
      <c r="G480" t="n">
        <v>4.5</v>
      </c>
      <c r="H480" t="n">
        <v>0</v>
      </c>
      <c r="I480" t="n">
        <v>0</v>
      </c>
      <c r="J480" t="n">
        <v>0</v>
      </c>
      <c r="K480" t="n">
        <v>0</v>
      </c>
      <c r="L480" t="n">
        <v>0</v>
      </c>
      <c r="M480" t="n">
        <v>0</v>
      </c>
      <c r="N480" t="n">
        <v>0</v>
      </c>
      <c r="O480" t="n">
        <v>0</v>
      </c>
      <c r="P480" t="n">
        <v>0</v>
      </c>
      <c r="Q480" t="n">
        <v>0</v>
      </c>
      <c r="R480" s="2" t="inlineStr"/>
    </row>
    <row r="481" ht="15" customHeight="1">
      <c r="A481" t="inlineStr">
        <is>
          <t>A 28436-2025</t>
        </is>
      </c>
      <c r="B481" s="1" t="n">
        <v>45819.38614583333</v>
      </c>
      <c r="C481" s="1" t="n">
        <v>45928</v>
      </c>
      <c r="D481" t="inlineStr">
        <is>
          <t>VÄSTERBOTTENS LÄN</t>
        </is>
      </c>
      <c r="E481" t="inlineStr">
        <is>
          <t>UMEÅ</t>
        </is>
      </c>
      <c r="G481" t="n">
        <v>5.2</v>
      </c>
      <c r="H481" t="n">
        <v>0</v>
      </c>
      <c r="I481" t="n">
        <v>0</v>
      </c>
      <c r="J481" t="n">
        <v>0</v>
      </c>
      <c r="K481" t="n">
        <v>0</v>
      </c>
      <c r="L481" t="n">
        <v>0</v>
      </c>
      <c r="M481" t="n">
        <v>0</v>
      </c>
      <c r="N481" t="n">
        <v>0</v>
      </c>
      <c r="O481" t="n">
        <v>0</v>
      </c>
      <c r="P481" t="n">
        <v>0</v>
      </c>
      <c r="Q481" t="n">
        <v>0</v>
      </c>
      <c r="R481" s="2" t="inlineStr"/>
    </row>
    <row r="482" ht="15" customHeight="1">
      <c r="A482" t="inlineStr">
        <is>
          <t>A 36955-2023</t>
        </is>
      </c>
      <c r="B482" s="1" t="n">
        <v>45154</v>
      </c>
      <c r="C482" s="1" t="n">
        <v>45928</v>
      </c>
      <c r="D482" t="inlineStr">
        <is>
          <t>VÄSTERBOTTENS LÄN</t>
        </is>
      </c>
      <c r="E482" t="inlineStr">
        <is>
          <t>UMEÅ</t>
        </is>
      </c>
      <c r="G482" t="n">
        <v>2.4</v>
      </c>
      <c r="H482" t="n">
        <v>0</v>
      </c>
      <c r="I482" t="n">
        <v>0</v>
      </c>
      <c r="J482" t="n">
        <v>0</v>
      </c>
      <c r="K482" t="n">
        <v>0</v>
      </c>
      <c r="L482" t="n">
        <v>0</v>
      </c>
      <c r="M482" t="n">
        <v>0</v>
      </c>
      <c r="N482" t="n">
        <v>0</v>
      </c>
      <c r="O482" t="n">
        <v>0</v>
      </c>
      <c r="P482" t="n">
        <v>0</v>
      </c>
      <c r="Q482" t="n">
        <v>0</v>
      </c>
      <c r="R482" s="2" t="inlineStr"/>
    </row>
    <row r="483" ht="15" customHeight="1">
      <c r="A483" t="inlineStr">
        <is>
          <t>A 37482-2025</t>
        </is>
      </c>
      <c r="B483" s="1" t="n">
        <v>45877.61789351852</v>
      </c>
      <c r="C483" s="1" t="n">
        <v>45928</v>
      </c>
      <c r="D483" t="inlineStr">
        <is>
          <t>VÄSTERBOTTENS LÄN</t>
        </is>
      </c>
      <c r="E483" t="inlineStr">
        <is>
          <t>UMEÅ</t>
        </is>
      </c>
      <c r="G483" t="n">
        <v>3.2</v>
      </c>
      <c r="H483" t="n">
        <v>0</v>
      </c>
      <c r="I483" t="n">
        <v>0</v>
      </c>
      <c r="J483" t="n">
        <v>0</v>
      </c>
      <c r="K483" t="n">
        <v>0</v>
      </c>
      <c r="L483" t="n">
        <v>0</v>
      </c>
      <c r="M483" t="n">
        <v>0</v>
      </c>
      <c r="N483" t="n">
        <v>0</v>
      </c>
      <c r="O483" t="n">
        <v>0</v>
      </c>
      <c r="P483" t="n">
        <v>0</v>
      </c>
      <c r="Q483" t="n">
        <v>0</v>
      </c>
      <c r="R483" s="2" t="inlineStr"/>
    </row>
    <row r="484" ht="15" customHeight="1">
      <c r="A484" t="inlineStr">
        <is>
          <t>A 20749-2024</t>
        </is>
      </c>
      <c r="B484" s="1" t="n">
        <v>45436</v>
      </c>
      <c r="C484" s="1" t="n">
        <v>45928</v>
      </c>
      <c r="D484" t="inlineStr">
        <is>
          <t>VÄSTERBOTTENS LÄN</t>
        </is>
      </c>
      <c r="E484" t="inlineStr">
        <is>
          <t>UMEÅ</t>
        </is>
      </c>
      <c r="G484" t="n">
        <v>1.8</v>
      </c>
      <c r="H484" t="n">
        <v>0</v>
      </c>
      <c r="I484" t="n">
        <v>0</v>
      </c>
      <c r="J484" t="n">
        <v>0</v>
      </c>
      <c r="K484" t="n">
        <v>0</v>
      </c>
      <c r="L484" t="n">
        <v>0</v>
      </c>
      <c r="M484" t="n">
        <v>0</v>
      </c>
      <c r="N484" t="n">
        <v>0</v>
      </c>
      <c r="O484" t="n">
        <v>0</v>
      </c>
      <c r="P484" t="n">
        <v>0</v>
      </c>
      <c r="Q484" t="n">
        <v>0</v>
      </c>
      <c r="R484" s="2" t="inlineStr"/>
    </row>
    <row r="485" ht="15" customHeight="1">
      <c r="A485" t="inlineStr">
        <is>
          <t>A 25699-2025</t>
        </is>
      </c>
      <c r="B485" s="1" t="n">
        <v>45803.66822916667</v>
      </c>
      <c r="C485" s="1" t="n">
        <v>45928</v>
      </c>
      <c r="D485" t="inlineStr">
        <is>
          <t>VÄSTERBOTTENS LÄN</t>
        </is>
      </c>
      <c r="E485" t="inlineStr">
        <is>
          <t>UMEÅ</t>
        </is>
      </c>
      <c r="G485" t="n">
        <v>1.8</v>
      </c>
      <c r="H485" t="n">
        <v>0</v>
      </c>
      <c r="I485" t="n">
        <v>0</v>
      </c>
      <c r="J485" t="n">
        <v>0</v>
      </c>
      <c r="K485" t="n">
        <v>0</v>
      </c>
      <c r="L485" t="n">
        <v>0</v>
      </c>
      <c r="M485" t="n">
        <v>0</v>
      </c>
      <c r="N485" t="n">
        <v>0</v>
      </c>
      <c r="O485" t="n">
        <v>0</v>
      </c>
      <c r="P485" t="n">
        <v>0</v>
      </c>
      <c r="Q485" t="n">
        <v>0</v>
      </c>
      <c r="R485" s="2" t="inlineStr"/>
    </row>
    <row r="486" ht="15" customHeight="1">
      <c r="A486" t="inlineStr">
        <is>
          <t>A 3165-2025</t>
        </is>
      </c>
      <c r="B486" s="1" t="n">
        <v>45679.35350694445</v>
      </c>
      <c r="C486" s="1" t="n">
        <v>45928</v>
      </c>
      <c r="D486" t="inlineStr">
        <is>
          <t>VÄSTERBOTTENS LÄN</t>
        </is>
      </c>
      <c r="E486" t="inlineStr">
        <is>
          <t>UMEÅ</t>
        </is>
      </c>
      <c r="G486" t="n">
        <v>8.1</v>
      </c>
      <c r="H486" t="n">
        <v>0</v>
      </c>
      <c r="I486" t="n">
        <v>0</v>
      </c>
      <c r="J486" t="n">
        <v>0</v>
      </c>
      <c r="K486" t="n">
        <v>0</v>
      </c>
      <c r="L486" t="n">
        <v>0</v>
      </c>
      <c r="M486" t="n">
        <v>0</v>
      </c>
      <c r="N486" t="n">
        <v>0</v>
      </c>
      <c r="O486" t="n">
        <v>0</v>
      </c>
      <c r="P486" t="n">
        <v>0</v>
      </c>
      <c r="Q486" t="n">
        <v>0</v>
      </c>
      <c r="R486" s="2" t="inlineStr"/>
    </row>
    <row r="487" ht="15" customHeight="1">
      <c r="A487" t="inlineStr">
        <is>
          <t>A 37443-2023</t>
        </is>
      </c>
      <c r="B487" s="1" t="n">
        <v>45147</v>
      </c>
      <c r="C487" s="1" t="n">
        <v>45928</v>
      </c>
      <c r="D487" t="inlineStr">
        <is>
          <t>VÄSTERBOTTENS LÄN</t>
        </is>
      </c>
      <c r="E487" t="inlineStr">
        <is>
          <t>UMEÅ</t>
        </is>
      </c>
      <c r="G487" t="n">
        <v>7.3</v>
      </c>
      <c r="H487" t="n">
        <v>0</v>
      </c>
      <c r="I487" t="n">
        <v>0</v>
      </c>
      <c r="J487" t="n">
        <v>0</v>
      </c>
      <c r="K487" t="n">
        <v>0</v>
      </c>
      <c r="L487" t="n">
        <v>0</v>
      </c>
      <c r="M487" t="n">
        <v>0</v>
      </c>
      <c r="N487" t="n">
        <v>0</v>
      </c>
      <c r="O487" t="n">
        <v>0</v>
      </c>
      <c r="P487" t="n">
        <v>0</v>
      </c>
      <c r="Q487" t="n">
        <v>0</v>
      </c>
      <c r="R487" s="2" t="inlineStr"/>
    </row>
    <row r="488" ht="15" customHeight="1">
      <c r="A488" t="inlineStr">
        <is>
          <t>A 25691-2025</t>
        </is>
      </c>
      <c r="B488" s="1" t="n">
        <v>45803.66194444444</v>
      </c>
      <c r="C488" s="1" t="n">
        <v>45928</v>
      </c>
      <c r="D488" t="inlineStr">
        <is>
          <t>VÄSTERBOTTENS LÄN</t>
        </is>
      </c>
      <c r="E488" t="inlineStr">
        <is>
          <t>UMEÅ</t>
        </is>
      </c>
      <c r="G488" t="n">
        <v>1.5</v>
      </c>
      <c r="H488" t="n">
        <v>0</v>
      </c>
      <c r="I488" t="n">
        <v>0</v>
      </c>
      <c r="J488" t="n">
        <v>0</v>
      </c>
      <c r="K488" t="n">
        <v>0</v>
      </c>
      <c r="L488" t="n">
        <v>0</v>
      </c>
      <c r="M488" t="n">
        <v>0</v>
      </c>
      <c r="N488" t="n">
        <v>0</v>
      </c>
      <c r="O488" t="n">
        <v>0</v>
      </c>
      <c r="P488" t="n">
        <v>0</v>
      </c>
      <c r="Q488" t="n">
        <v>0</v>
      </c>
      <c r="R488" s="2" t="inlineStr"/>
    </row>
    <row r="489" ht="15" customHeight="1">
      <c r="A489" t="inlineStr">
        <is>
          <t>A 58605-2022</t>
        </is>
      </c>
      <c r="B489" s="1" t="n">
        <v>44902.57146990741</v>
      </c>
      <c r="C489" s="1" t="n">
        <v>45928</v>
      </c>
      <c r="D489" t="inlineStr">
        <is>
          <t>VÄSTERBOTTENS LÄN</t>
        </is>
      </c>
      <c r="E489" t="inlineStr">
        <is>
          <t>UMEÅ</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15979-2024</t>
        </is>
      </c>
      <c r="B490" s="1" t="n">
        <v>45405</v>
      </c>
      <c r="C490" s="1" t="n">
        <v>45928</v>
      </c>
      <c r="D490" t="inlineStr">
        <is>
          <t>VÄSTERBOTTENS LÄN</t>
        </is>
      </c>
      <c r="E490" t="inlineStr">
        <is>
          <t>UMEÅ</t>
        </is>
      </c>
      <c r="G490" t="n">
        <v>0.9</v>
      </c>
      <c r="H490" t="n">
        <v>0</v>
      </c>
      <c r="I490" t="n">
        <v>0</v>
      </c>
      <c r="J490" t="n">
        <v>0</v>
      </c>
      <c r="K490" t="n">
        <v>0</v>
      </c>
      <c r="L490" t="n">
        <v>0</v>
      </c>
      <c r="M490" t="n">
        <v>0</v>
      </c>
      <c r="N490" t="n">
        <v>0</v>
      </c>
      <c r="O490" t="n">
        <v>0</v>
      </c>
      <c r="P490" t="n">
        <v>0</v>
      </c>
      <c r="Q490" t="n">
        <v>0</v>
      </c>
      <c r="R490" s="2" t="inlineStr"/>
    </row>
    <row r="491" ht="15" customHeight="1">
      <c r="A491" t="inlineStr">
        <is>
          <t>A 32662-2024</t>
        </is>
      </c>
      <c r="B491" s="1" t="n">
        <v>45514.37979166667</v>
      </c>
      <c r="C491" s="1" t="n">
        <v>45928</v>
      </c>
      <c r="D491" t="inlineStr">
        <is>
          <t>VÄSTERBOTTENS LÄN</t>
        </is>
      </c>
      <c r="E491" t="inlineStr">
        <is>
          <t>UMEÅ</t>
        </is>
      </c>
      <c r="F491" t="inlineStr">
        <is>
          <t>Holmen skog AB</t>
        </is>
      </c>
      <c r="G491" t="n">
        <v>5.3</v>
      </c>
      <c r="H491" t="n">
        <v>0</v>
      </c>
      <c r="I491" t="n">
        <v>0</v>
      </c>
      <c r="J491" t="n">
        <v>0</v>
      </c>
      <c r="K491" t="n">
        <v>0</v>
      </c>
      <c r="L491" t="n">
        <v>0</v>
      </c>
      <c r="M491" t="n">
        <v>0</v>
      </c>
      <c r="N491" t="n">
        <v>0</v>
      </c>
      <c r="O491" t="n">
        <v>0</v>
      </c>
      <c r="P491" t="n">
        <v>0</v>
      </c>
      <c r="Q491" t="n">
        <v>0</v>
      </c>
      <c r="R491" s="2" t="inlineStr"/>
    </row>
    <row r="492" ht="15" customHeight="1">
      <c r="A492" t="inlineStr">
        <is>
          <t>A 38434-2021</t>
        </is>
      </c>
      <c r="B492" s="1" t="n">
        <v>44406</v>
      </c>
      <c r="C492" s="1" t="n">
        <v>45928</v>
      </c>
      <c r="D492" t="inlineStr">
        <is>
          <t>VÄSTERBOTTENS LÄN</t>
        </is>
      </c>
      <c r="E492" t="inlineStr">
        <is>
          <t>UMEÅ</t>
        </is>
      </c>
      <c r="F492" t="inlineStr">
        <is>
          <t>Kommuner</t>
        </is>
      </c>
      <c r="G492" t="n">
        <v>1.1</v>
      </c>
      <c r="H492" t="n">
        <v>0</v>
      </c>
      <c r="I492" t="n">
        <v>0</v>
      </c>
      <c r="J492" t="n">
        <v>0</v>
      </c>
      <c r="K492" t="n">
        <v>0</v>
      </c>
      <c r="L492" t="n">
        <v>0</v>
      </c>
      <c r="M492" t="n">
        <v>0</v>
      </c>
      <c r="N492" t="n">
        <v>0</v>
      </c>
      <c r="O492" t="n">
        <v>0</v>
      </c>
      <c r="P492" t="n">
        <v>0</v>
      </c>
      <c r="Q492" t="n">
        <v>0</v>
      </c>
      <c r="R492" s="2" t="inlineStr"/>
    </row>
    <row r="493" ht="15" customHeight="1">
      <c r="A493" t="inlineStr">
        <is>
          <t>A 45487-2025</t>
        </is>
      </c>
      <c r="B493" s="1" t="n">
        <v>45922.55172453704</v>
      </c>
      <c r="C493" s="1" t="n">
        <v>45928</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2073-2024</t>
        </is>
      </c>
      <c r="B494" s="1" t="n">
        <v>45309</v>
      </c>
      <c r="C494" s="1" t="n">
        <v>45928</v>
      </c>
      <c r="D494" t="inlineStr">
        <is>
          <t>VÄSTERBOTTENS LÄN</t>
        </is>
      </c>
      <c r="E494" t="inlineStr">
        <is>
          <t>UMEÅ</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61532-2024</t>
        </is>
      </c>
      <c r="B495" s="1" t="n">
        <v>45646.58855324074</v>
      </c>
      <c r="C495" s="1" t="n">
        <v>45928</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40348-2021</t>
        </is>
      </c>
      <c r="B496" s="1" t="n">
        <v>44419.57832175926</v>
      </c>
      <c r="C496" s="1" t="n">
        <v>45928</v>
      </c>
      <c r="D496" t="inlineStr">
        <is>
          <t>VÄSTERBOTTENS LÄN</t>
        </is>
      </c>
      <c r="E496" t="inlineStr">
        <is>
          <t>UMEÅ</t>
        </is>
      </c>
      <c r="F496" t="inlineStr">
        <is>
          <t>Kommuner</t>
        </is>
      </c>
      <c r="G496" t="n">
        <v>2.3</v>
      </c>
      <c r="H496" t="n">
        <v>0</v>
      </c>
      <c r="I496" t="n">
        <v>0</v>
      </c>
      <c r="J496" t="n">
        <v>0</v>
      </c>
      <c r="K496" t="n">
        <v>0</v>
      </c>
      <c r="L496" t="n">
        <v>0</v>
      </c>
      <c r="M496" t="n">
        <v>0</v>
      </c>
      <c r="N496" t="n">
        <v>0</v>
      </c>
      <c r="O496" t="n">
        <v>0</v>
      </c>
      <c r="P496" t="n">
        <v>0</v>
      </c>
      <c r="Q496" t="n">
        <v>0</v>
      </c>
      <c r="R496" s="2" t="inlineStr"/>
    </row>
    <row r="497" ht="15" customHeight="1">
      <c r="A497" t="inlineStr">
        <is>
          <t>A 10357-2023</t>
        </is>
      </c>
      <c r="B497" s="1" t="n">
        <v>44980</v>
      </c>
      <c r="C497" s="1" t="n">
        <v>45928</v>
      </c>
      <c r="D497" t="inlineStr">
        <is>
          <t>VÄSTERBOTTENS LÄN</t>
        </is>
      </c>
      <c r="E497" t="inlineStr">
        <is>
          <t>UMEÅ</t>
        </is>
      </c>
      <c r="F497" t="inlineStr">
        <is>
          <t>Kommuner</t>
        </is>
      </c>
      <c r="G497" t="n">
        <v>0.7</v>
      </c>
      <c r="H497" t="n">
        <v>0</v>
      </c>
      <c r="I497" t="n">
        <v>0</v>
      </c>
      <c r="J497" t="n">
        <v>0</v>
      </c>
      <c r="K497" t="n">
        <v>0</v>
      </c>
      <c r="L497" t="n">
        <v>0</v>
      </c>
      <c r="M497" t="n">
        <v>0</v>
      </c>
      <c r="N497" t="n">
        <v>0</v>
      </c>
      <c r="O497" t="n">
        <v>0</v>
      </c>
      <c r="P497" t="n">
        <v>0</v>
      </c>
      <c r="Q497" t="n">
        <v>0</v>
      </c>
      <c r="R497" s="2" t="inlineStr"/>
    </row>
    <row r="498" ht="15" customHeight="1">
      <c r="A498" t="inlineStr">
        <is>
          <t>A 18448-2023</t>
        </is>
      </c>
      <c r="B498" s="1" t="n">
        <v>45042</v>
      </c>
      <c r="C498" s="1" t="n">
        <v>45928</v>
      </c>
      <c r="D498" t="inlineStr">
        <is>
          <t>VÄSTERBOTTENS LÄN</t>
        </is>
      </c>
      <c r="E498" t="inlineStr">
        <is>
          <t>UMEÅ</t>
        </is>
      </c>
      <c r="G498" t="n">
        <v>7.3</v>
      </c>
      <c r="H498" t="n">
        <v>0</v>
      </c>
      <c r="I498" t="n">
        <v>0</v>
      </c>
      <c r="J498" t="n">
        <v>0</v>
      </c>
      <c r="K498" t="n">
        <v>0</v>
      </c>
      <c r="L498" t="n">
        <v>0</v>
      </c>
      <c r="M498" t="n">
        <v>0</v>
      </c>
      <c r="N498" t="n">
        <v>0</v>
      </c>
      <c r="O498" t="n">
        <v>0</v>
      </c>
      <c r="P498" t="n">
        <v>0</v>
      </c>
      <c r="Q498" t="n">
        <v>0</v>
      </c>
      <c r="R498" s="2" t="inlineStr"/>
    </row>
    <row r="499" ht="15" customHeight="1">
      <c r="A499" t="inlineStr">
        <is>
          <t>A 23285-2021</t>
        </is>
      </c>
      <c r="B499" s="1" t="n">
        <v>44330</v>
      </c>
      <c r="C499" s="1" t="n">
        <v>45928</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45184-2025</t>
        </is>
      </c>
      <c r="B500" s="1" t="n">
        <v>45919.53916666667</v>
      </c>
      <c r="C500" s="1" t="n">
        <v>45928</v>
      </c>
      <c r="D500" t="inlineStr">
        <is>
          <t>VÄSTERBOTTENS LÄN</t>
        </is>
      </c>
      <c r="E500" t="inlineStr">
        <is>
          <t>UMEÅ</t>
        </is>
      </c>
      <c r="F500" t="inlineStr">
        <is>
          <t>Holmen skog AB</t>
        </is>
      </c>
      <c r="G500" t="n">
        <v>14.7</v>
      </c>
      <c r="H500" t="n">
        <v>0</v>
      </c>
      <c r="I500" t="n">
        <v>0</v>
      </c>
      <c r="J500" t="n">
        <v>0</v>
      </c>
      <c r="K500" t="n">
        <v>0</v>
      </c>
      <c r="L500" t="n">
        <v>0</v>
      </c>
      <c r="M500" t="n">
        <v>0</v>
      </c>
      <c r="N500" t="n">
        <v>0</v>
      </c>
      <c r="O500" t="n">
        <v>0</v>
      </c>
      <c r="P500" t="n">
        <v>0</v>
      </c>
      <c r="Q500" t="n">
        <v>0</v>
      </c>
      <c r="R500" s="2" t="inlineStr"/>
    </row>
    <row r="501" ht="15" customHeight="1">
      <c r="A501" t="inlineStr">
        <is>
          <t>A 22795-2022</t>
        </is>
      </c>
      <c r="B501" s="1" t="n">
        <v>44715.33833333333</v>
      </c>
      <c r="C501" s="1" t="n">
        <v>45928</v>
      </c>
      <c r="D501" t="inlineStr">
        <is>
          <t>VÄSTERBOTTENS LÄN</t>
        </is>
      </c>
      <c r="E501" t="inlineStr">
        <is>
          <t>UMEÅ</t>
        </is>
      </c>
      <c r="G501" t="n">
        <v>2.8</v>
      </c>
      <c r="H501" t="n">
        <v>0</v>
      </c>
      <c r="I501" t="n">
        <v>0</v>
      </c>
      <c r="J501" t="n">
        <v>0</v>
      </c>
      <c r="K501" t="n">
        <v>0</v>
      </c>
      <c r="L501" t="n">
        <v>0</v>
      </c>
      <c r="M501" t="n">
        <v>0</v>
      </c>
      <c r="N501" t="n">
        <v>0</v>
      </c>
      <c r="O501" t="n">
        <v>0</v>
      </c>
      <c r="P501" t="n">
        <v>0</v>
      </c>
      <c r="Q501" t="n">
        <v>0</v>
      </c>
      <c r="R501" s="2" t="inlineStr"/>
    </row>
    <row r="502" ht="15" customHeight="1">
      <c r="A502" t="inlineStr">
        <is>
          <t>A 2659-2023</t>
        </is>
      </c>
      <c r="B502" s="1" t="n">
        <v>44944</v>
      </c>
      <c r="C502" s="1" t="n">
        <v>45928</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19025-2024</t>
        </is>
      </c>
      <c r="B503" s="1" t="n">
        <v>45427</v>
      </c>
      <c r="C503" s="1" t="n">
        <v>45928</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38192-2025</t>
        </is>
      </c>
      <c r="B504" s="1" t="n">
        <v>45882.65709490741</v>
      </c>
      <c r="C504" s="1" t="n">
        <v>45928</v>
      </c>
      <c r="D504" t="inlineStr">
        <is>
          <t>VÄSTERBOTTENS LÄN</t>
        </is>
      </c>
      <c r="E504" t="inlineStr">
        <is>
          <t>UMEÅ</t>
        </is>
      </c>
      <c r="G504" t="n">
        <v>2.5</v>
      </c>
      <c r="H504" t="n">
        <v>0</v>
      </c>
      <c r="I504" t="n">
        <v>0</v>
      </c>
      <c r="J504" t="n">
        <v>0</v>
      </c>
      <c r="K504" t="n">
        <v>0</v>
      </c>
      <c r="L504" t="n">
        <v>0</v>
      </c>
      <c r="M504" t="n">
        <v>0</v>
      </c>
      <c r="N504" t="n">
        <v>0</v>
      </c>
      <c r="O504" t="n">
        <v>0</v>
      </c>
      <c r="P504" t="n">
        <v>0</v>
      </c>
      <c r="Q504" t="n">
        <v>0</v>
      </c>
      <c r="R504" s="2" t="inlineStr"/>
    </row>
    <row r="505" ht="15" customHeight="1">
      <c r="A505" t="inlineStr">
        <is>
          <t>A 34320-2024</t>
        </is>
      </c>
      <c r="B505" s="1" t="n">
        <v>45524</v>
      </c>
      <c r="C505" s="1" t="n">
        <v>45928</v>
      </c>
      <c r="D505" t="inlineStr">
        <is>
          <t>VÄSTERBOTTENS LÄN</t>
        </is>
      </c>
      <c r="E505" t="inlineStr">
        <is>
          <t>UMEÅ</t>
        </is>
      </c>
      <c r="G505" t="n">
        <v>0.5</v>
      </c>
      <c r="H505" t="n">
        <v>0</v>
      </c>
      <c r="I505" t="n">
        <v>0</v>
      </c>
      <c r="J505" t="n">
        <v>0</v>
      </c>
      <c r="K505" t="n">
        <v>0</v>
      </c>
      <c r="L505" t="n">
        <v>0</v>
      </c>
      <c r="M505" t="n">
        <v>0</v>
      </c>
      <c r="N505" t="n">
        <v>0</v>
      </c>
      <c r="O505" t="n">
        <v>0</v>
      </c>
      <c r="P505" t="n">
        <v>0</v>
      </c>
      <c r="Q505" t="n">
        <v>0</v>
      </c>
      <c r="R505" s="2" t="inlineStr"/>
    </row>
    <row r="506" ht="15" customHeight="1">
      <c r="A506" t="inlineStr">
        <is>
          <t>A 11511-2022</t>
        </is>
      </c>
      <c r="B506" s="1" t="n">
        <v>44631.33300925926</v>
      </c>
      <c r="C506" s="1" t="n">
        <v>45928</v>
      </c>
      <c r="D506" t="inlineStr">
        <is>
          <t>VÄSTERBOTTENS LÄN</t>
        </is>
      </c>
      <c r="E506" t="inlineStr">
        <is>
          <t>UMEÅ</t>
        </is>
      </c>
      <c r="F506" t="inlineStr">
        <is>
          <t>Kommuner</t>
        </is>
      </c>
      <c r="G506" t="n">
        <v>3.2</v>
      </c>
      <c r="H506" t="n">
        <v>0</v>
      </c>
      <c r="I506" t="n">
        <v>0</v>
      </c>
      <c r="J506" t="n">
        <v>0</v>
      </c>
      <c r="K506" t="n">
        <v>0</v>
      </c>
      <c r="L506" t="n">
        <v>0</v>
      </c>
      <c r="M506" t="n">
        <v>0</v>
      </c>
      <c r="N506" t="n">
        <v>0</v>
      </c>
      <c r="O506" t="n">
        <v>0</v>
      </c>
      <c r="P506" t="n">
        <v>0</v>
      </c>
      <c r="Q506" t="n">
        <v>0</v>
      </c>
      <c r="R506" s="2" t="inlineStr"/>
    </row>
    <row r="507" ht="15" customHeight="1">
      <c r="A507" t="inlineStr">
        <is>
          <t>A 54354-2021</t>
        </is>
      </c>
      <c r="B507" s="1" t="n">
        <v>44473</v>
      </c>
      <c r="C507" s="1" t="n">
        <v>45928</v>
      </c>
      <c r="D507" t="inlineStr">
        <is>
          <t>VÄSTERBOTTENS LÄN</t>
        </is>
      </c>
      <c r="E507" t="inlineStr">
        <is>
          <t>UMEÅ</t>
        </is>
      </c>
      <c r="F507" t="inlineStr">
        <is>
          <t>Holmen skog AB</t>
        </is>
      </c>
      <c r="G507" t="n">
        <v>2.2</v>
      </c>
      <c r="H507" t="n">
        <v>0</v>
      </c>
      <c r="I507" t="n">
        <v>0</v>
      </c>
      <c r="J507" t="n">
        <v>0</v>
      </c>
      <c r="K507" t="n">
        <v>0</v>
      </c>
      <c r="L507" t="n">
        <v>0</v>
      </c>
      <c r="M507" t="n">
        <v>0</v>
      </c>
      <c r="N507" t="n">
        <v>0</v>
      </c>
      <c r="O507" t="n">
        <v>0</v>
      </c>
      <c r="P507" t="n">
        <v>0</v>
      </c>
      <c r="Q507" t="n">
        <v>0</v>
      </c>
      <c r="R507" s="2" t="inlineStr"/>
    </row>
    <row r="508" ht="15" customHeight="1">
      <c r="A508" t="inlineStr">
        <is>
          <t>A 48751-2023</t>
        </is>
      </c>
      <c r="B508" s="1" t="n">
        <v>45208.89429398148</v>
      </c>
      <c r="C508" s="1" t="n">
        <v>45928</v>
      </c>
      <c r="D508" t="inlineStr">
        <is>
          <t>VÄSTERBOTTENS LÄN</t>
        </is>
      </c>
      <c r="E508" t="inlineStr">
        <is>
          <t>UMEÅ</t>
        </is>
      </c>
      <c r="G508" t="n">
        <v>5.9</v>
      </c>
      <c r="H508" t="n">
        <v>0</v>
      </c>
      <c r="I508" t="n">
        <v>0</v>
      </c>
      <c r="J508" t="n">
        <v>0</v>
      </c>
      <c r="K508" t="n">
        <v>0</v>
      </c>
      <c r="L508" t="n">
        <v>0</v>
      </c>
      <c r="M508" t="n">
        <v>0</v>
      </c>
      <c r="N508" t="n">
        <v>0</v>
      </c>
      <c r="O508" t="n">
        <v>0</v>
      </c>
      <c r="P508" t="n">
        <v>0</v>
      </c>
      <c r="Q508" t="n">
        <v>0</v>
      </c>
      <c r="R508" s="2" t="inlineStr"/>
    </row>
    <row r="509" ht="15" customHeight="1">
      <c r="A509" t="inlineStr">
        <is>
          <t>A 46062-2025</t>
        </is>
      </c>
      <c r="B509" s="1" t="n">
        <v>45924.4768287037</v>
      </c>
      <c r="C509" s="1" t="n">
        <v>45928</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45759-2025</t>
        </is>
      </c>
      <c r="B510" s="1" t="n">
        <v>45923.5107175926</v>
      </c>
      <c r="C510" s="1" t="n">
        <v>45928</v>
      </c>
      <c r="D510" t="inlineStr">
        <is>
          <t>VÄSTERBOTTENS LÄN</t>
        </is>
      </c>
      <c r="E510" t="inlineStr">
        <is>
          <t>UMEÅ</t>
        </is>
      </c>
      <c r="G510" t="n">
        <v>7.2</v>
      </c>
      <c r="H510" t="n">
        <v>0</v>
      </c>
      <c r="I510" t="n">
        <v>0</v>
      </c>
      <c r="J510" t="n">
        <v>0</v>
      </c>
      <c r="K510" t="n">
        <v>0</v>
      </c>
      <c r="L510" t="n">
        <v>0</v>
      </c>
      <c r="M510" t="n">
        <v>0</v>
      </c>
      <c r="N510" t="n">
        <v>0</v>
      </c>
      <c r="O510" t="n">
        <v>0</v>
      </c>
      <c r="P510" t="n">
        <v>0</v>
      </c>
      <c r="Q510" t="n">
        <v>0</v>
      </c>
      <c r="R510" s="2" t="inlineStr"/>
    </row>
    <row r="511" ht="15" customHeight="1">
      <c r="A511" t="inlineStr">
        <is>
          <t>A 16021-2025</t>
        </is>
      </c>
      <c r="B511" s="1" t="n">
        <v>45749</v>
      </c>
      <c r="C511" s="1" t="n">
        <v>45928</v>
      </c>
      <c r="D511" t="inlineStr">
        <is>
          <t>VÄSTERBOTTENS LÄN</t>
        </is>
      </c>
      <c r="E511" t="inlineStr">
        <is>
          <t>UMEÅ</t>
        </is>
      </c>
      <c r="G511" t="n">
        <v>4.5</v>
      </c>
      <c r="H511" t="n">
        <v>0</v>
      </c>
      <c r="I511" t="n">
        <v>0</v>
      </c>
      <c r="J511" t="n">
        <v>0</v>
      </c>
      <c r="K511" t="n">
        <v>0</v>
      </c>
      <c r="L511" t="n">
        <v>0</v>
      </c>
      <c r="M511" t="n">
        <v>0</v>
      </c>
      <c r="N511" t="n">
        <v>0</v>
      </c>
      <c r="O511" t="n">
        <v>0</v>
      </c>
      <c r="P511" t="n">
        <v>0</v>
      </c>
      <c r="Q511" t="n">
        <v>0</v>
      </c>
      <c r="R511" s="2" t="inlineStr"/>
    </row>
    <row r="512" ht="15" customHeight="1">
      <c r="A512" t="inlineStr">
        <is>
          <t>A 37629-2024</t>
        </is>
      </c>
      <c r="B512" s="1" t="n">
        <v>45541.53135416667</v>
      </c>
      <c r="C512" s="1" t="n">
        <v>45928</v>
      </c>
      <c r="D512" t="inlineStr">
        <is>
          <t>VÄSTERBOTTENS LÄN</t>
        </is>
      </c>
      <c r="E512" t="inlineStr">
        <is>
          <t>UMEÅ</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54439-2021</t>
        </is>
      </c>
      <c r="B513" s="1" t="n">
        <v>44473</v>
      </c>
      <c r="C513" s="1" t="n">
        <v>45928</v>
      </c>
      <c r="D513" t="inlineStr">
        <is>
          <t>VÄSTERBOTTENS LÄN</t>
        </is>
      </c>
      <c r="E513" t="inlineStr">
        <is>
          <t>UMEÅ</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58132-2022</t>
        </is>
      </c>
      <c r="B514" s="1" t="n">
        <v>44900.68913194445</v>
      </c>
      <c r="C514" s="1" t="n">
        <v>45928</v>
      </c>
      <c r="D514" t="inlineStr">
        <is>
          <t>VÄSTERBOTTENS LÄN</t>
        </is>
      </c>
      <c r="E514" t="inlineStr">
        <is>
          <t>UMEÅ</t>
        </is>
      </c>
      <c r="G514" t="n">
        <v>3.6</v>
      </c>
      <c r="H514" t="n">
        <v>0</v>
      </c>
      <c r="I514" t="n">
        <v>0</v>
      </c>
      <c r="J514" t="n">
        <v>0</v>
      </c>
      <c r="K514" t="n">
        <v>0</v>
      </c>
      <c r="L514" t="n">
        <v>0</v>
      </c>
      <c r="M514" t="n">
        <v>0</v>
      </c>
      <c r="N514" t="n">
        <v>0</v>
      </c>
      <c r="O514" t="n">
        <v>0</v>
      </c>
      <c r="P514" t="n">
        <v>0</v>
      </c>
      <c r="Q514" t="n">
        <v>0</v>
      </c>
      <c r="R514" s="2" t="inlineStr"/>
    </row>
    <row r="515" ht="15" customHeight="1">
      <c r="A515" t="inlineStr">
        <is>
          <t>A 46065-2025</t>
        </is>
      </c>
      <c r="B515" s="1" t="n">
        <v>45924.48327546296</v>
      </c>
      <c r="C515" s="1" t="n">
        <v>45928</v>
      </c>
      <c r="D515" t="inlineStr">
        <is>
          <t>VÄSTERBOTTENS LÄN</t>
        </is>
      </c>
      <c r="E515" t="inlineStr">
        <is>
          <t>UMEÅ</t>
        </is>
      </c>
      <c r="G515" t="n">
        <v>2.3</v>
      </c>
      <c r="H515" t="n">
        <v>0</v>
      </c>
      <c r="I515" t="n">
        <v>0</v>
      </c>
      <c r="J515" t="n">
        <v>0</v>
      </c>
      <c r="K515" t="n">
        <v>0</v>
      </c>
      <c r="L515" t="n">
        <v>0</v>
      </c>
      <c r="M515" t="n">
        <v>0</v>
      </c>
      <c r="N515" t="n">
        <v>0</v>
      </c>
      <c r="O515" t="n">
        <v>0</v>
      </c>
      <c r="P515" t="n">
        <v>0</v>
      </c>
      <c r="Q515" t="n">
        <v>0</v>
      </c>
      <c r="R515" s="2" t="inlineStr"/>
    </row>
    <row r="516" ht="15" customHeight="1">
      <c r="A516" t="inlineStr">
        <is>
          <t>A 45769-2025</t>
        </is>
      </c>
      <c r="B516" s="1" t="n">
        <v>45923.53181712963</v>
      </c>
      <c r="C516" s="1" t="n">
        <v>45928</v>
      </c>
      <c r="D516" t="inlineStr">
        <is>
          <t>VÄSTERBOTTENS LÄN</t>
        </is>
      </c>
      <c r="E516" t="inlineStr">
        <is>
          <t>UMEÅ</t>
        </is>
      </c>
      <c r="G516" t="n">
        <v>11.3</v>
      </c>
      <c r="H516" t="n">
        <v>0</v>
      </c>
      <c r="I516" t="n">
        <v>0</v>
      </c>
      <c r="J516" t="n">
        <v>0</v>
      </c>
      <c r="K516" t="n">
        <v>0</v>
      </c>
      <c r="L516" t="n">
        <v>0</v>
      </c>
      <c r="M516" t="n">
        <v>0</v>
      </c>
      <c r="N516" t="n">
        <v>0</v>
      </c>
      <c r="O516" t="n">
        <v>0</v>
      </c>
      <c r="P516" t="n">
        <v>0</v>
      </c>
      <c r="Q516" t="n">
        <v>0</v>
      </c>
      <c r="R516" s="2" t="inlineStr"/>
    </row>
    <row r="517" ht="15" customHeight="1">
      <c r="A517" t="inlineStr">
        <is>
          <t>A 45876-2025</t>
        </is>
      </c>
      <c r="B517" s="1" t="n">
        <v>45923.65701388889</v>
      </c>
      <c r="C517" s="1" t="n">
        <v>45928</v>
      </c>
      <c r="D517" t="inlineStr">
        <is>
          <t>VÄSTERBOTTENS LÄN</t>
        </is>
      </c>
      <c r="E517" t="inlineStr">
        <is>
          <t>UMEÅ</t>
        </is>
      </c>
      <c r="G517" t="n">
        <v>12.7</v>
      </c>
      <c r="H517" t="n">
        <v>0</v>
      </c>
      <c r="I517" t="n">
        <v>0</v>
      </c>
      <c r="J517" t="n">
        <v>0</v>
      </c>
      <c r="K517" t="n">
        <v>0</v>
      </c>
      <c r="L517" t="n">
        <v>0</v>
      </c>
      <c r="M517" t="n">
        <v>0</v>
      </c>
      <c r="N517" t="n">
        <v>0</v>
      </c>
      <c r="O517" t="n">
        <v>0</v>
      </c>
      <c r="P517" t="n">
        <v>0</v>
      </c>
      <c r="Q517" t="n">
        <v>0</v>
      </c>
      <c r="R517" s="2" t="inlineStr"/>
    </row>
    <row r="518" ht="15" customHeight="1">
      <c r="A518" t="inlineStr">
        <is>
          <t>A 49793-2024</t>
        </is>
      </c>
      <c r="B518" s="1" t="n">
        <v>45597.3706712963</v>
      </c>
      <c r="C518" s="1" t="n">
        <v>45928</v>
      </c>
      <c r="D518" t="inlineStr">
        <is>
          <t>VÄSTERBOTTENS LÄN</t>
        </is>
      </c>
      <c r="E518" t="inlineStr">
        <is>
          <t>UMEÅ</t>
        </is>
      </c>
      <c r="F518" t="inlineStr">
        <is>
          <t>Holmen skog AB</t>
        </is>
      </c>
      <c r="G518" t="n">
        <v>0.8</v>
      </c>
      <c r="H518" t="n">
        <v>0</v>
      </c>
      <c r="I518" t="n">
        <v>0</v>
      </c>
      <c r="J518" t="n">
        <v>0</v>
      </c>
      <c r="K518" t="n">
        <v>0</v>
      </c>
      <c r="L518" t="n">
        <v>0</v>
      </c>
      <c r="M518" t="n">
        <v>0</v>
      </c>
      <c r="N518" t="n">
        <v>0</v>
      </c>
      <c r="O518" t="n">
        <v>0</v>
      </c>
      <c r="P518" t="n">
        <v>0</v>
      </c>
      <c r="Q518" t="n">
        <v>0</v>
      </c>
      <c r="R518" s="2" t="inlineStr"/>
    </row>
    <row r="519" ht="15" customHeight="1">
      <c r="A519" t="inlineStr">
        <is>
          <t>A 58710-2020</t>
        </is>
      </c>
      <c r="B519" s="1" t="n">
        <v>44146</v>
      </c>
      <c r="C519" s="1" t="n">
        <v>45928</v>
      </c>
      <c r="D519" t="inlineStr">
        <is>
          <t>VÄSTERBOTTENS LÄN</t>
        </is>
      </c>
      <c r="E519" t="inlineStr">
        <is>
          <t>UMEÅ</t>
        </is>
      </c>
      <c r="G519" t="n">
        <v>3</v>
      </c>
      <c r="H519" t="n">
        <v>0</v>
      </c>
      <c r="I519" t="n">
        <v>0</v>
      </c>
      <c r="J519" t="n">
        <v>0</v>
      </c>
      <c r="K519" t="n">
        <v>0</v>
      </c>
      <c r="L519" t="n">
        <v>0</v>
      </c>
      <c r="M519" t="n">
        <v>0</v>
      </c>
      <c r="N519" t="n">
        <v>0</v>
      </c>
      <c r="O519" t="n">
        <v>0</v>
      </c>
      <c r="P519" t="n">
        <v>0</v>
      </c>
      <c r="Q519" t="n">
        <v>0</v>
      </c>
      <c r="R519" s="2" t="inlineStr"/>
    </row>
    <row r="520" ht="15" customHeight="1">
      <c r="A520" t="inlineStr">
        <is>
          <t>A 39233-2025</t>
        </is>
      </c>
      <c r="B520" s="1" t="n">
        <v>45889</v>
      </c>
      <c r="C520" s="1" t="n">
        <v>45928</v>
      </c>
      <c r="D520" t="inlineStr">
        <is>
          <t>VÄSTERBOTTENS LÄN</t>
        </is>
      </c>
      <c r="E520" t="inlineStr">
        <is>
          <t>UMEÅ</t>
        </is>
      </c>
      <c r="G520" t="n">
        <v>7.7</v>
      </c>
      <c r="H520" t="n">
        <v>0</v>
      </c>
      <c r="I520" t="n">
        <v>0</v>
      </c>
      <c r="J520" t="n">
        <v>0</v>
      </c>
      <c r="K520" t="n">
        <v>0</v>
      </c>
      <c r="L520" t="n">
        <v>0</v>
      </c>
      <c r="M520" t="n">
        <v>0</v>
      </c>
      <c r="N520" t="n">
        <v>0</v>
      </c>
      <c r="O520" t="n">
        <v>0</v>
      </c>
      <c r="P520" t="n">
        <v>0</v>
      </c>
      <c r="Q520" t="n">
        <v>0</v>
      </c>
      <c r="R520" s="2" t="inlineStr"/>
    </row>
    <row r="521" ht="15" customHeight="1">
      <c r="A521" t="inlineStr">
        <is>
          <t>A 42160-2024</t>
        </is>
      </c>
      <c r="B521" s="1" t="n">
        <v>45562.45623842593</v>
      </c>
      <c r="C521" s="1" t="n">
        <v>45928</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42195-2024</t>
        </is>
      </c>
      <c r="B522" s="1" t="n">
        <v>45562.50609953704</v>
      </c>
      <c r="C522" s="1" t="n">
        <v>45928</v>
      </c>
      <c r="D522" t="inlineStr">
        <is>
          <t>VÄSTERBOTTENS LÄN</t>
        </is>
      </c>
      <c r="E522" t="inlineStr">
        <is>
          <t>UMEÅ</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42014-2024</t>
        </is>
      </c>
      <c r="B523" s="1" t="n">
        <v>45561.69625</v>
      </c>
      <c r="C523" s="1" t="n">
        <v>45928</v>
      </c>
      <c r="D523" t="inlineStr">
        <is>
          <t>VÄSTERBOTTENS LÄN</t>
        </is>
      </c>
      <c r="E523" t="inlineStr">
        <is>
          <t>UMEÅ</t>
        </is>
      </c>
      <c r="G523" t="n">
        <v>3.5</v>
      </c>
      <c r="H523" t="n">
        <v>0</v>
      </c>
      <c r="I523" t="n">
        <v>0</v>
      </c>
      <c r="J523" t="n">
        <v>0</v>
      </c>
      <c r="K523" t="n">
        <v>0</v>
      </c>
      <c r="L523" t="n">
        <v>0</v>
      </c>
      <c r="M523" t="n">
        <v>0</v>
      </c>
      <c r="N523" t="n">
        <v>0</v>
      </c>
      <c r="O523" t="n">
        <v>0</v>
      </c>
      <c r="P523" t="n">
        <v>0</v>
      </c>
      <c r="Q523" t="n">
        <v>0</v>
      </c>
      <c r="R523" s="2" t="inlineStr"/>
    </row>
    <row r="524" ht="15" customHeight="1">
      <c r="A524" t="inlineStr">
        <is>
          <t>A 34331-2024</t>
        </is>
      </c>
      <c r="B524" s="1" t="n">
        <v>45524</v>
      </c>
      <c r="C524" s="1" t="n">
        <v>45928</v>
      </c>
      <c r="D524" t="inlineStr">
        <is>
          <t>VÄSTERBOTTENS LÄN</t>
        </is>
      </c>
      <c r="E524" t="inlineStr">
        <is>
          <t>UMEÅ</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1821-2022</t>
        </is>
      </c>
      <c r="B525" s="1" t="n">
        <v>44574.65519675926</v>
      </c>
      <c r="C525" s="1" t="n">
        <v>45928</v>
      </c>
      <c r="D525" t="inlineStr">
        <is>
          <t>VÄSTERBOTTENS LÄN</t>
        </is>
      </c>
      <c r="E525" t="inlineStr">
        <is>
          <t>UMEÅ</t>
        </is>
      </c>
      <c r="G525" t="n">
        <v>0.5</v>
      </c>
      <c r="H525" t="n">
        <v>0</v>
      </c>
      <c r="I525" t="n">
        <v>0</v>
      </c>
      <c r="J525" t="n">
        <v>0</v>
      </c>
      <c r="K525" t="n">
        <v>0</v>
      </c>
      <c r="L525" t="n">
        <v>0</v>
      </c>
      <c r="M525" t="n">
        <v>0</v>
      </c>
      <c r="N525" t="n">
        <v>0</v>
      </c>
      <c r="O525" t="n">
        <v>0</v>
      </c>
      <c r="P525" t="n">
        <v>0</v>
      </c>
      <c r="Q525" t="n">
        <v>0</v>
      </c>
      <c r="R525" s="2" t="inlineStr"/>
    </row>
    <row r="526" ht="15" customHeight="1">
      <c r="A526" t="inlineStr">
        <is>
          <t>A 45670-2025</t>
        </is>
      </c>
      <c r="B526" s="1" t="n">
        <v>45923.35368055556</v>
      </c>
      <c r="C526" s="1" t="n">
        <v>45928</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45672-2025</t>
        </is>
      </c>
      <c r="B527" s="1" t="n">
        <v>45923.35769675926</v>
      </c>
      <c r="C527" s="1" t="n">
        <v>45928</v>
      </c>
      <c r="D527" t="inlineStr">
        <is>
          <t>VÄSTERBOTTENS LÄN</t>
        </is>
      </c>
      <c r="E527" t="inlineStr">
        <is>
          <t>UMEÅ</t>
        </is>
      </c>
      <c r="G527" t="n">
        <v>1.7</v>
      </c>
      <c r="H527" t="n">
        <v>0</v>
      </c>
      <c r="I527" t="n">
        <v>0</v>
      </c>
      <c r="J527" t="n">
        <v>0</v>
      </c>
      <c r="K527" t="n">
        <v>0</v>
      </c>
      <c r="L527" t="n">
        <v>0</v>
      </c>
      <c r="M527" t="n">
        <v>0</v>
      </c>
      <c r="N527" t="n">
        <v>0</v>
      </c>
      <c r="O527" t="n">
        <v>0</v>
      </c>
      <c r="P527" t="n">
        <v>0</v>
      </c>
      <c r="Q527" t="n">
        <v>0</v>
      </c>
      <c r="R527" s="2" t="inlineStr"/>
    </row>
    <row r="528" ht="15" customHeight="1">
      <c r="A528" t="inlineStr">
        <is>
          <t>A 14242-2023</t>
        </is>
      </c>
      <c r="B528" s="1" t="n">
        <v>45009</v>
      </c>
      <c r="C528" s="1" t="n">
        <v>45928</v>
      </c>
      <c r="D528" t="inlineStr">
        <is>
          <t>VÄSTERBOTTENS LÄN</t>
        </is>
      </c>
      <c r="E528" t="inlineStr">
        <is>
          <t>UMEÅ</t>
        </is>
      </c>
      <c r="G528" t="n">
        <v>1.3</v>
      </c>
      <c r="H528" t="n">
        <v>0</v>
      </c>
      <c r="I528" t="n">
        <v>0</v>
      </c>
      <c r="J528" t="n">
        <v>0</v>
      </c>
      <c r="K528" t="n">
        <v>0</v>
      </c>
      <c r="L528" t="n">
        <v>0</v>
      </c>
      <c r="M528" t="n">
        <v>0</v>
      </c>
      <c r="N528" t="n">
        <v>0</v>
      </c>
      <c r="O528" t="n">
        <v>0</v>
      </c>
      <c r="P528" t="n">
        <v>0</v>
      </c>
      <c r="Q528" t="n">
        <v>0</v>
      </c>
      <c r="R528" s="2" t="inlineStr"/>
    </row>
    <row r="529" ht="15" customHeight="1">
      <c r="A529" t="inlineStr">
        <is>
          <t>A 37814-2025</t>
        </is>
      </c>
      <c r="B529" s="1" t="n">
        <v>45881.3749537037</v>
      </c>
      <c r="C529" s="1" t="n">
        <v>45928</v>
      </c>
      <c r="D529" t="inlineStr">
        <is>
          <t>VÄSTERBOTTENS LÄN</t>
        </is>
      </c>
      <c r="E529" t="inlineStr">
        <is>
          <t>UMEÅ</t>
        </is>
      </c>
      <c r="G529" t="n">
        <v>6</v>
      </c>
      <c r="H529" t="n">
        <v>0</v>
      </c>
      <c r="I529" t="n">
        <v>0</v>
      </c>
      <c r="J529" t="n">
        <v>0</v>
      </c>
      <c r="K529" t="n">
        <v>0</v>
      </c>
      <c r="L529" t="n">
        <v>0</v>
      </c>
      <c r="M529" t="n">
        <v>0</v>
      </c>
      <c r="N529" t="n">
        <v>0</v>
      </c>
      <c r="O529" t="n">
        <v>0</v>
      </c>
      <c r="P529" t="n">
        <v>0</v>
      </c>
      <c r="Q529" t="n">
        <v>0</v>
      </c>
      <c r="R529" s="2" t="inlineStr"/>
    </row>
    <row r="530" ht="15" customHeight="1">
      <c r="A530" t="inlineStr">
        <is>
          <t>A 15656-2023</t>
        </is>
      </c>
      <c r="B530" s="1" t="n">
        <v>45019</v>
      </c>
      <c r="C530" s="1" t="n">
        <v>45928</v>
      </c>
      <c r="D530" t="inlineStr">
        <is>
          <t>VÄSTERBOTTENS LÄN</t>
        </is>
      </c>
      <c r="E530" t="inlineStr">
        <is>
          <t>UMEÅ</t>
        </is>
      </c>
      <c r="F530" t="inlineStr">
        <is>
          <t>Kommuner</t>
        </is>
      </c>
      <c r="G530" t="n">
        <v>2.8</v>
      </c>
      <c r="H530" t="n">
        <v>0</v>
      </c>
      <c r="I530" t="n">
        <v>0</v>
      </c>
      <c r="J530" t="n">
        <v>0</v>
      </c>
      <c r="K530" t="n">
        <v>0</v>
      </c>
      <c r="L530" t="n">
        <v>0</v>
      </c>
      <c r="M530" t="n">
        <v>0</v>
      </c>
      <c r="N530" t="n">
        <v>0</v>
      </c>
      <c r="O530" t="n">
        <v>0</v>
      </c>
      <c r="P530" t="n">
        <v>0</v>
      </c>
      <c r="Q530" t="n">
        <v>0</v>
      </c>
      <c r="R530" s="2" t="inlineStr"/>
    </row>
    <row r="531" ht="15" customHeight="1">
      <c r="A531" t="inlineStr">
        <is>
          <t>A 57883-2023</t>
        </is>
      </c>
      <c r="B531" s="1" t="n">
        <v>45247.47055555556</v>
      </c>
      <c r="C531" s="1" t="n">
        <v>45928</v>
      </c>
      <c r="D531" t="inlineStr">
        <is>
          <t>VÄSTERBOTTENS LÄN</t>
        </is>
      </c>
      <c r="E531" t="inlineStr">
        <is>
          <t>UMEÅ</t>
        </is>
      </c>
      <c r="G531" t="n">
        <v>0.4</v>
      </c>
      <c r="H531" t="n">
        <v>0</v>
      </c>
      <c r="I531" t="n">
        <v>0</v>
      </c>
      <c r="J531" t="n">
        <v>0</v>
      </c>
      <c r="K531" t="n">
        <v>0</v>
      </c>
      <c r="L531" t="n">
        <v>0</v>
      </c>
      <c r="M531" t="n">
        <v>0</v>
      </c>
      <c r="N531" t="n">
        <v>0</v>
      </c>
      <c r="O531" t="n">
        <v>0</v>
      </c>
      <c r="P531" t="n">
        <v>0</v>
      </c>
      <c r="Q531" t="n">
        <v>0</v>
      </c>
      <c r="R531" s="2" t="inlineStr"/>
    </row>
    <row r="532" ht="15" customHeight="1">
      <c r="A532" t="inlineStr">
        <is>
          <t>A 32788-2024</t>
        </is>
      </c>
      <c r="B532" s="1" t="n">
        <v>45516.5365625</v>
      </c>
      <c r="C532" s="1" t="n">
        <v>45928</v>
      </c>
      <c r="D532" t="inlineStr">
        <is>
          <t>VÄSTERBOTTENS LÄN</t>
        </is>
      </c>
      <c r="E532" t="inlineStr">
        <is>
          <t>UMEÅ</t>
        </is>
      </c>
      <c r="G532" t="n">
        <v>1.3</v>
      </c>
      <c r="H532" t="n">
        <v>0</v>
      </c>
      <c r="I532" t="n">
        <v>0</v>
      </c>
      <c r="J532" t="n">
        <v>0</v>
      </c>
      <c r="K532" t="n">
        <v>0</v>
      </c>
      <c r="L532" t="n">
        <v>0</v>
      </c>
      <c r="M532" t="n">
        <v>0</v>
      </c>
      <c r="N532" t="n">
        <v>0</v>
      </c>
      <c r="O532" t="n">
        <v>0</v>
      </c>
      <c r="P532" t="n">
        <v>0</v>
      </c>
      <c r="Q532" t="n">
        <v>0</v>
      </c>
      <c r="R532" s="2" t="inlineStr"/>
    </row>
    <row r="533" ht="15" customHeight="1">
      <c r="A533" t="inlineStr">
        <is>
          <t>A 63377-2020</t>
        </is>
      </c>
      <c r="B533" s="1" t="n">
        <v>44165</v>
      </c>
      <c r="C533" s="1" t="n">
        <v>45928</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22279-2021</t>
        </is>
      </c>
      <c r="B534" s="1" t="n">
        <v>44326</v>
      </c>
      <c r="C534" s="1" t="n">
        <v>45928</v>
      </c>
      <c r="D534" t="inlineStr">
        <is>
          <t>VÄSTERBOTTENS LÄN</t>
        </is>
      </c>
      <c r="E534" t="inlineStr">
        <is>
          <t>UMEÅ</t>
        </is>
      </c>
      <c r="G534" t="n">
        <v>3.2</v>
      </c>
      <c r="H534" t="n">
        <v>0</v>
      </c>
      <c r="I534" t="n">
        <v>0</v>
      </c>
      <c r="J534" t="n">
        <v>0</v>
      </c>
      <c r="K534" t="n">
        <v>0</v>
      </c>
      <c r="L534" t="n">
        <v>0</v>
      </c>
      <c r="M534" t="n">
        <v>0</v>
      </c>
      <c r="N534" t="n">
        <v>0</v>
      </c>
      <c r="O534" t="n">
        <v>0</v>
      </c>
      <c r="P534" t="n">
        <v>0</v>
      </c>
      <c r="Q534" t="n">
        <v>0</v>
      </c>
      <c r="R534" s="2" t="inlineStr"/>
    </row>
    <row r="535" ht="15" customHeight="1">
      <c r="A535" t="inlineStr">
        <is>
          <t>A 20498-2021</t>
        </is>
      </c>
      <c r="B535" s="1" t="n">
        <v>44313</v>
      </c>
      <c r="C535" s="1" t="n">
        <v>45928</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17110-2023</t>
        </is>
      </c>
      <c r="B536" s="1" t="n">
        <v>45030</v>
      </c>
      <c r="C536" s="1" t="n">
        <v>45928</v>
      </c>
      <c r="D536" t="inlineStr">
        <is>
          <t>VÄSTERBOTTENS LÄN</t>
        </is>
      </c>
      <c r="E536" t="inlineStr">
        <is>
          <t>UMEÅ</t>
        </is>
      </c>
      <c r="G536" t="n">
        <v>3.1</v>
      </c>
      <c r="H536" t="n">
        <v>0</v>
      </c>
      <c r="I536" t="n">
        <v>0</v>
      </c>
      <c r="J536" t="n">
        <v>0</v>
      </c>
      <c r="K536" t="n">
        <v>0</v>
      </c>
      <c r="L536" t="n">
        <v>0</v>
      </c>
      <c r="M536" t="n">
        <v>0</v>
      </c>
      <c r="N536" t="n">
        <v>0</v>
      </c>
      <c r="O536" t="n">
        <v>0</v>
      </c>
      <c r="P536" t="n">
        <v>0</v>
      </c>
      <c r="Q536" t="n">
        <v>0</v>
      </c>
      <c r="R536" s="2" t="inlineStr"/>
    </row>
    <row r="537" ht="15" customHeight="1">
      <c r="A537" t="inlineStr">
        <is>
          <t>A 31337-2022</t>
        </is>
      </c>
      <c r="B537" s="1" t="n">
        <v>44774</v>
      </c>
      <c r="C537" s="1" t="n">
        <v>45928</v>
      </c>
      <c r="D537" t="inlineStr">
        <is>
          <t>VÄSTERBOTTENS LÄN</t>
        </is>
      </c>
      <c r="E537" t="inlineStr">
        <is>
          <t>UMEÅ</t>
        </is>
      </c>
      <c r="G537" t="n">
        <v>3.7</v>
      </c>
      <c r="H537" t="n">
        <v>0</v>
      </c>
      <c r="I537" t="n">
        <v>0</v>
      </c>
      <c r="J537" t="n">
        <v>0</v>
      </c>
      <c r="K537" t="n">
        <v>0</v>
      </c>
      <c r="L537" t="n">
        <v>0</v>
      </c>
      <c r="M537" t="n">
        <v>0</v>
      </c>
      <c r="N537" t="n">
        <v>0</v>
      </c>
      <c r="O537" t="n">
        <v>0</v>
      </c>
      <c r="P537" t="n">
        <v>0</v>
      </c>
      <c r="Q537" t="n">
        <v>0</v>
      </c>
      <c r="R537" s="2" t="inlineStr"/>
    </row>
    <row r="538" ht="15" customHeight="1">
      <c r="A538" t="inlineStr">
        <is>
          <t>A 28267-2021</t>
        </is>
      </c>
      <c r="B538" s="1" t="n">
        <v>44355</v>
      </c>
      <c r="C538" s="1" t="n">
        <v>45928</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24875-2023</t>
        </is>
      </c>
      <c r="B539" s="1" t="n">
        <v>45078</v>
      </c>
      <c r="C539" s="1" t="n">
        <v>45928</v>
      </c>
      <c r="D539" t="inlineStr">
        <is>
          <t>VÄSTERBOTTENS LÄN</t>
        </is>
      </c>
      <c r="E539" t="inlineStr">
        <is>
          <t>UMEÅ</t>
        </is>
      </c>
      <c r="G539" t="n">
        <v>3.6</v>
      </c>
      <c r="H539" t="n">
        <v>0</v>
      </c>
      <c r="I539" t="n">
        <v>0</v>
      </c>
      <c r="J539" t="n">
        <v>0</v>
      </c>
      <c r="K539" t="n">
        <v>0</v>
      </c>
      <c r="L539" t="n">
        <v>0</v>
      </c>
      <c r="M539" t="n">
        <v>0</v>
      </c>
      <c r="N539" t="n">
        <v>0</v>
      </c>
      <c r="O539" t="n">
        <v>0</v>
      </c>
      <c r="P539" t="n">
        <v>0</v>
      </c>
      <c r="Q539" t="n">
        <v>0</v>
      </c>
      <c r="R539" s="2" t="inlineStr"/>
    </row>
    <row r="540" ht="15" customHeight="1">
      <c r="A540" t="inlineStr">
        <is>
          <t>A 27088-2024</t>
        </is>
      </c>
      <c r="B540" s="1" t="n">
        <v>45471.47892361111</v>
      </c>
      <c r="C540" s="1" t="n">
        <v>45928</v>
      </c>
      <c r="D540" t="inlineStr">
        <is>
          <t>VÄSTERBOTTENS LÄN</t>
        </is>
      </c>
      <c r="E540" t="inlineStr">
        <is>
          <t>UMEÅ</t>
        </is>
      </c>
      <c r="F540" t="inlineStr">
        <is>
          <t>Holmen skog AB</t>
        </is>
      </c>
      <c r="G540" t="n">
        <v>6.6</v>
      </c>
      <c r="H540" t="n">
        <v>0</v>
      </c>
      <c r="I540" t="n">
        <v>0</v>
      </c>
      <c r="J540" t="n">
        <v>0</v>
      </c>
      <c r="K540" t="n">
        <v>0</v>
      </c>
      <c r="L540" t="n">
        <v>0</v>
      </c>
      <c r="M540" t="n">
        <v>0</v>
      </c>
      <c r="N540" t="n">
        <v>0</v>
      </c>
      <c r="O540" t="n">
        <v>0</v>
      </c>
      <c r="P540" t="n">
        <v>0</v>
      </c>
      <c r="Q540" t="n">
        <v>0</v>
      </c>
      <c r="R540" s="2" t="inlineStr"/>
    </row>
    <row r="541" ht="15" customHeight="1">
      <c r="A541" t="inlineStr">
        <is>
          <t>A 58440-2024</t>
        </is>
      </c>
      <c r="B541" s="1" t="n">
        <v>45635.31018518518</v>
      </c>
      <c r="C541" s="1" t="n">
        <v>45928</v>
      </c>
      <c r="D541" t="inlineStr">
        <is>
          <t>VÄSTERBOTTENS LÄN</t>
        </is>
      </c>
      <c r="E541" t="inlineStr">
        <is>
          <t>UMEÅ</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46232-2024</t>
        </is>
      </c>
      <c r="B542" s="1" t="n">
        <v>45581.57825231482</v>
      </c>
      <c r="C542" s="1" t="n">
        <v>45928</v>
      </c>
      <c r="D542" t="inlineStr">
        <is>
          <t>VÄSTERBOTTENS LÄN</t>
        </is>
      </c>
      <c r="E542" t="inlineStr">
        <is>
          <t>UMEÅ</t>
        </is>
      </c>
      <c r="G542" t="n">
        <v>4.1</v>
      </c>
      <c r="H542" t="n">
        <v>0</v>
      </c>
      <c r="I542" t="n">
        <v>0</v>
      </c>
      <c r="J542" t="n">
        <v>0</v>
      </c>
      <c r="K542" t="n">
        <v>0</v>
      </c>
      <c r="L542" t="n">
        <v>0</v>
      </c>
      <c r="M542" t="n">
        <v>0</v>
      </c>
      <c r="N542" t="n">
        <v>0</v>
      </c>
      <c r="O542" t="n">
        <v>0</v>
      </c>
      <c r="P542" t="n">
        <v>0</v>
      </c>
      <c r="Q542" t="n">
        <v>0</v>
      </c>
      <c r="R542" s="2" t="inlineStr"/>
    </row>
    <row r="543" ht="15" customHeight="1">
      <c r="A543" t="inlineStr">
        <is>
          <t>A 15430-2024</t>
        </is>
      </c>
      <c r="B543" s="1" t="n">
        <v>45401</v>
      </c>
      <c r="C543" s="1" t="n">
        <v>45928</v>
      </c>
      <c r="D543" t="inlineStr">
        <is>
          <t>VÄSTERBOTTENS LÄN</t>
        </is>
      </c>
      <c r="E543" t="inlineStr">
        <is>
          <t>UMEÅ</t>
        </is>
      </c>
      <c r="F543" t="inlineStr">
        <is>
          <t>Holmen skog AB</t>
        </is>
      </c>
      <c r="G543" t="n">
        <v>37.4</v>
      </c>
      <c r="H543" t="n">
        <v>0</v>
      </c>
      <c r="I543" t="n">
        <v>0</v>
      </c>
      <c r="J543" t="n">
        <v>0</v>
      </c>
      <c r="K543" t="n">
        <v>0</v>
      </c>
      <c r="L543" t="n">
        <v>0</v>
      </c>
      <c r="M543" t="n">
        <v>0</v>
      </c>
      <c r="N543" t="n">
        <v>0</v>
      </c>
      <c r="O543" t="n">
        <v>0</v>
      </c>
      <c r="P543" t="n">
        <v>0</v>
      </c>
      <c r="Q543" t="n">
        <v>0</v>
      </c>
      <c r="R543" s="2" t="inlineStr"/>
    </row>
    <row r="544" ht="15" customHeight="1">
      <c r="A544" t="inlineStr">
        <is>
          <t>A 54509-2024</t>
        </is>
      </c>
      <c r="B544" s="1" t="n">
        <v>45617.58597222222</v>
      </c>
      <c r="C544" s="1" t="n">
        <v>45928</v>
      </c>
      <c r="D544" t="inlineStr">
        <is>
          <t>VÄSTERBOTTENS LÄN</t>
        </is>
      </c>
      <c r="E544" t="inlineStr">
        <is>
          <t>UMEÅ</t>
        </is>
      </c>
      <c r="F544" t="inlineStr">
        <is>
          <t>Holmen skog AB</t>
        </is>
      </c>
      <c r="G544" t="n">
        <v>7.2</v>
      </c>
      <c r="H544" t="n">
        <v>0</v>
      </c>
      <c r="I544" t="n">
        <v>0</v>
      </c>
      <c r="J544" t="n">
        <v>0</v>
      </c>
      <c r="K544" t="n">
        <v>0</v>
      </c>
      <c r="L544" t="n">
        <v>0</v>
      </c>
      <c r="M544" t="n">
        <v>0</v>
      </c>
      <c r="N544" t="n">
        <v>0</v>
      </c>
      <c r="O544" t="n">
        <v>0</v>
      </c>
      <c r="P544" t="n">
        <v>0</v>
      </c>
      <c r="Q544" t="n">
        <v>0</v>
      </c>
      <c r="R544" s="2" t="inlineStr"/>
    </row>
    <row r="545" ht="15" customHeight="1">
      <c r="A545" t="inlineStr">
        <is>
          <t>A 26919-2022</t>
        </is>
      </c>
      <c r="B545" s="1" t="n">
        <v>44740</v>
      </c>
      <c r="C545" s="1" t="n">
        <v>45928</v>
      </c>
      <c r="D545" t="inlineStr">
        <is>
          <t>VÄSTERBOTTENS LÄN</t>
        </is>
      </c>
      <c r="E545" t="inlineStr">
        <is>
          <t>UMEÅ</t>
        </is>
      </c>
      <c r="G545" t="n">
        <v>2.8</v>
      </c>
      <c r="H545" t="n">
        <v>0</v>
      </c>
      <c r="I545" t="n">
        <v>0</v>
      </c>
      <c r="J545" t="n">
        <v>0</v>
      </c>
      <c r="K545" t="n">
        <v>0</v>
      </c>
      <c r="L545" t="n">
        <v>0</v>
      </c>
      <c r="M545" t="n">
        <v>0</v>
      </c>
      <c r="N545" t="n">
        <v>0</v>
      </c>
      <c r="O545" t="n">
        <v>0</v>
      </c>
      <c r="P545" t="n">
        <v>0</v>
      </c>
      <c r="Q545" t="n">
        <v>0</v>
      </c>
      <c r="R545" s="2" t="inlineStr"/>
    </row>
    <row r="546" ht="15" customHeight="1">
      <c r="A546" t="inlineStr">
        <is>
          <t>A 5302-2025</t>
        </is>
      </c>
      <c r="B546" s="1" t="n">
        <v>45692.47335648148</v>
      </c>
      <c r="C546" s="1" t="n">
        <v>45928</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32463-2023</t>
        </is>
      </c>
      <c r="B547" s="1" t="n">
        <v>45120.92644675926</v>
      </c>
      <c r="C547" s="1" t="n">
        <v>45928</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32467-2023</t>
        </is>
      </c>
      <c r="B548" s="1" t="n">
        <v>45120.92667824074</v>
      </c>
      <c r="C548" s="1" t="n">
        <v>45928</v>
      </c>
      <c r="D548" t="inlineStr">
        <is>
          <t>VÄSTERBOTTENS LÄN</t>
        </is>
      </c>
      <c r="E548" t="inlineStr">
        <is>
          <t>UMEÅ</t>
        </is>
      </c>
      <c r="G548" t="n">
        <v>3.1</v>
      </c>
      <c r="H548" t="n">
        <v>0</v>
      </c>
      <c r="I548" t="n">
        <v>0</v>
      </c>
      <c r="J548" t="n">
        <v>0</v>
      </c>
      <c r="K548" t="n">
        <v>0</v>
      </c>
      <c r="L548" t="n">
        <v>0</v>
      </c>
      <c r="M548" t="n">
        <v>0</v>
      </c>
      <c r="N548" t="n">
        <v>0</v>
      </c>
      <c r="O548" t="n">
        <v>0</v>
      </c>
      <c r="P548" t="n">
        <v>0</v>
      </c>
      <c r="Q548" t="n">
        <v>0</v>
      </c>
      <c r="R548" s="2" t="inlineStr"/>
    </row>
    <row r="549" ht="15" customHeight="1">
      <c r="A549" t="inlineStr">
        <is>
          <t>A 68823-2020</t>
        </is>
      </c>
      <c r="B549" s="1" t="n">
        <v>44186</v>
      </c>
      <c r="C549" s="1" t="n">
        <v>45928</v>
      </c>
      <c r="D549" t="inlineStr">
        <is>
          <t>VÄSTERBOTTENS LÄN</t>
        </is>
      </c>
      <c r="E549" t="inlineStr">
        <is>
          <t>UMEÅ</t>
        </is>
      </c>
      <c r="G549" t="n">
        <v>1</v>
      </c>
      <c r="H549" t="n">
        <v>0</v>
      </c>
      <c r="I549" t="n">
        <v>0</v>
      </c>
      <c r="J549" t="n">
        <v>0</v>
      </c>
      <c r="K549" t="n">
        <v>0</v>
      </c>
      <c r="L549" t="n">
        <v>0</v>
      </c>
      <c r="M549" t="n">
        <v>0</v>
      </c>
      <c r="N549" t="n">
        <v>0</v>
      </c>
      <c r="O549" t="n">
        <v>0</v>
      </c>
      <c r="P549" t="n">
        <v>0</v>
      </c>
      <c r="Q549" t="n">
        <v>0</v>
      </c>
      <c r="R549" s="2" t="inlineStr"/>
    </row>
    <row r="550" ht="15" customHeight="1">
      <c r="A550" t="inlineStr">
        <is>
          <t>A 45325-2024</t>
        </is>
      </c>
      <c r="B550" s="1" t="n">
        <v>45576.45346064815</v>
      </c>
      <c r="C550" s="1" t="n">
        <v>45928</v>
      </c>
      <c r="D550" t="inlineStr">
        <is>
          <t>VÄSTERBOTTENS LÄN</t>
        </is>
      </c>
      <c r="E550" t="inlineStr">
        <is>
          <t>UMEÅ</t>
        </is>
      </c>
      <c r="F550" t="inlineStr">
        <is>
          <t>Holmen skog AB</t>
        </is>
      </c>
      <c r="G550" t="n">
        <v>7.1</v>
      </c>
      <c r="H550" t="n">
        <v>0</v>
      </c>
      <c r="I550" t="n">
        <v>0</v>
      </c>
      <c r="J550" t="n">
        <v>0</v>
      </c>
      <c r="K550" t="n">
        <v>0</v>
      </c>
      <c r="L550" t="n">
        <v>0</v>
      </c>
      <c r="M550" t="n">
        <v>0</v>
      </c>
      <c r="N550" t="n">
        <v>0</v>
      </c>
      <c r="O550" t="n">
        <v>0</v>
      </c>
      <c r="P550" t="n">
        <v>0</v>
      </c>
      <c r="Q550" t="n">
        <v>0</v>
      </c>
      <c r="R550" s="2" t="inlineStr"/>
    </row>
    <row r="551" ht="15" customHeight="1">
      <c r="A551" t="inlineStr">
        <is>
          <t>A 31441-2024</t>
        </is>
      </c>
      <c r="B551" s="1" t="n">
        <v>45505</v>
      </c>
      <c r="C551" s="1" t="n">
        <v>45928</v>
      </c>
      <c r="D551" t="inlineStr">
        <is>
          <t>VÄSTERBOTTENS LÄN</t>
        </is>
      </c>
      <c r="E551" t="inlineStr">
        <is>
          <t>UMEÅ</t>
        </is>
      </c>
      <c r="G551" t="n">
        <v>2.7</v>
      </c>
      <c r="H551" t="n">
        <v>0</v>
      </c>
      <c r="I551" t="n">
        <v>0</v>
      </c>
      <c r="J551" t="n">
        <v>0</v>
      </c>
      <c r="K551" t="n">
        <v>0</v>
      </c>
      <c r="L551" t="n">
        <v>0</v>
      </c>
      <c r="M551" t="n">
        <v>0</v>
      </c>
      <c r="N551" t="n">
        <v>0</v>
      </c>
      <c r="O551" t="n">
        <v>0</v>
      </c>
      <c r="P551" t="n">
        <v>0</v>
      </c>
      <c r="Q551" t="n">
        <v>0</v>
      </c>
      <c r="R551" s="2" t="inlineStr"/>
    </row>
    <row r="552" ht="15" customHeight="1">
      <c r="A552" t="inlineStr">
        <is>
          <t>A 10729-2025</t>
        </is>
      </c>
      <c r="B552" s="1" t="n">
        <v>45722</v>
      </c>
      <c r="C552" s="1" t="n">
        <v>45928</v>
      </c>
      <c r="D552" t="inlineStr">
        <is>
          <t>VÄSTERBOTTENS LÄN</t>
        </is>
      </c>
      <c r="E552" t="inlineStr">
        <is>
          <t>UMEÅ</t>
        </is>
      </c>
      <c r="G552" t="n">
        <v>6.4</v>
      </c>
      <c r="H552" t="n">
        <v>0</v>
      </c>
      <c r="I552" t="n">
        <v>0</v>
      </c>
      <c r="J552" t="n">
        <v>0</v>
      </c>
      <c r="K552" t="n">
        <v>0</v>
      </c>
      <c r="L552" t="n">
        <v>0</v>
      </c>
      <c r="M552" t="n">
        <v>0</v>
      </c>
      <c r="N552" t="n">
        <v>0</v>
      </c>
      <c r="O552" t="n">
        <v>0</v>
      </c>
      <c r="P552" t="n">
        <v>0</v>
      </c>
      <c r="Q552" t="n">
        <v>0</v>
      </c>
      <c r="R552" s="2" t="inlineStr"/>
    </row>
    <row r="553" ht="15" customHeight="1">
      <c r="A553" t="inlineStr">
        <is>
          <t>A 41218-2023</t>
        </is>
      </c>
      <c r="B553" s="1" t="n">
        <v>45174.45435185185</v>
      </c>
      <c r="C553" s="1" t="n">
        <v>45928</v>
      </c>
      <c r="D553" t="inlineStr">
        <is>
          <t>VÄSTERBOTTENS LÄN</t>
        </is>
      </c>
      <c r="E553" t="inlineStr">
        <is>
          <t>UMEÅ</t>
        </is>
      </c>
      <c r="F553" t="inlineStr">
        <is>
          <t>Holmen skog AB</t>
        </is>
      </c>
      <c r="G553" t="n">
        <v>3.1</v>
      </c>
      <c r="H553" t="n">
        <v>0</v>
      </c>
      <c r="I553" t="n">
        <v>0</v>
      </c>
      <c r="J553" t="n">
        <v>0</v>
      </c>
      <c r="K553" t="n">
        <v>0</v>
      </c>
      <c r="L553" t="n">
        <v>0</v>
      </c>
      <c r="M553" t="n">
        <v>0</v>
      </c>
      <c r="N553" t="n">
        <v>0</v>
      </c>
      <c r="O553" t="n">
        <v>0</v>
      </c>
      <c r="P553" t="n">
        <v>0</v>
      </c>
      <c r="Q553" t="n">
        <v>0</v>
      </c>
      <c r="R553" s="2" t="inlineStr"/>
    </row>
    <row r="554" ht="15" customHeight="1">
      <c r="A554" t="inlineStr">
        <is>
          <t>A 43124-2024</t>
        </is>
      </c>
      <c r="B554" s="1" t="n">
        <v>45567</v>
      </c>
      <c r="C554" s="1" t="n">
        <v>45928</v>
      </c>
      <c r="D554" t="inlineStr">
        <is>
          <t>VÄSTERBOTTENS LÄN</t>
        </is>
      </c>
      <c r="E554" t="inlineStr">
        <is>
          <t>UMEÅ</t>
        </is>
      </c>
      <c r="G554" t="n">
        <v>0.4</v>
      </c>
      <c r="H554" t="n">
        <v>0</v>
      </c>
      <c r="I554" t="n">
        <v>0</v>
      </c>
      <c r="J554" t="n">
        <v>0</v>
      </c>
      <c r="K554" t="n">
        <v>0</v>
      </c>
      <c r="L554" t="n">
        <v>0</v>
      </c>
      <c r="M554" t="n">
        <v>0</v>
      </c>
      <c r="N554" t="n">
        <v>0</v>
      </c>
      <c r="O554" t="n">
        <v>0</v>
      </c>
      <c r="P554" t="n">
        <v>0</v>
      </c>
      <c r="Q554" t="n">
        <v>0</v>
      </c>
      <c r="R554" s="2" t="inlineStr"/>
    </row>
    <row r="555" ht="15" customHeight="1">
      <c r="A555" t="inlineStr">
        <is>
          <t>A 42832-2025</t>
        </is>
      </c>
      <c r="B555" s="1" t="n">
        <v>45908</v>
      </c>
      <c r="C555" s="1" t="n">
        <v>45928</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759-2023</t>
        </is>
      </c>
      <c r="B556" s="1" t="n">
        <v>44931</v>
      </c>
      <c r="C556" s="1" t="n">
        <v>45928</v>
      </c>
      <c r="D556" t="inlineStr">
        <is>
          <t>VÄSTERBOTTENS LÄN</t>
        </is>
      </c>
      <c r="E556" t="inlineStr">
        <is>
          <t>UMEÅ</t>
        </is>
      </c>
      <c r="G556" t="n">
        <v>1.8</v>
      </c>
      <c r="H556" t="n">
        <v>0</v>
      </c>
      <c r="I556" t="n">
        <v>0</v>
      </c>
      <c r="J556" t="n">
        <v>0</v>
      </c>
      <c r="K556" t="n">
        <v>0</v>
      </c>
      <c r="L556" t="n">
        <v>0</v>
      </c>
      <c r="M556" t="n">
        <v>0</v>
      </c>
      <c r="N556" t="n">
        <v>0</v>
      </c>
      <c r="O556" t="n">
        <v>0</v>
      </c>
      <c r="P556" t="n">
        <v>0</v>
      </c>
      <c r="Q556" t="n">
        <v>0</v>
      </c>
      <c r="R556" s="2" t="inlineStr"/>
    </row>
    <row r="557" ht="15" customHeight="1">
      <c r="A557" t="inlineStr">
        <is>
          <t>A 17352-2023</t>
        </is>
      </c>
      <c r="B557" s="1" t="n">
        <v>45033</v>
      </c>
      <c r="C557" s="1" t="n">
        <v>45928</v>
      </c>
      <c r="D557" t="inlineStr">
        <is>
          <t>VÄSTERBOTTENS LÄN</t>
        </is>
      </c>
      <c r="E557" t="inlineStr">
        <is>
          <t>UMEÅ</t>
        </is>
      </c>
      <c r="F557" t="inlineStr">
        <is>
          <t>Kommuner</t>
        </is>
      </c>
      <c r="G557" t="n">
        <v>0.9</v>
      </c>
      <c r="H557" t="n">
        <v>0</v>
      </c>
      <c r="I557" t="n">
        <v>0</v>
      </c>
      <c r="J557" t="n">
        <v>0</v>
      </c>
      <c r="K557" t="n">
        <v>0</v>
      </c>
      <c r="L557" t="n">
        <v>0</v>
      </c>
      <c r="M557" t="n">
        <v>0</v>
      </c>
      <c r="N557" t="n">
        <v>0</v>
      </c>
      <c r="O557" t="n">
        <v>0</v>
      </c>
      <c r="P557" t="n">
        <v>0</v>
      </c>
      <c r="Q557" t="n">
        <v>0</v>
      </c>
      <c r="R557" s="2" t="inlineStr"/>
    </row>
    <row r="558" ht="15" customHeight="1">
      <c r="A558" t="inlineStr">
        <is>
          <t>A 23983-2023</t>
        </is>
      </c>
      <c r="B558" s="1" t="n">
        <v>45078</v>
      </c>
      <c r="C558" s="1" t="n">
        <v>45928</v>
      </c>
      <c r="D558" t="inlineStr">
        <is>
          <t>VÄSTERBOTTENS LÄN</t>
        </is>
      </c>
      <c r="E558" t="inlineStr">
        <is>
          <t>UMEÅ</t>
        </is>
      </c>
      <c r="G558" t="n">
        <v>1.1</v>
      </c>
      <c r="H558" t="n">
        <v>0</v>
      </c>
      <c r="I558" t="n">
        <v>0</v>
      </c>
      <c r="J558" t="n">
        <v>0</v>
      </c>
      <c r="K558" t="n">
        <v>0</v>
      </c>
      <c r="L558" t="n">
        <v>0</v>
      </c>
      <c r="M558" t="n">
        <v>0</v>
      </c>
      <c r="N558" t="n">
        <v>0</v>
      </c>
      <c r="O558" t="n">
        <v>0</v>
      </c>
      <c r="P558" t="n">
        <v>0</v>
      </c>
      <c r="Q558" t="n">
        <v>0</v>
      </c>
      <c r="R558" s="2" t="inlineStr"/>
    </row>
    <row r="559" ht="15" customHeight="1">
      <c r="A559" t="inlineStr">
        <is>
          <t>A 33753-2021</t>
        </is>
      </c>
      <c r="B559" s="1" t="n">
        <v>44378.49517361111</v>
      </c>
      <c r="C559" s="1" t="n">
        <v>45928</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58954-2024</t>
        </is>
      </c>
      <c r="B560" s="1" t="n">
        <v>45636.57275462963</v>
      </c>
      <c r="C560" s="1" t="n">
        <v>45928</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5678-2025</t>
        </is>
      </c>
      <c r="B561" s="1" t="n">
        <v>45694</v>
      </c>
      <c r="C561" s="1" t="n">
        <v>45928</v>
      </c>
      <c r="D561" t="inlineStr">
        <is>
          <t>VÄSTERBOTTENS LÄN</t>
        </is>
      </c>
      <c r="E561" t="inlineStr">
        <is>
          <t>UMEÅ</t>
        </is>
      </c>
      <c r="G561" t="n">
        <v>3</v>
      </c>
      <c r="H561" t="n">
        <v>0</v>
      </c>
      <c r="I561" t="n">
        <v>0</v>
      </c>
      <c r="J561" t="n">
        <v>0</v>
      </c>
      <c r="K561" t="n">
        <v>0</v>
      </c>
      <c r="L561" t="n">
        <v>0</v>
      </c>
      <c r="M561" t="n">
        <v>0</v>
      </c>
      <c r="N561" t="n">
        <v>0</v>
      </c>
      <c r="O561" t="n">
        <v>0</v>
      </c>
      <c r="P561" t="n">
        <v>0</v>
      </c>
      <c r="Q561" t="n">
        <v>0</v>
      </c>
      <c r="R561" s="2" t="inlineStr"/>
    </row>
    <row r="562" ht="15" customHeight="1">
      <c r="A562" t="inlineStr">
        <is>
          <t>A 46591-2025</t>
        </is>
      </c>
      <c r="B562" s="1" t="n">
        <v>45926.39612268518</v>
      </c>
      <c r="C562" s="1" t="n">
        <v>45928</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46592-2025</t>
        </is>
      </c>
      <c r="B563" s="1" t="n">
        <v>45926.39637731481</v>
      </c>
      <c r="C563" s="1" t="n">
        <v>45928</v>
      </c>
      <c r="D563" t="inlineStr">
        <is>
          <t>VÄSTERBOTTENS LÄN</t>
        </is>
      </c>
      <c r="E563" t="inlineStr">
        <is>
          <t>UMEÅ</t>
        </is>
      </c>
      <c r="G563" t="n">
        <v>1.8</v>
      </c>
      <c r="H563" t="n">
        <v>0</v>
      </c>
      <c r="I563" t="n">
        <v>0</v>
      </c>
      <c r="J563" t="n">
        <v>0</v>
      </c>
      <c r="K563" t="n">
        <v>0</v>
      </c>
      <c r="L563" t="n">
        <v>0</v>
      </c>
      <c r="M563" t="n">
        <v>0</v>
      </c>
      <c r="N563" t="n">
        <v>0</v>
      </c>
      <c r="O563" t="n">
        <v>0</v>
      </c>
      <c r="P563" t="n">
        <v>0</v>
      </c>
      <c r="Q563" t="n">
        <v>0</v>
      </c>
      <c r="R563" s="2" t="inlineStr"/>
    </row>
    <row r="564" ht="15" customHeight="1">
      <c r="A564" t="inlineStr">
        <is>
          <t>A 42352-2021</t>
        </is>
      </c>
      <c r="B564" s="1" t="n">
        <v>44427</v>
      </c>
      <c r="C564" s="1" t="n">
        <v>45928</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58130-2023</t>
        </is>
      </c>
      <c r="B565" s="1" t="n">
        <v>45249.95226851852</v>
      </c>
      <c r="C565" s="1" t="n">
        <v>45928</v>
      </c>
      <c r="D565" t="inlineStr">
        <is>
          <t>VÄSTERBOTTENS LÄN</t>
        </is>
      </c>
      <c r="E565" t="inlineStr">
        <is>
          <t>UMEÅ</t>
        </is>
      </c>
      <c r="G565" t="n">
        <v>0.5</v>
      </c>
      <c r="H565" t="n">
        <v>0</v>
      </c>
      <c r="I565" t="n">
        <v>0</v>
      </c>
      <c r="J565" t="n">
        <v>0</v>
      </c>
      <c r="K565" t="n">
        <v>0</v>
      </c>
      <c r="L565" t="n">
        <v>0</v>
      </c>
      <c r="M565" t="n">
        <v>0</v>
      </c>
      <c r="N565" t="n">
        <v>0</v>
      </c>
      <c r="O565" t="n">
        <v>0</v>
      </c>
      <c r="P565" t="n">
        <v>0</v>
      </c>
      <c r="Q565" t="n">
        <v>0</v>
      </c>
      <c r="R565" s="2" t="inlineStr"/>
    </row>
    <row r="566" ht="15" customHeight="1">
      <c r="A566" t="inlineStr">
        <is>
          <t>A 19053-2023</t>
        </is>
      </c>
      <c r="B566" s="1" t="n">
        <v>45047</v>
      </c>
      <c r="C566" s="1" t="n">
        <v>45928</v>
      </c>
      <c r="D566" t="inlineStr">
        <is>
          <t>VÄSTERBOTTENS LÄN</t>
        </is>
      </c>
      <c r="E566" t="inlineStr">
        <is>
          <t>UMEÅ</t>
        </is>
      </c>
      <c r="G566" t="n">
        <v>4.8</v>
      </c>
      <c r="H566" t="n">
        <v>0</v>
      </c>
      <c r="I566" t="n">
        <v>0</v>
      </c>
      <c r="J566" t="n">
        <v>0</v>
      </c>
      <c r="K566" t="n">
        <v>0</v>
      </c>
      <c r="L566" t="n">
        <v>0</v>
      </c>
      <c r="M566" t="n">
        <v>0</v>
      </c>
      <c r="N566" t="n">
        <v>0</v>
      </c>
      <c r="O566" t="n">
        <v>0</v>
      </c>
      <c r="P566" t="n">
        <v>0</v>
      </c>
      <c r="Q566" t="n">
        <v>0</v>
      </c>
      <c r="R566" s="2" t="inlineStr"/>
    </row>
    <row r="567" ht="15" customHeight="1">
      <c r="A567" t="inlineStr">
        <is>
          <t>A 9169-2025</t>
        </is>
      </c>
      <c r="B567" s="1" t="n">
        <v>45714.39142361111</v>
      </c>
      <c r="C567" s="1" t="n">
        <v>45928</v>
      </c>
      <c r="D567" t="inlineStr">
        <is>
          <t>VÄSTERBOTTENS LÄN</t>
        </is>
      </c>
      <c r="E567" t="inlineStr">
        <is>
          <t>UMEÅ</t>
        </is>
      </c>
      <c r="G567" t="n">
        <v>1.7</v>
      </c>
      <c r="H567" t="n">
        <v>0</v>
      </c>
      <c r="I567" t="n">
        <v>0</v>
      </c>
      <c r="J567" t="n">
        <v>0</v>
      </c>
      <c r="K567" t="n">
        <v>0</v>
      </c>
      <c r="L567" t="n">
        <v>0</v>
      </c>
      <c r="M567" t="n">
        <v>0</v>
      </c>
      <c r="N567" t="n">
        <v>0</v>
      </c>
      <c r="O567" t="n">
        <v>0</v>
      </c>
      <c r="P567" t="n">
        <v>0</v>
      </c>
      <c r="Q567" t="n">
        <v>0</v>
      </c>
      <c r="R567" s="2" t="inlineStr"/>
    </row>
    <row r="568" ht="15" customHeight="1">
      <c r="A568" t="inlineStr">
        <is>
          <t>A 59333-2023</t>
        </is>
      </c>
      <c r="B568" s="1" t="n">
        <v>45252</v>
      </c>
      <c r="C568" s="1" t="n">
        <v>45928</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34777-2021</t>
        </is>
      </c>
      <c r="B569" s="1" t="n">
        <v>44382</v>
      </c>
      <c r="C569" s="1" t="n">
        <v>45928</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11063-2025</t>
        </is>
      </c>
      <c r="B570" s="1" t="n">
        <v>45723.52046296297</v>
      </c>
      <c r="C570" s="1" t="n">
        <v>45928</v>
      </c>
      <c r="D570" t="inlineStr">
        <is>
          <t>VÄSTERBOTTENS LÄN</t>
        </is>
      </c>
      <c r="E570" t="inlineStr">
        <is>
          <t>UMEÅ</t>
        </is>
      </c>
      <c r="G570" t="n">
        <v>3.8</v>
      </c>
      <c r="H570" t="n">
        <v>0</v>
      </c>
      <c r="I570" t="n">
        <v>0</v>
      </c>
      <c r="J570" t="n">
        <v>0</v>
      </c>
      <c r="K570" t="n">
        <v>0</v>
      </c>
      <c r="L570" t="n">
        <v>0</v>
      </c>
      <c r="M570" t="n">
        <v>0</v>
      </c>
      <c r="N570" t="n">
        <v>0</v>
      </c>
      <c r="O570" t="n">
        <v>0</v>
      </c>
      <c r="P570" t="n">
        <v>0</v>
      </c>
      <c r="Q570" t="n">
        <v>0</v>
      </c>
      <c r="R570" s="2" t="inlineStr"/>
    </row>
    <row r="571" ht="15" customHeight="1">
      <c r="A571" t="inlineStr">
        <is>
          <t>A 39561-2022</t>
        </is>
      </c>
      <c r="B571" s="1" t="n">
        <v>44818.57295138889</v>
      </c>
      <c r="C571" s="1" t="n">
        <v>45928</v>
      </c>
      <c r="D571" t="inlineStr">
        <is>
          <t>VÄSTERBOTTENS LÄN</t>
        </is>
      </c>
      <c r="E571" t="inlineStr">
        <is>
          <t>UMEÅ</t>
        </is>
      </c>
      <c r="G571" t="n">
        <v>3.2</v>
      </c>
      <c r="H571" t="n">
        <v>0</v>
      </c>
      <c r="I571" t="n">
        <v>0</v>
      </c>
      <c r="J571" t="n">
        <v>0</v>
      </c>
      <c r="K571" t="n">
        <v>0</v>
      </c>
      <c r="L571" t="n">
        <v>0</v>
      </c>
      <c r="M571" t="n">
        <v>0</v>
      </c>
      <c r="N571" t="n">
        <v>0</v>
      </c>
      <c r="O571" t="n">
        <v>0</v>
      </c>
      <c r="P571" t="n">
        <v>0</v>
      </c>
      <c r="Q571" t="n">
        <v>0</v>
      </c>
      <c r="R571" s="2" t="inlineStr"/>
    </row>
    <row r="572" ht="15" customHeight="1">
      <c r="A572" t="inlineStr">
        <is>
          <t>A 2258-2025</t>
        </is>
      </c>
      <c r="B572" s="1" t="n">
        <v>45673.51619212963</v>
      </c>
      <c r="C572" s="1" t="n">
        <v>45928</v>
      </c>
      <c r="D572" t="inlineStr">
        <is>
          <t>VÄSTERBOTTENS LÄN</t>
        </is>
      </c>
      <c r="E572" t="inlineStr">
        <is>
          <t>UMEÅ</t>
        </is>
      </c>
      <c r="G572" t="n">
        <v>2.4</v>
      </c>
      <c r="H572" t="n">
        <v>0</v>
      </c>
      <c r="I572" t="n">
        <v>0</v>
      </c>
      <c r="J572" t="n">
        <v>0</v>
      </c>
      <c r="K572" t="n">
        <v>0</v>
      </c>
      <c r="L572" t="n">
        <v>0</v>
      </c>
      <c r="M572" t="n">
        <v>0</v>
      </c>
      <c r="N572" t="n">
        <v>0</v>
      </c>
      <c r="O572" t="n">
        <v>0</v>
      </c>
      <c r="P572" t="n">
        <v>0</v>
      </c>
      <c r="Q572" t="n">
        <v>0</v>
      </c>
      <c r="R572" s="2" t="inlineStr"/>
    </row>
    <row r="573" ht="15" customHeight="1">
      <c r="A573" t="inlineStr">
        <is>
          <t>A 46413-2025</t>
        </is>
      </c>
      <c r="B573" s="1" t="n">
        <v>45925.57604166667</v>
      </c>
      <c r="C573" s="1" t="n">
        <v>45928</v>
      </c>
      <c r="D573" t="inlineStr">
        <is>
          <t>VÄSTERBOTTENS LÄN</t>
        </is>
      </c>
      <c r="E573" t="inlineStr">
        <is>
          <t>UMEÅ</t>
        </is>
      </c>
      <c r="F573" t="inlineStr">
        <is>
          <t>Holmen skog AB</t>
        </is>
      </c>
      <c r="G573" t="n">
        <v>14.3</v>
      </c>
      <c r="H573" t="n">
        <v>0</v>
      </c>
      <c r="I573" t="n">
        <v>0</v>
      </c>
      <c r="J573" t="n">
        <v>0</v>
      </c>
      <c r="K573" t="n">
        <v>0</v>
      </c>
      <c r="L573" t="n">
        <v>0</v>
      </c>
      <c r="M573" t="n">
        <v>0</v>
      </c>
      <c r="N573" t="n">
        <v>0</v>
      </c>
      <c r="O573" t="n">
        <v>0</v>
      </c>
      <c r="P573" t="n">
        <v>0</v>
      </c>
      <c r="Q573" t="n">
        <v>0</v>
      </c>
      <c r="R573" s="2" t="inlineStr"/>
    </row>
    <row r="574" ht="15" customHeight="1">
      <c r="A574" t="inlineStr">
        <is>
          <t>A 57510-2024</t>
        </is>
      </c>
      <c r="B574" s="1" t="n">
        <v>45630.3946875</v>
      </c>
      <c r="C574" s="1" t="n">
        <v>45928</v>
      </c>
      <c r="D574" t="inlineStr">
        <is>
          <t>VÄSTERBOTTENS LÄN</t>
        </is>
      </c>
      <c r="E574" t="inlineStr">
        <is>
          <t>UMEÅ</t>
        </is>
      </c>
      <c r="G574" t="n">
        <v>1.9</v>
      </c>
      <c r="H574" t="n">
        <v>0</v>
      </c>
      <c r="I574" t="n">
        <v>0</v>
      </c>
      <c r="J574" t="n">
        <v>0</v>
      </c>
      <c r="K574" t="n">
        <v>0</v>
      </c>
      <c r="L574" t="n">
        <v>0</v>
      </c>
      <c r="M574" t="n">
        <v>0</v>
      </c>
      <c r="N574" t="n">
        <v>0</v>
      </c>
      <c r="O574" t="n">
        <v>0</v>
      </c>
      <c r="P574" t="n">
        <v>0</v>
      </c>
      <c r="Q574" t="n">
        <v>0</v>
      </c>
      <c r="R574" s="2" t="inlineStr"/>
    </row>
    <row r="575" ht="15" customHeight="1">
      <c r="A575" t="inlineStr">
        <is>
          <t>A 7263-2022</t>
        </is>
      </c>
      <c r="B575" s="1" t="n">
        <v>44606.44032407407</v>
      </c>
      <c r="C575" s="1" t="n">
        <v>45928</v>
      </c>
      <c r="D575" t="inlineStr">
        <is>
          <t>VÄSTERBOTTENS LÄN</t>
        </is>
      </c>
      <c r="E575" t="inlineStr">
        <is>
          <t>UMEÅ</t>
        </is>
      </c>
      <c r="G575" t="n">
        <v>2.1</v>
      </c>
      <c r="H575" t="n">
        <v>0</v>
      </c>
      <c r="I575" t="n">
        <v>0</v>
      </c>
      <c r="J575" t="n">
        <v>0</v>
      </c>
      <c r="K575" t="n">
        <v>0</v>
      </c>
      <c r="L575" t="n">
        <v>0</v>
      </c>
      <c r="M575" t="n">
        <v>0</v>
      </c>
      <c r="N575" t="n">
        <v>0</v>
      </c>
      <c r="O575" t="n">
        <v>0</v>
      </c>
      <c r="P575" t="n">
        <v>0</v>
      </c>
      <c r="Q575" t="n">
        <v>0</v>
      </c>
      <c r="R575" s="2" t="inlineStr"/>
    </row>
    <row r="576" ht="15" customHeight="1">
      <c r="A576" t="inlineStr">
        <is>
          <t>A 62540-2022</t>
        </is>
      </c>
      <c r="B576" s="1" t="n">
        <v>44917</v>
      </c>
      <c r="C576" s="1" t="n">
        <v>45928</v>
      </c>
      <c r="D576" t="inlineStr">
        <is>
          <t>VÄSTERBOTTENS LÄN</t>
        </is>
      </c>
      <c r="E576" t="inlineStr">
        <is>
          <t>UMEÅ</t>
        </is>
      </c>
      <c r="G576" t="n">
        <v>6.8</v>
      </c>
      <c r="H576" t="n">
        <v>0</v>
      </c>
      <c r="I576" t="n">
        <v>0</v>
      </c>
      <c r="J576" t="n">
        <v>0</v>
      </c>
      <c r="K576" t="n">
        <v>0</v>
      </c>
      <c r="L576" t="n">
        <v>0</v>
      </c>
      <c r="M576" t="n">
        <v>0</v>
      </c>
      <c r="N576" t="n">
        <v>0</v>
      </c>
      <c r="O576" t="n">
        <v>0</v>
      </c>
      <c r="P576" t="n">
        <v>0</v>
      </c>
      <c r="Q576" t="n">
        <v>0</v>
      </c>
      <c r="R576" s="2" t="inlineStr"/>
    </row>
    <row r="577" ht="15" customHeight="1">
      <c r="A577" t="inlineStr">
        <is>
          <t>A 38424-2025</t>
        </is>
      </c>
      <c r="B577" s="1" t="n">
        <v>45883.63340277778</v>
      </c>
      <c r="C577" s="1" t="n">
        <v>45928</v>
      </c>
      <c r="D577" t="inlineStr">
        <is>
          <t>VÄSTERBOTTENS LÄN</t>
        </is>
      </c>
      <c r="E577" t="inlineStr">
        <is>
          <t>UMEÅ</t>
        </is>
      </c>
      <c r="G577" t="n">
        <v>11.9</v>
      </c>
      <c r="H577" t="n">
        <v>0</v>
      </c>
      <c r="I577" t="n">
        <v>0</v>
      </c>
      <c r="J577" t="n">
        <v>0</v>
      </c>
      <c r="K577" t="n">
        <v>0</v>
      </c>
      <c r="L577" t="n">
        <v>0</v>
      </c>
      <c r="M577" t="n">
        <v>0</v>
      </c>
      <c r="N577" t="n">
        <v>0</v>
      </c>
      <c r="O577" t="n">
        <v>0</v>
      </c>
      <c r="P577" t="n">
        <v>0</v>
      </c>
      <c r="Q577" t="n">
        <v>0</v>
      </c>
      <c r="R577" s="2" t="inlineStr"/>
    </row>
    <row r="578" ht="15" customHeight="1">
      <c r="A578" t="inlineStr">
        <is>
          <t>A 38669-2025</t>
        </is>
      </c>
      <c r="B578" s="1" t="n">
        <v>45884.62400462963</v>
      </c>
      <c r="C578" s="1" t="n">
        <v>45928</v>
      </c>
      <c r="D578" t="inlineStr">
        <is>
          <t>VÄSTERBOTTENS LÄN</t>
        </is>
      </c>
      <c r="E578" t="inlineStr">
        <is>
          <t>UMEÅ</t>
        </is>
      </c>
      <c r="G578" t="n">
        <v>4.9</v>
      </c>
      <c r="H578" t="n">
        <v>0</v>
      </c>
      <c r="I578" t="n">
        <v>0</v>
      </c>
      <c r="J578" t="n">
        <v>0</v>
      </c>
      <c r="K578" t="n">
        <v>0</v>
      </c>
      <c r="L578" t="n">
        <v>0</v>
      </c>
      <c r="M578" t="n">
        <v>0</v>
      </c>
      <c r="N578" t="n">
        <v>0</v>
      </c>
      <c r="O578" t="n">
        <v>0</v>
      </c>
      <c r="P578" t="n">
        <v>0</v>
      </c>
      <c r="Q578" t="n">
        <v>0</v>
      </c>
      <c r="R578" s="2" t="inlineStr"/>
    </row>
    <row r="579" ht="15" customHeight="1">
      <c r="A579" t="inlineStr">
        <is>
          <t>A 35226-2024</t>
        </is>
      </c>
      <c r="B579" s="1" t="n">
        <v>45530</v>
      </c>
      <c r="C579" s="1" t="n">
        <v>45928</v>
      </c>
      <c r="D579" t="inlineStr">
        <is>
          <t>VÄSTERBOTTENS LÄN</t>
        </is>
      </c>
      <c r="E579" t="inlineStr">
        <is>
          <t>UMEÅ</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35738-2021</t>
        </is>
      </c>
      <c r="B580" s="1" t="n">
        <v>44386.55082175926</v>
      </c>
      <c r="C580" s="1" t="n">
        <v>45928</v>
      </c>
      <c r="D580" t="inlineStr">
        <is>
          <t>VÄSTERBOTTENS LÄN</t>
        </is>
      </c>
      <c r="E580" t="inlineStr">
        <is>
          <t>UMEÅ</t>
        </is>
      </c>
      <c r="G580" t="n">
        <v>3.1</v>
      </c>
      <c r="H580" t="n">
        <v>0</v>
      </c>
      <c r="I580" t="n">
        <v>0</v>
      </c>
      <c r="J580" t="n">
        <v>0</v>
      </c>
      <c r="K580" t="n">
        <v>0</v>
      </c>
      <c r="L580" t="n">
        <v>0</v>
      </c>
      <c r="M580" t="n">
        <v>0</v>
      </c>
      <c r="N580" t="n">
        <v>0</v>
      </c>
      <c r="O580" t="n">
        <v>0</v>
      </c>
      <c r="P580" t="n">
        <v>0</v>
      </c>
      <c r="Q580" t="n">
        <v>0</v>
      </c>
      <c r="R580" s="2" t="inlineStr"/>
    </row>
    <row r="581" ht="15" customHeight="1">
      <c r="A581" t="inlineStr">
        <is>
          <t>A 10532-2023</t>
        </is>
      </c>
      <c r="B581" s="1" t="n">
        <v>44987</v>
      </c>
      <c r="C581" s="1" t="n">
        <v>45928</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22291-2023</t>
        </is>
      </c>
      <c r="B582" s="1" t="n">
        <v>45070</v>
      </c>
      <c r="C582" s="1" t="n">
        <v>45928</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53787-2024</t>
        </is>
      </c>
      <c r="B583" s="1" t="n">
        <v>45615</v>
      </c>
      <c r="C583" s="1" t="n">
        <v>45928</v>
      </c>
      <c r="D583" t="inlineStr">
        <is>
          <t>VÄSTERBOTTENS LÄN</t>
        </is>
      </c>
      <c r="E583" t="inlineStr">
        <is>
          <t>UMEÅ</t>
        </is>
      </c>
      <c r="G583" t="n">
        <v>1.6</v>
      </c>
      <c r="H583" t="n">
        <v>0</v>
      </c>
      <c r="I583" t="n">
        <v>0</v>
      </c>
      <c r="J583" t="n">
        <v>0</v>
      </c>
      <c r="K583" t="n">
        <v>0</v>
      </c>
      <c r="L583" t="n">
        <v>0</v>
      </c>
      <c r="M583" t="n">
        <v>0</v>
      </c>
      <c r="N583" t="n">
        <v>0</v>
      </c>
      <c r="O583" t="n">
        <v>0</v>
      </c>
      <c r="P583" t="n">
        <v>0</v>
      </c>
      <c r="Q583" t="n">
        <v>0</v>
      </c>
      <c r="R583" s="2" t="inlineStr"/>
    </row>
    <row r="584" ht="15" customHeight="1">
      <c r="A584" t="inlineStr">
        <is>
          <t>A 37870-2024</t>
        </is>
      </c>
      <c r="B584" s="1" t="n">
        <v>45544</v>
      </c>
      <c r="C584" s="1" t="n">
        <v>45928</v>
      </c>
      <c r="D584" t="inlineStr">
        <is>
          <t>VÄSTERBOTTENS LÄN</t>
        </is>
      </c>
      <c r="E584" t="inlineStr">
        <is>
          <t>UMEÅ</t>
        </is>
      </c>
      <c r="G584" t="n">
        <v>4</v>
      </c>
      <c r="H584" t="n">
        <v>0</v>
      </c>
      <c r="I584" t="n">
        <v>0</v>
      </c>
      <c r="J584" t="n">
        <v>0</v>
      </c>
      <c r="K584" t="n">
        <v>0</v>
      </c>
      <c r="L584" t="n">
        <v>0</v>
      </c>
      <c r="M584" t="n">
        <v>0</v>
      </c>
      <c r="N584" t="n">
        <v>0</v>
      </c>
      <c r="O584" t="n">
        <v>0</v>
      </c>
      <c r="P584" t="n">
        <v>0</v>
      </c>
      <c r="Q584" t="n">
        <v>0</v>
      </c>
      <c r="R584" s="2" t="inlineStr"/>
    </row>
    <row r="585" ht="15" customHeight="1">
      <c r="A585" t="inlineStr">
        <is>
          <t>A 30020-2024</t>
        </is>
      </c>
      <c r="B585" s="1" t="n">
        <v>45488</v>
      </c>
      <c r="C585" s="1" t="n">
        <v>45928</v>
      </c>
      <c r="D585" t="inlineStr">
        <is>
          <t>VÄSTERBOTTENS LÄN</t>
        </is>
      </c>
      <c r="E585" t="inlineStr">
        <is>
          <t>UMEÅ</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61621-2024</t>
        </is>
      </c>
      <c r="B586" s="1" t="n">
        <v>45646.65800925926</v>
      </c>
      <c r="C586" s="1" t="n">
        <v>45928</v>
      </c>
      <c r="D586" t="inlineStr">
        <is>
          <t>VÄSTERBOTTENS LÄN</t>
        </is>
      </c>
      <c r="E586" t="inlineStr">
        <is>
          <t>UMEÅ</t>
        </is>
      </c>
      <c r="G586" t="n">
        <v>1.9</v>
      </c>
      <c r="H586" t="n">
        <v>0</v>
      </c>
      <c r="I586" t="n">
        <v>0</v>
      </c>
      <c r="J586" t="n">
        <v>0</v>
      </c>
      <c r="K586" t="n">
        <v>0</v>
      </c>
      <c r="L586" t="n">
        <v>0</v>
      </c>
      <c r="M586" t="n">
        <v>0</v>
      </c>
      <c r="N586" t="n">
        <v>0</v>
      </c>
      <c r="O586" t="n">
        <v>0</v>
      </c>
      <c r="P586" t="n">
        <v>0</v>
      </c>
      <c r="Q586" t="n">
        <v>0</v>
      </c>
      <c r="R586" s="2" t="inlineStr"/>
    </row>
    <row r="587" ht="15" customHeight="1">
      <c r="A587" t="inlineStr">
        <is>
          <t>A 2766-2025</t>
        </is>
      </c>
      <c r="B587" s="1" t="n">
        <v>45677.49140046296</v>
      </c>
      <c r="C587" s="1" t="n">
        <v>45928</v>
      </c>
      <c r="D587" t="inlineStr">
        <is>
          <t>VÄSTERBOTTENS LÄN</t>
        </is>
      </c>
      <c r="E587" t="inlineStr">
        <is>
          <t>UMEÅ</t>
        </is>
      </c>
      <c r="G587" t="n">
        <v>6.7</v>
      </c>
      <c r="H587" t="n">
        <v>0</v>
      </c>
      <c r="I587" t="n">
        <v>0</v>
      </c>
      <c r="J587" t="n">
        <v>0</v>
      </c>
      <c r="K587" t="n">
        <v>0</v>
      </c>
      <c r="L587" t="n">
        <v>0</v>
      </c>
      <c r="M587" t="n">
        <v>0</v>
      </c>
      <c r="N587" t="n">
        <v>0</v>
      </c>
      <c r="O587" t="n">
        <v>0</v>
      </c>
      <c r="P587" t="n">
        <v>0</v>
      </c>
      <c r="Q587" t="n">
        <v>0</v>
      </c>
      <c r="R587" s="2" t="inlineStr"/>
    </row>
    <row r="588" ht="15" customHeight="1">
      <c r="A588" t="inlineStr">
        <is>
          <t>A 41430-2025</t>
        </is>
      </c>
      <c r="B588" s="1" t="n">
        <v>45901</v>
      </c>
      <c r="C588" s="1" t="n">
        <v>45928</v>
      </c>
      <c r="D588" t="inlineStr">
        <is>
          <t>VÄSTERBOTTENS LÄN</t>
        </is>
      </c>
      <c r="E588" t="inlineStr">
        <is>
          <t>UMEÅ</t>
        </is>
      </c>
      <c r="G588" t="n">
        <v>2.8</v>
      </c>
      <c r="H588" t="n">
        <v>0</v>
      </c>
      <c r="I588" t="n">
        <v>0</v>
      </c>
      <c r="J588" t="n">
        <v>0</v>
      </c>
      <c r="K588" t="n">
        <v>0</v>
      </c>
      <c r="L588" t="n">
        <v>0</v>
      </c>
      <c r="M588" t="n">
        <v>0</v>
      </c>
      <c r="N588" t="n">
        <v>0</v>
      </c>
      <c r="O588" t="n">
        <v>0</v>
      </c>
      <c r="P588" t="n">
        <v>0</v>
      </c>
      <c r="Q588" t="n">
        <v>0</v>
      </c>
      <c r="R588" s="2" t="inlineStr"/>
    </row>
    <row r="589" ht="15" customHeight="1">
      <c r="A589" t="inlineStr">
        <is>
          <t>A 30021-2024</t>
        </is>
      </c>
      <c r="B589" s="1" t="n">
        <v>45488</v>
      </c>
      <c r="C589" s="1" t="n">
        <v>45928</v>
      </c>
      <c r="D589" t="inlineStr">
        <is>
          <t>VÄSTERBOTTENS LÄN</t>
        </is>
      </c>
      <c r="E589" t="inlineStr">
        <is>
          <t>UMEÅ</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38236-2025</t>
        </is>
      </c>
      <c r="B590" s="1" t="n">
        <v>45883.36202546296</v>
      </c>
      <c r="C590" s="1" t="n">
        <v>45928</v>
      </c>
      <c r="D590" t="inlineStr">
        <is>
          <t>VÄSTERBOTTENS LÄN</t>
        </is>
      </c>
      <c r="E590" t="inlineStr">
        <is>
          <t>UMEÅ</t>
        </is>
      </c>
      <c r="G590" t="n">
        <v>3.6</v>
      </c>
      <c r="H590" t="n">
        <v>0</v>
      </c>
      <c r="I590" t="n">
        <v>0</v>
      </c>
      <c r="J590" t="n">
        <v>0</v>
      </c>
      <c r="K590" t="n">
        <v>0</v>
      </c>
      <c r="L590" t="n">
        <v>0</v>
      </c>
      <c r="M590" t="n">
        <v>0</v>
      </c>
      <c r="N590" t="n">
        <v>0</v>
      </c>
      <c r="O590" t="n">
        <v>0</v>
      </c>
      <c r="P590" t="n">
        <v>0</v>
      </c>
      <c r="Q590" t="n">
        <v>0</v>
      </c>
      <c r="R590" s="2" t="inlineStr"/>
    </row>
    <row r="591" ht="15" customHeight="1">
      <c r="A591" t="inlineStr">
        <is>
          <t>A 46682-2025</t>
        </is>
      </c>
      <c r="B591" s="1" t="n">
        <v>45926.54784722222</v>
      </c>
      <c r="C591" s="1" t="n">
        <v>45928</v>
      </c>
      <c r="D591" t="inlineStr">
        <is>
          <t>VÄSTERBOTTENS LÄN</t>
        </is>
      </c>
      <c r="E591" t="inlineStr">
        <is>
          <t>UMEÅ</t>
        </is>
      </c>
      <c r="F591" t="inlineStr">
        <is>
          <t>Holmen skog AB</t>
        </is>
      </c>
      <c r="G591" t="n">
        <v>5.7</v>
      </c>
      <c r="H591" t="n">
        <v>0</v>
      </c>
      <c r="I591" t="n">
        <v>0</v>
      </c>
      <c r="J591" t="n">
        <v>0</v>
      </c>
      <c r="K591" t="n">
        <v>0</v>
      </c>
      <c r="L591" t="n">
        <v>0</v>
      </c>
      <c r="M591" t="n">
        <v>0</v>
      </c>
      <c r="N591" t="n">
        <v>0</v>
      </c>
      <c r="O591" t="n">
        <v>0</v>
      </c>
      <c r="P591" t="n">
        <v>0</v>
      </c>
      <c r="Q591" t="n">
        <v>0</v>
      </c>
      <c r="R591" s="2" t="inlineStr"/>
    </row>
    <row r="592" ht="15" customHeight="1">
      <c r="A592" t="inlineStr">
        <is>
          <t>A 38237-2025</t>
        </is>
      </c>
      <c r="B592" s="1" t="n">
        <v>45883.36371527778</v>
      </c>
      <c r="C592" s="1" t="n">
        <v>45928</v>
      </c>
      <c r="D592" t="inlineStr">
        <is>
          <t>VÄSTERBOTTENS LÄN</t>
        </is>
      </c>
      <c r="E592" t="inlineStr">
        <is>
          <t>UMEÅ</t>
        </is>
      </c>
      <c r="G592" t="n">
        <v>2.2</v>
      </c>
      <c r="H592" t="n">
        <v>0</v>
      </c>
      <c r="I592" t="n">
        <v>0</v>
      </c>
      <c r="J592" t="n">
        <v>0</v>
      </c>
      <c r="K592" t="n">
        <v>0</v>
      </c>
      <c r="L592" t="n">
        <v>0</v>
      </c>
      <c r="M592" t="n">
        <v>0</v>
      </c>
      <c r="N592" t="n">
        <v>0</v>
      </c>
      <c r="O592" t="n">
        <v>0</v>
      </c>
      <c r="P592" t="n">
        <v>0</v>
      </c>
      <c r="Q592" t="n">
        <v>0</v>
      </c>
      <c r="R592" s="2" t="inlineStr"/>
    </row>
    <row r="593" ht="15" customHeight="1">
      <c r="A593" t="inlineStr">
        <is>
          <t>A 39615-2024</t>
        </is>
      </c>
      <c r="B593" s="1" t="n">
        <v>45552</v>
      </c>
      <c r="C593" s="1" t="n">
        <v>45928</v>
      </c>
      <c r="D593" t="inlineStr">
        <is>
          <t>VÄSTERBOTTENS LÄN</t>
        </is>
      </c>
      <c r="E593" t="inlineStr">
        <is>
          <t>UMEÅ</t>
        </is>
      </c>
      <c r="F593" t="inlineStr">
        <is>
          <t>Holmen skog AB</t>
        </is>
      </c>
      <c r="G593" t="n">
        <v>9.4</v>
      </c>
      <c r="H593" t="n">
        <v>0</v>
      </c>
      <c r="I593" t="n">
        <v>0</v>
      </c>
      <c r="J593" t="n">
        <v>0</v>
      </c>
      <c r="K593" t="n">
        <v>0</v>
      </c>
      <c r="L593" t="n">
        <v>0</v>
      </c>
      <c r="M593" t="n">
        <v>0</v>
      </c>
      <c r="N593" t="n">
        <v>0</v>
      </c>
      <c r="O593" t="n">
        <v>0</v>
      </c>
      <c r="P593" t="n">
        <v>0</v>
      </c>
      <c r="Q593" t="n">
        <v>0</v>
      </c>
      <c r="R593" s="2" t="inlineStr"/>
    </row>
    <row r="594" ht="15" customHeight="1">
      <c r="A594" t="inlineStr">
        <is>
          <t>A 52679-2022</t>
        </is>
      </c>
      <c r="B594" s="1" t="n">
        <v>44874</v>
      </c>
      <c r="C594" s="1" t="n">
        <v>45928</v>
      </c>
      <c r="D594" t="inlineStr">
        <is>
          <t>VÄSTERBOTTENS LÄN</t>
        </is>
      </c>
      <c r="E594" t="inlineStr">
        <is>
          <t>UMEÅ</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38235-2025</t>
        </is>
      </c>
      <c r="B595" s="1" t="n">
        <v>45883.36050925926</v>
      </c>
      <c r="C595" s="1" t="n">
        <v>45928</v>
      </c>
      <c r="D595" t="inlineStr">
        <is>
          <t>VÄSTERBOTTENS LÄN</t>
        </is>
      </c>
      <c r="E595" t="inlineStr">
        <is>
          <t>UMEÅ</t>
        </is>
      </c>
      <c r="G595" t="n">
        <v>7.7</v>
      </c>
      <c r="H595" t="n">
        <v>0</v>
      </c>
      <c r="I595" t="n">
        <v>0</v>
      </c>
      <c r="J595" t="n">
        <v>0</v>
      </c>
      <c r="K595" t="n">
        <v>0</v>
      </c>
      <c r="L595" t="n">
        <v>0</v>
      </c>
      <c r="M595" t="n">
        <v>0</v>
      </c>
      <c r="N595" t="n">
        <v>0</v>
      </c>
      <c r="O595" t="n">
        <v>0</v>
      </c>
      <c r="P595" t="n">
        <v>0</v>
      </c>
      <c r="Q595" t="n">
        <v>0</v>
      </c>
      <c r="R595" s="2" t="inlineStr"/>
    </row>
    <row r="596" ht="15" customHeight="1">
      <c r="A596" t="inlineStr">
        <is>
          <t>A 23372-2021</t>
        </is>
      </c>
      <c r="B596" s="1" t="n">
        <v>44333.58960648148</v>
      </c>
      <c r="C596" s="1" t="n">
        <v>45928</v>
      </c>
      <c r="D596" t="inlineStr">
        <is>
          <t>VÄSTERBOTTENS LÄN</t>
        </is>
      </c>
      <c r="E596" t="inlineStr">
        <is>
          <t>UMEÅ</t>
        </is>
      </c>
      <c r="G596" t="n">
        <v>4.5</v>
      </c>
      <c r="H596" t="n">
        <v>0</v>
      </c>
      <c r="I596" t="n">
        <v>0</v>
      </c>
      <c r="J596" t="n">
        <v>0</v>
      </c>
      <c r="K596" t="n">
        <v>0</v>
      </c>
      <c r="L596" t="n">
        <v>0</v>
      </c>
      <c r="M596" t="n">
        <v>0</v>
      </c>
      <c r="N596" t="n">
        <v>0</v>
      </c>
      <c r="O596" t="n">
        <v>0</v>
      </c>
      <c r="P596" t="n">
        <v>0</v>
      </c>
      <c r="Q596" t="n">
        <v>0</v>
      </c>
      <c r="R596" s="2" t="inlineStr"/>
    </row>
    <row r="597" ht="15" customHeight="1">
      <c r="A597" t="inlineStr">
        <is>
          <t>A 61105-2023</t>
        </is>
      </c>
      <c r="B597" s="1" t="n">
        <v>45261.66517361111</v>
      </c>
      <c r="C597" s="1" t="n">
        <v>45928</v>
      </c>
      <c r="D597" t="inlineStr">
        <is>
          <t>VÄSTERBOTTENS LÄN</t>
        </is>
      </c>
      <c r="E597" t="inlineStr">
        <is>
          <t>UMEÅ</t>
        </is>
      </c>
      <c r="G597" t="n">
        <v>4</v>
      </c>
      <c r="H597" t="n">
        <v>0</v>
      </c>
      <c r="I597" t="n">
        <v>0</v>
      </c>
      <c r="J597" t="n">
        <v>0</v>
      </c>
      <c r="K597" t="n">
        <v>0</v>
      </c>
      <c r="L597" t="n">
        <v>0</v>
      </c>
      <c r="M597" t="n">
        <v>0</v>
      </c>
      <c r="N597" t="n">
        <v>0</v>
      </c>
      <c r="O597" t="n">
        <v>0</v>
      </c>
      <c r="P597" t="n">
        <v>0</v>
      </c>
      <c r="Q597" t="n">
        <v>0</v>
      </c>
      <c r="R597" s="2" t="inlineStr"/>
    </row>
    <row r="598" ht="15" customHeight="1">
      <c r="A598" t="inlineStr">
        <is>
          <t>A 43163-2023</t>
        </is>
      </c>
      <c r="B598" s="1" t="n">
        <v>45183</v>
      </c>
      <c r="C598" s="1" t="n">
        <v>45928</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25966-2022</t>
        </is>
      </c>
      <c r="B599" s="1" t="n">
        <v>44734</v>
      </c>
      <c r="C599" s="1" t="n">
        <v>45928</v>
      </c>
      <c r="D599" t="inlineStr">
        <is>
          <t>VÄSTERBOTTENS LÄN</t>
        </is>
      </c>
      <c r="E599" t="inlineStr">
        <is>
          <t>UMEÅ</t>
        </is>
      </c>
      <c r="G599" t="n">
        <v>1.9</v>
      </c>
      <c r="H599" t="n">
        <v>0</v>
      </c>
      <c r="I599" t="n">
        <v>0</v>
      </c>
      <c r="J599" t="n">
        <v>0</v>
      </c>
      <c r="K599" t="n">
        <v>0</v>
      </c>
      <c r="L599" t="n">
        <v>0</v>
      </c>
      <c r="M599" t="n">
        <v>0</v>
      </c>
      <c r="N599" t="n">
        <v>0</v>
      </c>
      <c r="O599" t="n">
        <v>0</v>
      </c>
      <c r="P599" t="n">
        <v>0</v>
      </c>
      <c r="Q599" t="n">
        <v>0</v>
      </c>
      <c r="R599" s="2" t="inlineStr"/>
    </row>
    <row r="600" ht="15" customHeight="1">
      <c r="A600" t="inlineStr">
        <is>
          <t>A 8921-2025</t>
        </is>
      </c>
      <c r="B600" s="1" t="n">
        <v>45713.43568287037</v>
      </c>
      <c r="C600" s="1" t="n">
        <v>45928</v>
      </c>
      <c r="D600" t="inlineStr">
        <is>
          <t>VÄSTERBOTTENS LÄN</t>
        </is>
      </c>
      <c r="E600" t="inlineStr">
        <is>
          <t>UMEÅ</t>
        </is>
      </c>
      <c r="G600" t="n">
        <v>4.8</v>
      </c>
      <c r="H600" t="n">
        <v>0</v>
      </c>
      <c r="I600" t="n">
        <v>0</v>
      </c>
      <c r="J600" t="n">
        <v>0</v>
      </c>
      <c r="K600" t="n">
        <v>0</v>
      </c>
      <c r="L600" t="n">
        <v>0</v>
      </c>
      <c r="M600" t="n">
        <v>0</v>
      </c>
      <c r="N600" t="n">
        <v>0</v>
      </c>
      <c r="O600" t="n">
        <v>0</v>
      </c>
      <c r="P600" t="n">
        <v>0</v>
      </c>
      <c r="Q600" t="n">
        <v>0</v>
      </c>
      <c r="R600" s="2" t="inlineStr"/>
    </row>
    <row r="601" ht="15" customHeight="1">
      <c r="A601" t="inlineStr">
        <is>
          <t>A 44957-2022</t>
        </is>
      </c>
      <c r="B601" s="1" t="n">
        <v>44840</v>
      </c>
      <c r="C601" s="1" t="n">
        <v>45928</v>
      </c>
      <c r="D601" t="inlineStr">
        <is>
          <t>VÄSTERBOTTENS LÄN</t>
        </is>
      </c>
      <c r="E601" t="inlineStr">
        <is>
          <t>UMEÅ</t>
        </is>
      </c>
      <c r="G601" t="n">
        <v>5.6</v>
      </c>
      <c r="H601" t="n">
        <v>0</v>
      </c>
      <c r="I601" t="n">
        <v>0</v>
      </c>
      <c r="J601" t="n">
        <v>0</v>
      </c>
      <c r="K601" t="n">
        <v>0</v>
      </c>
      <c r="L601" t="n">
        <v>0</v>
      </c>
      <c r="M601" t="n">
        <v>0</v>
      </c>
      <c r="N601" t="n">
        <v>0</v>
      </c>
      <c r="O601" t="n">
        <v>0</v>
      </c>
      <c r="P601" t="n">
        <v>0</v>
      </c>
      <c r="Q601" t="n">
        <v>0</v>
      </c>
      <c r="R601" s="2" t="inlineStr"/>
    </row>
    <row r="602" ht="15" customHeight="1">
      <c r="A602" t="inlineStr">
        <is>
          <t>A 7213-2025</t>
        </is>
      </c>
      <c r="B602" s="1" t="n">
        <v>45702.47341435185</v>
      </c>
      <c r="C602" s="1" t="n">
        <v>45928</v>
      </c>
      <c r="D602" t="inlineStr">
        <is>
          <t>VÄSTERBOTTENS LÄN</t>
        </is>
      </c>
      <c r="E602" t="inlineStr">
        <is>
          <t>UMEÅ</t>
        </is>
      </c>
      <c r="G602" t="n">
        <v>0.8</v>
      </c>
      <c r="H602" t="n">
        <v>0</v>
      </c>
      <c r="I602" t="n">
        <v>0</v>
      </c>
      <c r="J602" t="n">
        <v>0</v>
      </c>
      <c r="K602" t="n">
        <v>0</v>
      </c>
      <c r="L602" t="n">
        <v>0</v>
      </c>
      <c r="M602" t="n">
        <v>0</v>
      </c>
      <c r="N602" t="n">
        <v>0</v>
      </c>
      <c r="O602" t="n">
        <v>0</v>
      </c>
      <c r="P602" t="n">
        <v>0</v>
      </c>
      <c r="Q602" t="n">
        <v>0</v>
      </c>
      <c r="R602" s="2" t="inlineStr"/>
    </row>
    <row r="603" ht="15" customHeight="1">
      <c r="A603" t="inlineStr">
        <is>
          <t>A 20142-2025</t>
        </is>
      </c>
      <c r="B603" s="1" t="n">
        <v>45772.52554398148</v>
      </c>
      <c r="C603" s="1" t="n">
        <v>45928</v>
      </c>
      <c r="D603" t="inlineStr">
        <is>
          <t>VÄSTERBOTTENS LÄN</t>
        </is>
      </c>
      <c r="E603" t="inlineStr">
        <is>
          <t>UMEÅ</t>
        </is>
      </c>
      <c r="G603" t="n">
        <v>2.1</v>
      </c>
      <c r="H603" t="n">
        <v>0</v>
      </c>
      <c r="I603" t="n">
        <v>0</v>
      </c>
      <c r="J603" t="n">
        <v>0</v>
      </c>
      <c r="K603" t="n">
        <v>0</v>
      </c>
      <c r="L603" t="n">
        <v>0</v>
      </c>
      <c r="M603" t="n">
        <v>0</v>
      </c>
      <c r="N603" t="n">
        <v>0</v>
      </c>
      <c r="O603" t="n">
        <v>0</v>
      </c>
      <c r="P603" t="n">
        <v>0</v>
      </c>
      <c r="Q603" t="n">
        <v>0</v>
      </c>
      <c r="R603" s="2" t="inlineStr"/>
    </row>
    <row r="604" ht="15" customHeight="1">
      <c r="A604" t="inlineStr">
        <is>
          <t>A 15160-2025</t>
        </is>
      </c>
      <c r="B604" s="1" t="n">
        <v>45744</v>
      </c>
      <c r="C604" s="1" t="n">
        <v>45928</v>
      </c>
      <c r="D604" t="inlineStr">
        <is>
          <t>VÄSTERBOTTENS LÄN</t>
        </is>
      </c>
      <c r="E604" t="inlineStr">
        <is>
          <t>UMEÅ</t>
        </is>
      </c>
      <c r="F604" t="inlineStr">
        <is>
          <t>Kommuner</t>
        </is>
      </c>
      <c r="G604" t="n">
        <v>0.7</v>
      </c>
      <c r="H604" t="n">
        <v>0</v>
      </c>
      <c r="I604" t="n">
        <v>0</v>
      </c>
      <c r="J604" t="n">
        <v>0</v>
      </c>
      <c r="K604" t="n">
        <v>0</v>
      </c>
      <c r="L604" t="n">
        <v>0</v>
      </c>
      <c r="M604" t="n">
        <v>0</v>
      </c>
      <c r="N604" t="n">
        <v>0</v>
      </c>
      <c r="O604" t="n">
        <v>0</v>
      </c>
      <c r="P604" t="n">
        <v>0</v>
      </c>
      <c r="Q604" t="n">
        <v>0</v>
      </c>
      <c r="R604" s="2" t="inlineStr"/>
    </row>
    <row r="605" ht="15" customHeight="1">
      <c r="A605" t="inlineStr">
        <is>
          <t>A 15161-2025</t>
        </is>
      </c>
      <c r="B605" s="1" t="n">
        <v>45744</v>
      </c>
      <c r="C605" s="1" t="n">
        <v>45928</v>
      </c>
      <c r="D605" t="inlineStr">
        <is>
          <t>VÄSTERBOTTENS LÄN</t>
        </is>
      </c>
      <c r="E605" t="inlineStr">
        <is>
          <t>UMEÅ</t>
        </is>
      </c>
      <c r="F605" t="inlineStr">
        <is>
          <t>Kommuner</t>
        </is>
      </c>
      <c r="G605" t="n">
        <v>1.3</v>
      </c>
      <c r="H605" t="n">
        <v>0</v>
      </c>
      <c r="I605" t="n">
        <v>0</v>
      </c>
      <c r="J605" t="n">
        <v>0</v>
      </c>
      <c r="K605" t="n">
        <v>0</v>
      </c>
      <c r="L605" t="n">
        <v>0</v>
      </c>
      <c r="M605" t="n">
        <v>0</v>
      </c>
      <c r="N605" t="n">
        <v>0</v>
      </c>
      <c r="O605" t="n">
        <v>0</v>
      </c>
      <c r="P605" t="n">
        <v>0</v>
      </c>
      <c r="Q605" t="n">
        <v>0</v>
      </c>
      <c r="R605" s="2" t="inlineStr"/>
    </row>
    <row r="606" ht="15" customHeight="1">
      <c r="A606" t="inlineStr">
        <is>
          <t>A 59029-2024</t>
        </is>
      </c>
      <c r="B606" s="1" t="n">
        <v>45636</v>
      </c>
      <c r="C606" s="1" t="n">
        <v>45928</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26738-2024</t>
        </is>
      </c>
      <c r="B607" s="1" t="n">
        <v>45470.44721064815</v>
      </c>
      <c r="C607" s="1" t="n">
        <v>45928</v>
      </c>
      <c r="D607" t="inlineStr">
        <is>
          <t>VÄSTERBOTTENS LÄN</t>
        </is>
      </c>
      <c r="E607" t="inlineStr">
        <is>
          <t>UMEÅ</t>
        </is>
      </c>
      <c r="G607" t="n">
        <v>4.1</v>
      </c>
      <c r="H607" t="n">
        <v>0</v>
      </c>
      <c r="I607" t="n">
        <v>0</v>
      </c>
      <c r="J607" t="n">
        <v>0</v>
      </c>
      <c r="K607" t="n">
        <v>0</v>
      </c>
      <c r="L607" t="n">
        <v>0</v>
      </c>
      <c r="M607" t="n">
        <v>0</v>
      </c>
      <c r="N607" t="n">
        <v>0</v>
      </c>
      <c r="O607" t="n">
        <v>0</v>
      </c>
      <c r="P607" t="n">
        <v>0</v>
      </c>
      <c r="Q607" t="n">
        <v>0</v>
      </c>
      <c r="R607" s="2" t="inlineStr"/>
    </row>
    <row r="608" ht="15" customHeight="1">
      <c r="A608" t="inlineStr">
        <is>
          <t>A 19195-2025</t>
        </is>
      </c>
      <c r="B608" s="1" t="n">
        <v>45769.425625</v>
      </c>
      <c r="C608" s="1" t="n">
        <v>45928</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58538-2021</t>
        </is>
      </c>
      <c r="B609" s="1" t="n">
        <v>44488.6871875</v>
      </c>
      <c r="C609" s="1" t="n">
        <v>45928</v>
      </c>
      <c r="D609" t="inlineStr">
        <is>
          <t>VÄSTERBOTTENS LÄN</t>
        </is>
      </c>
      <c r="E609" t="inlineStr">
        <is>
          <t>UMEÅ</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17924-2023</t>
        </is>
      </c>
      <c r="B610" s="1" t="n">
        <v>45037</v>
      </c>
      <c r="C610" s="1" t="n">
        <v>45928</v>
      </c>
      <c r="D610" t="inlineStr">
        <is>
          <t>VÄSTERBOTTENS LÄN</t>
        </is>
      </c>
      <c r="E610" t="inlineStr">
        <is>
          <t>UMEÅ</t>
        </is>
      </c>
      <c r="F610" t="inlineStr">
        <is>
          <t>Kommuner</t>
        </is>
      </c>
      <c r="G610" t="n">
        <v>0.7</v>
      </c>
      <c r="H610" t="n">
        <v>0</v>
      </c>
      <c r="I610" t="n">
        <v>0</v>
      </c>
      <c r="J610" t="n">
        <v>0</v>
      </c>
      <c r="K610" t="n">
        <v>0</v>
      </c>
      <c r="L610" t="n">
        <v>0</v>
      </c>
      <c r="M610" t="n">
        <v>0</v>
      </c>
      <c r="N610" t="n">
        <v>0</v>
      </c>
      <c r="O610" t="n">
        <v>0</v>
      </c>
      <c r="P610" t="n">
        <v>0</v>
      </c>
      <c r="Q610" t="n">
        <v>0</v>
      </c>
      <c r="R610" s="2" t="inlineStr"/>
    </row>
    <row r="611" ht="15" customHeight="1">
      <c r="A611" t="inlineStr">
        <is>
          <t>A 17949-2023</t>
        </is>
      </c>
      <c r="B611" s="1" t="n">
        <v>45037</v>
      </c>
      <c r="C611" s="1" t="n">
        <v>45928</v>
      </c>
      <c r="D611" t="inlineStr">
        <is>
          <t>VÄSTERBOTTENS LÄN</t>
        </is>
      </c>
      <c r="E611" t="inlineStr">
        <is>
          <t>UMEÅ</t>
        </is>
      </c>
      <c r="G611" t="n">
        <v>4.5</v>
      </c>
      <c r="H611" t="n">
        <v>0</v>
      </c>
      <c r="I611" t="n">
        <v>0</v>
      </c>
      <c r="J611" t="n">
        <v>0</v>
      </c>
      <c r="K611" t="n">
        <v>0</v>
      </c>
      <c r="L611" t="n">
        <v>0</v>
      </c>
      <c r="M611" t="n">
        <v>0</v>
      </c>
      <c r="N611" t="n">
        <v>0</v>
      </c>
      <c r="O611" t="n">
        <v>0</v>
      </c>
      <c r="P611" t="n">
        <v>0</v>
      </c>
      <c r="Q611" t="n">
        <v>0</v>
      </c>
      <c r="R611" s="2" t="inlineStr"/>
    </row>
    <row r="612" ht="15" customHeight="1">
      <c r="A612" t="inlineStr">
        <is>
          <t>A 31442-2024</t>
        </is>
      </c>
      <c r="B612" s="1" t="n">
        <v>45505</v>
      </c>
      <c r="C612" s="1" t="n">
        <v>45928</v>
      </c>
      <c r="D612" t="inlineStr">
        <is>
          <t>VÄSTERBOTTENS LÄN</t>
        </is>
      </c>
      <c r="E612" t="inlineStr">
        <is>
          <t>UMEÅ</t>
        </is>
      </c>
      <c r="G612" t="n">
        <v>0.8</v>
      </c>
      <c r="H612" t="n">
        <v>0</v>
      </c>
      <c r="I612" t="n">
        <v>0</v>
      </c>
      <c r="J612" t="n">
        <v>0</v>
      </c>
      <c r="K612" t="n">
        <v>0</v>
      </c>
      <c r="L612" t="n">
        <v>0</v>
      </c>
      <c r="M612" t="n">
        <v>0</v>
      </c>
      <c r="N612" t="n">
        <v>0</v>
      </c>
      <c r="O612" t="n">
        <v>0</v>
      </c>
      <c r="P612" t="n">
        <v>0</v>
      </c>
      <c r="Q612" t="n">
        <v>0</v>
      </c>
      <c r="R612" s="2" t="inlineStr"/>
    </row>
    <row r="613" ht="15" customHeight="1">
      <c r="A613" t="inlineStr">
        <is>
          <t>A 4629-2022</t>
        </is>
      </c>
      <c r="B613" s="1" t="n">
        <v>44592.40050925926</v>
      </c>
      <c r="C613" s="1" t="n">
        <v>45928</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6279-2025</t>
        </is>
      </c>
      <c r="B614" s="1" t="n">
        <v>45698.62097222222</v>
      </c>
      <c r="C614" s="1" t="n">
        <v>45928</v>
      </c>
      <c r="D614" t="inlineStr">
        <is>
          <t>VÄSTERBOTTENS LÄN</t>
        </is>
      </c>
      <c r="E614" t="inlineStr">
        <is>
          <t>UMEÅ</t>
        </is>
      </c>
      <c r="G614" t="n">
        <v>0.6</v>
      </c>
      <c r="H614" t="n">
        <v>0</v>
      </c>
      <c r="I614" t="n">
        <v>0</v>
      </c>
      <c r="J614" t="n">
        <v>0</v>
      </c>
      <c r="K614" t="n">
        <v>0</v>
      </c>
      <c r="L614" t="n">
        <v>0</v>
      </c>
      <c r="M614" t="n">
        <v>0</v>
      </c>
      <c r="N614" t="n">
        <v>0</v>
      </c>
      <c r="O614" t="n">
        <v>0</v>
      </c>
      <c r="P614" t="n">
        <v>0</v>
      </c>
      <c r="Q614" t="n">
        <v>0</v>
      </c>
      <c r="R614" s="2" t="inlineStr"/>
    </row>
    <row r="615" ht="15" customHeight="1">
      <c r="A615" t="inlineStr">
        <is>
          <t>A 18907-2023</t>
        </is>
      </c>
      <c r="B615" s="1" t="n">
        <v>45043</v>
      </c>
      <c r="C615" s="1" t="n">
        <v>45928</v>
      </c>
      <c r="D615" t="inlineStr">
        <is>
          <t>VÄSTERBOTTENS LÄN</t>
        </is>
      </c>
      <c r="E615" t="inlineStr">
        <is>
          <t>UMEÅ</t>
        </is>
      </c>
      <c r="G615" t="n">
        <v>4.6</v>
      </c>
      <c r="H615" t="n">
        <v>0</v>
      </c>
      <c r="I615" t="n">
        <v>0</v>
      </c>
      <c r="J615" t="n">
        <v>0</v>
      </c>
      <c r="K615" t="n">
        <v>0</v>
      </c>
      <c r="L615" t="n">
        <v>0</v>
      </c>
      <c r="M615" t="n">
        <v>0</v>
      </c>
      <c r="N615" t="n">
        <v>0</v>
      </c>
      <c r="O615" t="n">
        <v>0</v>
      </c>
      <c r="P615" t="n">
        <v>0</v>
      </c>
      <c r="Q615" t="n">
        <v>0</v>
      </c>
      <c r="R615" s="2" t="inlineStr"/>
    </row>
    <row r="616" ht="15" customHeight="1">
      <c r="A616" t="inlineStr">
        <is>
          <t>A 13768-2023</t>
        </is>
      </c>
      <c r="B616" s="1" t="n">
        <v>45006</v>
      </c>
      <c r="C616" s="1" t="n">
        <v>45928</v>
      </c>
      <c r="D616" t="inlineStr">
        <is>
          <t>VÄSTERBOTTENS LÄN</t>
        </is>
      </c>
      <c r="E616" t="inlineStr">
        <is>
          <t>UMEÅ</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1508-2025</t>
        </is>
      </c>
      <c r="B617" s="1" t="n">
        <v>45670.4403587963</v>
      </c>
      <c r="C617" s="1" t="n">
        <v>45928</v>
      </c>
      <c r="D617" t="inlineStr">
        <is>
          <t>VÄSTERBOTTENS LÄN</t>
        </is>
      </c>
      <c r="E617" t="inlineStr">
        <is>
          <t>UMEÅ</t>
        </is>
      </c>
      <c r="G617" t="n">
        <v>1.4</v>
      </c>
      <c r="H617" t="n">
        <v>0</v>
      </c>
      <c r="I617" t="n">
        <v>0</v>
      </c>
      <c r="J617" t="n">
        <v>0</v>
      </c>
      <c r="K617" t="n">
        <v>0</v>
      </c>
      <c r="L617" t="n">
        <v>0</v>
      </c>
      <c r="M617" t="n">
        <v>0</v>
      </c>
      <c r="N617" t="n">
        <v>0</v>
      </c>
      <c r="O617" t="n">
        <v>0</v>
      </c>
      <c r="P617" t="n">
        <v>0</v>
      </c>
      <c r="Q617" t="n">
        <v>0</v>
      </c>
      <c r="R617" s="2" t="inlineStr"/>
    </row>
    <row r="618" ht="15" customHeight="1">
      <c r="A618" t="inlineStr">
        <is>
          <t>A 7373-2024</t>
        </is>
      </c>
      <c r="B618" s="1" t="n">
        <v>45345</v>
      </c>
      <c r="C618" s="1" t="n">
        <v>45928</v>
      </c>
      <c r="D618" t="inlineStr">
        <is>
          <t>VÄSTERBOTTENS LÄN</t>
        </is>
      </c>
      <c r="E618" t="inlineStr">
        <is>
          <t>UMEÅ</t>
        </is>
      </c>
      <c r="G618" t="n">
        <v>4.1</v>
      </c>
      <c r="H618" t="n">
        <v>0</v>
      </c>
      <c r="I618" t="n">
        <v>0</v>
      </c>
      <c r="J618" t="n">
        <v>0</v>
      </c>
      <c r="K618" t="n">
        <v>0</v>
      </c>
      <c r="L618" t="n">
        <v>0</v>
      </c>
      <c r="M618" t="n">
        <v>0</v>
      </c>
      <c r="N618" t="n">
        <v>0</v>
      </c>
      <c r="O618" t="n">
        <v>0</v>
      </c>
      <c r="P618" t="n">
        <v>0</v>
      </c>
      <c r="Q618" t="n">
        <v>0</v>
      </c>
      <c r="R618" s="2" t="inlineStr"/>
    </row>
    <row r="619" ht="15" customHeight="1">
      <c r="A619" t="inlineStr">
        <is>
          <t>A 51390-2024</t>
        </is>
      </c>
      <c r="B619" s="1" t="n">
        <v>45604.40876157407</v>
      </c>
      <c r="C619" s="1" t="n">
        <v>45928</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67444-2020</t>
        </is>
      </c>
      <c r="B620" s="1" t="n">
        <v>44179</v>
      </c>
      <c r="C620" s="1" t="n">
        <v>45928</v>
      </c>
      <c r="D620" t="inlineStr">
        <is>
          <t>VÄSTERBOTTENS LÄN</t>
        </is>
      </c>
      <c r="E620" t="inlineStr">
        <is>
          <t>UMEÅ</t>
        </is>
      </c>
      <c r="G620" t="n">
        <v>1.6</v>
      </c>
      <c r="H620" t="n">
        <v>0</v>
      </c>
      <c r="I620" t="n">
        <v>0</v>
      </c>
      <c r="J620" t="n">
        <v>0</v>
      </c>
      <c r="K620" t="n">
        <v>0</v>
      </c>
      <c r="L620" t="n">
        <v>0</v>
      </c>
      <c r="M620" t="n">
        <v>0</v>
      </c>
      <c r="N620" t="n">
        <v>0</v>
      </c>
      <c r="O620" t="n">
        <v>0</v>
      </c>
      <c r="P620" t="n">
        <v>0</v>
      </c>
      <c r="Q620" t="n">
        <v>0</v>
      </c>
      <c r="R620" s="2" t="inlineStr"/>
    </row>
    <row r="621" ht="15" customHeight="1">
      <c r="A621" t="inlineStr">
        <is>
          <t>A 35808-2022</t>
        </is>
      </c>
      <c r="B621" s="1" t="n">
        <v>44802.31871527778</v>
      </c>
      <c r="C621" s="1" t="n">
        <v>45928</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15375-2025</t>
        </is>
      </c>
      <c r="B622" s="1" t="n">
        <v>45747.40652777778</v>
      </c>
      <c r="C622" s="1" t="n">
        <v>45928</v>
      </c>
      <c r="D622" t="inlineStr">
        <is>
          <t>VÄSTERBOTTENS LÄN</t>
        </is>
      </c>
      <c r="E622" t="inlineStr">
        <is>
          <t>UMEÅ</t>
        </is>
      </c>
      <c r="G622" t="n">
        <v>1.1</v>
      </c>
      <c r="H622" t="n">
        <v>0</v>
      </c>
      <c r="I622" t="n">
        <v>0</v>
      </c>
      <c r="J622" t="n">
        <v>0</v>
      </c>
      <c r="K622" t="n">
        <v>0</v>
      </c>
      <c r="L622" t="n">
        <v>0</v>
      </c>
      <c r="M622" t="n">
        <v>0</v>
      </c>
      <c r="N622" t="n">
        <v>0</v>
      </c>
      <c r="O622" t="n">
        <v>0</v>
      </c>
      <c r="P622" t="n">
        <v>0</v>
      </c>
      <c r="Q622" t="n">
        <v>0</v>
      </c>
      <c r="R622" s="2" t="inlineStr"/>
    </row>
    <row r="623" ht="15" customHeight="1">
      <c r="A623" t="inlineStr">
        <is>
          <t>A 15376-2025</t>
        </is>
      </c>
      <c r="B623" s="1" t="n">
        <v>45747.40657407408</v>
      </c>
      <c r="C623" s="1" t="n">
        <v>45928</v>
      </c>
      <c r="D623" t="inlineStr">
        <is>
          <t>VÄSTERBOTTENS LÄN</t>
        </is>
      </c>
      <c r="E623" t="inlineStr">
        <is>
          <t>UMEÅ</t>
        </is>
      </c>
      <c r="G623" t="n">
        <v>4.1</v>
      </c>
      <c r="H623" t="n">
        <v>0</v>
      </c>
      <c r="I623" t="n">
        <v>0</v>
      </c>
      <c r="J623" t="n">
        <v>0</v>
      </c>
      <c r="K623" t="n">
        <v>0</v>
      </c>
      <c r="L623" t="n">
        <v>0</v>
      </c>
      <c r="M623" t="n">
        <v>0</v>
      </c>
      <c r="N623" t="n">
        <v>0</v>
      </c>
      <c r="O623" t="n">
        <v>0</v>
      </c>
      <c r="P623" t="n">
        <v>0</v>
      </c>
      <c r="Q623" t="n">
        <v>0</v>
      </c>
      <c r="R623" s="2" t="inlineStr"/>
    </row>
    <row r="624" ht="15" customHeight="1">
      <c r="A624" t="inlineStr">
        <is>
          <t>A 51544-2023</t>
        </is>
      </c>
      <c r="B624" s="1" t="n">
        <v>45222.41521990741</v>
      </c>
      <c r="C624" s="1" t="n">
        <v>45928</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15886-2023</t>
        </is>
      </c>
      <c r="B625" s="1" t="n">
        <v>45022</v>
      </c>
      <c r="C625" s="1" t="n">
        <v>45928</v>
      </c>
      <c r="D625" t="inlineStr">
        <is>
          <t>VÄSTERBOTTENS LÄN</t>
        </is>
      </c>
      <c r="E625" t="inlineStr">
        <is>
          <t>UMEÅ</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45797-2024</t>
        </is>
      </c>
      <c r="B626" s="1" t="n">
        <v>45579.67520833333</v>
      </c>
      <c r="C626" s="1" t="n">
        <v>45928</v>
      </c>
      <c r="D626" t="inlineStr">
        <is>
          <t>VÄSTERBOTTENS LÄN</t>
        </is>
      </c>
      <c r="E626" t="inlineStr">
        <is>
          <t>UMEÅ</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15767-2024</t>
        </is>
      </c>
      <c r="B627" s="1" t="n">
        <v>45404</v>
      </c>
      <c r="C627" s="1" t="n">
        <v>45928</v>
      </c>
      <c r="D627" t="inlineStr">
        <is>
          <t>VÄSTERBOTTENS LÄN</t>
        </is>
      </c>
      <c r="E627" t="inlineStr">
        <is>
          <t>UMEÅ</t>
        </is>
      </c>
      <c r="G627" t="n">
        <v>7.8</v>
      </c>
      <c r="H627" t="n">
        <v>0</v>
      </c>
      <c r="I627" t="n">
        <v>0</v>
      </c>
      <c r="J627" t="n">
        <v>0</v>
      </c>
      <c r="K627" t="n">
        <v>0</v>
      </c>
      <c r="L627" t="n">
        <v>0</v>
      </c>
      <c r="M627" t="n">
        <v>0</v>
      </c>
      <c r="N627" t="n">
        <v>0</v>
      </c>
      <c r="O627" t="n">
        <v>0</v>
      </c>
      <c r="P627" t="n">
        <v>0</v>
      </c>
      <c r="Q627" t="n">
        <v>0</v>
      </c>
      <c r="R627" s="2" t="inlineStr"/>
    </row>
    <row r="628" ht="15" customHeight="1">
      <c r="A628" t="inlineStr">
        <is>
          <t>A 62538-2023</t>
        </is>
      </c>
      <c r="B628" s="1" t="n">
        <v>45267</v>
      </c>
      <c r="C628" s="1" t="n">
        <v>45928</v>
      </c>
      <c r="D628" t="inlineStr">
        <is>
          <t>VÄSTERBOTTENS LÄN</t>
        </is>
      </c>
      <c r="E628" t="inlineStr">
        <is>
          <t>UMEÅ</t>
        </is>
      </c>
      <c r="G628" t="n">
        <v>2.7</v>
      </c>
      <c r="H628" t="n">
        <v>0</v>
      </c>
      <c r="I628" t="n">
        <v>0</v>
      </c>
      <c r="J628" t="n">
        <v>0</v>
      </c>
      <c r="K628" t="n">
        <v>0</v>
      </c>
      <c r="L628" t="n">
        <v>0</v>
      </c>
      <c r="M628" t="n">
        <v>0</v>
      </c>
      <c r="N628" t="n">
        <v>0</v>
      </c>
      <c r="O628" t="n">
        <v>0</v>
      </c>
      <c r="P628" t="n">
        <v>0</v>
      </c>
      <c r="Q628" t="n">
        <v>0</v>
      </c>
      <c r="R628" s="2" t="inlineStr"/>
    </row>
    <row r="629" ht="15" customHeight="1">
      <c r="A629" t="inlineStr">
        <is>
          <t>A 1089-2024</t>
        </is>
      </c>
      <c r="B629" s="1" t="n">
        <v>45301</v>
      </c>
      <c r="C629" s="1" t="n">
        <v>45928</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44481-2022</t>
        </is>
      </c>
      <c r="B630" s="1" t="n">
        <v>44840</v>
      </c>
      <c r="C630" s="1" t="n">
        <v>45928</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41594-2023</t>
        </is>
      </c>
      <c r="B631" s="1" t="n">
        <v>45175</v>
      </c>
      <c r="C631" s="1" t="n">
        <v>45928</v>
      </c>
      <c r="D631" t="inlineStr">
        <is>
          <t>VÄSTERBOTTENS LÄN</t>
        </is>
      </c>
      <c r="E631" t="inlineStr">
        <is>
          <t>UMEÅ</t>
        </is>
      </c>
      <c r="F631" t="inlineStr">
        <is>
          <t>Holmen skog AB</t>
        </is>
      </c>
      <c r="G631" t="n">
        <v>3.1</v>
      </c>
      <c r="H631" t="n">
        <v>0</v>
      </c>
      <c r="I631" t="n">
        <v>0</v>
      </c>
      <c r="J631" t="n">
        <v>0</v>
      </c>
      <c r="K631" t="n">
        <v>0</v>
      </c>
      <c r="L631" t="n">
        <v>0</v>
      </c>
      <c r="M631" t="n">
        <v>0</v>
      </c>
      <c r="N631" t="n">
        <v>0</v>
      </c>
      <c r="O631" t="n">
        <v>0</v>
      </c>
      <c r="P631" t="n">
        <v>0</v>
      </c>
      <c r="Q631" t="n">
        <v>0</v>
      </c>
      <c r="R631" s="2" t="inlineStr"/>
    </row>
    <row r="632" ht="15" customHeight="1">
      <c r="A632" t="inlineStr">
        <is>
          <t>A 15701-2025</t>
        </is>
      </c>
      <c r="B632" s="1" t="n">
        <v>45748.47508101852</v>
      </c>
      <c r="C632" s="1" t="n">
        <v>45928</v>
      </c>
      <c r="D632" t="inlineStr">
        <is>
          <t>VÄSTERBOTTENS LÄN</t>
        </is>
      </c>
      <c r="E632" t="inlineStr">
        <is>
          <t>UMEÅ</t>
        </is>
      </c>
      <c r="G632" t="n">
        <v>7.9</v>
      </c>
      <c r="H632" t="n">
        <v>0</v>
      </c>
      <c r="I632" t="n">
        <v>0</v>
      </c>
      <c r="J632" t="n">
        <v>0</v>
      </c>
      <c r="K632" t="n">
        <v>0</v>
      </c>
      <c r="L632" t="n">
        <v>0</v>
      </c>
      <c r="M632" t="n">
        <v>0</v>
      </c>
      <c r="N632" t="n">
        <v>0</v>
      </c>
      <c r="O632" t="n">
        <v>0</v>
      </c>
      <c r="P632" t="n">
        <v>0</v>
      </c>
      <c r="Q632" t="n">
        <v>0</v>
      </c>
      <c r="R632" s="2" t="inlineStr"/>
    </row>
    <row r="633" ht="15" customHeight="1">
      <c r="A633" t="inlineStr">
        <is>
          <t>A 63136-2023</t>
        </is>
      </c>
      <c r="B633" s="1" t="n">
        <v>45273.46479166667</v>
      </c>
      <c r="C633" s="1" t="n">
        <v>45928</v>
      </c>
      <c r="D633" t="inlineStr">
        <is>
          <t>VÄSTERBOTTENS LÄN</t>
        </is>
      </c>
      <c r="E633" t="inlineStr">
        <is>
          <t>UMEÅ</t>
        </is>
      </c>
      <c r="G633" t="n">
        <v>0.4</v>
      </c>
      <c r="H633" t="n">
        <v>0</v>
      </c>
      <c r="I633" t="n">
        <v>0</v>
      </c>
      <c r="J633" t="n">
        <v>0</v>
      </c>
      <c r="K633" t="n">
        <v>0</v>
      </c>
      <c r="L633" t="n">
        <v>0</v>
      </c>
      <c r="M633" t="n">
        <v>0</v>
      </c>
      <c r="N633" t="n">
        <v>0</v>
      </c>
      <c r="O633" t="n">
        <v>0</v>
      </c>
      <c r="P633" t="n">
        <v>0</v>
      </c>
      <c r="Q633" t="n">
        <v>0</v>
      </c>
      <c r="R633" s="2" t="inlineStr"/>
    </row>
    <row r="634" ht="15" customHeight="1">
      <c r="A634" t="inlineStr">
        <is>
          <t>A 10265-2025</t>
        </is>
      </c>
      <c r="B634" s="1" t="n">
        <v>45720.38559027778</v>
      </c>
      <c r="C634" s="1" t="n">
        <v>45928</v>
      </c>
      <c r="D634" t="inlineStr">
        <is>
          <t>VÄSTERBOTTENS LÄN</t>
        </is>
      </c>
      <c r="E634" t="inlineStr">
        <is>
          <t>UMEÅ</t>
        </is>
      </c>
      <c r="G634" t="n">
        <v>10.6</v>
      </c>
      <c r="H634" t="n">
        <v>0</v>
      </c>
      <c r="I634" t="n">
        <v>0</v>
      </c>
      <c r="J634" t="n">
        <v>0</v>
      </c>
      <c r="K634" t="n">
        <v>0</v>
      </c>
      <c r="L634" t="n">
        <v>0</v>
      </c>
      <c r="M634" t="n">
        <v>0</v>
      </c>
      <c r="N634" t="n">
        <v>0</v>
      </c>
      <c r="O634" t="n">
        <v>0</v>
      </c>
      <c r="P634" t="n">
        <v>0</v>
      </c>
      <c r="Q634" t="n">
        <v>0</v>
      </c>
      <c r="R634" s="2" t="inlineStr"/>
    </row>
    <row r="635" ht="15" customHeight="1">
      <c r="A635" t="inlineStr">
        <is>
          <t>A 15337-2025</t>
        </is>
      </c>
      <c r="B635" s="1" t="n">
        <v>45747.36483796296</v>
      </c>
      <c r="C635" s="1" t="n">
        <v>45928</v>
      </c>
      <c r="D635" t="inlineStr">
        <is>
          <t>VÄSTERBOTTENS LÄN</t>
        </is>
      </c>
      <c r="E635" t="inlineStr">
        <is>
          <t>UMEÅ</t>
        </is>
      </c>
      <c r="G635" t="n">
        <v>8.6</v>
      </c>
      <c r="H635" t="n">
        <v>0</v>
      </c>
      <c r="I635" t="n">
        <v>0</v>
      </c>
      <c r="J635" t="n">
        <v>0</v>
      </c>
      <c r="K635" t="n">
        <v>0</v>
      </c>
      <c r="L635" t="n">
        <v>0</v>
      </c>
      <c r="M635" t="n">
        <v>0</v>
      </c>
      <c r="N635" t="n">
        <v>0</v>
      </c>
      <c r="O635" t="n">
        <v>0</v>
      </c>
      <c r="P635" t="n">
        <v>0</v>
      </c>
      <c r="Q635" t="n">
        <v>0</v>
      </c>
      <c r="R635" s="2" t="inlineStr"/>
    </row>
    <row r="636" ht="15" customHeight="1">
      <c r="A636" t="inlineStr">
        <is>
          <t>A 17345-2025</t>
        </is>
      </c>
      <c r="B636" s="1" t="n">
        <v>45756.67292824074</v>
      </c>
      <c r="C636" s="1" t="n">
        <v>45928</v>
      </c>
      <c r="D636" t="inlineStr">
        <is>
          <t>VÄSTERBOTTENS LÄN</t>
        </is>
      </c>
      <c r="E636" t="inlineStr">
        <is>
          <t>UMEÅ</t>
        </is>
      </c>
      <c r="G636" t="n">
        <v>0.9</v>
      </c>
      <c r="H636" t="n">
        <v>0</v>
      </c>
      <c r="I636" t="n">
        <v>0</v>
      </c>
      <c r="J636" t="n">
        <v>0</v>
      </c>
      <c r="K636" t="n">
        <v>0</v>
      </c>
      <c r="L636" t="n">
        <v>0</v>
      </c>
      <c r="M636" t="n">
        <v>0</v>
      </c>
      <c r="N636" t="n">
        <v>0</v>
      </c>
      <c r="O636" t="n">
        <v>0</v>
      </c>
      <c r="P636" t="n">
        <v>0</v>
      </c>
      <c r="Q636" t="n">
        <v>0</v>
      </c>
      <c r="R636" s="2" t="inlineStr"/>
    </row>
    <row r="637" ht="15" customHeight="1">
      <c r="A637" t="inlineStr">
        <is>
          <t>A 3830-2025</t>
        </is>
      </c>
      <c r="B637" s="1" t="n">
        <v>45681.84473379629</v>
      </c>
      <c r="C637" s="1" t="n">
        <v>45928</v>
      </c>
      <c r="D637" t="inlineStr">
        <is>
          <t>VÄSTERBOTTENS LÄN</t>
        </is>
      </c>
      <c r="E637" t="inlineStr">
        <is>
          <t>UMEÅ</t>
        </is>
      </c>
      <c r="G637" t="n">
        <v>0.5</v>
      </c>
      <c r="H637" t="n">
        <v>0</v>
      </c>
      <c r="I637" t="n">
        <v>0</v>
      </c>
      <c r="J637" t="n">
        <v>0</v>
      </c>
      <c r="K637" t="n">
        <v>0</v>
      </c>
      <c r="L637" t="n">
        <v>0</v>
      </c>
      <c r="M637" t="n">
        <v>0</v>
      </c>
      <c r="N637" t="n">
        <v>0</v>
      </c>
      <c r="O637" t="n">
        <v>0</v>
      </c>
      <c r="P637" t="n">
        <v>0</v>
      </c>
      <c r="Q637" t="n">
        <v>0</v>
      </c>
      <c r="R637" s="2" t="inlineStr"/>
    </row>
    <row r="638" ht="15" customHeight="1">
      <c r="A638" t="inlineStr">
        <is>
          <t>A 57603-2021</t>
        </is>
      </c>
      <c r="B638" s="1" t="n">
        <v>44483</v>
      </c>
      <c r="C638" s="1" t="n">
        <v>45928</v>
      </c>
      <c r="D638" t="inlineStr">
        <is>
          <t>VÄSTERBOTTENS LÄN</t>
        </is>
      </c>
      <c r="E638" t="inlineStr">
        <is>
          <t>UMEÅ</t>
        </is>
      </c>
      <c r="G638" t="n">
        <v>2.8</v>
      </c>
      <c r="H638" t="n">
        <v>0</v>
      </c>
      <c r="I638" t="n">
        <v>0</v>
      </c>
      <c r="J638" t="n">
        <v>0</v>
      </c>
      <c r="K638" t="n">
        <v>0</v>
      </c>
      <c r="L638" t="n">
        <v>0</v>
      </c>
      <c r="M638" t="n">
        <v>0</v>
      </c>
      <c r="N638" t="n">
        <v>0</v>
      </c>
      <c r="O638" t="n">
        <v>0</v>
      </c>
      <c r="P638" t="n">
        <v>0</v>
      </c>
      <c r="Q638" t="n">
        <v>0</v>
      </c>
      <c r="R638" s="2" t="inlineStr"/>
    </row>
    <row r="639" ht="15" customHeight="1">
      <c r="A639" t="inlineStr">
        <is>
          <t>A 4251-2025</t>
        </is>
      </c>
      <c r="B639" s="1" t="n">
        <v>45685.60450231482</v>
      </c>
      <c r="C639" s="1" t="n">
        <v>45928</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7693-2025</t>
        </is>
      </c>
      <c r="B640" s="1" t="n">
        <v>45706.39457175926</v>
      </c>
      <c r="C640" s="1" t="n">
        <v>45928</v>
      </c>
      <c r="D640" t="inlineStr">
        <is>
          <t>VÄSTERBOTTENS LÄN</t>
        </is>
      </c>
      <c r="E640" t="inlineStr">
        <is>
          <t>UMEÅ</t>
        </is>
      </c>
      <c r="G640" t="n">
        <v>19.7</v>
      </c>
      <c r="H640" t="n">
        <v>0</v>
      </c>
      <c r="I640" t="n">
        <v>0</v>
      </c>
      <c r="J640" t="n">
        <v>0</v>
      </c>
      <c r="K640" t="n">
        <v>0</v>
      </c>
      <c r="L640" t="n">
        <v>0</v>
      </c>
      <c r="M640" t="n">
        <v>0</v>
      </c>
      <c r="N640" t="n">
        <v>0</v>
      </c>
      <c r="O640" t="n">
        <v>0</v>
      </c>
      <c r="P640" t="n">
        <v>0</v>
      </c>
      <c r="Q640" t="n">
        <v>0</v>
      </c>
      <c r="R640" s="2" t="inlineStr"/>
    </row>
    <row r="641" ht="15" customHeight="1">
      <c r="A641" t="inlineStr">
        <is>
          <t>A 7696-2025</t>
        </is>
      </c>
      <c r="B641" s="1" t="n">
        <v>45706.39914351852</v>
      </c>
      <c r="C641" s="1" t="n">
        <v>45928</v>
      </c>
      <c r="D641" t="inlineStr">
        <is>
          <t>VÄSTERBOTTENS LÄN</t>
        </is>
      </c>
      <c r="E641" t="inlineStr">
        <is>
          <t>UMEÅ</t>
        </is>
      </c>
      <c r="G641" t="n">
        <v>5.2</v>
      </c>
      <c r="H641" t="n">
        <v>0</v>
      </c>
      <c r="I641" t="n">
        <v>0</v>
      </c>
      <c r="J641" t="n">
        <v>0</v>
      </c>
      <c r="K641" t="n">
        <v>0</v>
      </c>
      <c r="L641" t="n">
        <v>0</v>
      </c>
      <c r="M641" t="n">
        <v>0</v>
      </c>
      <c r="N641" t="n">
        <v>0</v>
      </c>
      <c r="O641" t="n">
        <v>0</v>
      </c>
      <c r="P641" t="n">
        <v>0</v>
      </c>
      <c r="Q641" t="n">
        <v>0</v>
      </c>
      <c r="R641" s="2" t="inlineStr"/>
    </row>
    <row r="642" ht="15" customHeight="1">
      <c r="A642" t="inlineStr">
        <is>
          <t>A 30553-2023</t>
        </is>
      </c>
      <c r="B642" s="1" t="n">
        <v>45111</v>
      </c>
      <c r="C642" s="1" t="n">
        <v>45928</v>
      </c>
      <c r="D642" t="inlineStr">
        <is>
          <t>VÄSTERBOTTENS LÄN</t>
        </is>
      </c>
      <c r="E642" t="inlineStr">
        <is>
          <t>UMEÅ</t>
        </is>
      </c>
      <c r="G642" t="n">
        <v>5.1</v>
      </c>
      <c r="H642" t="n">
        <v>0</v>
      </c>
      <c r="I642" t="n">
        <v>0</v>
      </c>
      <c r="J642" t="n">
        <v>0</v>
      </c>
      <c r="K642" t="n">
        <v>0</v>
      </c>
      <c r="L642" t="n">
        <v>0</v>
      </c>
      <c r="M642" t="n">
        <v>0</v>
      </c>
      <c r="N642" t="n">
        <v>0</v>
      </c>
      <c r="O642" t="n">
        <v>0</v>
      </c>
      <c r="P642" t="n">
        <v>0</v>
      </c>
      <c r="Q642" t="n">
        <v>0</v>
      </c>
      <c r="R642" s="2" t="inlineStr"/>
    </row>
    <row r="643" ht="15" customHeight="1">
      <c r="A643" t="inlineStr">
        <is>
          <t>A 20425-2025</t>
        </is>
      </c>
      <c r="B643" s="1" t="n">
        <v>45775</v>
      </c>
      <c r="C643" s="1" t="n">
        <v>45928</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9272-2025</t>
        </is>
      </c>
      <c r="B644" s="1" t="n">
        <v>45714</v>
      </c>
      <c r="C644" s="1" t="n">
        <v>45928</v>
      </c>
      <c r="D644" t="inlineStr">
        <is>
          <t>VÄSTERBOTTENS LÄN</t>
        </is>
      </c>
      <c r="E644" t="inlineStr">
        <is>
          <t>UMEÅ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18026-2025</t>
        </is>
      </c>
      <c r="B645" s="1" t="n">
        <v>45761</v>
      </c>
      <c r="C645" s="1" t="n">
        <v>45928</v>
      </c>
      <c r="D645" t="inlineStr">
        <is>
          <t>VÄSTERBOTTENS LÄN</t>
        </is>
      </c>
      <c r="E645" t="inlineStr">
        <is>
          <t>UMEÅ</t>
        </is>
      </c>
      <c r="G645" t="n">
        <v>6.3</v>
      </c>
      <c r="H645" t="n">
        <v>0</v>
      </c>
      <c r="I645" t="n">
        <v>0</v>
      </c>
      <c r="J645" t="n">
        <v>0</v>
      </c>
      <c r="K645" t="n">
        <v>0</v>
      </c>
      <c r="L645" t="n">
        <v>0</v>
      </c>
      <c r="M645" t="n">
        <v>0</v>
      </c>
      <c r="N645" t="n">
        <v>0</v>
      </c>
      <c r="O645" t="n">
        <v>0</v>
      </c>
      <c r="P645" t="n">
        <v>0</v>
      </c>
      <c r="Q645" t="n">
        <v>0</v>
      </c>
      <c r="R645" s="2" t="inlineStr"/>
    </row>
    <row r="646" ht="15" customHeight="1">
      <c r="A646" t="inlineStr">
        <is>
          <t>A 13766-2025</t>
        </is>
      </c>
      <c r="B646" s="1" t="n">
        <v>45737.43314814815</v>
      </c>
      <c r="C646" s="1" t="n">
        <v>45928</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21917-2023</t>
        </is>
      </c>
      <c r="B647" s="1" t="n">
        <v>45065</v>
      </c>
      <c r="C647" s="1" t="n">
        <v>45928</v>
      </c>
      <c r="D647" t="inlineStr">
        <is>
          <t>VÄSTERBOTTENS LÄN</t>
        </is>
      </c>
      <c r="E647" t="inlineStr">
        <is>
          <t>UMEÅ</t>
        </is>
      </c>
      <c r="G647" t="n">
        <v>2.9</v>
      </c>
      <c r="H647" t="n">
        <v>0</v>
      </c>
      <c r="I647" t="n">
        <v>0</v>
      </c>
      <c r="J647" t="n">
        <v>0</v>
      </c>
      <c r="K647" t="n">
        <v>0</v>
      </c>
      <c r="L647" t="n">
        <v>0</v>
      </c>
      <c r="M647" t="n">
        <v>0</v>
      </c>
      <c r="N647" t="n">
        <v>0</v>
      </c>
      <c r="O647" t="n">
        <v>0</v>
      </c>
      <c r="P647" t="n">
        <v>0</v>
      </c>
      <c r="Q647" t="n">
        <v>0</v>
      </c>
      <c r="R647" s="2" t="inlineStr"/>
    </row>
    <row r="648" ht="15" customHeight="1">
      <c r="A648" t="inlineStr">
        <is>
          <t>A 5232-2025</t>
        </is>
      </c>
      <c r="B648" s="1" t="n">
        <v>45691</v>
      </c>
      <c r="C648" s="1" t="n">
        <v>45928</v>
      </c>
      <c r="D648" t="inlineStr">
        <is>
          <t>VÄSTERBOTTENS LÄN</t>
        </is>
      </c>
      <c r="E648" t="inlineStr">
        <is>
          <t>UMEÅ</t>
        </is>
      </c>
      <c r="G648" t="n">
        <v>4</v>
      </c>
      <c r="H648" t="n">
        <v>0</v>
      </c>
      <c r="I648" t="n">
        <v>0</v>
      </c>
      <c r="J648" t="n">
        <v>0</v>
      </c>
      <c r="K648" t="n">
        <v>0</v>
      </c>
      <c r="L648" t="n">
        <v>0</v>
      </c>
      <c r="M648" t="n">
        <v>0</v>
      </c>
      <c r="N648" t="n">
        <v>0</v>
      </c>
      <c r="O648" t="n">
        <v>0</v>
      </c>
      <c r="P648" t="n">
        <v>0</v>
      </c>
      <c r="Q648" t="n">
        <v>0</v>
      </c>
      <c r="R648" s="2" t="inlineStr"/>
    </row>
    <row r="649" ht="15" customHeight="1">
      <c r="A649" t="inlineStr">
        <is>
          <t>A 44042-2024</t>
        </is>
      </c>
      <c r="B649" s="1" t="n">
        <v>45572</v>
      </c>
      <c r="C649" s="1" t="n">
        <v>45928</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62106-2022</t>
        </is>
      </c>
      <c r="B650" s="1" t="n">
        <v>44920</v>
      </c>
      <c r="C650" s="1" t="n">
        <v>45928</v>
      </c>
      <c r="D650" t="inlineStr">
        <is>
          <t>VÄSTERBOTTENS LÄN</t>
        </is>
      </c>
      <c r="E650" t="inlineStr">
        <is>
          <t>UMEÅ</t>
        </is>
      </c>
      <c r="G650" t="n">
        <v>5.5</v>
      </c>
      <c r="H650" t="n">
        <v>0</v>
      </c>
      <c r="I650" t="n">
        <v>0</v>
      </c>
      <c r="J650" t="n">
        <v>0</v>
      </c>
      <c r="K650" t="n">
        <v>0</v>
      </c>
      <c r="L650" t="n">
        <v>0</v>
      </c>
      <c r="M650" t="n">
        <v>0</v>
      </c>
      <c r="N650" t="n">
        <v>0</v>
      </c>
      <c r="O650" t="n">
        <v>0</v>
      </c>
      <c r="P650" t="n">
        <v>0</v>
      </c>
      <c r="Q650" t="n">
        <v>0</v>
      </c>
      <c r="R650" s="2" t="inlineStr"/>
    </row>
    <row r="651" ht="15" customHeight="1">
      <c r="A651" t="inlineStr">
        <is>
          <t>A 49192-2023</t>
        </is>
      </c>
      <c r="B651" s="1" t="n">
        <v>45210.57967592592</v>
      </c>
      <c r="C651" s="1" t="n">
        <v>45928</v>
      </c>
      <c r="D651" t="inlineStr">
        <is>
          <t>VÄSTERBOTTENS LÄN</t>
        </is>
      </c>
      <c r="E651" t="inlineStr">
        <is>
          <t>UMEÅ</t>
        </is>
      </c>
      <c r="F651" t="inlineStr">
        <is>
          <t>Holmen skog AB</t>
        </is>
      </c>
      <c r="G651" t="n">
        <v>5.2</v>
      </c>
      <c r="H651" t="n">
        <v>0</v>
      </c>
      <c r="I651" t="n">
        <v>0</v>
      </c>
      <c r="J651" t="n">
        <v>0</v>
      </c>
      <c r="K651" t="n">
        <v>0</v>
      </c>
      <c r="L651" t="n">
        <v>0</v>
      </c>
      <c r="M651" t="n">
        <v>0</v>
      </c>
      <c r="N651" t="n">
        <v>0</v>
      </c>
      <c r="O651" t="n">
        <v>0</v>
      </c>
      <c r="P651" t="n">
        <v>0</v>
      </c>
      <c r="Q651" t="n">
        <v>0</v>
      </c>
      <c r="R651" s="2" t="inlineStr"/>
    </row>
    <row r="652" ht="15" customHeight="1">
      <c r="A652" t="inlineStr">
        <is>
          <t>A 31031-2024</t>
        </is>
      </c>
      <c r="B652" s="1" t="n">
        <v>45501.40922453703</v>
      </c>
      <c r="C652" s="1" t="n">
        <v>45928</v>
      </c>
      <c r="D652" t="inlineStr">
        <is>
          <t>VÄSTERBOTTENS LÄN</t>
        </is>
      </c>
      <c r="E652" t="inlineStr">
        <is>
          <t>UMEÅ</t>
        </is>
      </c>
      <c r="G652" t="n">
        <v>2.1</v>
      </c>
      <c r="H652" t="n">
        <v>0</v>
      </c>
      <c r="I652" t="n">
        <v>0</v>
      </c>
      <c r="J652" t="n">
        <v>0</v>
      </c>
      <c r="K652" t="n">
        <v>0</v>
      </c>
      <c r="L652" t="n">
        <v>0</v>
      </c>
      <c r="M652" t="n">
        <v>0</v>
      </c>
      <c r="N652" t="n">
        <v>0</v>
      </c>
      <c r="O652" t="n">
        <v>0</v>
      </c>
      <c r="P652" t="n">
        <v>0</v>
      </c>
      <c r="Q652" t="n">
        <v>0</v>
      </c>
      <c r="R652" s="2" t="inlineStr"/>
    </row>
    <row r="653" ht="15" customHeight="1">
      <c r="A653" t="inlineStr">
        <is>
          <t>A 6120-2025</t>
        </is>
      </c>
      <c r="B653" s="1" t="n">
        <v>45698.34443287037</v>
      </c>
      <c r="C653" s="1" t="n">
        <v>45928</v>
      </c>
      <c r="D653" t="inlineStr">
        <is>
          <t>VÄSTERBOTTENS LÄN</t>
        </is>
      </c>
      <c r="E653" t="inlineStr">
        <is>
          <t>UMEÅ</t>
        </is>
      </c>
      <c r="G653" t="n">
        <v>5.8</v>
      </c>
      <c r="H653" t="n">
        <v>0</v>
      </c>
      <c r="I653" t="n">
        <v>0</v>
      </c>
      <c r="J653" t="n">
        <v>0</v>
      </c>
      <c r="K653" t="n">
        <v>0</v>
      </c>
      <c r="L653" t="n">
        <v>0</v>
      </c>
      <c r="M653" t="n">
        <v>0</v>
      </c>
      <c r="N653" t="n">
        <v>0</v>
      </c>
      <c r="O653" t="n">
        <v>0</v>
      </c>
      <c r="P653" t="n">
        <v>0</v>
      </c>
      <c r="Q653" t="n">
        <v>0</v>
      </c>
      <c r="R653" s="2" t="inlineStr"/>
    </row>
    <row r="654" ht="15" customHeight="1">
      <c r="A654" t="inlineStr">
        <is>
          <t>A 60811-2022</t>
        </is>
      </c>
      <c r="B654" s="1" t="n">
        <v>44914.46180555555</v>
      </c>
      <c r="C654" s="1" t="n">
        <v>45928</v>
      </c>
      <c r="D654" t="inlineStr">
        <is>
          <t>VÄSTERBOTTENS LÄN</t>
        </is>
      </c>
      <c r="E654" t="inlineStr">
        <is>
          <t>UMEÅ</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23718-2023</t>
        </is>
      </c>
      <c r="B655" s="1" t="n">
        <v>45077.66282407408</v>
      </c>
      <c r="C655" s="1" t="n">
        <v>45928</v>
      </c>
      <c r="D655" t="inlineStr">
        <is>
          <t>VÄSTERBOTTENS LÄN</t>
        </is>
      </c>
      <c r="E655" t="inlineStr">
        <is>
          <t>UMEÅ</t>
        </is>
      </c>
      <c r="G655" t="n">
        <v>2.6</v>
      </c>
      <c r="H655" t="n">
        <v>0</v>
      </c>
      <c r="I655" t="n">
        <v>0</v>
      </c>
      <c r="J655" t="n">
        <v>0</v>
      </c>
      <c r="K655" t="n">
        <v>0</v>
      </c>
      <c r="L655" t="n">
        <v>0</v>
      </c>
      <c r="M655" t="n">
        <v>0</v>
      </c>
      <c r="N655" t="n">
        <v>0</v>
      </c>
      <c r="O655" t="n">
        <v>0</v>
      </c>
      <c r="P655" t="n">
        <v>0</v>
      </c>
      <c r="Q655" t="n">
        <v>0</v>
      </c>
      <c r="R655" s="2" t="inlineStr"/>
    </row>
    <row r="656" ht="15" customHeight="1">
      <c r="A656" t="inlineStr">
        <is>
          <t>A 54143-2024</t>
        </is>
      </c>
      <c r="B656" s="1" t="n">
        <v>45616</v>
      </c>
      <c r="C656" s="1" t="n">
        <v>45928</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52451-2020</t>
        </is>
      </c>
      <c r="B657" s="1" t="n">
        <v>44113</v>
      </c>
      <c r="C657" s="1" t="n">
        <v>45928</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10899-2025</t>
        </is>
      </c>
      <c r="B658" s="1" t="n">
        <v>45722</v>
      </c>
      <c r="C658" s="1" t="n">
        <v>45928</v>
      </c>
      <c r="D658" t="inlineStr">
        <is>
          <t>VÄSTERBOTTENS LÄN</t>
        </is>
      </c>
      <c r="E658" t="inlineStr">
        <is>
          <t>UMEÅ</t>
        </is>
      </c>
      <c r="G658" t="n">
        <v>6.8</v>
      </c>
      <c r="H658" t="n">
        <v>0</v>
      </c>
      <c r="I658" t="n">
        <v>0</v>
      </c>
      <c r="J658" t="n">
        <v>0</v>
      </c>
      <c r="K658" t="n">
        <v>0</v>
      </c>
      <c r="L658" t="n">
        <v>0</v>
      </c>
      <c r="M658" t="n">
        <v>0</v>
      </c>
      <c r="N658" t="n">
        <v>0</v>
      </c>
      <c r="O658" t="n">
        <v>0</v>
      </c>
      <c r="P658" t="n">
        <v>0</v>
      </c>
      <c r="Q658" t="n">
        <v>0</v>
      </c>
      <c r="R658" s="2" t="inlineStr"/>
    </row>
    <row r="659" ht="15" customHeight="1">
      <c r="A659" t="inlineStr">
        <is>
          <t>A 16907-2025</t>
        </is>
      </c>
      <c r="B659" s="1" t="n">
        <v>45755.35048611111</v>
      </c>
      <c r="C659" s="1" t="n">
        <v>45928</v>
      </c>
      <c r="D659" t="inlineStr">
        <is>
          <t>VÄSTERBOTTENS LÄN</t>
        </is>
      </c>
      <c r="E659" t="inlineStr">
        <is>
          <t>UMEÅ</t>
        </is>
      </c>
      <c r="G659" t="n">
        <v>6.4</v>
      </c>
      <c r="H659" t="n">
        <v>0</v>
      </c>
      <c r="I659" t="n">
        <v>0</v>
      </c>
      <c r="J659" t="n">
        <v>0</v>
      </c>
      <c r="K659" t="n">
        <v>0</v>
      </c>
      <c r="L659" t="n">
        <v>0</v>
      </c>
      <c r="M659" t="n">
        <v>0</v>
      </c>
      <c r="N659" t="n">
        <v>0</v>
      </c>
      <c r="O659" t="n">
        <v>0</v>
      </c>
      <c r="P659" t="n">
        <v>0</v>
      </c>
      <c r="Q659" t="n">
        <v>0</v>
      </c>
      <c r="R659" s="2" t="inlineStr"/>
    </row>
    <row r="660" ht="15" customHeight="1">
      <c r="A660" t="inlineStr">
        <is>
          <t>A 16945-2025</t>
        </is>
      </c>
      <c r="B660" s="1" t="n">
        <v>45755.42978009259</v>
      </c>
      <c r="C660" s="1" t="n">
        <v>45928</v>
      </c>
      <c r="D660" t="inlineStr">
        <is>
          <t>VÄSTERBOTTENS LÄN</t>
        </is>
      </c>
      <c r="E660" t="inlineStr">
        <is>
          <t>UMEÅ</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12971-2025</t>
        </is>
      </c>
      <c r="B661" s="1" t="n">
        <v>45734</v>
      </c>
      <c r="C661" s="1" t="n">
        <v>45928</v>
      </c>
      <c r="D661" t="inlineStr">
        <is>
          <t>VÄSTERBOTTENS LÄN</t>
        </is>
      </c>
      <c r="E661" t="inlineStr">
        <is>
          <t>UMEÅ</t>
        </is>
      </c>
      <c r="G661" t="n">
        <v>4.1</v>
      </c>
      <c r="H661" t="n">
        <v>0</v>
      </c>
      <c r="I661" t="n">
        <v>0</v>
      </c>
      <c r="J661" t="n">
        <v>0</v>
      </c>
      <c r="K661" t="n">
        <v>0</v>
      </c>
      <c r="L661" t="n">
        <v>0</v>
      </c>
      <c r="M661" t="n">
        <v>0</v>
      </c>
      <c r="N661" t="n">
        <v>0</v>
      </c>
      <c r="O661" t="n">
        <v>0</v>
      </c>
      <c r="P661" t="n">
        <v>0</v>
      </c>
      <c r="Q661" t="n">
        <v>0</v>
      </c>
      <c r="R661" s="2" t="inlineStr"/>
    </row>
    <row r="662" ht="15" customHeight="1">
      <c r="A662" t="inlineStr">
        <is>
          <t>A 15358-2023</t>
        </is>
      </c>
      <c r="B662" s="1" t="n">
        <v>45016</v>
      </c>
      <c r="C662" s="1" t="n">
        <v>45928</v>
      </c>
      <c r="D662" t="inlineStr">
        <is>
          <t>VÄSTERBOTTENS LÄN</t>
        </is>
      </c>
      <c r="E662" t="inlineStr">
        <is>
          <t>UMEÅ</t>
        </is>
      </c>
      <c r="F662" t="inlineStr">
        <is>
          <t>Kommuner</t>
        </is>
      </c>
      <c r="G662" t="n">
        <v>4.4</v>
      </c>
      <c r="H662" t="n">
        <v>0</v>
      </c>
      <c r="I662" t="n">
        <v>0</v>
      </c>
      <c r="J662" t="n">
        <v>0</v>
      </c>
      <c r="K662" t="n">
        <v>0</v>
      </c>
      <c r="L662" t="n">
        <v>0</v>
      </c>
      <c r="M662" t="n">
        <v>0</v>
      </c>
      <c r="N662" t="n">
        <v>0</v>
      </c>
      <c r="O662" t="n">
        <v>0</v>
      </c>
      <c r="P662" t="n">
        <v>0</v>
      </c>
      <c r="Q662" t="n">
        <v>0</v>
      </c>
      <c r="R662" s="2" t="inlineStr"/>
    </row>
    <row r="663" ht="15" customHeight="1">
      <c r="A663" t="inlineStr">
        <is>
          <t>A 26351-2024</t>
        </is>
      </c>
      <c r="B663" s="1" t="n">
        <v>45469.36478009259</v>
      </c>
      <c r="C663" s="1" t="n">
        <v>45928</v>
      </c>
      <c r="D663" t="inlineStr">
        <is>
          <t>VÄSTERBOTTENS LÄN</t>
        </is>
      </c>
      <c r="E663" t="inlineStr">
        <is>
          <t>UMEÅ</t>
        </is>
      </c>
      <c r="G663" t="n">
        <v>3.8</v>
      </c>
      <c r="H663" t="n">
        <v>0</v>
      </c>
      <c r="I663" t="n">
        <v>0</v>
      </c>
      <c r="J663" t="n">
        <v>0</v>
      </c>
      <c r="K663" t="n">
        <v>0</v>
      </c>
      <c r="L663" t="n">
        <v>0</v>
      </c>
      <c r="M663" t="n">
        <v>0</v>
      </c>
      <c r="N663" t="n">
        <v>0</v>
      </c>
      <c r="O663" t="n">
        <v>0</v>
      </c>
      <c r="P663" t="n">
        <v>0</v>
      </c>
      <c r="Q663" t="n">
        <v>0</v>
      </c>
      <c r="R663" s="2" t="inlineStr"/>
    </row>
    <row r="664" ht="15" customHeight="1">
      <c r="A664" t="inlineStr">
        <is>
          <t>A 29827-2023</t>
        </is>
      </c>
      <c r="B664" s="1" t="n">
        <v>45107</v>
      </c>
      <c r="C664" s="1" t="n">
        <v>45928</v>
      </c>
      <c r="D664" t="inlineStr">
        <is>
          <t>VÄSTERBOTTENS LÄN</t>
        </is>
      </c>
      <c r="E664" t="inlineStr">
        <is>
          <t>UMEÅ</t>
        </is>
      </c>
      <c r="G664" t="n">
        <v>11.9</v>
      </c>
      <c r="H664" t="n">
        <v>0</v>
      </c>
      <c r="I664" t="n">
        <v>0</v>
      </c>
      <c r="J664" t="n">
        <v>0</v>
      </c>
      <c r="K664" t="n">
        <v>0</v>
      </c>
      <c r="L664" t="n">
        <v>0</v>
      </c>
      <c r="M664" t="n">
        <v>0</v>
      </c>
      <c r="N664" t="n">
        <v>0</v>
      </c>
      <c r="O664" t="n">
        <v>0</v>
      </c>
      <c r="P664" t="n">
        <v>0</v>
      </c>
      <c r="Q664" t="n">
        <v>0</v>
      </c>
      <c r="R664" s="2" t="inlineStr"/>
    </row>
    <row r="665" ht="15" customHeight="1">
      <c r="A665" t="inlineStr">
        <is>
          <t>A 63188-2023</t>
        </is>
      </c>
      <c r="B665" s="1" t="n">
        <v>45272</v>
      </c>
      <c r="C665" s="1" t="n">
        <v>45928</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13820-2025</t>
        </is>
      </c>
      <c r="B666" s="1" t="n">
        <v>45737.5315625</v>
      </c>
      <c r="C666" s="1" t="n">
        <v>45928</v>
      </c>
      <c r="D666" t="inlineStr">
        <is>
          <t>VÄSTERBOTTENS LÄN</t>
        </is>
      </c>
      <c r="E666" t="inlineStr">
        <is>
          <t>UMEÅ</t>
        </is>
      </c>
      <c r="G666" t="n">
        <v>5.3</v>
      </c>
      <c r="H666" t="n">
        <v>0</v>
      </c>
      <c r="I666" t="n">
        <v>0</v>
      </c>
      <c r="J666" t="n">
        <v>0</v>
      </c>
      <c r="K666" t="n">
        <v>0</v>
      </c>
      <c r="L666" t="n">
        <v>0</v>
      </c>
      <c r="M666" t="n">
        <v>0</v>
      </c>
      <c r="N666" t="n">
        <v>0</v>
      </c>
      <c r="O666" t="n">
        <v>0</v>
      </c>
      <c r="P666" t="n">
        <v>0</v>
      </c>
      <c r="Q666" t="n">
        <v>0</v>
      </c>
      <c r="R666" s="2" t="inlineStr"/>
    </row>
    <row r="667" ht="15" customHeight="1">
      <c r="A667" t="inlineStr">
        <is>
          <t>A 24532-2023</t>
        </is>
      </c>
      <c r="B667" s="1" t="n">
        <v>45082.75269675926</v>
      </c>
      <c r="C667" s="1" t="n">
        <v>45928</v>
      </c>
      <c r="D667" t="inlineStr">
        <is>
          <t>VÄSTERBOTTENS LÄN</t>
        </is>
      </c>
      <c r="E667" t="inlineStr">
        <is>
          <t>UMEÅ</t>
        </is>
      </c>
      <c r="G667" t="n">
        <v>0.9</v>
      </c>
      <c r="H667" t="n">
        <v>0</v>
      </c>
      <c r="I667" t="n">
        <v>0</v>
      </c>
      <c r="J667" t="n">
        <v>0</v>
      </c>
      <c r="K667" t="n">
        <v>0</v>
      </c>
      <c r="L667" t="n">
        <v>0</v>
      </c>
      <c r="M667" t="n">
        <v>0</v>
      </c>
      <c r="N667" t="n">
        <v>0</v>
      </c>
      <c r="O667" t="n">
        <v>0</v>
      </c>
      <c r="P667" t="n">
        <v>0</v>
      </c>
      <c r="Q667" t="n">
        <v>0</v>
      </c>
      <c r="R667" s="2" t="inlineStr"/>
    </row>
    <row r="668" ht="15" customHeight="1">
      <c r="A668" t="inlineStr">
        <is>
          <t>A 13195-2025</t>
        </is>
      </c>
      <c r="B668" s="1" t="n">
        <v>45735</v>
      </c>
      <c r="C668" s="1" t="n">
        <v>45928</v>
      </c>
      <c r="D668" t="inlineStr">
        <is>
          <t>VÄSTERBOTTENS LÄN</t>
        </is>
      </c>
      <c r="E668" t="inlineStr">
        <is>
          <t>UMEÅ</t>
        </is>
      </c>
      <c r="G668" t="n">
        <v>1.6</v>
      </c>
      <c r="H668" t="n">
        <v>0</v>
      </c>
      <c r="I668" t="n">
        <v>0</v>
      </c>
      <c r="J668" t="n">
        <v>0</v>
      </c>
      <c r="K668" t="n">
        <v>0</v>
      </c>
      <c r="L668" t="n">
        <v>0</v>
      </c>
      <c r="M668" t="n">
        <v>0</v>
      </c>
      <c r="N668" t="n">
        <v>0</v>
      </c>
      <c r="O668" t="n">
        <v>0</v>
      </c>
      <c r="P668" t="n">
        <v>0</v>
      </c>
      <c r="Q668" t="n">
        <v>0</v>
      </c>
      <c r="R668" s="2" t="inlineStr"/>
    </row>
    <row r="669" ht="15" customHeight="1">
      <c r="A669" t="inlineStr">
        <is>
          <t>A 59860-2022</t>
        </is>
      </c>
      <c r="B669" s="1" t="n">
        <v>44908.65792824074</v>
      </c>
      <c r="C669" s="1" t="n">
        <v>45928</v>
      </c>
      <c r="D669" t="inlineStr">
        <is>
          <t>VÄSTERBOTTENS LÄN</t>
        </is>
      </c>
      <c r="E669" t="inlineStr">
        <is>
          <t>UMEÅ</t>
        </is>
      </c>
      <c r="G669" t="n">
        <v>8.1</v>
      </c>
      <c r="H669" t="n">
        <v>0</v>
      </c>
      <c r="I669" t="n">
        <v>0</v>
      </c>
      <c r="J669" t="n">
        <v>0</v>
      </c>
      <c r="K669" t="n">
        <v>0</v>
      </c>
      <c r="L669" t="n">
        <v>0</v>
      </c>
      <c r="M669" t="n">
        <v>0</v>
      </c>
      <c r="N669" t="n">
        <v>0</v>
      </c>
      <c r="O669" t="n">
        <v>0</v>
      </c>
      <c r="P669" t="n">
        <v>0</v>
      </c>
      <c r="Q669" t="n">
        <v>0</v>
      </c>
      <c r="R669" s="2" t="inlineStr"/>
    </row>
    <row r="670" ht="15" customHeight="1">
      <c r="A670" t="inlineStr">
        <is>
          <t>A 27941-2024</t>
        </is>
      </c>
      <c r="B670" s="1" t="n">
        <v>45475</v>
      </c>
      <c r="C670" s="1" t="n">
        <v>45928</v>
      </c>
      <c r="D670" t="inlineStr">
        <is>
          <t>VÄSTERBOTTENS LÄN</t>
        </is>
      </c>
      <c r="E670" t="inlineStr">
        <is>
          <t>UMEÅ</t>
        </is>
      </c>
      <c r="G670" t="n">
        <v>7.2</v>
      </c>
      <c r="H670" t="n">
        <v>0</v>
      </c>
      <c r="I670" t="n">
        <v>0</v>
      </c>
      <c r="J670" t="n">
        <v>0</v>
      </c>
      <c r="K670" t="n">
        <v>0</v>
      </c>
      <c r="L670" t="n">
        <v>0</v>
      </c>
      <c r="M670" t="n">
        <v>0</v>
      </c>
      <c r="N670" t="n">
        <v>0</v>
      </c>
      <c r="O670" t="n">
        <v>0</v>
      </c>
      <c r="P670" t="n">
        <v>0</v>
      </c>
      <c r="Q670" t="n">
        <v>0</v>
      </c>
      <c r="R670" s="2" t="inlineStr"/>
    </row>
    <row r="671" ht="15" customHeight="1">
      <c r="A671" t="inlineStr">
        <is>
          <t>A 15904-2025</t>
        </is>
      </c>
      <c r="B671" s="1" t="n">
        <v>45749.43325231481</v>
      </c>
      <c r="C671" s="1" t="n">
        <v>45928</v>
      </c>
      <c r="D671" t="inlineStr">
        <is>
          <t>VÄSTERBOTTENS LÄN</t>
        </is>
      </c>
      <c r="E671" t="inlineStr">
        <is>
          <t>UMEÅ</t>
        </is>
      </c>
      <c r="G671" t="n">
        <v>2.5</v>
      </c>
      <c r="H671" t="n">
        <v>0</v>
      </c>
      <c r="I671" t="n">
        <v>0</v>
      </c>
      <c r="J671" t="n">
        <v>0</v>
      </c>
      <c r="K671" t="n">
        <v>0</v>
      </c>
      <c r="L671" t="n">
        <v>0</v>
      </c>
      <c r="M671" t="n">
        <v>0</v>
      </c>
      <c r="N671" t="n">
        <v>0</v>
      </c>
      <c r="O671" t="n">
        <v>0</v>
      </c>
      <c r="P671" t="n">
        <v>0</v>
      </c>
      <c r="Q671" t="n">
        <v>0</v>
      </c>
      <c r="R671" s="2" t="inlineStr"/>
    </row>
    <row r="672" ht="15" customHeight="1">
      <c r="A672" t="inlineStr">
        <is>
          <t>A 20795-2023</t>
        </is>
      </c>
      <c r="B672" s="1" t="n">
        <v>45055</v>
      </c>
      <c r="C672" s="1" t="n">
        <v>45928</v>
      </c>
      <c r="D672" t="inlineStr">
        <is>
          <t>VÄSTERBOTTENS LÄN</t>
        </is>
      </c>
      <c r="E672" t="inlineStr">
        <is>
          <t>UMEÅ</t>
        </is>
      </c>
      <c r="G672" t="n">
        <v>1.6</v>
      </c>
      <c r="H672" t="n">
        <v>0</v>
      </c>
      <c r="I672" t="n">
        <v>0</v>
      </c>
      <c r="J672" t="n">
        <v>0</v>
      </c>
      <c r="K672" t="n">
        <v>0</v>
      </c>
      <c r="L672" t="n">
        <v>0</v>
      </c>
      <c r="M672" t="n">
        <v>0</v>
      </c>
      <c r="N672" t="n">
        <v>0</v>
      </c>
      <c r="O672" t="n">
        <v>0</v>
      </c>
      <c r="P672" t="n">
        <v>0</v>
      </c>
      <c r="Q672" t="n">
        <v>0</v>
      </c>
      <c r="R672" s="2" t="inlineStr"/>
    </row>
    <row r="673" ht="15" customHeight="1">
      <c r="A673" t="inlineStr">
        <is>
          <t>A 51415-2024</t>
        </is>
      </c>
      <c r="B673" s="1" t="n">
        <v>45604</v>
      </c>
      <c r="C673" s="1" t="n">
        <v>45928</v>
      </c>
      <c r="D673" t="inlineStr">
        <is>
          <t>VÄSTERBOTTENS LÄN</t>
        </is>
      </c>
      <c r="E673" t="inlineStr">
        <is>
          <t>UMEÅ</t>
        </is>
      </c>
      <c r="G673" t="n">
        <v>3.4</v>
      </c>
      <c r="H673" t="n">
        <v>0</v>
      </c>
      <c r="I673" t="n">
        <v>0</v>
      </c>
      <c r="J673" t="n">
        <v>0</v>
      </c>
      <c r="K673" t="n">
        <v>0</v>
      </c>
      <c r="L673" t="n">
        <v>0</v>
      </c>
      <c r="M673" t="n">
        <v>0</v>
      </c>
      <c r="N673" t="n">
        <v>0</v>
      </c>
      <c r="O673" t="n">
        <v>0</v>
      </c>
      <c r="P673" t="n">
        <v>0</v>
      </c>
      <c r="Q673" t="n">
        <v>0</v>
      </c>
      <c r="R673" s="2" t="inlineStr"/>
    </row>
    <row r="674" ht="15" customHeight="1">
      <c r="A674" t="inlineStr">
        <is>
          <t>A 57497-2024</t>
        </is>
      </c>
      <c r="B674" s="1" t="n">
        <v>45630</v>
      </c>
      <c r="C674" s="1" t="n">
        <v>45928</v>
      </c>
      <c r="D674" t="inlineStr">
        <is>
          <t>VÄSTERBOTTENS LÄN</t>
        </is>
      </c>
      <c r="E674" t="inlineStr">
        <is>
          <t>UMEÅ</t>
        </is>
      </c>
      <c r="G674" t="n">
        <v>1.2</v>
      </c>
      <c r="H674" t="n">
        <v>0</v>
      </c>
      <c r="I674" t="n">
        <v>0</v>
      </c>
      <c r="J674" t="n">
        <v>0</v>
      </c>
      <c r="K674" t="n">
        <v>0</v>
      </c>
      <c r="L674" t="n">
        <v>0</v>
      </c>
      <c r="M674" t="n">
        <v>0</v>
      </c>
      <c r="N674" t="n">
        <v>0</v>
      </c>
      <c r="O674" t="n">
        <v>0</v>
      </c>
      <c r="P674" t="n">
        <v>0</v>
      </c>
      <c r="Q674" t="n">
        <v>0</v>
      </c>
      <c r="R674" s="2" t="inlineStr"/>
    </row>
    <row r="675" ht="15" customHeight="1">
      <c r="A675" t="inlineStr">
        <is>
          <t>A 35209-2024</t>
        </is>
      </c>
      <c r="B675" s="1" t="n">
        <v>45530</v>
      </c>
      <c r="C675" s="1" t="n">
        <v>45928</v>
      </c>
      <c r="D675" t="inlineStr">
        <is>
          <t>VÄSTERBOTTENS LÄN</t>
        </is>
      </c>
      <c r="E675" t="inlineStr">
        <is>
          <t>UMEÅ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35228-2024</t>
        </is>
      </c>
      <c r="B676" s="1" t="n">
        <v>45530.52100694444</v>
      </c>
      <c r="C676" s="1" t="n">
        <v>45928</v>
      </c>
      <c r="D676" t="inlineStr">
        <is>
          <t>VÄSTERBOTTENS LÄN</t>
        </is>
      </c>
      <c r="E676" t="inlineStr">
        <is>
          <t>UMEÅ</t>
        </is>
      </c>
      <c r="G676" t="n">
        <v>1.9</v>
      </c>
      <c r="H676" t="n">
        <v>0</v>
      </c>
      <c r="I676" t="n">
        <v>0</v>
      </c>
      <c r="J676" t="n">
        <v>0</v>
      </c>
      <c r="K676" t="n">
        <v>0</v>
      </c>
      <c r="L676" t="n">
        <v>0</v>
      </c>
      <c r="M676" t="n">
        <v>0</v>
      </c>
      <c r="N676" t="n">
        <v>0</v>
      </c>
      <c r="O676" t="n">
        <v>0</v>
      </c>
      <c r="P676" t="n">
        <v>0</v>
      </c>
      <c r="Q676" t="n">
        <v>0</v>
      </c>
      <c r="R676" s="2" t="inlineStr"/>
    </row>
    <row r="677" ht="15" customHeight="1">
      <c r="A677" t="inlineStr">
        <is>
          <t>A 61280-2023</t>
        </is>
      </c>
      <c r="B677" s="1" t="n">
        <v>45260</v>
      </c>
      <c r="C677" s="1" t="n">
        <v>45928</v>
      </c>
      <c r="D677" t="inlineStr">
        <is>
          <t>VÄSTERBOTTENS LÄN</t>
        </is>
      </c>
      <c r="E677" t="inlineStr">
        <is>
          <t>UMEÅ</t>
        </is>
      </c>
      <c r="G677" t="n">
        <v>0.9</v>
      </c>
      <c r="H677" t="n">
        <v>0</v>
      </c>
      <c r="I677" t="n">
        <v>0</v>
      </c>
      <c r="J677" t="n">
        <v>0</v>
      </c>
      <c r="K677" t="n">
        <v>0</v>
      </c>
      <c r="L677" t="n">
        <v>0</v>
      </c>
      <c r="M677" t="n">
        <v>0</v>
      </c>
      <c r="N677" t="n">
        <v>0</v>
      </c>
      <c r="O677" t="n">
        <v>0</v>
      </c>
      <c r="P677" t="n">
        <v>0</v>
      </c>
      <c r="Q677" t="n">
        <v>0</v>
      </c>
      <c r="R677" s="2" t="inlineStr"/>
    </row>
    <row r="678" ht="15" customHeight="1">
      <c r="A678" t="inlineStr">
        <is>
          <t>A 37260-2024</t>
        </is>
      </c>
      <c r="B678" s="1" t="n">
        <v>45540.37623842592</v>
      </c>
      <c r="C678" s="1" t="n">
        <v>45928</v>
      </c>
      <c r="D678" t="inlineStr">
        <is>
          <t>VÄSTERBOTTENS LÄN</t>
        </is>
      </c>
      <c r="E678" t="inlineStr">
        <is>
          <t>UMEÅ</t>
        </is>
      </c>
      <c r="G678" t="n">
        <v>2.7</v>
      </c>
      <c r="H678" t="n">
        <v>0</v>
      </c>
      <c r="I678" t="n">
        <v>0</v>
      </c>
      <c r="J678" t="n">
        <v>0</v>
      </c>
      <c r="K678" t="n">
        <v>0</v>
      </c>
      <c r="L678" t="n">
        <v>0</v>
      </c>
      <c r="M678" t="n">
        <v>0</v>
      </c>
      <c r="N678" t="n">
        <v>0</v>
      </c>
      <c r="O678" t="n">
        <v>0</v>
      </c>
      <c r="P678" t="n">
        <v>0</v>
      </c>
      <c r="Q678" t="n">
        <v>0</v>
      </c>
      <c r="R678" s="2" t="inlineStr"/>
    </row>
    <row r="679" ht="15" customHeight="1">
      <c r="A679" t="inlineStr">
        <is>
          <t>A 14316-2025</t>
        </is>
      </c>
      <c r="B679" s="1" t="n">
        <v>45740</v>
      </c>
      <c r="C679" s="1" t="n">
        <v>45928</v>
      </c>
      <c r="D679" t="inlineStr">
        <is>
          <t>VÄSTERBOTTENS LÄN</t>
        </is>
      </c>
      <c r="E679" t="inlineStr">
        <is>
          <t>UMEÅ</t>
        </is>
      </c>
      <c r="G679" t="n">
        <v>10</v>
      </c>
      <c r="H679" t="n">
        <v>0</v>
      </c>
      <c r="I679" t="n">
        <v>0</v>
      </c>
      <c r="J679" t="n">
        <v>0</v>
      </c>
      <c r="K679" t="n">
        <v>0</v>
      </c>
      <c r="L679" t="n">
        <v>0</v>
      </c>
      <c r="M679" t="n">
        <v>0</v>
      </c>
      <c r="N679" t="n">
        <v>0</v>
      </c>
      <c r="O679" t="n">
        <v>0</v>
      </c>
      <c r="P679" t="n">
        <v>0</v>
      </c>
      <c r="Q679" t="n">
        <v>0</v>
      </c>
      <c r="R679" s="2" t="inlineStr"/>
    </row>
    <row r="680" ht="15" customHeight="1">
      <c r="A680" t="inlineStr">
        <is>
          <t>A 3254-2024</t>
        </is>
      </c>
      <c r="B680" s="1" t="n">
        <v>45316</v>
      </c>
      <c r="C680" s="1" t="n">
        <v>45928</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15459-2025</t>
        </is>
      </c>
      <c r="B681" s="1" t="n">
        <v>45747.50991898148</v>
      </c>
      <c r="C681" s="1" t="n">
        <v>45928</v>
      </c>
      <c r="D681" t="inlineStr">
        <is>
          <t>VÄSTERBOTTENS LÄN</t>
        </is>
      </c>
      <c r="E681" t="inlineStr">
        <is>
          <t>UMEÅ</t>
        </is>
      </c>
      <c r="G681" t="n">
        <v>0.9</v>
      </c>
      <c r="H681" t="n">
        <v>0</v>
      </c>
      <c r="I681" t="n">
        <v>0</v>
      </c>
      <c r="J681" t="n">
        <v>0</v>
      </c>
      <c r="K681" t="n">
        <v>0</v>
      </c>
      <c r="L681" t="n">
        <v>0</v>
      </c>
      <c r="M681" t="n">
        <v>0</v>
      </c>
      <c r="N681" t="n">
        <v>0</v>
      </c>
      <c r="O681" t="n">
        <v>0</v>
      </c>
      <c r="P681" t="n">
        <v>0</v>
      </c>
      <c r="Q681" t="n">
        <v>0</v>
      </c>
      <c r="R681" s="2" t="inlineStr"/>
    </row>
    <row r="682" ht="15" customHeight="1">
      <c r="A682" t="inlineStr">
        <is>
          <t>A 58680-2024</t>
        </is>
      </c>
      <c r="B682" s="1" t="n">
        <v>45635</v>
      </c>
      <c r="C682" s="1" t="n">
        <v>45928</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58899-2024</t>
        </is>
      </c>
      <c r="B683" s="1" t="n">
        <v>45636.4705787037</v>
      </c>
      <c r="C683" s="1" t="n">
        <v>45928</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20981-2025</t>
        </is>
      </c>
      <c r="B684" s="1" t="n">
        <v>45777.46688657408</v>
      </c>
      <c r="C684" s="1" t="n">
        <v>45928</v>
      </c>
      <c r="D684" t="inlineStr">
        <is>
          <t>VÄSTERBOTTENS LÄN</t>
        </is>
      </c>
      <c r="E684" t="inlineStr">
        <is>
          <t>UMEÅ</t>
        </is>
      </c>
      <c r="G684" t="n">
        <v>0.6</v>
      </c>
      <c r="H684" t="n">
        <v>0</v>
      </c>
      <c r="I684" t="n">
        <v>0</v>
      </c>
      <c r="J684" t="n">
        <v>0</v>
      </c>
      <c r="K684" t="n">
        <v>0</v>
      </c>
      <c r="L684" t="n">
        <v>0</v>
      </c>
      <c r="M684" t="n">
        <v>0</v>
      </c>
      <c r="N684" t="n">
        <v>0</v>
      </c>
      <c r="O684" t="n">
        <v>0</v>
      </c>
      <c r="P684" t="n">
        <v>0</v>
      </c>
      <c r="Q684" t="n">
        <v>0</v>
      </c>
      <c r="R684" s="2" t="inlineStr"/>
    </row>
    <row r="685" ht="15" customHeight="1">
      <c r="A685" t="inlineStr">
        <is>
          <t>A 21228-2025</t>
        </is>
      </c>
      <c r="B685" s="1" t="n">
        <v>45779.52741898148</v>
      </c>
      <c r="C685" s="1" t="n">
        <v>45928</v>
      </c>
      <c r="D685" t="inlineStr">
        <is>
          <t>VÄSTERBOTTENS LÄN</t>
        </is>
      </c>
      <c r="E685" t="inlineStr">
        <is>
          <t>UMEÅ</t>
        </is>
      </c>
      <c r="F685" t="inlineStr">
        <is>
          <t>Holmen skog AB</t>
        </is>
      </c>
      <c r="G685" t="n">
        <v>1.2</v>
      </c>
      <c r="H685" t="n">
        <v>0</v>
      </c>
      <c r="I685" t="n">
        <v>0</v>
      </c>
      <c r="J685" t="n">
        <v>0</v>
      </c>
      <c r="K685" t="n">
        <v>0</v>
      </c>
      <c r="L685" t="n">
        <v>0</v>
      </c>
      <c r="M685" t="n">
        <v>0</v>
      </c>
      <c r="N685" t="n">
        <v>0</v>
      </c>
      <c r="O685" t="n">
        <v>0</v>
      </c>
      <c r="P685" t="n">
        <v>0</v>
      </c>
      <c r="Q685" t="n">
        <v>0</v>
      </c>
      <c r="R685" s="2" t="inlineStr"/>
    </row>
    <row r="686" ht="15" customHeight="1">
      <c r="A686" t="inlineStr">
        <is>
          <t>A 18455-2021</t>
        </is>
      </c>
      <c r="B686" s="1" t="n">
        <v>44305</v>
      </c>
      <c r="C686" s="1" t="n">
        <v>45928</v>
      </c>
      <c r="D686" t="inlineStr">
        <is>
          <t>VÄSTERBOTTENS LÄN</t>
        </is>
      </c>
      <c r="E686" t="inlineStr">
        <is>
          <t>UMEÅ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43357-2021</t>
        </is>
      </c>
      <c r="B687" s="1" t="n">
        <v>44432</v>
      </c>
      <c r="C687" s="1" t="n">
        <v>45928</v>
      </c>
      <c r="D687" t="inlineStr">
        <is>
          <t>VÄSTERBOTTENS LÄN</t>
        </is>
      </c>
      <c r="E687" t="inlineStr">
        <is>
          <t>UMEÅ</t>
        </is>
      </c>
      <c r="G687" t="n">
        <v>6.3</v>
      </c>
      <c r="H687" t="n">
        <v>0</v>
      </c>
      <c r="I687" t="n">
        <v>0</v>
      </c>
      <c r="J687" t="n">
        <v>0</v>
      </c>
      <c r="K687" t="n">
        <v>0</v>
      </c>
      <c r="L687" t="n">
        <v>0</v>
      </c>
      <c r="M687" t="n">
        <v>0</v>
      </c>
      <c r="N687" t="n">
        <v>0</v>
      </c>
      <c r="O687" t="n">
        <v>0</v>
      </c>
      <c r="P687" t="n">
        <v>0</v>
      </c>
      <c r="Q687" t="n">
        <v>0</v>
      </c>
      <c r="R687" s="2" t="inlineStr"/>
    </row>
    <row r="688" ht="15" customHeight="1">
      <c r="A688" t="inlineStr">
        <is>
          <t>A 15903-2025</t>
        </is>
      </c>
      <c r="B688" s="1" t="n">
        <v>45749</v>
      </c>
      <c r="C688" s="1" t="n">
        <v>45928</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22007-2025</t>
        </is>
      </c>
      <c r="B689" s="1" t="n">
        <v>45784</v>
      </c>
      <c r="C689" s="1" t="n">
        <v>45928</v>
      </c>
      <c r="D689" t="inlineStr">
        <is>
          <t>VÄSTERBOTTENS LÄN</t>
        </is>
      </c>
      <c r="E689" t="inlineStr">
        <is>
          <t>UMEÅ</t>
        </is>
      </c>
      <c r="G689" t="n">
        <v>2.2</v>
      </c>
      <c r="H689" t="n">
        <v>0</v>
      </c>
      <c r="I689" t="n">
        <v>0</v>
      </c>
      <c r="J689" t="n">
        <v>0</v>
      </c>
      <c r="K689" t="n">
        <v>0</v>
      </c>
      <c r="L689" t="n">
        <v>0</v>
      </c>
      <c r="M689" t="n">
        <v>0</v>
      </c>
      <c r="N689" t="n">
        <v>0</v>
      </c>
      <c r="O689" t="n">
        <v>0</v>
      </c>
      <c r="P689" t="n">
        <v>0</v>
      </c>
      <c r="Q689" t="n">
        <v>0</v>
      </c>
      <c r="R689" s="2" t="inlineStr"/>
    </row>
    <row r="690" ht="15" customHeight="1">
      <c r="A690" t="inlineStr">
        <is>
          <t>A 21800-2025</t>
        </is>
      </c>
      <c r="B690" s="1" t="n">
        <v>45783.68863425926</v>
      </c>
      <c r="C690" s="1" t="n">
        <v>45928</v>
      </c>
      <c r="D690" t="inlineStr">
        <is>
          <t>VÄSTERBOTTENS LÄN</t>
        </is>
      </c>
      <c r="E690" t="inlineStr">
        <is>
          <t>UMEÅ</t>
        </is>
      </c>
      <c r="F690" t="inlineStr">
        <is>
          <t>Kyrkan</t>
        </is>
      </c>
      <c r="G690" t="n">
        <v>2.4</v>
      </c>
      <c r="H690" t="n">
        <v>0</v>
      </c>
      <c r="I690" t="n">
        <v>0</v>
      </c>
      <c r="J690" t="n">
        <v>0</v>
      </c>
      <c r="K690" t="n">
        <v>0</v>
      </c>
      <c r="L690" t="n">
        <v>0</v>
      </c>
      <c r="M690" t="n">
        <v>0</v>
      </c>
      <c r="N690" t="n">
        <v>0</v>
      </c>
      <c r="O690" t="n">
        <v>0</v>
      </c>
      <c r="P690" t="n">
        <v>0</v>
      </c>
      <c r="Q690" t="n">
        <v>0</v>
      </c>
      <c r="R690" s="2" t="inlineStr"/>
    </row>
    <row r="691" ht="15" customHeight="1">
      <c r="A691" t="inlineStr">
        <is>
          <t>A 21794-2025</t>
        </is>
      </c>
      <c r="B691" s="1" t="n">
        <v>45783.67894675926</v>
      </c>
      <c r="C691" s="1" t="n">
        <v>45928</v>
      </c>
      <c r="D691" t="inlineStr">
        <is>
          <t>VÄSTERBOTTENS LÄN</t>
        </is>
      </c>
      <c r="E691" t="inlineStr">
        <is>
          <t>UMEÅ</t>
        </is>
      </c>
      <c r="G691" t="n">
        <v>6</v>
      </c>
      <c r="H691" t="n">
        <v>0</v>
      </c>
      <c r="I691" t="n">
        <v>0</v>
      </c>
      <c r="J691" t="n">
        <v>0</v>
      </c>
      <c r="K691" t="n">
        <v>0</v>
      </c>
      <c r="L691" t="n">
        <v>0</v>
      </c>
      <c r="M691" t="n">
        <v>0</v>
      </c>
      <c r="N691" t="n">
        <v>0</v>
      </c>
      <c r="O691" t="n">
        <v>0</v>
      </c>
      <c r="P691" t="n">
        <v>0</v>
      </c>
      <c r="Q691" t="n">
        <v>0</v>
      </c>
      <c r="R691" s="2" t="inlineStr"/>
    </row>
    <row r="692" ht="15" customHeight="1">
      <c r="A692" t="inlineStr">
        <is>
          <t>A 22004-2025</t>
        </is>
      </c>
      <c r="B692" s="1" t="n">
        <v>45784</v>
      </c>
      <c r="C692" s="1" t="n">
        <v>45928</v>
      </c>
      <c r="D692" t="inlineStr">
        <is>
          <t>VÄSTERBOTTENS LÄN</t>
        </is>
      </c>
      <c r="E692" t="inlineStr">
        <is>
          <t>UMEÅ</t>
        </is>
      </c>
      <c r="G692" t="n">
        <v>2.5</v>
      </c>
      <c r="H692" t="n">
        <v>0</v>
      </c>
      <c r="I692" t="n">
        <v>0</v>
      </c>
      <c r="J692" t="n">
        <v>0</v>
      </c>
      <c r="K692" t="n">
        <v>0</v>
      </c>
      <c r="L692" t="n">
        <v>0</v>
      </c>
      <c r="M692" t="n">
        <v>0</v>
      </c>
      <c r="N692" t="n">
        <v>0</v>
      </c>
      <c r="O692" t="n">
        <v>0</v>
      </c>
      <c r="P692" t="n">
        <v>0</v>
      </c>
      <c r="Q692" t="n">
        <v>0</v>
      </c>
      <c r="R692" s="2" t="inlineStr"/>
    </row>
    <row r="693" ht="15" customHeight="1">
      <c r="A693" t="inlineStr">
        <is>
          <t>A 21610-2025</t>
        </is>
      </c>
      <c r="B693" s="1" t="n">
        <v>45783.39127314815</v>
      </c>
      <c r="C693" s="1" t="n">
        <v>45928</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21612-2025</t>
        </is>
      </c>
      <c r="B694" s="1" t="n">
        <v>45783.39449074074</v>
      </c>
      <c r="C694" s="1" t="n">
        <v>45928</v>
      </c>
      <c r="D694" t="inlineStr">
        <is>
          <t>VÄSTERBOTTENS LÄN</t>
        </is>
      </c>
      <c r="E694" t="inlineStr">
        <is>
          <t>UMEÅ</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489-2024</t>
        </is>
      </c>
      <c r="B695" s="1" t="n">
        <v>45298</v>
      </c>
      <c r="C695" s="1" t="n">
        <v>45928</v>
      </c>
      <c r="D695" t="inlineStr">
        <is>
          <t>VÄSTERBOTTENS LÄN</t>
        </is>
      </c>
      <c r="E695" t="inlineStr">
        <is>
          <t>UMEÅ</t>
        </is>
      </c>
      <c r="G695" t="n">
        <v>8.1</v>
      </c>
      <c r="H695" t="n">
        <v>0</v>
      </c>
      <c r="I695" t="n">
        <v>0</v>
      </c>
      <c r="J695" t="n">
        <v>0</v>
      </c>
      <c r="K695" t="n">
        <v>0</v>
      </c>
      <c r="L695" t="n">
        <v>0</v>
      </c>
      <c r="M695" t="n">
        <v>0</v>
      </c>
      <c r="N695" t="n">
        <v>0</v>
      </c>
      <c r="O695" t="n">
        <v>0</v>
      </c>
      <c r="P695" t="n">
        <v>0</v>
      </c>
      <c r="Q695" t="n">
        <v>0</v>
      </c>
      <c r="R695" s="2" t="inlineStr"/>
    </row>
    <row r="696" ht="15" customHeight="1">
      <c r="A696" t="inlineStr">
        <is>
          <t>A 21795-2025</t>
        </is>
      </c>
      <c r="B696" s="1" t="n">
        <v>45783.68131944445</v>
      </c>
      <c r="C696" s="1" t="n">
        <v>45928</v>
      </c>
      <c r="D696" t="inlineStr">
        <is>
          <t>VÄSTERBOTTENS LÄN</t>
        </is>
      </c>
      <c r="E696" t="inlineStr">
        <is>
          <t>UMEÅ</t>
        </is>
      </c>
      <c r="F696" t="inlineStr">
        <is>
          <t>Kyrkan</t>
        </is>
      </c>
      <c r="G696" t="n">
        <v>3.3</v>
      </c>
      <c r="H696" t="n">
        <v>0</v>
      </c>
      <c r="I696" t="n">
        <v>0</v>
      </c>
      <c r="J696" t="n">
        <v>0</v>
      </c>
      <c r="K696" t="n">
        <v>0</v>
      </c>
      <c r="L696" t="n">
        <v>0</v>
      </c>
      <c r="M696" t="n">
        <v>0</v>
      </c>
      <c r="N696" t="n">
        <v>0</v>
      </c>
      <c r="O696" t="n">
        <v>0</v>
      </c>
      <c r="P696" t="n">
        <v>0</v>
      </c>
      <c r="Q696" t="n">
        <v>0</v>
      </c>
      <c r="R696" s="2" t="inlineStr"/>
    </row>
    <row r="697" ht="15" customHeight="1">
      <c r="A697" t="inlineStr">
        <is>
          <t>A 21608-2025</t>
        </is>
      </c>
      <c r="B697" s="1" t="n">
        <v>45783.38456018519</v>
      </c>
      <c r="C697" s="1" t="n">
        <v>45928</v>
      </c>
      <c r="D697" t="inlineStr">
        <is>
          <t>VÄSTERBOTTENS LÄN</t>
        </is>
      </c>
      <c r="E697" t="inlineStr">
        <is>
          <t>UMEÅ</t>
        </is>
      </c>
      <c r="G697" t="n">
        <v>4.4</v>
      </c>
      <c r="H697" t="n">
        <v>0</v>
      </c>
      <c r="I697" t="n">
        <v>0</v>
      </c>
      <c r="J697" t="n">
        <v>0</v>
      </c>
      <c r="K697" t="n">
        <v>0</v>
      </c>
      <c r="L697" t="n">
        <v>0</v>
      </c>
      <c r="M697" t="n">
        <v>0</v>
      </c>
      <c r="N697" t="n">
        <v>0</v>
      </c>
      <c r="O697" t="n">
        <v>0</v>
      </c>
      <c r="P697" t="n">
        <v>0</v>
      </c>
      <c r="Q697" t="n">
        <v>0</v>
      </c>
      <c r="R697" s="2" t="inlineStr"/>
    </row>
    <row r="698" ht="15" customHeight="1">
      <c r="A698" t="inlineStr">
        <is>
          <t>A 41267-2022</t>
        </is>
      </c>
      <c r="B698" s="1" t="n">
        <v>44825</v>
      </c>
      <c r="C698" s="1" t="n">
        <v>45928</v>
      </c>
      <c r="D698" t="inlineStr">
        <is>
          <t>VÄSTERBOTTENS LÄN</t>
        </is>
      </c>
      <c r="E698" t="inlineStr">
        <is>
          <t>UMEÅ</t>
        </is>
      </c>
      <c r="G698" t="n">
        <v>13</v>
      </c>
      <c r="H698" t="n">
        <v>0</v>
      </c>
      <c r="I698" t="n">
        <v>0</v>
      </c>
      <c r="J698" t="n">
        <v>0</v>
      </c>
      <c r="K698" t="n">
        <v>0</v>
      </c>
      <c r="L698" t="n">
        <v>0</v>
      </c>
      <c r="M698" t="n">
        <v>0</v>
      </c>
      <c r="N698" t="n">
        <v>0</v>
      </c>
      <c r="O698" t="n">
        <v>0</v>
      </c>
      <c r="P698" t="n">
        <v>0</v>
      </c>
      <c r="Q698" t="n">
        <v>0</v>
      </c>
      <c r="R698" s="2" t="inlineStr"/>
    </row>
    <row r="699" ht="15" customHeight="1">
      <c r="A699" t="inlineStr">
        <is>
          <t>A 22145-2025</t>
        </is>
      </c>
      <c r="B699" s="1" t="n">
        <v>45785.55422453704</v>
      </c>
      <c r="C699" s="1" t="n">
        <v>45928</v>
      </c>
      <c r="D699" t="inlineStr">
        <is>
          <t>VÄSTERBOTTENS LÄN</t>
        </is>
      </c>
      <c r="E699" t="inlineStr">
        <is>
          <t>UMEÅ</t>
        </is>
      </c>
      <c r="G699" t="n">
        <v>0.3</v>
      </c>
      <c r="H699" t="n">
        <v>0</v>
      </c>
      <c r="I699" t="n">
        <v>0</v>
      </c>
      <c r="J699" t="n">
        <v>0</v>
      </c>
      <c r="K699" t="n">
        <v>0</v>
      </c>
      <c r="L699" t="n">
        <v>0</v>
      </c>
      <c r="M699" t="n">
        <v>0</v>
      </c>
      <c r="N699" t="n">
        <v>0</v>
      </c>
      <c r="O699" t="n">
        <v>0</v>
      </c>
      <c r="P699" t="n">
        <v>0</v>
      </c>
      <c r="Q699" t="n">
        <v>0</v>
      </c>
      <c r="R699" s="2" t="inlineStr"/>
    </row>
    <row r="700" ht="15" customHeight="1">
      <c r="A700" t="inlineStr">
        <is>
          <t>A 22146-2025</t>
        </is>
      </c>
      <c r="B700" s="1" t="n">
        <v>45785.55462962963</v>
      </c>
      <c r="C700" s="1" t="n">
        <v>45928</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44817-2021</t>
        </is>
      </c>
      <c r="B701" s="1" t="n">
        <v>44438</v>
      </c>
      <c r="C701" s="1" t="n">
        <v>45928</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11954-2024</t>
        </is>
      </c>
      <c r="B702" s="1" t="n">
        <v>45376</v>
      </c>
      <c r="C702" s="1" t="n">
        <v>45928</v>
      </c>
      <c r="D702" t="inlineStr">
        <is>
          <t>VÄSTERBOTTENS LÄN</t>
        </is>
      </c>
      <c r="E702" t="inlineStr">
        <is>
          <t>UMEÅ</t>
        </is>
      </c>
      <c r="G702" t="n">
        <v>4</v>
      </c>
      <c r="H702" t="n">
        <v>0</v>
      </c>
      <c r="I702" t="n">
        <v>0</v>
      </c>
      <c r="J702" t="n">
        <v>0</v>
      </c>
      <c r="K702" t="n">
        <v>0</v>
      </c>
      <c r="L702" t="n">
        <v>0</v>
      </c>
      <c r="M702" t="n">
        <v>0</v>
      </c>
      <c r="N702" t="n">
        <v>0</v>
      </c>
      <c r="O702" t="n">
        <v>0</v>
      </c>
      <c r="P702" t="n">
        <v>0</v>
      </c>
      <c r="Q702" t="n">
        <v>0</v>
      </c>
      <c r="R702" s="2" t="inlineStr"/>
    </row>
    <row r="703" ht="15" customHeight="1">
      <c r="A703" t="inlineStr">
        <is>
          <t>A 34411-2024</t>
        </is>
      </c>
      <c r="B703" s="1" t="n">
        <v>45525.48208333334</v>
      </c>
      <c r="C703" s="1" t="n">
        <v>45928</v>
      </c>
      <c r="D703" t="inlineStr">
        <is>
          <t>VÄSTERBOTTENS LÄN</t>
        </is>
      </c>
      <c r="E703" t="inlineStr">
        <is>
          <t>UMEÅ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52126-2022</t>
        </is>
      </c>
      <c r="B704" s="1" t="n">
        <v>44873.43465277777</v>
      </c>
      <c r="C704" s="1" t="n">
        <v>45928</v>
      </c>
      <c r="D704" t="inlineStr">
        <is>
          <t>VÄSTERBOTTENS LÄN</t>
        </is>
      </c>
      <c r="E704" t="inlineStr">
        <is>
          <t>UMEÅ</t>
        </is>
      </c>
      <c r="G704" t="n">
        <v>3.3</v>
      </c>
      <c r="H704" t="n">
        <v>0</v>
      </c>
      <c r="I704" t="n">
        <v>0</v>
      </c>
      <c r="J704" t="n">
        <v>0</v>
      </c>
      <c r="K704" t="n">
        <v>0</v>
      </c>
      <c r="L704" t="n">
        <v>0</v>
      </c>
      <c r="M704" t="n">
        <v>0</v>
      </c>
      <c r="N704" t="n">
        <v>0</v>
      </c>
      <c r="O704" t="n">
        <v>0</v>
      </c>
      <c r="P704" t="n">
        <v>0</v>
      </c>
      <c r="Q704" t="n">
        <v>0</v>
      </c>
      <c r="R704" s="2" t="inlineStr"/>
    </row>
    <row r="705" ht="15" customHeight="1">
      <c r="A705" t="inlineStr">
        <is>
          <t>A 28628-2023</t>
        </is>
      </c>
      <c r="B705" s="1" t="n">
        <v>45103</v>
      </c>
      <c r="C705" s="1" t="n">
        <v>45928</v>
      </c>
      <c r="D705" t="inlineStr">
        <is>
          <t>VÄSTERBOTTENS LÄN</t>
        </is>
      </c>
      <c r="E705" t="inlineStr">
        <is>
          <t>UMEÅ</t>
        </is>
      </c>
      <c r="G705" t="n">
        <v>0.5</v>
      </c>
      <c r="H705" t="n">
        <v>0</v>
      </c>
      <c r="I705" t="n">
        <v>0</v>
      </c>
      <c r="J705" t="n">
        <v>0</v>
      </c>
      <c r="K705" t="n">
        <v>0</v>
      </c>
      <c r="L705" t="n">
        <v>0</v>
      </c>
      <c r="M705" t="n">
        <v>0</v>
      </c>
      <c r="N705" t="n">
        <v>0</v>
      </c>
      <c r="O705" t="n">
        <v>0</v>
      </c>
      <c r="P705" t="n">
        <v>0</v>
      </c>
      <c r="Q705" t="n">
        <v>0</v>
      </c>
      <c r="R705" s="2" t="inlineStr"/>
    </row>
    <row r="706" ht="15" customHeight="1">
      <c r="A706" t="inlineStr">
        <is>
          <t>A 25505-2023</t>
        </is>
      </c>
      <c r="B706" s="1" t="n">
        <v>45089.49538194444</v>
      </c>
      <c r="C706" s="1" t="n">
        <v>45928</v>
      </c>
      <c r="D706" t="inlineStr">
        <is>
          <t>VÄSTERBOTTENS LÄN</t>
        </is>
      </c>
      <c r="E706" t="inlineStr">
        <is>
          <t>UMEÅ</t>
        </is>
      </c>
      <c r="G706" t="n">
        <v>0.5</v>
      </c>
      <c r="H706" t="n">
        <v>0</v>
      </c>
      <c r="I706" t="n">
        <v>0</v>
      </c>
      <c r="J706" t="n">
        <v>0</v>
      </c>
      <c r="K706" t="n">
        <v>0</v>
      </c>
      <c r="L706" t="n">
        <v>0</v>
      </c>
      <c r="M706" t="n">
        <v>0</v>
      </c>
      <c r="N706" t="n">
        <v>0</v>
      </c>
      <c r="O706" t="n">
        <v>0</v>
      </c>
      <c r="P706" t="n">
        <v>0</v>
      </c>
      <c r="Q706" t="n">
        <v>0</v>
      </c>
      <c r="R706" s="2" t="inlineStr"/>
    </row>
    <row r="707" ht="15" customHeight="1">
      <c r="A707" t="inlineStr">
        <is>
          <t>A 29640-2023</t>
        </is>
      </c>
      <c r="B707" s="1" t="n">
        <v>45106</v>
      </c>
      <c r="C707" s="1" t="n">
        <v>45928</v>
      </c>
      <c r="D707" t="inlineStr">
        <is>
          <t>VÄSTERBOTTENS LÄN</t>
        </is>
      </c>
      <c r="E707" t="inlineStr">
        <is>
          <t>UMEÅ</t>
        </is>
      </c>
      <c r="G707" t="n">
        <v>0.8</v>
      </c>
      <c r="H707" t="n">
        <v>0</v>
      </c>
      <c r="I707" t="n">
        <v>0</v>
      </c>
      <c r="J707" t="n">
        <v>0</v>
      </c>
      <c r="K707" t="n">
        <v>0</v>
      </c>
      <c r="L707" t="n">
        <v>0</v>
      </c>
      <c r="M707" t="n">
        <v>0</v>
      </c>
      <c r="N707" t="n">
        <v>0</v>
      </c>
      <c r="O707" t="n">
        <v>0</v>
      </c>
      <c r="P707" t="n">
        <v>0</v>
      </c>
      <c r="Q707" t="n">
        <v>0</v>
      </c>
      <c r="R707" s="2" t="inlineStr"/>
    </row>
    <row r="708" ht="15" customHeight="1">
      <c r="A708" t="inlineStr">
        <is>
          <t>A 29658-2024</t>
        </is>
      </c>
      <c r="B708" s="1" t="n">
        <v>45484.9237037037</v>
      </c>
      <c r="C708" s="1" t="n">
        <v>45928</v>
      </c>
      <c r="D708" t="inlineStr">
        <is>
          <t>VÄSTERBOTTENS LÄN</t>
        </is>
      </c>
      <c r="E708" t="inlineStr">
        <is>
          <t>UMEÅ</t>
        </is>
      </c>
      <c r="G708" t="n">
        <v>11.4</v>
      </c>
      <c r="H708" t="n">
        <v>0</v>
      </c>
      <c r="I708" t="n">
        <v>0</v>
      </c>
      <c r="J708" t="n">
        <v>0</v>
      </c>
      <c r="K708" t="n">
        <v>0</v>
      </c>
      <c r="L708" t="n">
        <v>0</v>
      </c>
      <c r="M708" t="n">
        <v>0</v>
      </c>
      <c r="N708" t="n">
        <v>0</v>
      </c>
      <c r="O708" t="n">
        <v>0</v>
      </c>
      <c r="P708" t="n">
        <v>0</v>
      </c>
      <c r="Q708" t="n">
        <v>0</v>
      </c>
      <c r="R708" s="2" t="inlineStr"/>
    </row>
    <row r="709" ht="15" customHeight="1">
      <c r="A709" t="inlineStr">
        <is>
          <t>A 22161-2025</t>
        </is>
      </c>
      <c r="B709" s="1" t="n">
        <v>45785.58844907407</v>
      </c>
      <c r="C709" s="1" t="n">
        <v>45928</v>
      </c>
      <c r="D709" t="inlineStr">
        <is>
          <t>VÄSTERBOTTENS LÄN</t>
        </is>
      </c>
      <c r="E709" t="inlineStr">
        <is>
          <t>UMEÅ</t>
        </is>
      </c>
      <c r="G709" t="n">
        <v>0.8</v>
      </c>
      <c r="H709" t="n">
        <v>0</v>
      </c>
      <c r="I709" t="n">
        <v>0</v>
      </c>
      <c r="J709" t="n">
        <v>0</v>
      </c>
      <c r="K709" t="n">
        <v>0</v>
      </c>
      <c r="L709" t="n">
        <v>0</v>
      </c>
      <c r="M709" t="n">
        <v>0</v>
      </c>
      <c r="N709" t="n">
        <v>0</v>
      </c>
      <c r="O709" t="n">
        <v>0</v>
      </c>
      <c r="P709" t="n">
        <v>0</v>
      </c>
      <c r="Q709" t="n">
        <v>0</v>
      </c>
      <c r="R709" s="2" t="inlineStr"/>
    </row>
    <row r="710" ht="15" customHeight="1">
      <c r="A710" t="inlineStr">
        <is>
          <t>A 58708-2024</t>
        </is>
      </c>
      <c r="B710" s="1" t="n">
        <v>45635</v>
      </c>
      <c r="C710" s="1" t="n">
        <v>45928</v>
      </c>
      <c r="D710" t="inlineStr">
        <is>
          <t>VÄSTERBOTTENS LÄN</t>
        </is>
      </c>
      <c r="E710" t="inlineStr">
        <is>
          <t>UMEÅ</t>
        </is>
      </c>
      <c r="G710" t="n">
        <v>10.8</v>
      </c>
      <c r="H710" t="n">
        <v>0</v>
      </c>
      <c r="I710" t="n">
        <v>0</v>
      </c>
      <c r="J710" t="n">
        <v>0</v>
      </c>
      <c r="K710" t="n">
        <v>0</v>
      </c>
      <c r="L710" t="n">
        <v>0</v>
      </c>
      <c r="M710" t="n">
        <v>0</v>
      </c>
      <c r="N710" t="n">
        <v>0</v>
      </c>
      <c r="O710" t="n">
        <v>0</v>
      </c>
      <c r="P710" t="n">
        <v>0</v>
      </c>
      <c r="Q710" t="n">
        <v>0</v>
      </c>
      <c r="R710" s="2" t="inlineStr"/>
    </row>
    <row r="711" ht="15" customHeight="1">
      <c r="A711" t="inlineStr">
        <is>
          <t>A 22657-2025</t>
        </is>
      </c>
      <c r="B711" s="1" t="n">
        <v>45789.47297453704</v>
      </c>
      <c r="C711" s="1" t="n">
        <v>45928</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32628-2023</t>
        </is>
      </c>
      <c r="B712" s="1" t="n">
        <v>45112</v>
      </c>
      <c r="C712" s="1" t="n">
        <v>45928</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22912-2025</t>
        </is>
      </c>
      <c r="B713" s="1" t="n">
        <v>45790</v>
      </c>
      <c r="C713" s="1" t="n">
        <v>45928</v>
      </c>
      <c r="D713" t="inlineStr">
        <is>
          <t>VÄSTERBOTTENS LÄN</t>
        </is>
      </c>
      <c r="E713" t="inlineStr">
        <is>
          <t>UMEÅ</t>
        </is>
      </c>
      <c r="G713" t="n">
        <v>2.4</v>
      </c>
      <c r="H713" t="n">
        <v>0</v>
      </c>
      <c r="I713" t="n">
        <v>0</v>
      </c>
      <c r="J713" t="n">
        <v>0</v>
      </c>
      <c r="K713" t="n">
        <v>0</v>
      </c>
      <c r="L713" t="n">
        <v>0</v>
      </c>
      <c r="M713" t="n">
        <v>0</v>
      </c>
      <c r="N713" t="n">
        <v>0</v>
      </c>
      <c r="O713" t="n">
        <v>0</v>
      </c>
      <c r="P713" t="n">
        <v>0</v>
      </c>
      <c r="Q713" t="n">
        <v>0</v>
      </c>
      <c r="R713" s="2" t="inlineStr"/>
    </row>
    <row r="714" ht="15" customHeight="1">
      <c r="A714" t="inlineStr">
        <is>
          <t>A 7910-2024</t>
        </is>
      </c>
      <c r="B714" s="1" t="n">
        <v>45349</v>
      </c>
      <c r="C714" s="1" t="n">
        <v>45928</v>
      </c>
      <c r="D714" t="inlineStr">
        <is>
          <t>VÄSTERBOTTENS LÄN</t>
        </is>
      </c>
      <c r="E714" t="inlineStr">
        <is>
          <t>UMEÅ</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15664-2025</t>
        </is>
      </c>
      <c r="B715" s="1" t="n">
        <v>45748</v>
      </c>
      <c r="C715" s="1" t="n">
        <v>45928</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22851-2025</t>
        </is>
      </c>
      <c r="B716" s="1" t="n">
        <v>45790.34162037037</v>
      </c>
      <c r="C716" s="1" t="n">
        <v>45928</v>
      </c>
      <c r="D716" t="inlineStr">
        <is>
          <t>VÄSTERBOTTENS LÄN</t>
        </is>
      </c>
      <c r="E716" t="inlineStr">
        <is>
          <t>UMEÅ</t>
        </is>
      </c>
      <c r="F716" t="inlineStr">
        <is>
          <t>Holmen skog AB</t>
        </is>
      </c>
      <c r="G716" t="n">
        <v>20.6</v>
      </c>
      <c r="H716" t="n">
        <v>0</v>
      </c>
      <c r="I716" t="n">
        <v>0</v>
      </c>
      <c r="J716" t="n">
        <v>0</v>
      </c>
      <c r="K716" t="n">
        <v>0</v>
      </c>
      <c r="L716" t="n">
        <v>0</v>
      </c>
      <c r="M716" t="n">
        <v>0</v>
      </c>
      <c r="N716" t="n">
        <v>0</v>
      </c>
      <c r="O716" t="n">
        <v>0</v>
      </c>
      <c r="P716" t="n">
        <v>0</v>
      </c>
      <c r="Q716" t="n">
        <v>0</v>
      </c>
      <c r="R716" s="2" t="inlineStr"/>
    </row>
    <row r="717" ht="15" customHeight="1">
      <c r="A717" t="inlineStr">
        <is>
          <t>A 61225-2024</t>
        </is>
      </c>
      <c r="B717" s="1" t="n">
        <v>45645.66707175926</v>
      </c>
      <c r="C717" s="1" t="n">
        <v>45928</v>
      </c>
      <c r="D717" t="inlineStr">
        <is>
          <t>VÄSTERBOTTENS LÄN</t>
        </is>
      </c>
      <c r="E717" t="inlineStr">
        <is>
          <t>UMEÅ</t>
        </is>
      </c>
      <c r="F717" t="inlineStr">
        <is>
          <t>Holmen skog AB</t>
        </is>
      </c>
      <c r="G717" t="n">
        <v>4.1</v>
      </c>
      <c r="H717" t="n">
        <v>0</v>
      </c>
      <c r="I717" t="n">
        <v>0</v>
      </c>
      <c r="J717" t="n">
        <v>0</v>
      </c>
      <c r="K717" t="n">
        <v>0</v>
      </c>
      <c r="L717" t="n">
        <v>0</v>
      </c>
      <c r="M717" t="n">
        <v>0</v>
      </c>
      <c r="N717" t="n">
        <v>0</v>
      </c>
      <c r="O717" t="n">
        <v>0</v>
      </c>
      <c r="P717" t="n">
        <v>0</v>
      </c>
      <c r="Q717" t="n">
        <v>0</v>
      </c>
      <c r="R717" s="2" t="inlineStr"/>
    </row>
    <row r="718" ht="15" customHeight="1">
      <c r="A718" t="inlineStr">
        <is>
          <t>A 30258-2023</t>
        </is>
      </c>
      <c r="B718" s="1" t="n">
        <v>45110.70980324074</v>
      </c>
      <c r="C718" s="1" t="n">
        <v>45928</v>
      </c>
      <c r="D718" t="inlineStr">
        <is>
          <t>VÄSTERBOTTENS LÄN</t>
        </is>
      </c>
      <c r="E718" t="inlineStr">
        <is>
          <t>UMEÅ</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23271-2025</t>
        </is>
      </c>
      <c r="B719" s="1" t="n">
        <v>45791.5622337963</v>
      </c>
      <c r="C719" s="1" t="n">
        <v>45928</v>
      </c>
      <c r="D719" t="inlineStr">
        <is>
          <t>VÄSTERBOTTENS LÄN</t>
        </is>
      </c>
      <c r="E719" t="inlineStr">
        <is>
          <t>UMEÅ</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23442-2025</t>
        </is>
      </c>
      <c r="B720" s="1" t="n">
        <v>45792.3788425926</v>
      </c>
      <c r="C720" s="1" t="n">
        <v>45928</v>
      </c>
      <c r="D720" t="inlineStr">
        <is>
          <t>VÄSTERBOTTENS LÄN</t>
        </is>
      </c>
      <c r="E720" t="inlineStr">
        <is>
          <t>UMEÅ</t>
        </is>
      </c>
      <c r="G720" t="n">
        <v>4.7</v>
      </c>
      <c r="H720" t="n">
        <v>0</v>
      </c>
      <c r="I720" t="n">
        <v>0</v>
      </c>
      <c r="J720" t="n">
        <v>0</v>
      </c>
      <c r="K720" t="n">
        <v>0</v>
      </c>
      <c r="L720" t="n">
        <v>0</v>
      </c>
      <c r="M720" t="n">
        <v>0</v>
      </c>
      <c r="N720" t="n">
        <v>0</v>
      </c>
      <c r="O720" t="n">
        <v>0</v>
      </c>
      <c r="P720" t="n">
        <v>0</v>
      </c>
      <c r="Q720" t="n">
        <v>0</v>
      </c>
      <c r="R720" s="2" t="inlineStr"/>
    </row>
    <row r="721" ht="15" customHeight="1">
      <c r="A721" t="inlineStr">
        <is>
          <t>A 23500-2025</t>
        </is>
      </c>
      <c r="B721" s="1" t="n">
        <v>45792.48252314814</v>
      </c>
      <c r="C721" s="1" t="n">
        <v>45928</v>
      </c>
      <c r="D721" t="inlineStr">
        <is>
          <t>VÄSTERBOTTENS LÄN</t>
        </is>
      </c>
      <c r="E721" t="inlineStr">
        <is>
          <t>UMEÅ</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23563-2025</t>
        </is>
      </c>
      <c r="B722" s="1" t="n">
        <v>45792.58780092592</v>
      </c>
      <c r="C722" s="1" t="n">
        <v>45928</v>
      </c>
      <c r="D722" t="inlineStr">
        <is>
          <t>VÄSTERBOTTENS LÄN</t>
        </is>
      </c>
      <c r="E722" t="inlineStr">
        <is>
          <t>UMEÅ</t>
        </is>
      </c>
      <c r="G722" t="n">
        <v>8.5</v>
      </c>
      <c r="H722" t="n">
        <v>0</v>
      </c>
      <c r="I722" t="n">
        <v>0</v>
      </c>
      <c r="J722" t="n">
        <v>0</v>
      </c>
      <c r="K722" t="n">
        <v>0</v>
      </c>
      <c r="L722" t="n">
        <v>0</v>
      </c>
      <c r="M722" t="n">
        <v>0</v>
      </c>
      <c r="N722" t="n">
        <v>0</v>
      </c>
      <c r="O722" t="n">
        <v>0</v>
      </c>
      <c r="P722" t="n">
        <v>0</v>
      </c>
      <c r="Q722" t="n">
        <v>0</v>
      </c>
      <c r="R722" s="2" t="inlineStr"/>
    </row>
    <row r="723" ht="15" customHeight="1">
      <c r="A723" t="inlineStr">
        <is>
          <t>A 19074-2021</t>
        </is>
      </c>
      <c r="B723" s="1" t="n">
        <v>44308</v>
      </c>
      <c r="C723" s="1" t="n">
        <v>45928</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22674-2025</t>
        </is>
      </c>
      <c r="B724" s="1" t="n">
        <v>45789.49047453704</v>
      </c>
      <c r="C724" s="1" t="n">
        <v>45928</v>
      </c>
      <c r="D724" t="inlineStr">
        <is>
          <t>VÄSTERBOTTENS LÄN</t>
        </is>
      </c>
      <c r="E724" t="inlineStr">
        <is>
          <t>UMEÅ</t>
        </is>
      </c>
      <c r="G724" t="n">
        <v>0.6</v>
      </c>
      <c r="H724" t="n">
        <v>0</v>
      </c>
      <c r="I724" t="n">
        <v>0</v>
      </c>
      <c r="J724" t="n">
        <v>0</v>
      </c>
      <c r="K724" t="n">
        <v>0</v>
      </c>
      <c r="L724" t="n">
        <v>0</v>
      </c>
      <c r="M724" t="n">
        <v>0</v>
      </c>
      <c r="N724" t="n">
        <v>0</v>
      </c>
      <c r="O724" t="n">
        <v>0</v>
      </c>
      <c r="P724" t="n">
        <v>0</v>
      </c>
      <c r="Q724" t="n">
        <v>0</v>
      </c>
      <c r="R724" s="2" t="inlineStr"/>
    </row>
    <row r="725" ht="15" customHeight="1">
      <c r="A725" t="inlineStr">
        <is>
          <t>A 23472-2025</t>
        </is>
      </c>
      <c r="B725" s="1" t="n">
        <v>45792</v>
      </c>
      <c r="C725" s="1" t="n">
        <v>45928</v>
      </c>
      <c r="D725" t="inlineStr">
        <is>
          <t>VÄSTERBOTTENS LÄN</t>
        </is>
      </c>
      <c r="E725" t="inlineStr">
        <is>
          <t>UMEÅ</t>
        </is>
      </c>
      <c r="G725" t="n">
        <v>1.9</v>
      </c>
      <c r="H725" t="n">
        <v>0</v>
      </c>
      <c r="I725" t="n">
        <v>0</v>
      </c>
      <c r="J725" t="n">
        <v>0</v>
      </c>
      <c r="K725" t="n">
        <v>0</v>
      </c>
      <c r="L725" t="n">
        <v>0</v>
      </c>
      <c r="M725" t="n">
        <v>0</v>
      </c>
      <c r="N725" t="n">
        <v>0</v>
      </c>
      <c r="O725" t="n">
        <v>0</v>
      </c>
      <c r="P725" t="n">
        <v>0</v>
      </c>
      <c r="Q725" t="n">
        <v>0</v>
      </c>
      <c r="R725" s="2" t="inlineStr"/>
    </row>
    <row r="726" ht="15" customHeight="1">
      <c r="A726" t="inlineStr">
        <is>
          <t>A 32464-2023</t>
        </is>
      </c>
      <c r="B726" s="1" t="n">
        <v>45120.92650462963</v>
      </c>
      <c r="C726" s="1" t="n">
        <v>45928</v>
      </c>
      <c r="D726" t="inlineStr">
        <is>
          <t>VÄSTERBOTTENS LÄN</t>
        </is>
      </c>
      <c r="E726" t="inlineStr">
        <is>
          <t>UMEÅ</t>
        </is>
      </c>
      <c r="G726" t="n">
        <v>1.9</v>
      </c>
      <c r="H726" t="n">
        <v>0</v>
      </c>
      <c r="I726" t="n">
        <v>0</v>
      </c>
      <c r="J726" t="n">
        <v>0</v>
      </c>
      <c r="K726" t="n">
        <v>0</v>
      </c>
      <c r="L726" t="n">
        <v>0</v>
      </c>
      <c r="M726" t="n">
        <v>0</v>
      </c>
      <c r="N726" t="n">
        <v>0</v>
      </c>
      <c r="O726" t="n">
        <v>0</v>
      </c>
      <c r="P726" t="n">
        <v>0</v>
      </c>
      <c r="Q726" t="n">
        <v>0</v>
      </c>
      <c r="R726" s="2" t="inlineStr"/>
    </row>
    <row r="727" ht="15" customHeight="1">
      <c r="A727" t="inlineStr">
        <is>
          <t>A 44836-2024</t>
        </is>
      </c>
      <c r="B727" s="1" t="n">
        <v>45574.70622685185</v>
      </c>
      <c r="C727" s="1" t="n">
        <v>45928</v>
      </c>
      <c r="D727" t="inlineStr">
        <is>
          <t>VÄSTERBOTTENS LÄN</t>
        </is>
      </c>
      <c r="E727" t="inlineStr">
        <is>
          <t>UMEÅ</t>
        </is>
      </c>
      <c r="F727" t="inlineStr">
        <is>
          <t>Holmen skog AB</t>
        </is>
      </c>
      <c r="G727" t="n">
        <v>2.1</v>
      </c>
      <c r="H727" t="n">
        <v>0</v>
      </c>
      <c r="I727" t="n">
        <v>0</v>
      </c>
      <c r="J727" t="n">
        <v>0</v>
      </c>
      <c r="K727" t="n">
        <v>0</v>
      </c>
      <c r="L727" t="n">
        <v>0</v>
      </c>
      <c r="M727" t="n">
        <v>0</v>
      </c>
      <c r="N727" t="n">
        <v>0</v>
      </c>
      <c r="O727" t="n">
        <v>0</v>
      </c>
      <c r="P727" t="n">
        <v>0</v>
      </c>
      <c r="Q727" t="n">
        <v>0</v>
      </c>
      <c r="R727" s="2" t="inlineStr"/>
    </row>
    <row r="728" ht="15" customHeight="1">
      <c r="A728" t="inlineStr">
        <is>
          <t>A 46287-2022</t>
        </is>
      </c>
      <c r="B728" s="1" t="n">
        <v>44847</v>
      </c>
      <c r="C728" s="1" t="n">
        <v>45928</v>
      </c>
      <c r="D728" t="inlineStr">
        <is>
          <t>VÄSTERBOTTENS LÄN</t>
        </is>
      </c>
      <c r="E728" t="inlineStr">
        <is>
          <t>UMEÅ</t>
        </is>
      </c>
      <c r="G728" t="n">
        <v>1.1</v>
      </c>
      <c r="H728" t="n">
        <v>0</v>
      </c>
      <c r="I728" t="n">
        <v>0</v>
      </c>
      <c r="J728" t="n">
        <v>0</v>
      </c>
      <c r="K728" t="n">
        <v>0</v>
      </c>
      <c r="L728" t="n">
        <v>0</v>
      </c>
      <c r="M728" t="n">
        <v>0</v>
      </c>
      <c r="N728" t="n">
        <v>0</v>
      </c>
      <c r="O728" t="n">
        <v>0</v>
      </c>
      <c r="P728" t="n">
        <v>0</v>
      </c>
      <c r="Q728" t="n">
        <v>0</v>
      </c>
      <c r="R728" s="2" t="inlineStr"/>
    </row>
    <row r="729" ht="15" customHeight="1">
      <c r="A729" t="inlineStr">
        <is>
          <t>A 13090-2024</t>
        </is>
      </c>
      <c r="B729" s="1" t="n">
        <v>45385</v>
      </c>
      <c r="C729" s="1" t="n">
        <v>45928</v>
      </c>
      <c r="D729" t="inlineStr">
        <is>
          <t>VÄSTERBOTTENS LÄN</t>
        </is>
      </c>
      <c r="E729" t="inlineStr">
        <is>
          <t>UMEÅ</t>
        </is>
      </c>
      <c r="G729" t="n">
        <v>2.1</v>
      </c>
      <c r="H729" t="n">
        <v>0</v>
      </c>
      <c r="I729" t="n">
        <v>0</v>
      </c>
      <c r="J729" t="n">
        <v>0</v>
      </c>
      <c r="K729" t="n">
        <v>0</v>
      </c>
      <c r="L729" t="n">
        <v>0</v>
      </c>
      <c r="M729" t="n">
        <v>0</v>
      </c>
      <c r="N729" t="n">
        <v>0</v>
      </c>
      <c r="O729" t="n">
        <v>0</v>
      </c>
      <c r="P729" t="n">
        <v>0</v>
      </c>
      <c r="Q729" t="n">
        <v>0</v>
      </c>
      <c r="R729" s="2" t="inlineStr"/>
    </row>
    <row r="730" ht="15" customHeight="1">
      <c r="A730" t="inlineStr">
        <is>
          <t>A 14928-2023</t>
        </is>
      </c>
      <c r="B730" s="1" t="n">
        <v>45014</v>
      </c>
      <c r="C730" s="1" t="n">
        <v>45928</v>
      </c>
      <c r="D730" t="inlineStr">
        <is>
          <t>VÄSTERBOTTENS LÄN</t>
        </is>
      </c>
      <c r="E730" t="inlineStr">
        <is>
          <t>UMEÅ</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23474-2025</t>
        </is>
      </c>
      <c r="B731" s="1" t="n">
        <v>45792.4493287037</v>
      </c>
      <c r="C731" s="1" t="n">
        <v>45928</v>
      </c>
      <c r="D731" t="inlineStr">
        <is>
          <t>VÄSTERBOTTENS LÄN</t>
        </is>
      </c>
      <c r="E731" t="inlineStr">
        <is>
          <t>UMEÅ</t>
        </is>
      </c>
      <c r="G731" t="n">
        <v>4.8</v>
      </c>
      <c r="H731" t="n">
        <v>0</v>
      </c>
      <c r="I731" t="n">
        <v>0</v>
      </c>
      <c r="J731" t="n">
        <v>0</v>
      </c>
      <c r="K731" t="n">
        <v>0</v>
      </c>
      <c r="L731" t="n">
        <v>0</v>
      </c>
      <c r="M731" t="n">
        <v>0</v>
      </c>
      <c r="N731" t="n">
        <v>0</v>
      </c>
      <c r="O731" t="n">
        <v>0</v>
      </c>
      <c r="P731" t="n">
        <v>0</v>
      </c>
      <c r="Q731" t="n">
        <v>0</v>
      </c>
      <c r="R731" s="2" t="inlineStr"/>
    </row>
    <row r="732" ht="15" customHeight="1">
      <c r="A732" t="inlineStr">
        <is>
          <t>A 11184-2024</t>
        </is>
      </c>
      <c r="B732" s="1" t="n">
        <v>45371</v>
      </c>
      <c r="C732" s="1" t="n">
        <v>45928</v>
      </c>
      <c r="D732" t="inlineStr">
        <is>
          <t>VÄSTERBOTTENS LÄN</t>
        </is>
      </c>
      <c r="E732" t="inlineStr">
        <is>
          <t>UMEÅ</t>
        </is>
      </c>
      <c r="F732" t="inlineStr">
        <is>
          <t>Övriga statliga verk och myndigheter</t>
        </is>
      </c>
      <c r="G732" t="n">
        <v>4.5</v>
      </c>
      <c r="H732" t="n">
        <v>0</v>
      </c>
      <c r="I732" t="n">
        <v>0</v>
      </c>
      <c r="J732" t="n">
        <v>0</v>
      </c>
      <c r="K732" t="n">
        <v>0</v>
      </c>
      <c r="L732" t="n">
        <v>0</v>
      </c>
      <c r="M732" t="n">
        <v>0</v>
      </c>
      <c r="N732" t="n">
        <v>0</v>
      </c>
      <c r="O732" t="n">
        <v>0</v>
      </c>
      <c r="P732" t="n">
        <v>0</v>
      </c>
      <c r="Q732" t="n">
        <v>0</v>
      </c>
      <c r="R732" s="2" t="inlineStr"/>
    </row>
    <row r="733" ht="15" customHeight="1">
      <c r="A733" t="inlineStr">
        <is>
          <t>A 31068-2023</t>
        </is>
      </c>
      <c r="B733" s="1" t="n">
        <v>45113</v>
      </c>
      <c r="C733" s="1" t="n">
        <v>45928</v>
      </c>
      <c r="D733" t="inlineStr">
        <is>
          <t>VÄSTERBOTTENS LÄN</t>
        </is>
      </c>
      <c r="E733" t="inlineStr">
        <is>
          <t>UMEÅ</t>
        </is>
      </c>
      <c r="G733" t="n">
        <v>1.1</v>
      </c>
      <c r="H733" t="n">
        <v>0</v>
      </c>
      <c r="I733" t="n">
        <v>0</v>
      </c>
      <c r="J733" t="n">
        <v>0</v>
      </c>
      <c r="K733" t="n">
        <v>0</v>
      </c>
      <c r="L733" t="n">
        <v>0</v>
      </c>
      <c r="M733" t="n">
        <v>0</v>
      </c>
      <c r="N733" t="n">
        <v>0</v>
      </c>
      <c r="O733" t="n">
        <v>0</v>
      </c>
      <c r="P733" t="n">
        <v>0</v>
      </c>
      <c r="Q733" t="n">
        <v>0</v>
      </c>
      <c r="R733" s="2" t="inlineStr"/>
    </row>
    <row r="734" ht="15" customHeight="1">
      <c r="A734" t="inlineStr">
        <is>
          <t>A 14043-2024</t>
        </is>
      </c>
      <c r="B734" s="1" t="n">
        <v>45392</v>
      </c>
      <c r="C734" s="1" t="n">
        <v>45928</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751-2023</t>
        </is>
      </c>
      <c r="B735" s="1" t="n">
        <v>44931.3587962963</v>
      </c>
      <c r="C735" s="1" t="n">
        <v>45928</v>
      </c>
      <c r="D735" t="inlineStr">
        <is>
          <t>VÄSTERBOTTENS LÄN</t>
        </is>
      </c>
      <c r="E735" t="inlineStr">
        <is>
          <t>UMEÅ</t>
        </is>
      </c>
      <c r="G735" t="n">
        <v>0.6</v>
      </c>
      <c r="H735" t="n">
        <v>0</v>
      </c>
      <c r="I735" t="n">
        <v>0</v>
      </c>
      <c r="J735" t="n">
        <v>0</v>
      </c>
      <c r="K735" t="n">
        <v>0</v>
      </c>
      <c r="L735" t="n">
        <v>0</v>
      </c>
      <c r="M735" t="n">
        <v>0</v>
      </c>
      <c r="N735" t="n">
        <v>0</v>
      </c>
      <c r="O735" t="n">
        <v>0</v>
      </c>
      <c r="P735" t="n">
        <v>0</v>
      </c>
      <c r="Q735" t="n">
        <v>0</v>
      </c>
      <c r="R735" s="2" t="inlineStr"/>
    </row>
    <row r="736" ht="15" customHeight="1">
      <c r="A736" t="inlineStr">
        <is>
          <t>A 23842-2024</t>
        </is>
      </c>
      <c r="B736" s="1" t="n">
        <v>45455.52168981481</v>
      </c>
      <c r="C736" s="1" t="n">
        <v>45928</v>
      </c>
      <c r="D736" t="inlineStr">
        <is>
          <t>VÄSTERBOTTENS LÄN</t>
        </is>
      </c>
      <c r="E736" t="inlineStr">
        <is>
          <t>UMEÅ</t>
        </is>
      </c>
      <c r="G736" t="n">
        <v>2.1</v>
      </c>
      <c r="H736" t="n">
        <v>0</v>
      </c>
      <c r="I736" t="n">
        <v>0</v>
      </c>
      <c r="J736" t="n">
        <v>0</v>
      </c>
      <c r="K736" t="n">
        <v>0</v>
      </c>
      <c r="L736" t="n">
        <v>0</v>
      </c>
      <c r="M736" t="n">
        <v>0</v>
      </c>
      <c r="N736" t="n">
        <v>0</v>
      </c>
      <c r="O736" t="n">
        <v>0</v>
      </c>
      <c r="P736" t="n">
        <v>0</v>
      </c>
      <c r="Q736" t="n">
        <v>0</v>
      </c>
      <c r="R736" s="2" t="inlineStr"/>
    </row>
    <row r="737" ht="15" customHeight="1">
      <c r="A737" t="inlineStr">
        <is>
          <t>A 65242-2021</t>
        </is>
      </c>
      <c r="B737" s="1" t="n">
        <v>44515.55709490741</v>
      </c>
      <c r="C737" s="1" t="n">
        <v>45928</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32813-2024</t>
        </is>
      </c>
      <c r="B738" s="1" t="n">
        <v>45516.57533564815</v>
      </c>
      <c r="C738" s="1" t="n">
        <v>45928</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58278-2024</t>
        </is>
      </c>
      <c r="B739" s="1" t="n">
        <v>45632.57494212963</v>
      </c>
      <c r="C739" s="1" t="n">
        <v>45928</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43945-2024</t>
        </is>
      </c>
      <c r="B740" s="1" t="n">
        <v>45572.47104166666</v>
      </c>
      <c r="C740" s="1" t="n">
        <v>45928</v>
      </c>
      <c r="D740" t="inlineStr">
        <is>
          <t>VÄSTERBOTTENS LÄN</t>
        </is>
      </c>
      <c r="E740" t="inlineStr">
        <is>
          <t>UMEÅ</t>
        </is>
      </c>
      <c r="G740" t="n">
        <v>2.1</v>
      </c>
      <c r="H740" t="n">
        <v>0</v>
      </c>
      <c r="I740" t="n">
        <v>0</v>
      </c>
      <c r="J740" t="n">
        <v>0</v>
      </c>
      <c r="K740" t="n">
        <v>0</v>
      </c>
      <c r="L740" t="n">
        <v>0</v>
      </c>
      <c r="M740" t="n">
        <v>0</v>
      </c>
      <c r="N740" t="n">
        <v>0</v>
      </c>
      <c r="O740" t="n">
        <v>0</v>
      </c>
      <c r="P740" t="n">
        <v>0</v>
      </c>
      <c r="Q740" t="n">
        <v>0</v>
      </c>
      <c r="R740" s="2" t="inlineStr"/>
    </row>
    <row r="741" ht="15" customHeight="1">
      <c r="A741" t="inlineStr">
        <is>
          <t>A 30050-2024</t>
        </is>
      </c>
      <c r="B741" s="1" t="n">
        <v>45488</v>
      </c>
      <c r="C741" s="1" t="n">
        <v>45928</v>
      </c>
      <c r="D741" t="inlineStr">
        <is>
          <t>VÄSTERBOTTENS LÄN</t>
        </is>
      </c>
      <c r="E741" t="inlineStr">
        <is>
          <t>UMEÅ</t>
        </is>
      </c>
      <c r="G741" t="n">
        <v>2.6</v>
      </c>
      <c r="H741" t="n">
        <v>0</v>
      </c>
      <c r="I741" t="n">
        <v>0</v>
      </c>
      <c r="J741" t="n">
        <v>0</v>
      </c>
      <c r="K741" t="n">
        <v>0</v>
      </c>
      <c r="L741" t="n">
        <v>0</v>
      </c>
      <c r="M741" t="n">
        <v>0</v>
      </c>
      <c r="N741" t="n">
        <v>0</v>
      </c>
      <c r="O741" t="n">
        <v>0</v>
      </c>
      <c r="P741" t="n">
        <v>0</v>
      </c>
      <c r="Q741" t="n">
        <v>0</v>
      </c>
      <c r="R741" s="2" t="inlineStr"/>
    </row>
    <row r="742" ht="15" customHeight="1">
      <c r="A742" t="inlineStr">
        <is>
          <t>A 56332-2023</t>
        </is>
      </c>
      <c r="B742" s="1" t="n">
        <v>45243.34</v>
      </c>
      <c r="C742" s="1" t="n">
        <v>45928</v>
      </c>
      <c r="D742" t="inlineStr">
        <is>
          <t>VÄSTERBOTTENS LÄN</t>
        </is>
      </c>
      <c r="E742" t="inlineStr">
        <is>
          <t>UMEÅ</t>
        </is>
      </c>
      <c r="G742" t="n">
        <v>1.7</v>
      </c>
      <c r="H742" t="n">
        <v>0</v>
      </c>
      <c r="I742" t="n">
        <v>0</v>
      </c>
      <c r="J742" t="n">
        <v>0</v>
      </c>
      <c r="K742" t="n">
        <v>0</v>
      </c>
      <c r="L742" t="n">
        <v>0</v>
      </c>
      <c r="M742" t="n">
        <v>0</v>
      </c>
      <c r="N742" t="n">
        <v>0</v>
      </c>
      <c r="O742" t="n">
        <v>0</v>
      </c>
      <c r="P742" t="n">
        <v>0</v>
      </c>
      <c r="Q742" t="n">
        <v>0</v>
      </c>
      <c r="R742" s="2" t="inlineStr"/>
    </row>
    <row r="743" ht="15" customHeight="1">
      <c r="A743" t="inlineStr">
        <is>
          <t>A 61034-2022</t>
        </is>
      </c>
      <c r="B743" s="1" t="n">
        <v>44914</v>
      </c>
      <c r="C743" s="1" t="n">
        <v>45928</v>
      </c>
      <c r="D743" t="inlineStr">
        <is>
          <t>VÄSTERBOTTENS LÄN</t>
        </is>
      </c>
      <c r="E743" t="inlineStr">
        <is>
          <t>UMEÅ</t>
        </is>
      </c>
      <c r="G743" t="n">
        <v>16.7</v>
      </c>
      <c r="H743" t="n">
        <v>0</v>
      </c>
      <c r="I743" t="n">
        <v>0</v>
      </c>
      <c r="J743" t="n">
        <v>0</v>
      </c>
      <c r="K743" t="n">
        <v>0</v>
      </c>
      <c r="L743" t="n">
        <v>0</v>
      </c>
      <c r="M743" t="n">
        <v>0</v>
      </c>
      <c r="N743" t="n">
        <v>0</v>
      </c>
      <c r="O743" t="n">
        <v>0</v>
      </c>
      <c r="P743" t="n">
        <v>0</v>
      </c>
      <c r="Q743" t="n">
        <v>0</v>
      </c>
      <c r="R743" s="2" t="inlineStr"/>
    </row>
    <row r="744" ht="15" customHeight="1">
      <c r="A744" t="inlineStr">
        <is>
          <t>A 24540-2025</t>
        </is>
      </c>
      <c r="B744" s="1" t="n">
        <v>45798.44232638889</v>
      </c>
      <c r="C744" s="1" t="n">
        <v>45928</v>
      </c>
      <c r="D744" t="inlineStr">
        <is>
          <t>VÄSTERBOTTENS LÄN</t>
        </is>
      </c>
      <c r="E744" t="inlineStr">
        <is>
          <t>UMEÅ</t>
        </is>
      </c>
      <c r="G744" t="n">
        <v>9</v>
      </c>
      <c r="H744" t="n">
        <v>0</v>
      </c>
      <c r="I744" t="n">
        <v>0</v>
      </c>
      <c r="J744" t="n">
        <v>0</v>
      </c>
      <c r="K744" t="n">
        <v>0</v>
      </c>
      <c r="L744" t="n">
        <v>0</v>
      </c>
      <c r="M744" t="n">
        <v>0</v>
      </c>
      <c r="N744" t="n">
        <v>0</v>
      </c>
      <c r="O744" t="n">
        <v>0</v>
      </c>
      <c r="P744" t="n">
        <v>0</v>
      </c>
      <c r="Q744" t="n">
        <v>0</v>
      </c>
      <c r="R744" s="2" t="inlineStr"/>
    </row>
    <row r="745" ht="15" customHeight="1">
      <c r="A745" t="inlineStr">
        <is>
          <t>A 24595-2025</t>
        </is>
      </c>
      <c r="B745" s="1" t="n">
        <v>45798</v>
      </c>
      <c r="C745" s="1" t="n">
        <v>45928</v>
      </c>
      <c r="D745" t="inlineStr">
        <is>
          <t>VÄSTERBOTTENS LÄN</t>
        </is>
      </c>
      <c r="E745" t="inlineStr">
        <is>
          <t>UMEÅ</t>
        </is>
      </c>
      <c r="F745" t="inlineStr">
        <is>
          <t>Holmen skog AB</t>
        </is>
      </c>
      <c r="G745" t="n">
        <v>4.3</v>
      </c>
      <c r="H745" t="n">
        <v>0</v>
      </c>
      <c r="I745" t="n">
        <v>0</v>
      </c>
      <c r="J745" t="n">
        <v>0</v>
      </c>
      <c r="K745" t="n">
        <v>0</v>
      </c>
      <c r="L745" t="n">
        <v>0</v>
      </c>
      <c r="M745" t="n">
        <v>0</v>
      </c>
      <c r="N745" t="n">
        <v>0</v>
      </c>
      <c r="O745" t="n">
        <v>0</v>
      </c>
      <c r="P745" t="n">
        <v>0</v>
      </c>
      <c r="Q745" t="n">
        <v>0</v>
      </c>
      <c r="R745" s="2" t="inlineStr"/>
    </row>
    <row r="746" ht="15" customHeight="1">
      <c r="A746" t="inlineStr">
        <is>
          <t>A 72125-2021</t>
        </is>
      </c>
      <c r="B746" s="1" t="n">
        <v>44543</v>
      </c>
      <c r="C746" s="1" t="n">
        <v>45928</v>
      </c>
      <c r="D746" t="inlineStr">
        <is>
          <t>VÄSTERBOTTENS LÄN</t>
        </is>
      </c>
      <c r="E746" t="inlineStr">
        <is>
          <t>UMEÅ</t>
        </is>
      </c>
      <c r="G746" t="n">
        <v>4.4</v>
      </c>
      <c r="H746" t="n">
        <v>0</v>
      </c>
      <c r="I746" t="n">
        <v>0</v>
      </c>
      <c r="J746" t="n">
        <v>0</v>
      </c>
      <c r="K746" t="n">
        <v>0</v>
      </c>
      <c r="L746" t="n">
        <v>0</v>
      </c>
      <c r="M746" t="n">
        <v>0</v>
      </c>
      <c r="N746" t="n">
        <v>0</v>
      </c>
      <c r="O746" t="n">
        <v>0</v>
      </c>
      <c r="P746" t="n">
        <v>0</v>
      </c>
      <c r="Q746" t="n">
        <v>0</v>
      </c>
      <c r="R746" s="2" t="inlineStr"/>
    </row>
    <row r="747" ht="15" customHeight="1">
      <c r="A747" t="inlineStr">
        <is>
          <t>A 35630-2024</t>
        </is>
      </c>
      <c r="B747" s="1" t="n">
        <v>45531</v>
      </c>
      <c r="C747" s="1" t="n">
        <v>45928</v>
      </c>
      <c r="D747" t="inlineStr">
        <is>
          <t>VÄSTERBOTTENS LÄN</t>
        </is>
      </c>
      <c r="E747" t="inlineStr">
        <is>
          <t>UMEÅ</t>
        </is>
      </c>
      <c r="G747" t="n">
        <v>4.7</v>
      </c>
      <c r="H747" t="n">
        <v>0</v>
      </c>
      <c r="I747" t="n">
        <v>0</v>
      </c>
      <c r="J747" t="n">
        <v>0</v>
      </c>
      <c r="K747" t="n">
        <v>0</v>
      </c>
      <c r="L747" t="n">
        <v>0</v>
      </c>
      <c r="M747" t="n">
        <v>0</v>
      </c>
      <c r="N747" t="n">
        <v>0</v>
      </c>
      <c r="O747" t="n">
        <v>0</v>
      </c>
      <c r="P747" t="n">
        <v>0</v>
      </c>
      <c r="Q747" t="n">
        <v>0</v>
      </c>
      <c r="R747" s="2" t="inlineStr"/>
    </row>
    <row r="748" ht="15" customHeight="1">
      <c r="A748" t="inlineStr">
        <is>
          <t>A 45259-2024</t>
        </is>
      </c>
      <c r="B748" s="1" t="n">
        <v>45576</v>
      </c>
      <c r="C748" s="1" t="n">
        <v>45928</v>
      </c>
      <c r="D748" t="inlineStr">
        <is>
          <t>VÄSTERBOTTENS LÄN</t>
        </is>
      </c>
      <c r="E748" t="inlineStr">
        <is>
          <t>UMEÅ</t>
        </is>
      </c>
      <c r="G748" t="n">
        <v>5.1</v>
      </c>
      <c r="H748" t="n">
        <v>0</v>
      </c>
      <c r="I748" t="n">
        <v>0</v>
      </c>
      <c r="J748" t="n">
        <v>0</v>
      </c>
      <c r="K748" t="n">
        <v>0</v>
      </c>
      <c r="L748" t="n">
        <v>0</v>
      </c>
      <c r="M748" t="n">
        <v>0</v>
      </c>
      <c r="N748" t="n">
        <v>0</v>
      </c>
      <c r="O748" t="n">
        <v>0</v>
      </c>
      <c r="P748" t="n">
        <v>0</v>
      </c>
      <c r="Q748" t="n">
        <v>0</v>
      </c>
      <c r="R748" s="2" t="inlineStr"/>
    </row>
    <row r="749" ht="15" customHeight="1">
      <c r="A749" t="inlineStr">
        <is>
          <t>A 45770-2024</t>
        </is>
      </c>
      <c r="B749" s="1" t="n">
        <v>45579.64884259259</v>
      </c>
      <c r="C749" s="1" t="n">
        <v>45928</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24780-2025</t>
        </is>
      </c>
      <c r="B750" s="1" t="n">
        <v>45799</v>
      </c>
      <c r="C750" s="1" t="n">
        <v>45928</v>
      </c>
      <c r="D750" t="inlineStr">
        <is>
          <t>VÄSTERBOTTENS LÄN</t>
        </is>
      </c>
      <c r="E750" t="inlineStr">
        <is>
          <t>UMEÅ</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25689-2025</t>
        </is>
      </c>
      <c r="B751" s="1" t="n">
        <v>45803.66111111111</v>
      </c>
      <c r="C751" s="1" t="n">
        <v>45928</v>
      </c>
      <c r="D751" t="inlineStr">
        <is>
          <t>VÄSTERBOTTENS LÄN</t>
        </is>
      </c>
      <c r="E751" t="inlineStr">
        <is>
          <t>UMEÅ</t>
        </is>
      </c>
      <c r="G751" t="n">
        <v>2.2</v>
      </c>
      <c r="H751" t="n">
        <v>0</v>
      </c>
      <c r="I751" t="n">
        <v>0</v>
      </c>
      <c r="J751" t="n">
        <v>0</v>
      </c>
      <c r="K751" t="n">
        <v>0</v>
      </c>
      <c r="L751" t="n">
        <v>0</v>
      </c>
      <c r="M751" t="n">
        <v>0</v>
      </c>
      <c r="N751" t="n">
        <v>0</v>
      </c>
      <c r="O751" t="n">
        <v>0</v>
      </c>
      <c r="P751" t="n">
        <v>0</v>
      </c>
      <c r="Q751" t="n">
        <v>0</v>
      </c>
      <c r="R751" s="2" t="inlineStr"/>
    </row>
    <row r="752" ht="15" customHeight="1">
      <c r="A752" t="inlineStr">
        <is>
          <t>A 25838-2025</t>
        </is>
      </c>
      <c r="B752" s="1" t="n">
        <v>45804.44883101852</v>
      </c>
      <c r="C752" s="1" t="n">
        <v>45928</v>
      </c>
      <c r="D752" t="inlineStr">
        <is>
          <t>VÄSTERBOTTENS LÄN</t>
        </is>
      </c>
      <c r="E752" t="inlineStr">
        <is>
          <t>UMEÅ</t>
        </is>
      </c>
      <c r="G752" t="n">
        <v>1.3</v>
      </c>
      <c r="H752" t="n">
        <v>0</v>
      </c>
      <c r="I752" t="n">
        <v>0</v>
      </c>
      <c r="J752" t="n">
        <v>0</v>
      </c>
      <c r="K752" t="n">
        <v>0</v>
      </c>
      <c r="L752" t="n">
        <v>0</v>
      </c>
      <c r="M752" t="n">
        <v>0</v>
      </c>
      <c r="N752" t="n">
        <v>0</v>
      </c>
      <c r="O752" t="n">
        <v>0</v>
      </c>
      <c r="P752" t="n">
        <v>0</v>
      </c>
      <c r="Q752" t="n">
        <v>0</v>
      </c>
      <c r="R752" s="2" t="inlineStr"/>
    </row>
    <row r="753" ht="15" customHeight="1">
      <c r="A753" t="inlineStr">
        <is>
          <t>A 25762-2025</t>
        </is>
      </c>
      <c r="B753" s="1" t="n">
        <v>45804.33836805556</v>
      </c>
      <c r="C753" s="1" t="n">
        <v>45928</v>
      </c>
      <c r="D753" t="inlineStr">
        <is>
          <t>VÄSTERBOTTENS LÄN</t>
        </is>
      </c>
      <c r="E753" t="inlineStr">
        <is>
          <t>UMEÅ</t>
        </is>
      </c>
      <c r="G753" t="n">
        <v>6.2</v>
      </c>
      <c r="H753" t="n">
        <v>0</v>
      </c>
      <c r="I753" t="n">
        <v>0</v>
      </c>
      <c r="J753" t="n">
        <v>0</v>
      </c>
      <c r="K753" t="n">
        <v>0</v>
      </c>
      <c r="L753" t="n">
        <v>0</v>
      </c>
      <c r="M753" t="n">
        <v>0</v>
      </c>
      <c r="N753" t="n">
        <v>0</v>
      </c>
      <c r="O753" t="n">
        <v>0</v>
      </c>
      <c r="P753" t="n">
        <v>0</v>
      </c>
      <c r="Q753" t="n">
        <v>0</v>
      </c>
      <c r="R753" s="2" t="inlineStr"/>
    </row>
    <row r="754" ht="15" customHeight="1">
      <c r="A754" t="inlineStr">
        <is>
          <t>A 26310-2025</t>
        </is>
      </c>
      <c r="B754" s="1" t="n">
        <v>45805.65432870371</v>
      </c>
      <c r="C754" s="1" t="n">
        <v>45928</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32462-2023</t>
        </is>
      </c>
      <c r="B755" s="1" t="n">
        <v>45120.92637731481</v>
      </c>
      <c r="C755" s="1" t="n">
        <v>45928</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26183-2025</t>
        </is>
      </c>
      <c r="B756" s="1" t="n">
        <v>45805.47530092593</v>
      </c>
      <c r="C756" s="1" t="n">
        <v>45928</v>
      </c>
      <c r="D756" t="inlineStr">
        <is>
          <t>VÄSTERBOTTENS LÄN</t>
        </is>
      </c>
      <c r="E756" t="inlineStr">
        <is>
          <t>UMEÅ</t>
        </is>
      </c>
      <c r="F756" t="inlineStr">
        <is>
          <t>Holmen skog AB</t>
        </is>
      </c>
      <c r="G756" t="n">
        <v>2.4</v>
      </c>
      <c r="H756" t="n">
        <v>0</v>
      </c>
      <c r="I756" t="n">
        <v>0</v>
      </c>
      <c r="J756" t="n">
        <v>0</v>
      </c>
      <c r="K756" t="n">
        <v>0</v>
      </c>
      <c r="L756" t="n">
        <v>0</v>
      </c>
      <c r="M756" t="n">
        <v>0</v>
      </c>
      <c r="N756" t="n">
        <v>0</v>
      </c>
      <c r="O756" t="n">
        <v>0</v>
      </c>
      <c r="P756" t="n">
        <v>0</v>
      </c>
      <c r="Q756" t="n">
        <v>0</v>
      </c>
      <c r="R756" s="2" t="inlineStr"/>
    </row>
    <row r="757" ht="15" customHeight="1">
      <c r="A757" t="inlineStr">
        <is>
          <t>A 1003-2025</t>
        </is>
      </c>
      <c r="B757" s="1" t="n">
        <v>45666.47462962963</v>
      </c>
      <c r="C757" s="1" t="n">
        <v>45928</v>
      </c>
      <c r="D757" t="inlineStr">
        <is>
          <t>VÄSTERBOTTENS LÄN</t>
        </is>
      </c>
      <c r="E757" t="inlineStr">
        <is>
          <t>UMEÅ</t>
        </is>
      </c>
      <c r="G757" t="n">
        <v>13.5</v>
      </c>
      <c r="H757" t="n">
        <v>0</v>
      </c>
      <c r="I757" t="n">
        <v>0</v>
      </c>
      <c r="J757" t="n">
        <v>0</v>
      </c>
      <c r="K757" t="n">
        <v>0</v>
      </c>
      <c r="L757" t="n">
        <v>0</v>
      </c>
      <c r="M757" t="n">
        <v>0</v>
      </c>
      <c r="N757" t="n">
        <v>0</v>
      </c>
      <c r="O757" t="n">
        <v>0</v>
      </c>
      <c r="P757" t="n">
        <v>0</v>
      </c>
      <c r="Q757" t="n">
        <v>0</v>
      </c>
      <c r="R757" s="2" t="inlineStr"/>
    </row>
    <row r="758" ht="15" customHeight="1">
      <c r="A758" t="inlineStr">
        <is>
          <t>A 54150-2024</t>
        </is>
      </c>
      <c r="B758" s="1" t="n">
        <v>45616</v>
      </c>
      <c r="C758" s="1" t="n">
        <v>45928</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14407-2023</t>
        </is>
      </c>
      <c r="B759" s="1" t="n">
        <v>45012.50180555556</v>
      </c>
      <c r="C759" s="1" t="n">
        <v>45928</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19831-2025</t>
        </is>
      </c>
      <c r="B760" s="1" t="n">
        <v>45771.46961805555</v>
      </c>
      <c r="C760" s="1" t="n">
        <v>45928</v>
      </c>
      <c r="D760" t="inlineStr">
        <is>
          <t>VÄSTERBOTTENS LÄN</t>
        </is>
      </c>
      <c r="E760" t="inlineStr">
        <is>
          <t>UMEÅ</t>
        </is>
      </c>
      <c r="G760" t="n">
        <v>1.5</v>
      </c>
      <c r="H760" t="n">
        <v>0</v>
      </c>
      <c r="I760" t="n">
        <v>0</v>
      </c>
      <c r="J760" t="n">
        <v>0</v>
      </c>
      <c r="K760" t="n">
        <v>0</v>
      </c>
      <c r="L760" t="n">
        <v>0</v>
      </c>
      <c r="M760" t="n">
        <v>0</v>
      </c>
      <c r="N760" t="n">
        <v>0</v>
      </c>
      <c r="O760" t="n">
        <v>0</v>
      </c>
      <c r="P760" t="n">
        <v>0</v>
      </c>
      <c r="Q760" t="n">
        <v>0</v>
      </c>
      <c r="R760" s="2" t="inlineStr"/>
    </row>
    <row r="761" ht="15" customHeight="1">
      <c r="A761" t="inlineStr">
        <is>
          <t>A 5280-2025</t>
        </is>
      </c>
      <c r="B761" s="1" t="n">
        <v>45692.43077546296</v>
      </c>
      <c r="C761" s="1" t="n">
        <v>45928</v>
      </c>
      <c r="D761" t="inlineStr">
        <is>
          <t>VÄSTERBOTTENS LÄN</t>
        </is>
      </c>
      <c r="E761" t="inlineStr">
        <is>
          <t>UMEÅ</t>
        </is>
      </c>
      <c r="G761" t="n">
        <v>2.5</v>
      </c>
      <c r="H761" t="n">
        <v>0</v>
      </c>
      <c r="I761" t="n">
        <v>0</v>
      </c>
      <c r="J761" t="n">
        <v>0</v>
      </c>
      <c r="K761" t="n">
        <v>0</v>
      </c>
      <c r="L761" t="n">
        <v>0</v>
      </c>
      <c r="M761" t="n">
        <v>0</v>
      </c>
      <c r="N761" t="n">
        <v>0</v>
      </c>
      <c r="O761" t="n">
        <v>0</v>
      </c>
      <c r="P761" t="n">
        <v>0</v>
      </c>
      <c r="Q761" t="n">
        <v>0</v>
      </c>
      <c r="R761" s="2" t="inlineStr"/>
    </row>
    <row r="762" ht="15" customHeight="1">
      <c r="A762" t="inlineStr">
        <is>
          <t>A 10587-2023</t>
        </is>
      </c>
      <c r="B762" s="1" t="n">
        <v>44984</v>
      </c>
      <c r="C762" s="1" t="n">
        <v>45928</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22538-2024</t>
        </is>
      </c>
      <c r="B763" s="1" t="n">
        <v>45447.46972222222</v>
      </c>
      <c r="C763" s="1" t="n">
        <v>45928</v>
      </c>
      <c r="D763" t="inlineStr">
        <is>
          <t>VÄSTERBOTTENS LÄN</t>
        </is>
      </c>
      <c r="E763" t="inlineStr">
        <is>
          <t>UMEÅ</t>
        </is>
      </c>
      <c r="F763" t="inlineStr">
        <is>
          <t>Holmen skog AB</t>
        </is>
      </c>
      <c r="G763" t="n">
        <v>7.1</v>
      </c>
      <c r="H763" t="n">
        <v>0</v>
      </c>
      <c r="I763" t="n">
        <v>0</v>
      </c>
      <c r="J763" t="n">
        <v>0</v>
      </c>
      <c r="K763" t="n">
        <v>0</v>
      </c>
      <c r="L763" t="n">
        <v>0</v>
      </c>
      <c r="M763" t="n">
        <v>0</v>
      </c>
      <c r="N763" t="n">
        <v>0</v>
      </c>
      <c r="O763" t="n">
        <v>0</v>
      </c>
      <c r="P763" t="n">
        <v>0</v>
      </c>
      <c r="Q763" t="n">
        <v>0</v>
      </c>
      <c r="R763" s="2" t="inlineStr"/>
    </row>
    <row r="764" ht="15" customHeight="1">
      <c r="A764" t="inlineStr">
        <is>
          <t>A 18108-2025</t>
        </is>
      </c>
      <c r="B764" s="1" t="n">
        <v>45761.56107638889</v>
      </c>
      <c r="C764" s="1" t="n">
        <v>45928</v>
      </c>
      <c r="D764" t="inlineStr">
        <is>
          <t>VÄSTERBOTTENS LÄN</t>
        </is>
      </c>
      <c r="E764" t="inlineStr">
        <is>
          <t>UMEÅ</t>
        </is>
      </c>
      <c r="F764" t="inlineStr">
        <is>
          <t>Holmen skog AB</t>
        </is>
      </c>
      <c r="G764" t="n">
        <v>3.5</v>
      </c>
      <c r="H764" t="n">
        <v>0</v>
      </c>
      <c r="I764" t="n">
        <v>0</v>
      </c>
      <c r="J764" t="n">
        <v>0</v>
      </c>
      <c r="K764" t="n">
        <v>0</v>
      </c>
      <c r="L764" t="n">
        <v>0</v>
      </c>
      <c r="M764" t="n">
        <v>0</v>
      </c>
      <c r="N764" t="n">
        <v>0</v>
      </c>
      <c r="O764" t="n">
        <v>0</v>
      </c>
      <c r="P764" t="n">
        <v>0</v>
      </c>
      <c r="Q764" t="n">
        <v>0</v>
      </c>
      <c r="R764" s="2" t="inlineStr"/>
    </row>
    <row r="765" ht="15" customHeight="1">
      <c r="A765" t="inlineStr">
        <is>
          <t>A 16903-2025</t>
        </is>
      </c>
      <c r="B765" s="1" t="n">
        <v>45755.34568287037</v>
      </c>
      <c r="C765" s="1" t="n">
        <v>45928</v>
      </c>
      <c r="D765" t="inlineStr">
        <is>
          <t>VÄSTERBOTTENS LÄN</t>
        </is>
      </c>
      <c r="E765" t="inlineStr">
        <is>
          <t>UMEÅ</t>
        </is>
      </c>
      <c r="G765" t="n">
        <v>0.7</v>
      </c>
      <c r="H765" t="n">
        <v>0</v>
      </c>
      <c r="I765" t="n">
        <v>0</v>
      </c>
      <c r="J765" t="n">
        <v>0</v>
      </c>
      <c r="K765" t="n">
        <v>0</v>
      </c>
      <c r="L765" t="n">
        <v>0</v>
      </c>
      <c r="M765" t="n">
        <v>0</v>
      </c>
      <c r="N765" t="n">
        <v>0</v>
      </c>
      <c r="O765" t="n">
        <v>0</v>
      </c>
      <c r="P765" t="n">
        <v>0</v>
      </c>
      <c r="Q765" t="n">
        <v>0</v>
      </c>
      <c r="R765" s="2" t="inlineStr"/>
    </row>
    <row r="766" ht="15" customHeight="1">
      <c r="A766" t="inlineStr">
        <is>
          <t>A 17945-2023</t>
        </is>
      </c>
      <c r="B766" s="1" t="n">
        <v>45037</v>
      </c>
      <c r="C766" s="1" t="n">
        <v>45928</v>
      </c>
      <c r="D766" t="inlineStr">
        <is>
          <t>VÄSTERBOTTENS LÄN</t>
        </is>
      </c>
      <c r="E766" t="inlineStr">
        <is>
          <t>UMEÅ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18861-2024</t>
        </is>
      </c>
      <c r="B767" s="1" t="n">
        <v>45426</v>
      </c>
      <c r="C767" s="1" t="n">
        <v>45928</v>
      </c>
      <c r="D767" t="inlineStr">
        <is>
          <t>VÄSTERBOTTENS LÄN</t>
        </is>
      </c>
      <c r="E767" t="inlineStr">
        <is>
          <t>UMEÅ</t>
        </is>
      </c>
      <c r="G767" t="n">
        <v>7.4</v>
      </c>
      <c r="H767" t="n">
        <v>0</v>
      </c>
      <c r="I767" t="n">
        <v>0</v>
      </c>
      <c r="J767" t="n">
        <v>0</v>
      </c>
      <c r="K767" t="n">
        <v>0</v>
      </c>
      <c r="L767" t="n">
        <v>0</v>
      </c>
      <c r="M767" t="n">
        <v>0</v>
      </c>
      <c r="N767" t="n">
        <v>0</v>
      </c>
      <c r="O767" t="n">
        <v>0</v>
      </c>
      <c r="P767" t="n">
        <v>0</v>
      </c>
      <c r="Q767" t="n">
        <v>0</v>
      </c>
      <c r="R767" s="2" t="inlineStr"/>
    </row>
    <row r="768" ht="15" customHeight="1">
      <c r="A768" t="inlineStr">
        <is>
          <t>A 15591-2023</t>
        </is>
      </c>
      <c r="B768" s="1" t="n">
        <v>45019</v>
      </c>
      <c r="C768" s="1" t="n">
        <v>45928</v>
      </c>
      <c r="D768" t="inlineStr">
        <is>
          <t>VÄSTERBOTTENS LÄN</t>
        </is>
      </c>
      <c r="E768" t="inlineStr">
        <is>
          <t>UMEÅ</t>
        </is>
      </c>
      <c r="F768" t="inlineStr">
        <is>
          <t>Kommuner</t>
        </is>
      </c>
      <c r="G768" t="n">
        <v>1.4</v>
      </c>
      <c r="H768" t="n">
        <v>0</v>
      </c>
      <c r="I768" t="n">
        <v>0</v>
      </c>
      <c r="J768" t="n">
        <v>0</v>
      </c>
      <c r="K768" t="n">
        <v>0</v>
      </c>
      <c r="L768" t="n">
        <v>0</v>
      </c>
      <c r="M768" t="n">
        <v>0</v>
      </c>
      <c r="N768" t="n">
        <v>0</v>
      </c>
      <c r="O768" t="n">
        <v>0</v>
      </c>
      <c r="P768" t="n">
        <v>0</v>
      </c>
      <c r="Q768" t="n">
        <v>0</v>
      </c>
      <c r="R768" s="2" t="inlineStr"/>
    </row>
    <row r="769" ht="15" customHeight="1">
      <c r="A769" t="inlineStr">
        <is>
          <t>A 32221-2024</t>
        </is>
      </c>
      <c r="B769" s="1" t="n">
        <v>45511</v>
      </c>
      <c r="C769" s="1" t="n">
        <v>45928</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55053-2023</t>
        </is>
      </c>
      <c r="B770" s="1" t="n">
        <v>45237</v>
      </c>
      <c r="C770" s="1" t="n">
        <v>45928</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56083-2024</t>
        </is>
      </c>
      <c r="B771" s="1" t="n">
        <v>45623</v>
      </c>
      <c r="C771" s="1" t="n">
        <v>45928</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9170-2021</t>
        </is>
      </c>
      <c r="B772" s="1" t="n">
        <v>44249</v>
      </c>
      <c r="C772" s="1" t="n">
        <v>45928</v>
      </c>
      <c r="D772" t="inlineStr">
        <is>
          <t>VÄSTERBOTTENS LÄN</t>
        </is>
      </c>
      <c r="E772" t="inlineStr">
        <is>
          <t>UMEÅ</t>
        </is>
      </c>
      <c r="G772" t="n">
        <v>4.1</v>
      </c>
      <c r="H772" t="n">
        <v>0</v>
      </c>
      <c r="I772" t="n">
        <v>0</v>
      </c>
      <c r="J772" t="n">
        <v>0</v>
      </c>
      <c r="K772" t="n">
        <v>0</v>
      </c>
      <c r="L772" t="n">
        <v>0</v>
      </c>
      <c r="M772" t="n">
        <v>0</v>
      </c>
      <c r="N772" t="n">
        <v>0</v>
      </c>
      <c r="O772" t="n">
        <v>0</v>
      </c>
      <c r="P772" t="n">
        <v>0</v>
      </c>
      <c r="Q772" t="n">
        <v>0</v>
      </c>
      <c r="R772" s="2" t="inlineStr"/>
    </row>
    <row r="773" ht="15" customHeight="1">
      <c r="A773" t="inlineStr">
        <is>
          <t>A 34991-2023</t>
        </is>
      </c>
      <c r="B773" s="1" t="n">
        <v>45142.80528935185</v>
      </c>
      <c r="C773" s="1" t="n">
        <v>45928</v>
      </c>
      <c r="D773" t="inlineStr">
        <is>
          <t>VÄSTERBOTTENS LÄN</t>
        </is>
      </c>
      <c r="E773" t="inlineStr">
        <is>
          <t>UMEÅ</t>
        </is>
      </c>
      <c r="G773" t="n">
        <v>6.9</v>
      </c>
      <c r="H773" t="n">
        <v>0</v>
      </c>
      <c r="I773" t="n">
        <v>0</v>
      </c>
      <c r="J773" t="n">
        <v>0</v>
      </c>
      <c r="K773" t="n">
        <v>0</v>
      </c>
      <c r="L773" t="n">
        <v>0</v>
      </c>
      <c r="M773" t="n">
        <v>0</v>
      </c>
      <c r="N773" t="n">
        <v>0</v>
      </c>
      <c r="O773" t="n">
        <v>0</v>
      </c>
      <c r="P773" t="n">
        <v>0</v>
      </c>
      <c r="Q773" t="n">
        <v>0</v>
      </c>
      <c r="R773" s="2" t="inlineStr"/>
    </row>
    <row r="774" ht="15" customHeight="1">
      <c r="A774" t="inlineStr">
        <is>
          <t>A 27246-2025</t>
        </is>
      </c>
      <c r="B774" s="1" t="n">
        <v>45812.46246527778</v>
      </c>
      <c r="C774" s="1" t="n">
        <v>45928</v>
      </c>
      <c r="D774" t="inlineStr">
        <is>
          <t>VÄSTERBOTTENS LÄN</t>
        </is>
      </c>
      <c r="E774" t="inlineStr">
        <is>
          <t>UMEÅ</t>
        </is>
      </c>
      <c r="G774" t="n">
        <v>7.2</v>
      </c>
      <c r="H774" t="n">
        <v>0</v>
      </c>
      <c r="I774" t="n">
        <v>0</v>
      </c>
      <c r="J774" t="n">
        <v>0</v>
      </c>
      <c r="K774" t="n">
        <v>0</v>
      </c>
      <c r="L774" t="n">
        <v>0</v>
      </c>
      <c r="M774" t="n">
        <v>0</v>
      </c>
      <c r="N774" t="n">
        <v>0</v>
      </c>
      <c r="O774" t="n">
        <v>0</v>
      </c>
      <c r="P774" t="n">
        <v>0</v>
      </c>
      <c r="Q774" t="n">
        <v>0</v>
      </c>
      <c r="R774" s="2" t="inlineStr"/>
    </row>
    <row r="775" ht="15" customHeight="1">
      <c r="A775" t="inlineStr">
        <is>
          <t>A 28860-2024</t>
        </is>
      </c>
      <c r="B775" s="1" t="n">
        <v>45478.92875</v>
      </c>
      <c r="C775" s="1" t="n">
        <v>45928</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26930-2025</t>
        </is>
      </c>
      <c r="B776" s="1" t="n">
        <v>45811.39753472222</v>
      </c>
      <c r="C776" s="1" t="n">
        <v>45928</v>
      </c>
      <c r="D776" t="inlineStr">
        <is>
          <t>VÄSTERBOTTENS LÄN</t>
        </is>
      </c>
      <c r="E776" t="inlineStr">
        <is>
          <t>UMEÅ</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29000-2024</t>
        </is>
      </c>
      <c r="B777" s="1" t="n">
        <v>45481.50622685185</v>
      </c>
      <c r="C777" s="1" t="n">
        <v>45928</v>
      </c>
      <c r="D777" t="inlineStr">
        <is>
          <t>VÄSTERBOTTENS LÄN</t>
        </is>
      </c>
      <c r="E777" t="inlineStr">
        <is>
          <t>UMEÅ</t>
        </is>
      </c>
      <c r="G777" t="n">
        <v>1</v>
      </c>
      <c r="H777" t="n">
        <v>0</v>
      </c>
      <c r="I777" t="n">
        <v>0</v>
      </c>
      <c r="J777" t="n">
        <v>0</v>
      </c>
      <c r="K777" t="n">
        <v>0</v>
      </c>
      <c r="L777" t="n">
        <v>0</v>
      </c>
      <c r="M777" t="n">
        <v>0</v>
      </c>
      <c r="N777" t="n">
        <v>0</v>
      </c>
      <c r="O777" t="n">
        <v>0</v>
      </c>
      <c r="P777" t="n">
        <v>0</v>
      </c>
      <c r="Q777" t="n">
        <v>0</v>
      </c>
      <c r="R777" s="2" t="inlineStr"/>
    </row>
    <row r="778" ht="15" customHeight="1">
      <c r="A778" t="inlineStr">
        <is>
          <t>A 56085-2024</t>
        </is>
      </c>
      <c r="B778" s="1" t="n">
        <v>45623</v>
      </c>
      <c r="C778" s="1" t="n">
        <v>45928</v>
      </c>
      <c r="D778" t="inlineStr">
        <is>
          <t>VÄSTERBOTTENS LÄN</t>
        </is>
      </c>
      <c r="E778" t="inlineStr">
        <is>
          <t>UMEÅ</t>
        </is>
      </c>
      <c r="G778" t="n">
        <v>1.4</v>
      </c>
      <c r="H778" t="n">
        <v>0</v>
      </c>
      <c r="I778" t="n">
        <v>0</v>
      </c>
      <c r="J778" t="n">
        <v>0</v>
      </c>
      <c r="K778" t="n">
        <v>0</v>
      </c>
      <c r="L778" t="n">
        <v>0</v>
      </c>
      <c r="M778" t="n">
        <v>0</v>
      </c>
      <c r="N778" t="n">
        <v>0</v>
      </c>
      <c r="O778" t="n">
        <v>0</v>
      </c>
      <c r="P778" t="n">
        <v>0</v>
      </c>
      <c r="Q778" t="n">
        <v>0</v>
      </c>
      <c r="R778" s="2" t="inlineStr"/>
    </row>
    <row r="779" ht="15" customHeight="1">
      <c r="A779" t="inlineStr">
        <is>
          <t>A 27172-2025</t>
        </is>
      </c>
      <c r="B779" s="1" t="n">
        <v>45812.34858796297</v>
      </c>
      <c r="C779" s="1" t="n">
        <v>45928</v>
      </c>
      <c r="D779" t="inlineStr">
        <is>
          <t>VÄSTERBOTTENS LÄN</t>
        </is>
      </c>
      <c r="E779" t="inlineStr">
        <is>
          <t>UMEÅ</t>
        </is>
      </c>
      <c r="G779" t="n">
        <v>3.6</v>
      </c>
      <c r="H779" t="n">
        <v>0</v>
      </c>
      <c r="I779" t="n">
        <v>0</v>
      </c>
      <c r="J779" t="n">
        <v>0</v>
      </c>
      <c r="K779" t="n">
        <v>0</v>
      </c>
      <c r="L779" t="n">
        <v>0</v>
      </c>
      <c r="M779" t="n">
        <v>0</v>
      </c>
      <c r="N779" t="n">
        <v>0</v>
      </c>
      <c r="O779" t="n">
        <v>0</v>
      </c>
      <c r="P779" t="n">
        <v>0</v>
      </c>
      <c r="Q779" t="n">
        <v>0</v>
      </c>
      <c r="R779" s="2" t="inlineStr"/>
    </row>
    <row r="780" ht="15" customHeight="1">
      <c r="A780" t="inlineStr">
        <is>
          <t>A 27173-2025</t>
        </is>
      </c>
      <c r="B780" s="1" t="n">
        <v>45812.34997685185</v>
      </c>
      <c r="C780" s="1" t="n">
        <v>45928</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23718-2024</t>
        </is>
      </c>
      <c r="B781" s="1" t="n">
        <v>45454.81177083333</v>
      </c>
      <c r="C781" s="1" t="n">
        <v>45928</v>
      </c>
      <c r="D781" t="inlineStr">
        <is>
          <t>VÄSTERBOTTENS LÄN</t>
        </is>
      </c>
      <c r="E781" t="inlineStr">
        <is>
          <t>UMEÅ</t>
        </is>
      </c>
      <c r="F781" t="inlineStr">
        <is>
          <t>Holmen skog AB</t>
        </is>
      </c>
      <c r="G781" t="n">
        <v>3.3</v>
      </c>
      <c r="H781" t="n">
        <v>0</v>
      </c>
      <c r="I781" t="n">
        <v>0</v>
      </c>
      <c r="J781" t="n">
        <v>0</v>
      </c>
      <c r="K781" t="n">
        <v>0</v>
      </c>
      <c r="L781" t="n">
        <v>0</v>
      </c>
      <c r="M781" t="n">
        <v>0</v>
      </c>
      <c r="N781" t="n">
        <v>0</v>
      </c>
      <c r="O781" t="n">
        <v>0</v>
      </c>
      <c r="P781" t="n">
        <v>0</v>
      </c>
      <c r="Q781" t="n">
        <v>0</v>
      </c>
      <c r="R781" s="2" t="inlineStr"/>
    </row>
    <row r="782" ht="15" customHeight="1">
      <c r="A782" t="inlineStr">
        <is>
          <t>A 43976-2024</t>
        </is>
      </c>
      <c r="B782" s="1" t="n">
        <v>45572</v>
      </c>
      <c r="C782" s="1" t="n">
        <v>45928</v>
      </c>
      <c r="D782" t="inlineStr">
        <is>
          <t>VÄSTERBOTTENS LÄN</t>
        </is>
      </c>
      <c r="E782" t="inlineStr">
        <is>
          <t>UMEÅ</t>
        </is>
      </c>
      <c r="G782" t="n">
        <v>0.5</v>
      </c>
      <c r="H782" t="n">
        <v>0</v>
      </c>
      <c r="I782" t="n">
        <v>0</v>
      </c>
      <c r="J782" t="n">
        <v>0</v>
      </c>
      <c r="K782" t="n">
        <v>0</v>
      </c>
      <c r="L782" t="n">
        <v>0</v>
      </c>
      <c r="M782" t="n">
        <v>0</v>
      </c>
      <c r="N782" t="n">
        <v>0</v>
      </c>
      <c r="O782" t="n">
        <v>0</v>
      </c>
      <c r="P782" t="n">
        <v>0</v>
      </c>
      <c r="Q782" t="n">
        <v>0</v>
      </c>
      <c r="R782" s="2" t="inlineStr"/>
    </row>
    <row r="783" ht="15" customHeight="1">
      <c r="A783" t="inlineStr">
        <is>
          <t>A 43977-2024</t>
        </is>
      </c>
      <c r="B783" s="1" t="n">
        <v>45572.49082175926</v>
      </c>
      <c r="C783" s="1" t="n">
        <v>45928</v>
      </c>
      <c r="D783" t="inlineStr">
        <is>
          <t>VÄSTERBOTTENS LÄN</t>
        </is>
      </c>
      <c r="E783" t="inlineStr">
        <is>
          <t>UMEÅ</t>
        </is>
      </c>
      <c r="G783" t="n">
        <v>3.3</v>
      </c>
      <c r="H783" t="n">
        <v>0</v>
      </c>
      <c r="I783" t="n">
        <v>0</v>
      </c>
      <c r="J783" t="n">
        <v>0</v>
      </c>
      <c r="K783" t="n">
        <v>0</v>
      </c>
      <c r="L783" t="n">
        <v>0</v>
      </c>
      <c r="M783" t="n">
        <v>0</v>
      </c>
      <c r="N783" t="n">
        <v>0</v>
      </c>
      <c r="O783" t="n">
        <v>0</v>
      </c>
      <c r="P783" t="n">
        <v>0</v>
      </c>
      <c r="Q783" t="n">
        <v>0</v>
      </c>
      <c r="R783" s="2" t="inlineStr"/>
    </row>
    <row r="784" ht="15" customHeight="1">
      <c r="A784" t="inlineStr">
        <is>
          <t>A 17989-2023</t>
        </is>
      </c>
      <c r="B784" s="1" t="n">
        <v>45040</v>
      </c>
      <c r="C784" s="1" t="n">
        <v>45928</v>
      </c>
      <c r="D784" t="inlineStr">
        <is>
          <t>VÄSTERBOTTENS LÄN</t>
        </is>
      </c>
      <c r="E784" t="inlineStr">
        <is>
          <t>UMEÅ</t>
        </is>
      </c>
      <c r="F784" t="inlineStr">
        <is>
          <t>Kommuner</t>
        </is>
      </c>
      <c r="G784" t="n">
        <v>1.1</v>
      </c>
      <c r="H784" t="n">
        <v>0</v>
      </c>
      <c r="I784" t="n">
        <v>0</v>
      </c>
      <c r="J784" t="n">
        <v>0</v>
      </c>
      <c r="K784" t="n">
        <v>0</v>
      </c>
      <c r="L784" t="n">
        <v>0</v>
      </c>
      <c r="M784" t="n">
        <v>0</v>
      </c>
      <c r="N784" t="n">
        <v>0</v>
      </c>
      <c r="O784" t="n">
        <v>0</v>
      </c>
      <c r="P784" t="n">
        <v>0</v>
      </c>
      <c r="Q784" t="n">
        <v>0</v>
      </c>
      <c r="R784" s="2" t="inlineStr"/>
    </row>
    <row r="785" ht="15" customHeight="1">
      <c r="A785" t="inlineStr">
        <is>
          <t>A 27681-2025</t>
        </is>
      </c>
      <c r="B785" s="1" t="n">
        <v>45813.646875</v>
      </c>
      <c r="C785" s="1" t="n">
        <v>45928</v>
      </c>
      <c r="D785" t="inlineStr">
        <is>
          <t>VÄSTERBOTTENS LÄN</t>
        </is>
      </c>
      <c r="E785" t="inlineStr">
        <is>
          <t>UMEÅ</t>
        </is>
      </c>
      <c r="G785" t="n">
        <v>6.9</v>
      </c>
      <c r="H785" t="n">
        <v>0</v>
      </c>
      <c r="I785" t="n">
        <v>0</v>
      </c>
      <c r="J785" t="n">
        <v>0</v>
      </c>
      <c r="K785" t="n">
        <v>0</v>
      </c>
      <c r="L785" t="n">
        <v>0</v>
      </c>
      <c r="M785" t="n">
        <v>0</v>
      </c>
      <c r="N785" t="n">
        <v>0</v>
      </c>
      <c r="O785" t="n">
        <v>0</v>
      </c>
      <c r="P785" t="n">
        <v>0</v>
      </c>
      <c r="Q785" t="n">
        <v>0</v>
      </c>
      <c r="R785" s="2" t="inlineStr"/>
    </row>
    <row r="786" ht="15" customHeight="1">
      <c r="A786" t="inlineStr">
        <is>
          <t>A 64355-2021</t>
        </is>
      </c>
      <c r="B786" s="1" t="n">
        <v>44511</v>
      </c>
      <c r="C786" s="1" t="n">
        <v>45928</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27689-2025</t>
        </is>
      </c>
      <c r="B787" s="1" t="n">
        <v>45813.65648148148</v>
      </c>
      <c r="C787" s="1" t="n">
        <v>45928</v>
      </c>
      <c r="D787" t="inlineStr">
        <is>
          <t>VÄSTERBOTTENS LÄN</t>
        </is>
      </c>
      <c r="E787" t="inlineStr">
        <is>
          <t>UMEÅ</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54152-2024</t>
        </is>
      </c>
      <c r="B788" s="1" t="n">
        <v>45616</v>
      </c>
      <c r="C788" s="1" t="n">
        <v>45928</v>
      </c>
      <c r="D788" t="inlineStr">
        <is>
          <t>VÄSTERBOTTENS LÄN</t>
        </is>
      </c>
      <c r="E788" t="inlineStr">
        <is>
          <t>UMEÅ</t>
        </is>
      </c>
      <c r="G788" t="n">
        <v>0.4</v>
      </c>
      <c r="H788" t="n">
        <v>0</v>
      </c>
      <c r="I788" t="n">
        <v>0</v>
      </c>
      <c r="J788" t="n">
        <v>0</v>
      </c>
      <c r="K788" t="n">
        <v>0</v>
      </c>
      <c r="L788" t="n">
        <v>0</v>
      </c>
      <c r="M788" t="n">
        <v>0</v>
      </c>
      <c r="N788" t="n">
        <v>0</v>
      </c>
      <c r="O788" t="n">
        <v>0</v>
      </c>
      <c r="P788" t="n">
        <v>0</v>
      </c>
      <c r="Q788" t="n">
        <v>0</v>
      </c>
      <c r="R788" s="2" t="inlineStr"/>
    </row>
    <row r="789" ht="15" customHeight="1">
      <c r="A789" t="inlineStr">
        <is>
          <t>A 48448-2024</t>
        </is>
      </c>
      <c r="B789" s="1" t="n">
        <v>45590.70138888889</v>
      </c>
      <c r="C789" s="1" t="n">
        <v>45928</v>
      </c>
      <c r="D789" t="inlineStr">
        <is>
          <t>VÄSTERBOTTENS LÄN</t>
        </is>
      </c>
      <c r="E789" t="inlineStr">
        <is>
          <t>UMEÅ</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19219-2025</t>
        </is>
      </c>
      <c r="B790" s="1" t="n">
        <v>45769.44732638889</v>
      </c>
      <c r="C790" s="1" t="n">
        <v>45928</v>
      </c>
      <c r="D790" t="inlineStr">
        <is>
          <t>VÄSTERBOTTENS LÄN</t>
        </is>
      </c>
      <c r="E790" t="inlineStr">
        <is>
          <t>UMEÅ</t>
        </is>
      </c>
      <c r="G790" t="n">
        <v>1.4</v>
      </c>
      <c r="H790" t="n">
        <v>0</v>
      </c>
      <c r="I790" t="n">
        <v>0</v>
      </c>
      <c r="J790" t="n">
        <v>0</v>
      </c>
      <c r="K790" t="n">
        <v>0</v>
      </c>
      <c r="L790" t="n">
        <v>0</v>
      </c>
      <c r="M790" t="n">
        <v>0</v>
      </c>
      <c r="N790" t="n">
        <v>0</v>
      </c>
      <c r="O790" t="n">
        <v>0</v>
      </c>
      <c r="P790" t="n">
        <v>0</v>
      </c>
      <c r="Q790" t="n">
        <v>0</v>
      </c>
      <c r="R790" s="2" t="inlineStr"/>
    </row>
    <row r="791" ht="15" customHeight="1">
      <c r="A791" t="inlineStr">
        <is>
          <t>A 41177-2024</t>
        </is>
      </c>
      <c r="B791" s="1" t="n">
        <v>45559.49118055555</v>
      </c>
      <c r="C791" s="1" t="n">
        <v>45928</v>
      </c>
      <c r="D791" t="inlineStr">
        <is>
          <t>VÄSTERBOTTENS LÄN</t>
        </is>
      </c>
      <c r="E791" t="inlineStr">
        <is>
          <t>UMEÅ</t>
        </is>
      </c>
      <c r="G791" t="n">
        <v>9.6</v>
      </c>
      <c r="H791" t="n">
        <v>0</v>
      </c>
      <c r="I791" t="n">
        <v>0</v>
      </c>
      <c r="J791" t="n">
        <v>0</v>
      </c>
      <c r="K791" t="n">
        <v>0</v>
      </c>
      <c r="L791" t="n">
        <v>0</v>
      </c>
      <c r="M791" t="n">
        <v>0</v>
      </c>
      <c r="N791" t="n">
        <v>0</v>
      </c>
      <c r="O791" t="n">
        <v>0</v>
      </c>
      <c r="P791" t="n">
        <v>0</v>
      </c>
      <c r="Q791" t="n">
        <v>0</v>
      </c>
      <c r="R791" s="2" t="inlineStr"/>
    </row>
    <row r="792" ht="15" customHeight="1">
      <c r="A792" t="inlineStr">
        <is>
          <t>A 1502-2025</t>
        </is>
      </c>
      <c r="B792" s="1" t="n">
        <v>45670.42223379629</v>
      </c>
      <c r="C792" s="1" t="n">
        <v>45928</v>
      </c>
      <c r="D792" t="inlineStr">
        <is>
          <t>VÄSTERBOTTENS LÄN</t>
        </is>
      </c>
      <c r="E792" t="inlineStr">
        <is>
          <t>UMEÅ</t>
        </is>
      </c>
      <c r="G792" t="n">
        <v>8.9</v>
      </c>
      <c r="H792" t="n">
        <v>0</v>
      </c>
      <c r="I792" t="n">
        <v>0</v>
      </c>
      <c r="J792" t="n">
        <v>0</v>
      </c>
      <c r="K792" t="n">
        <v>0</v>
      </c>
      <c r="L792" t="n">
        <v>0</v>
      </c>
      <c r="M792" t="n">
        <v>0</v>
      </c>
      <c r="N792" t="n">
        <v>0</v>
      </c>
      <c r="O792" t="n">
        <v>0</v>
      </c>
      <c r="P792" t="n">
        <v>0</v>
      </c>
      <c r="Q792" t="n">
        <v>0</v>
      </c>
      <c r="R792" s="2" t="inlineStr"/>
    </row>
    <row r="793" ht="15" customHeight="1">
      <c r="A793" t="inlineStr">
        <is>
          <t>A 21081-2024</t>
        </is>
      </c>
      <c r="B793" s="1" t="n">
        <v>45439</v>
      </c>
      <c r="C793" s="1" t="n">
        <v>45928</v>
      </c>
      <c r="D793" t="inlineStr">
        <is>
          <t>VÄSTERBOTTENS LÄN</t>
        </is>
      </c>
      <c r="E793" t="inlineStr">
        <is>
          <t>UMEÅ</t>
        </is>
      </c>
      <c r="G793" t="n">
        <v>3</v>
      </c>
      <c r="H793" t="n">
        <v>0</v>
      </c>
      <c r="I793" t="n">
        <v>0</v>
      </c>
      <c r="J793" t="n">
        <v>0</v>
      </c>
      <c r="K793" t="n">
        <v>0</v>
      </c>
      <c r="L793" t="n">
        <v>0</v>
      </c>
      <c r="M793" t="n">
        <v>0</v>
      </c>
      <c r="N793" t="n">
        <v>0</v>
      </c>
      <c r="O793" t="n">
        <v>0</v>
      </c>
      <c r="P793" t="n">
        <v>0</v>
      </c>
      <c r="Q793" t="n">
        <v>0</v>
      </c>
      <c r="R793" s="2" t="inlineStr"/>
    </row>
    <row r="794" ht="15" customHeight="1">
      <c r="A794" t="inlineStr">
        <is>
          <t>A 58256-2023</t>
        </is>
      </c>
      <c r="B794" s="1" t="n">
        <v>45250.48440972222</v>
      </c>
      <c r="C794" s="1" t="n">
        <v>45928</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28832-2025</t>
        </is>
      </c>
      <c r="B795" s="1" t="n">
        <v>45820.55613425926</v>
      </c>
      <c r="C795" s="1" t="n">
        <v>45928</v>
      </c>
      <c r="D795" t="inlineStr">
        <is>
          <t>VÄSTERBOTTENS LÄN</t>
        </is>
      </c>
      <c r="E795" t="inlineStr">
        <is>
          <t>UMEÅ</t>
        </is>
      </c>
      <c r="G795" t="n">
        <v>4.6</v>
      </c>
      <c r="H795" t="n">
        <v>0</v>
      </c>
      <c r="I795" t="n">
        <v>0</v>
      </c>
      <c r="J795" t="n">
        <v>0</v>
      </c>
      <c r="K795" t="n">
        <v>0</v>
      </c>
      <c r="L795" t="n">
        <v>0</v>
      </c>
      <c r="M795" t="n">
        <v>0</v>
      </c>
      <c r="N795" t="n">
        <v>0</v>
      </c>
      <c r="O795" t="n">
        <v>0</v>
      </c>
      <c r="P795" t="n">
        <v>0</v>
      </c>
      <c r="Q795" t="n">
        <v>0</v>
      </c>
      <c r="R795" s="2" t="inlineStr"/>
    </row>
    <row r="796" ht="15" customHeight="1">
      <c r="A796" t="inlineStr">
        <is>
          <t>A 22159-2025</t>
        </is>
      </c>
      <c r="B796" s="1" t="n">
        <v>45785.58716435185</v>
      </c>
      <c r="C796" s="1" t="n">
        <v>45928</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28836-2025</t>
        </is>
      </c>
      <c r="B797" s="1" t="n">
        <v>45820.55875</v>
      </c>
      <c r="C797" s="1" t="n">
        <v>45928</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28827-2025</t>
        </is>
      </c>
      <c r="B798" s="1" t="n">
        <v>45820.55162037037</v>
      </c>
      <c r="C798" s="1" t="n">
        <v>45928</v>
      </c>
      <c r="D798" t="inlineStr">
        <is>
          <t>VÄSTERBOTTENS LÄN</t>
        </is>
      </c>
      <c r="E798" t="inlineStr">
        <is>
          <t>UMEÅ</t>
        </is>
      </c>
      <c r="G798" t="n">
        <v>3.1</v>
      </c>
      <c r="H798" t="n">
        <v>0</v>
      </c>
      <c r="I798" t="n">
        <v>0</v>
      </c>
      <c r="J798" t="n">
        <v>0</v>
      </c>
      <c r="K798" t="n">
        <v>0</v>
      </c>
      <c r="L798" t="n">
        <v>0</v>
      </c>
      <c r="M798" t="n">
        <v>0</v>
      </c>
      <c r="N798" t="n">
        <v>0</v>
      </c>
      <c r="O798" t="n">
        <v>0</v>
      </c>
      <c r="P798" t="n">
        <v>0</v>
      </c>
      <c r="Q798" t="n">
        <v>0</v>
      </c>
      <c r="R798" s="2" t="inlineStr"/>
    </row>
    <row r="799" ht="15" customHeight="1">
      <c r="A799" t="inlineStr">
        <is>
          <t>A 29330-2025</t>
        </is>
      </c>
      <c r="B799" s="1" t="n">
        <v>45824.48680555556</v>
      </c>
      <c r="C799" s="1" t="n">
        <v>45928</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29344-2025</t>
        </is>
      </c>
      <c r="B800" s="1" t="n">
        <v>45824.50795138889</v>
      </c>
      <c r="C800" s="1" t="n">
        <v>45928</v>
      </c>
      <c r="D800" t="inlineStr">
        <is>
          <t>VÄSTERBOTTENS LÄN</t>
        </is>
      </c>
      <c r="E800" t="inlineStr">
        <is>
          <t>UMEÅ</t>
        </is>
      </c>
      <c r="G800" t="n">
        <v>8</v>
      </c>
      <c r="H800" t="n">
        <v>0</v>
      </c>
      <c r="I800" t="n">
        <v>0</v>
      </c>
      <c r="J800" t="n">
        <v>0</v>
      </c>
      <c r="K800" t="n">
        <v>0</v>
      </c>
      <c r="L800" t="n">
        <v>0</v>
      </c>
      <c r="M800" t="n">
        <v>0</v>
      </c>
      <c r="N800" t="n">
        <v>0</v>
      </c>
      <c r="O800" t="n">
        <v>0</v>
      </c>
      <c r="P800" t="n">
        <v>0</v>
      </c>
      <c r="Q800" t="n">
        <v>0</v>
      </c>
      <c r="R800" s="2" t="inlineStr"/>
    </row>
    <row r="801" ht="15" customHeight="1">
      <c r="A801" t="inlineStr">
        <is>
          <t>A 29327-2025</t>
        </is>
      </c>
      <c r="B801" s="1" t="n">
        <v>45824.48300925926</v>
      </c>
      <c r="C801" s="1" t="n">
        <v>45928</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29352-2025</t>
        </is>
      </c>
      <c r="B802" s="1" t="n">
        <v>45824.54091435186</v>
      </c>
      <c r="C802" s="1" t="n">
        <v>45928</v>
      </c>
      <c r="D802" t="inlineStr">
        <is>
          <t>VÄSTERBOTTENS LÄN</t>
        </is>
      </c>
      <c r="E802" t="inlineStr">
        <is>
          <t>UMEÅ</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29283-2025</t>
        </is>
      </c>
      <c r="B803" s="1" t="n">
        <v>45824.43114583333</v>
      </c>
      <c r="C803" s="1" t="n">
        <v>45928</v>
      </c>
      <c r="D803" t="inlineStr">
        <is>
          <t>VÄSTERBOTTENS LÄN</t>
        </is>
      </c>
      <c r="E803" t="inlineStr">
        <is>
          <t>UMEÅ</t>
        </is>
      </c>
      <c r="G803" t="n">
        <v>3</v>
      </c>
      <c r="H803" t="n">
        <v>0</v>
      </c>
      <c r="I803" t="n">
        <v>0</v>
      </c>
      <c r="J803" t="n">
        <v>0</v>
      </c>
      <c r="K803" t="n">
        <v>0</v>
      </c>
      <c r="L803" t="n">
        <v>0</v>
      </c>
      <c r="M803" t="n">
        <v>0</v>
      </c>
      <c r="N803" t="n">
        <v>0</v>
      </c>
      <c r="O803" t="n">
        <v>0</v>
      </c>
      <c r="P803" t="n">
        <v>0</v>
      </c>
      <c r="Q803" t="n">
        <v>0</v>
      </c>
      <c r="R803" s="2" t="inlineStr"/>
    </row>
    <row r="804" ht="15" customHeight="1">
      <c r="A804" t="inlineStr">
        <is>
          <t>A 29096-2025</t>
        </is>
      </c>
      <c r="B804" s="1" t="n">
        <v>45821.56319444445</v>
      </c>
      <c r="C804" s="1" t="n">
        <v>45928</v>
      </c>
      <c r="D804" t="inlineStr">
        <is>
          <t>VÄSTERBOTTENS LÄN</t>
        </is>
      </c>
      <c r="E804" t="inlineStr">
        <is>
          <t>UMEÅ</t>
        </is>
      </c>
      <c r="G804" t="n">
        <v>5.6</v>
      </c>
      <c r="H804" t="n">
        <v>0</v>
      </c>
      <c r="I804" t="n">
        <v>0</v>
      </c>
      <c r="J804" t="n">
        <v>0</v>
      </c>
      <c r="K804" t="n">
        <v>0</v>
      </c>
      <c r="L804" t="n">
        <v>0</v>
      </c>
      <c r="M804" t="n">
        <v>0</v>
      </c>
      <c r="N804" t="n">
        <v>0</v>
      </c>
      <c r="O804" t="n">
        <v>0</v>
      </c>
      <c r="P804" t="n">
        <v>0</v>
      </c>
      <c r="Q804" t="n">
        <v>0</v>
      </c>
      <c r="R804" s="2" t="inlineStr"/>
    </row>
    <row r="805" ht="15" customHeight="1">
      <c r="A805" t="inlineStr">
        <is>
          <t>A 29219-2025</t>
        </is>
      </c>
      <c r="B805" s="1" t="n">
        <v>45824.31930555555</v>
      </c>
      <c r="C805" s="1" t="n">
        <v>45928</v>
      </c>
      <c r="D805" t="inlineStr">
        <is>
          <t>VÄSTERBOTTENS LÄN</t>
        </is>
      </c>
      <c r="E805" t="inlineStr">
        <is>
          <t>UMEÅ</t>
        </is>
      </c>
      <c r="F805" t="inlineStr">
        <is>
          <t>Holmen skog AB</t>
        </is>
      </c>
      <c r="G805" t="n">
        <v>12.1</v>
      </c>
      <c r="H805" t="n">
        <v>0</v>
      </c>
      <c r="I805" t="n">
        <v>0</v>
      </c>
      <c r="J805" t="n">
        <v>0</v>
      </c>
      <c r="K805" t="n">
        <v>0</v>
      </c>
      <c r="L805" t="n">
        <v>0</v>
      </c>
      <c r="M805" t="n">
        <v>0</v>
      </c>
      <c r="N805" t="n">
        <v>0</v>
      </c>
      <c r="O805" t="n">
        <v>0</v>
      </c>
      <c r="P805" t="n">
        <v>0</v>
      </c>
      <c r="Q805" t="n">
        <v>0</v>
      </c>
      <c r="R805" s="2" t="inlineStr"/>
    </row>
    <row r="806" ht="15" customHeight="1">
      <c r="A806" t="inlineStr">
        <is>
          <t>A 48714-2024</t>
        </is>
      </c>
      <c r="B806" s="1" t="n">
        <v>45593.54328703704</v>
      </c>
      <c r="C806" s="1" t="n">
        <v>45928</v>
      </c>
      <c r="D806" t="inlineStr">
        <is>
          <t>VÄSTERBOTTENS LÄN</t>
        </is>
      </c>
      <c r="E806" t="inlineStr">
        <is>
          <t>UMEÅ</t>
        </is>
      </c>
      <c r="F806" t="inlineStr">
        <is>
          <t>Holmen skog AB</t>
        </is>
      </c>
      <c r="G806" t="n">
        <v>1</v>
      </c>
      <c r="H806" t="n">
        <v>0</v>
      </c>
      <c r="I806" t="n">
        <v>0</v>
      </c>
      <c r="J806" t="n">
        <v>0</v>
      </c>
      <c r="K806" t="n">
        <v>0</v>
      </c>
      <c r="L806" t="n">
        <v>0</v>
      </c>
      <c r="M806" t="n">
        <v>0</v>
      </c>
      <c r="N806" t="n">
        <v>0</v>
      </c>
      <c r="O806" t="n">
        <v>0</v>
      </c>
      <c r="P806" t="n">
        <v>0</v>
      </c>
      <c r="Q806" t="n">
        <v>0</v>
      </c>
      <c r="R806" s="2" t="inlineStr"/>
    </row>
    <row r="807" ht="15" customHeight="1">
      <c r="A807" t="inlineStr">
        <is>
          <t>A 18010-2025</t>
        </is>
      </c>
      <c r="B807" s="1" t="n">
        <v>45761.43072916667</v>
      </c>
      <c r="C807" s="1" t="n">
        <v>45928</v>
      </c>
      <c r="D807" t="inlineStr">
        <is>
          <t>VÄSTERBOTTENS LÄN</t>
        </is>
      </c>
      <c r="E807" t="inlineStr">
        <is>
          <t>UMEÅ</t>
        </is>
      </c>
      <c r="F807" t="inlineStr">
        <is>
          <t>Holmen skog AB</t>
        </is>
      </c>
      <c r="G807" t="n">
        <v>1.5</v>
      </c>
      <c r="H807" t="n">
        <v>0</v>
      </c>
      <c r="I807" t="n">
        <v>0</v>
      </c>
      <c r="J807" t="n">
        <v>0</v>
      </c>
      <c r="K807" t="n">
        <v>0</v>
      </c>
      <c r="L807" t="n">
        <v>0</v>
      </c>
      <c r="M807" t="n">
        <v>0</v>
      </c>
      <c r="N807" t="n">
        <v>0</v>
      </c>
      <c r="O807" t="n">
        <v>0</v>
      </c>
      <c r="P807" t="n">
        <v>0</v>
      </c>
      <c r="Q807" t="n">
        <v>0</v>
      </c>
      <c r="R807" s="2" t="inlineStr"/>
    </row>
    <row r="808" ht="15" customHeight="1">
      <c r="A808" t="inlineStr">
        <is>
          <t>A 29925-2025</t>
        </is>
      </c>
      <c r="B808" s="1" t="n">
        <v>45826.42918981481</v>
      </c>
      <c r="C808" s="1" t="n">
        <v>45928</v>
      </c>
      <c r="D808" t="inlineStr">
        <is>
          <t>VÄSTERBOTTENS LÄN</t>
        </is>
      </c>
      <c r="E808" t="inlineStr">
        <is>
          <t>UMEÅ</t>
        </is>
      </c>
      <c r="G808" t="n">
        <v>8.4</v>
      </c>
      <c r="H808" t="n">
        <v>0</v>
      </c>
      <c r="I808" t="n">
        <v>0</v>
      </c>
      <c r="J808" t="n">
        <v>0</v>
      </c>
      <c r="K808" t="n">
        <v>0</v>
      </c>
      <c r="L808" t="n">
        <v>0</v>
      </c>
      <c r="M808" t="n">
        <v>0</v>
      </c>
      <c r="N808" t="n">
        <v>0</v>
      </c>
      <c r="O808" t="n">
        <v>0</v>
      </c>
      <c r="P808" t="n">
        <v>0</v>
      </c>
      <c r="Q808" t="n">
        <v>0</v>
      </c>
      <c r="R808" s="2" t="inlineStr"/>
    </row>
    <row r="809" ht="15" customHeight="1">
      <c r="A809" t="inlineStr">
        <is>
          <t>A 29774-2025</t>
        </is>
      </c>
      <c r="B809" s="1" t="n">
        <v>45825.63641203703</v>
      </c>
      <c r="C809" s="1" t="n">
        <v>45928</v>
      </c>
      <c r="D809" t="inlineStr">
        <is>
          <t>VÄSTERBOTTENS LÄN</t>
        </is>
      </c>
      <c r="E809" t="inlineStr">
        <is>
          <t>UMEÅ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29583-2025</t>
        </is>
      </c>
      <c r="B810" s="1" t="n">
        <v>45825.38503472223</v>
      </c>
      <c r="C810" s="1" t="n">
        <v>45928</v>
      </c>
      <c r="D810" t="inlineStr">
        <is>
          <t>VÄSTERBOTTENS LÄN</t>
        </is>
      </c>
      <c r="E810" t="inlineStr">
        <is>
          <t>UMEÅ</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8575-2025</t>
        </is>
      </c>
      <c r="B811" s="1" t="n">
        <v>45709.66362268518</v>
      </c>
      <c r="C811" s="1" t="n">
        <v>45928</v>
      </c>
      <c r="D811" t="inlineStr">
        <is>
          <t>VÄSTERBOTTENS LÄN</t>
        </is>
      </c>
      <c r="E811" t="inlineStr">
        <is>
          <t>UMEÅ</t>
        </is>
      </c>
      <c r="G811" t="n">
        <v>2.4</v>
      </c>
      <c r="H811" t="n">
        <v>0</v>
      </c>
      <c r="I811" t="n">
        <v>0</v>
      </c>
      <c r="J811" t="n">
        <v>0</v>
      </c>
      <c r="K811" t="n">
        <v>0</v>
      </c>
      <c r="L811" t="n">
        <v>0</v>
      </c>
      <c r="M811" t="n">
        <v>0</v>
      </c>
      <c r="N811" t="n">
        <v>0</v>
      </c>
      <c r="O811" t="n">
        <v>0</v>
      </c>
      <c r="P811" t="n">
        <v>0</v>
      </c>
      <c r="Q811" t="n">
        <v>0</v>
      </c>
      <c r="R811" s="2" t="inlineStr"/>
    </row>
    <row r="812" ht="15" customHeight="1">
      <c r="A812" t="inlineStr">
        <is>
          <t>A 29932-2025</t>
        </is>
      </c>
      <c r="B812" s="1" t="n">
        <v>45826.43984953704</v>
      </c>
      <c r="C812" s="1" t="n">
        <v>45928</v>
      </c>
      <c r="D812" t="inlineStr">
        <is>
          <t>VÄSTERBOTTENS LÄN</t>
        </is>
      </c>
      <c r="E812" t="inlineStr">
        <is>
          <t>UMEÅ</t>
        </is>
      </c>
      <c r="G812" t="n">
        <v>2.9</v>
      </c>
      <c r="H812" t="n">
        <v>0</v>
      </c>
      <c r="I812" t="n">
        <v>0</v>
      </c>
      <c r="J812" t="n">
        <v>0</v>
      </c>
      <c r="K812" t="n">
        <v>0</v>
      </c>
      <c r="L812" t="n">
        <v>0</v>
      </c>
      <c r="M812" t="n">
        <v>0</v>
      </c>
      <c r="N812" t="n">
        <v>0</v>
      </c>
      <c r="O812" t="n">
        <v>0</v>
      </c>
      <c r="P812" t="n">
        <v>0</v>
      </c>
      <c r="Q812" t="n">
        <v>0</v>
      </c>
      <c r="R812" s="2" t="inlineStr"/>
    </row>
    <row r="813" ht="15" customHeight="1">
      <c r="A813" t="inlineStr">
        <is>
          <t>A 29704-2025</t>
        </is>
      </c>
      <c r="B813" s="1" t="n">
        <v>45825.55847222222</v>
      </c>
      <c r="C813" s="1" t="n">
        <v>45928</v>
      </c>
      <c r="D813" t="inlineStr">
        <is>
          <t>VÄSTERBOTTENS LÄN</t>
        </is>
      </c>
      <c r="E813" t="inlineStr">
        <is>
          <t>UMEÅ</t>
        </is>
      </c>
      <c r="F813" t="inlineStr">
        <is>
          <t>Holmen skog AB</t>
        </is>
      </c>
      <c r="G813" t="n">
        <v>35.1</v>
      </c>
      <c r="H813" t="n">
        <v>0</v>
      </c>
      <c r="I813" t="n">
        <v>0</v>
      </c>
      <c r="J813" t="n">
        <v>0</v>
      </c>
      <c r="K813" t="n">
        <v>0</v>
      </c>
      <c r="L813" t="n">
        <v>0</v>
      </c>
      <c r="M813" t="n">
        <v>0</v>
      </c>
      <c r="N813" t="n">
        <v>0</v>
      </c>
      <c r="O813" t="n">
        <v>0</v>
      </c>
      <c r="P813" t="n">
        <v>0</v>
      </c>
      <c r="Q813" t="n">
        <v>0</v>
      </c>
      <c r="R813" s="2" t="inlineStr"/>
    </row>
    <row r="814" ht="15" customHeight="1">
      <c r="A814" t="inlineStr">
        <is>
          <t>A 29502-2025</t>
        </is>
      </c>
      <c r="B814" s="1" t="n">
        <v>45825.29293981481</v>
      </c>
      <c r="C814" s="1" t="n">
        <v>45928</v>
      </c>
      <c r="D814" t="inlineStr">
        <is>
          <t>VÄSTERBOTTENS LÄN</t>
        </is>
      </c>
      <c r="E814" t="inlineStr">
        <is>
          <t>UMEÅ</t>
        </is>
      </c>
      <c r="F814" t="inlineStr">
        <is>
          <t>Holmen skog AB</t>
        </is>
      </c>
      <c r="G814" t="n">
        <v>5.8</v>
      </c>
      <c r="H814" t="n">
        <v>0</v>
      </c>
      <c r="I814" t="n">
        <v>0</v>
      </c>
      <c r="J814" t="n">
        <v>0</v>
      </c>
      <c r="K814" t="n">
        <v>0</v>
      </c>
      <c r="L814" t="n">
        <v>0</v>
      </c>
      <c r="M814" t="n">
        <v>0</v>
      </c>
      <c r="N814" t="n">
        <v>0</v>
      </c>
      <c r="O814" t="n">
        <v>0</v>
      </c>
      <c r="P814" t="n">
        <v>0</v>
      </c>
      <c r="Q814" t="n">
        <v>0</v>
      </c>
      <c r="R814" s="2" t="inlineStr"/>
    </row>
    <row r="815" ht="15" customHeight="1">
      <c r="A815" t="inlineStr">
        <is>
          <t>A 5374-2022</t>
        </is>
      </c>
      <c r="B815" s="1" t="n">
        <v>44594.92151620371</v>
      </c>
      <c r="C815" s="1" t="n">
        <v>45928</v>
      </c>
      <c r="D815" t="inlineStr">
        <is>
          <t>VÄSTERBOTTENS LÄN</t>
        </is>
      </c>
      <c r="E815" t="inlineStr">
        <is>
          <t>UMEÅ</t>
        </is>
      </c>
      <c r="G815" t="n">
        <v>4.6</v>
      </c>
      <c r="H815" t="n">
        <v>0</v>
      </c>
      <c r="I815" t="n">
        <v>0</v>
      </c>
      <c r="J815" t="n">
        <v>0</v>
      </c>
      <c r="K815" t="n">
        <v>0</v>
      </c>
      <c r="L815" t="n">
        <v>0</v>
      </c>
      <c r="M815" t="n">
        <v>0</v>
      </c>
      <c r="N815" t="n">
        <v>0</v>
      </c>
      <c r="O815" t="n">
        <v>0</v>
      </c>
      <c r="P815" t="n">
        <v>0</v>
      </c>
      <c r="Q815" t="n">
        <v>0</v>
      </c>
      <c r="R815" s="2" t="inlineStr"/>
    </row>
    <row r="816" ht="15" customHeight="1">
      <c r="A816" t="inlineStr">
        <is>
          <t>A 30215-2025</t>
        </is>
      </c>
      <c r="B816" s="1" t="n">
        <v>45827.36939814815</v>
      </c>
      <c r="C816" s="1" t="n">
        <v>45928</v>
      </c>
      <c r="D816" t="inlineStr">
        <is>
          <t>VÄSTERBOTTENS LÄN</t>
        </is>
      </c>
      <c r="E816" t="inlineStr">
        <is>
          <t>UMEÅ</t>
        </is>
      </c>
      <c r="G816" t="n">
        <v>2.5</v>
      </c>
      <c r="H816" t="n">
        <v>0</v>
      </c>
      <c r="I816" t="n">
        <v>0</v>
      </c>
      <c r="J816" t="n">
        <v>0</v>
      </c>
      <c r="K816" t="n">
        <v>0</v>
      </c>
      <c r="L816" t="n">
        <v>0</v>
      </c>
      <c r="M816" t="n">
        <v>0</v>
      </c>
      <c r="N816" t="n">
        <v>0</v>
      </c>
      <c r="O816" t="n">
        <v>0</v>
      </c>
      <c r="P816" t="n">
        <v>0</v>
      </c>
      <c r="Q816" t="n">
        <v>0</v>
      </c>
      <c r="R816" s="2" t="inlineStr"/>
    </row>
    <row r="817" ht="15" customHeight="1">
      <c r="A817" t="inlineStr">
        <is>
          <t>A 30263-2025</t>
        </is>
      </c>
      <c r="B817" s="1" t="n">
        <v>45827.43445601852</v>
      </c>
      <c r="C817" s="1" t="n">
        <v>45928</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11109-2022</t>
        </is>
      </c>
      <c r="B818" s="1" t="n">
        <v>44628.92515046296</v>
      </c>
      <c r="C818" s="1" t="n">
        <v>45928</v>
      </c>
      <c r="D818" t="inlineStr">
        <is>
          <t>VÄSTERBOTTENS LÄN</t>
        </is>
      </c>
      <c r="E818" t="inlineStr">
        <is>
          <t>UMEÅ</t>
        </is>
      </c>
      <c r="G818" t="n">
        <v>3.8</v>
      </c>
      <c r="H818" t="n">
        <v>0</v>
      </c>
      <c r="I818" t="n">
        <v>0</v>
      </c>
      <c r="J818" t="n">
        <v>0</v>
      </c>
      <c r="K818" t="n">
        <v>0</v>
      </c>
      <c r="L818" t="n">
        <v>0</v>
      </c>
      <c r="M818" t="n">
        <v>0</v>
      </c>
      <c r="N818" t="n">
        <v>0</v>
      </c>
      <c r="O818" t="n">
        <v>0</v>
      </c>
      <c r="P818" t="n">
        <v>0</v>
      </c>
      <c r="Q818" t="n">
        <v>0</v>
      </c>
      <c r="R818" s="2" t="inlineStr"/>
    </row>
    <row r="819" ht="15" customHeight="1">
      <c r="A819" t="inlineStr">
        <is>
          <t>A 43972-2024</t>
        </is>
      </c>
      <c r="B819" s="1" t="n">
        <v>45572.49057870371</v>
      </c>
      <c r="C819" s="1" t="n">
        <v>45928</v>
      </c>
      <c r="D819" t="inlineStr">
        <is>
          <t>VÄSTERBOTTENS LÄN</t>
        </is>
      </c>
      <c r="E819" t="inlineStr">
        <is>
          <t>UMEÅ</t>
        </is>
      </c>
      <c r="G819" t="n">
        <v>1.6</v>
      </c>
      <c r="H819" t="n">
        <v>0</v>
      </c>
      <c r="I819" t="n">
        <v>0</v>
      </c>
      <c r="J819" t="n">
        <v>0</v>
      </c>
      <c r="K819" t="n">
        <v>0</v>
      </c>
      <c r="L819" t="n">
        <v>0</v>
      </c>
      <c r="M819" t="n">
        <v>0</v>
      </c>
      <c r="N819" t="n">
        <v>0</v>
      </c>
      <c r="O819" t="n">
        <v>0</v>
      </c>
      <c r="P819" t="n">
        <v>0</v>
      </c>
      <c r="Q819" t="n">
        <v>0</v>
      </c>
      <c r="R819" s="2" t="inlineStr"/>
    </row>
    <row r="820" ht="15" customHeight="1">
      <c r="A820" t="inlineStr">
        <is>
          <t>A 43973-2024</t>
        </is>
      </c>
      <c r="B820" s="1" t="n">
        <v>45572.49059027778</v>
      </c>
      <c r="C820" s="1" t="n">
        <v>45928</v>
      </c>
      <c r="D820" t="inlineStr">
        <is>
          <t>VÄSTERBOTTENS LÄN</t>
        </is>
      </c>
      <c r="E820" t="inlineStr">
        <is>
          <t>UMEÅ</t>
        </is>
      </c>
      <c r="G820" t="n">
        <v>2.9</v>
      </c>
      <c r="H820" t="n">
        <v>0</v>
      </c>
      <c r="I820" t="n">
        <v>0</v>
      </c>
      <c r="J820" t="n">
        <v>0</v>
      </c>
      <c r="K820" t="n">
        <v>0</v>
      </c>
      <c r="L820" t="n">
        <v>0</v>
      </c>
      <c r="M820" t="n">
        <v>0</v>
      </c>
      <c r="N820" t="n">
        <v>0</v>
      </c>
      <c r="O820" t="n">
        <v>0</v>
      </c>
      <c r="P820" t="n">
        <v>0</v>
      </c>
      <c r="Q820" t="n">
        <v>0</v>
      </c>
      <c r="R820" s="2" t="inlineStr"/>
    </row>
    <row r="821" ht="15" customHeight="1">
      <c r="A821" t="inlineStr">
        <is>
          <t>A 60179-2024</t>
        </is>
      </c>
      <c r="B821" s="1" t="n">
        <v>45642.63862268518</v>
      </c>
      <c r="C821" s="1" t="n">
        <v>45928</v>
      </c>
      <c r="D821" t="inlineStr">
        <is>
          <t>VÄSTERBOTTENS LÄN</t>
        </is>
      </c>
      <c r="E821" t="inlineStr">
        <is>
          <t>UMEÅ</t>
        </is>
      </c>
      <c r="G821" t="n">
        <v>3.4</v>
      </c>
      <c r="H821" t="n">
        <v>0</v>
      </c>
      <c r="I821" t="n">
        <v>0</v>
      </c>
      <c r="J821" t="n">
        <v>0</v>
      </c>
      <c r="K821" t="n">
        <v>0</v>
      </c>
      <c r="L821" t="n">
        <v>0</v>
      </c>
      <c r="M821" t="n">
        <v>0</v>
      </c>
      <c r="N821" t="n">
        <v>0</v>
      </c>
      <c r="O821" t="n">
        <v>0</v>
      </c>
      <c r="P821" t="n">
        <v>0</v>
      </c>
      <c r="Q821" t="n">
        <v>0</v>
      </c>
      <c r="R821" s="2" t="inlineStr"/>
    </row>
    <row r="822" ht="15" customHeight="1">
      <c r="A822" t="inlineStr">
        <is>
          <t>A 16330-2023</t>
        </is>
      </c>
      <c r="B822" s="1" t="n">
        <v>45028</v>
      </c>
      <c r="C822" s="1" t="n">
        <v>45928</v>
      </c>
      <c r="D822" t="inlineStr">
        <is>
          <t>VÄSTERBOTTENS LÄN</t>
        </is>
      </c>
      <c r="E822" t="inlineStr">
        <is>
          <t>UMEÅ</t>
        </is>
      </c>
      <c r="F822" t="inlineStr">
        <is>
          <t>Holmen skog AB</t>
        </is>
      </c>
      <c r="G822" t="n">
        <v>3.7</v>
      </c>
      <c r="H822" t="n">
        <v>0</v>
      </c>
      <c r="I822" t="n">
        <v>0</v>
      </c>
      <c r="J822" t="n">
        <v>0</v>
      </c>
      <c r="K822" t="n">
        <v>0</v>
      </c>
      <c r="L822" t="n">
        <v>0</v>
      </c>
      <c r="M822" t="n">
        <v>0</v>
      </c>
      <c r="N822" t="n">
        <v>0</v>
      </c>
      <c r="O822" t="n">
        <v>0</v>
      </c>
      <c r="P822" t="n">
        <v>0</v>
      </c>
      <c r="Q822" t="n">
        <v>0</v>
      </c>
      <c r="R822" s="2" t="inlineStr"/>
    </row>
    <row r="823" ht="15" customHeight="1">
      <c r="A823" t="inlineStr">
        <is>
          <t>A 30803-2025</t>
        </is>
      </c>
      <c r="B823" s="1" t="n">
        <v>45831.65424768518</v>
      </c>
      <c r="C823" s="1" t="n">
        <v>45928</v>
      </c>
      <c r="D823" t="inlineStr">
        <is>
          <t>VÄSTERBOTTENS LÄN</t>
        </is>
      </c>
      <c r="E823" t="inlineStr">
        <is>
          <t>UMEÅ</t>
        </is>
      </c>
      <c r="G823" t="n">
        <v>6.3</v>
      </c>
      <c r="H823" t="n">
        <v>0</v>
      </c>
      <c r="I823" t="n">
        <v>0</v>
      </c>
      <c r="J823" t="n">
        <v>0</v>
      </c>
      <c r="K823" t="n">
        <v>0</v>
      </c>
      <c r="L823" t="n">
        <v>0</v>
      </c>
      <c r="M823" t="n">
        <v>0</v>
      </c>
      <c r="N823" t="n">
        <v>0</v>
      </c>
      <c r="O823" t="n">
        <v>0</v>
      </c>
      <c r="P823" t="n">
        <v>0</v>
      </c>
      <c r="Q823" t="n">
        <v>0</v>
      </c>
      <c r="R823" s="2" t="inlineStr"/>
    </row>
    <row r="824" ht="15" customHeight="1">
      <c r="A824" t="inlineStr">
        <is>
          <t>A 46849-2023</t>
        </is>
      </c>
      <c r="B824" s="1" t="n">
        <v>45199.87405092592</v>
      </c>
      <c r="C824" s="1" t="n">
        <v>45928</v>
      </c>
      <c r="D824" t="inlineStr">
        <is>
          <t>VÄSTERBOTTENS LÄN</t>
        </is>
      </c>
      <c r="E824" t="inlineStr">
        <is>
          <t>UMEÅ</t>
        </is>
      </c>
      <c r="G824" t="n">
        <v>1.6</v>
      </c>
      <c r="H824" t="n">
        <v>0</v>
      </c>
      <c r="I824" t="n">
        <v>0</v>
      </c>
      <c r="J824" t="n">
        <v>0</v>
      </c>
      <c r="K824" t="n">
        <v>0</v>
      </c>
      <c r="L824" t="n">
        <v>0</v>
      </c>
      <c r="M824" t="n">
        <v>0</v>
      </c>
      <c r="N824" t="n">
        <v>0</v>
      </c>
      <c r="O824" t="n">
        <v>0</v>
      </c>
      <c r="P824" t="n">
        <v>0</v>
      </c>
      <c r="Q824" t="n">
        <v>0</v>
      </c>
      <c r="R824" s="2" t="inlineStr"/>
    </row>
    <row r="825" ht="15" customHeight="1">
      <c r="A825" t="inlineStr">
        <is>
          <t>A 31037-2025</t>
        </is>
      </c>
      <c r="B825" s="1" t="n">
        <v>45832.54769675926</v>
      </c>
      <c r="C825" s="1" t="n">
        <v>45928</v>
      </c>
      <c r="D825" t="inlineStr">
        <is>
          <t>VÄSTERBOTTENS LÄN</t>
        </is>
      </c>
      <c r="E825" t="inlineStr">
        <is>
          <t>UMEÅ</t>
        </is>
      </c>
      <c r="G825" t="n">
        <v>5</v>
      </c>
      <c r="H825" t="n">
        <v>0</v>
      </c>
      <c r="I825" t="n">
        <v>0</v>
      </c>
      <c r="J825" t="n">
        <v>0</v>
      </c>
      <c r="K825" t="n">
        <v>0</v>
      </c>
      <c r="L825" t="n">
        <v>0</v>
      </c>
      <c r="M825" t="n">
        <v>0</v>
      </c>
      <c r="N825" t="n">
        <v>0</v>
      </c>
      <c r="O825" t="n">
        <v>0</v>
      </c>
      <c r="P825" t="n">
        <v>0</v>
      </c>
      <c r="Q825" t="n">
        <v>0</v>
      </c>
      <c r="R825" s="2" t="inlineStr"/>
    </row>
    <row r="826" ht="15" customHeight="1">
      <c r="A826" t="inlineStr">
        <is>
          <t>A 31154-2025</t>
        </is>
      </c>
      <c r="B826" s="1" t="n">
        <v>45832.64778935185</v>
      </c>
      <c r="C826" s="1" t="n">
        <v>45928</v>
      </c>
      <c r="D826" t="inlineStr">
        <is>
          <t>VÄSTERBOTTENS LÄN</t>
        </is>
      </c>
      <c r="E826" t="inlineStr">
        <is>
          <t>UMEÅ</t>
        </is>
      </c>
      <c r="F826" t="inlineStr">
        <is>
          <t>Holmen skog AB</t>
        </is>
      </c>
      <c r="G826" t="n">
        <v>28.5</v>
      </c>
      <c r="H826" t="n">
        <v>0</v>
      </c>
      <c r="I826" t="n">
        <v>0</v>
      </c>
      <c r="J826" t="n">
        <v>0</v>
      </c>
      <c r="K826" t="n">
        <v>0</v>
      </c>
      <c r="L826" t="n">
        <v>0</v>
      </c>
      <c r="M826" t="n">
        <v>0</v>
      </c>
      <c r="N826" t="n">
        <v>0</v>
      </c>
      <c r="O826" t="n">
        <v>0</v>
      </c>
      <c r="P826" t="n">
        <v>0</v>
      </c>
      <c r="Q826" t="n">
        <v>0</v>
      </c>
      <c r="R826" s="2" t="inlineStr"/>
    </row>
    <row r="827" ht="15" customHeight="1">
      <c r="A827" t="inlineStr">
        <is>
          <t>A 30645-2025</t>
        </is>
      </c>
      <c r="B827" s="1" t="n">
        <v>45831.48987268518</v>
      </c>
      <c r="C827" s="1" t="n">
        <v>45928</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30960-2025</t>
        </is>
      </c>
      <c r="B828" s="1" t="n">
        <v>45832.44204861111</v>
      </c>
      <c r="C828" s="1" t="n">
        <v>45928</v>
      </c>
      <c r="D828" t="inlineStr">
        <is>
          <t>VÄSTERBOTTENS LÄN</t>
        </is>
      </c>
      <c r="E828" t="inlineStr">
        <is>
          <t>UMEÅ</t>
        </is>
      </c>
      <c r="G828" t="n">
        <v>4</v>
      </c>
      <c r="H828" t="n">
        <v>0</v>
      </c>
      <c r="I828" t="n">
        <v>0</v>
      </c>
      <c r="J828" t="n">
        <v>0</v>
      </c>
      <c r="K828" t="n">
        <v>0</v>
      </c>
      <c r="L828" t="n">
        <v>0</v>
      </c>
      <c r="M828" t="n">
        <v>0</v>
      </c>
      <c r="N828" t="n">
        <v>0</v>
      </c>
      <c r="O828" t="n">
        <v>0</v>
      </c>
      <c r="P828" t="n">
        <v>0</v>
      </c>
      <c r="Q828" t="n">
        <v>0</v>
      </c>
      <c r="R828" s="2" t="inlineStr"/>
    </row>
    <row r="829" ht="15" customHeight="1">
      <c r="A829" t="inlineStr">
        <is>
          <t>A 21084-2024</t>
        </is>
      </c>
      <c r="B829" s="1" t="n">
        <v>45439</v>
      </c>
      <c r="C829" s="1" t="n">
        <v>45928</v>
      </c>
      <c r="D829" t="inlineStr">
        <is>
          <t>VÄSTERBOTTENS LÄN</t>
        </is>
      </c>
      <c r="E829" t="inlineStr">
        <is>
          <t>UMEÅ</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31599-2025</t>
        </is>
      </c>
      <c r="B830" s="1" t="n">
        <v>45833.72009259259</v>
      </c>
      <c r="C830" s="1" t="n">
        <v>45928</v>
      </c>
      <c r="D830" t="inlineStr">
        <is>
          <t>VÄSTERBOTTENS LÄN</t>
        </is>
      </c>
      <c r="E830" t="inlineStr">
        <is>
          <t>UMEÅ</t>
        </is>
      </c>
      <c r="G830" t="n">
        <v>0.9</v>
      </c>
      <c r="H830" t="n">
        <v>0</v>
      </c>
      <c r="I830" t="n">
        <v>0</v>
      </c>
      <c r="J830" t="n">
        <v>0</v>
      </c>
      <c r="K830" t="n">
        <v>0</v>
      </c>
      <c r="L830" t="n">
        <v>0</v>
      </c>
      <c r="M830" t="n">
        <v>0</v>
      </c>
      <c r="N830" t="n">
        <v>0</v>
      </c>
      <c r="O830" t="n">
        <v>0</v>
      </c>
      <c r="P830" t="n">
        <v>0</v>
      </c>
      <c r="Q830" t="n">
        <v>0</v>
      </c>
      <c r="R830" s="2" t="inlineStr"/>
    </row>
    <row r="831" ht="15" customHeight="1">
      <c r="A831" t="inlineStr">
        <is>
          <t>A 31805-2025</t>
        </is>
      </c>
      <c r="B831" s="1" t="n">
        <v>45834.55314814814</v>
      </c>
      <c r="C831" s="1" t="n">
        <v>45928</v>
      </c>
      <c r="D831" t="inlineStr">
        <is>
          <t>VÄSTERBOTTENS LÄN</t>
        </is>
      </c>
      <c r="E831" t="inlineStr">
        <is>
          <t>UMEÅ</t>
        </is>
      </c>
      <c r="G831" t="n">
        <v>3.5</v>
      </c>
      <c r="H831" t="n">
        <v>0</v>
      </c>
      <c r="I831" t="n">
        <v>0</v>
      </c>
      <c r="J831" t="n">
        <v>0</v>
      </c>
      <c r="K831" t="n">
        <v>0</v>
      </c>
      <c r="L831" t="n">
        <v>0</v>
      </c>
      <c r="M831" t="n">
        <v>0</v>
      </c>
      <c r="N831" t="n">
        <v>0</v>
      </c>
      <c r="O831" t="n">
        <v>0</v>
      </c>
      <c r="P831" t="n">
        <v>0</v>
      </c>
      <c r="Q831" t="n">
        <v>0</v>
      </c>
      <c r="R831" s="2" t="inlineStr"/>
    </row>
    <row r="832" ht="15" customHeight="1">
      <c r="A832" t="inlineStr">
        <is>
          <t>A 22000-2023</t>
        </is>
      </c>
      <c r="B832" s="1" t="n">
        <v>45068.92700231481</v>
      </c>
      <c r="C832" s="1" t="n">
        <v>45928</v>
      </c>
      <c r="D832" t="inlineStr">
        <is>
          <t>VÄSTERBOTTENS LÄN</t>
        </is>
      </c>
      <c r="E832" t="inlineStr">
        <is>
          <t>UMEÅ</t>
        </is>
      </c>
      <c r="G832" t="n">
        <v>4.4</v>
      </c>
      <c r="H832" t="n">
        <v>0</v>
      </c>
      <c r="I832" t="n">
        <v>0</v>
      </c>
      <c r="J832" t="n">
        <v>0</v>
      </c>
      <c r="K832" t="n">
        <v>0</v>
      </c>
      <c r="L832" t="n">
        <v>0</v>
      </c>
      <c r="M832" t="n">
        <v>0</v>
      </c>
      <c r="N832" t="n">
        <v>0</v>
      </c>
      <c r="O832" t="n">
        <v>0</v>
      </c>
      <c r="P832" t="n">
        <v>0</v>
      </c>
      <c r="Q832" t="n">
        <v>0</v>
      </c>
      <c r="R832" s="2" t="inlineStr"/>
    </row>
    <row r="833" ht="15" customHeight="1">
      <c r="A833" t="inlineStr">
        <is>
          <t>A 2148-2024</t>
        </is>
      </c>
      <c r="B833" s="1" t="n">
        <v>45309</v>
      </c>
      <c r="C833" s="1" t="n">
        <v>45928</v>
      </c>
      <c r="D833" t="inlineStr">
        <is>
          <t>VÄSTERBOTTENS LÄN</t>
        </is>
      </c>
      <c r="E833" t="inlineStr">
        <is>
          <t>UMEÅ</t>
        </is>
      </c>
      <c r="G833" t="n">
        <v>2.9</v>
      </c>
      <c r="H833" t="n">
        <v>0</v>
      </c>
      <c r="I833" t="n">
        <v>0</v>
      </c>
      <c r="J833" t="n">
        <v>0</v>
      </c>
      <c r="K833" t="n">
        <v>0</v>
      </c>
      <c r="L833" t="n">
        <v>0</v>
      </c>
      <c r="M833" t="n">
        <v>0</v>
      </c>
      <c r="N833" t="n">
        <v>0</v>
      </c>
      <c r="O833" t="n">
        <v>0</v>
      </c>
      <c r="P833" t="n">
        <v>0</v>
      </c>
      <c r="Q833" t="n">
        <v>0</v>
      </c>
      <c r="R833" s="2" t="inlineStr"/>
    </row>
    <row r="834" ht="15" customHeight="1">
      <c r="A834" t="inlineStr">
        <is>
          <t>A 73537-2021</t>
        </is>
      </c>
      <c r="B834" s="1" t="n">
        <v>44550</v>
      </c>
      <c r="C834" s="1" t="n">
        <v>45928</v>
      </c>
      <c r="D834" t="inlineStr">
        <is>
          <t>VÄSTERBOTTENS LÄN</t>
        </is>
      </c>
      <c r="E834" t="inlineStr">
        <is>
          <t>UMEÅ</t>
        </is>
      </c>
      <c r="G834" t="n">
        <v>2.6</v>
      </c>
      <c r="H834" t="n">
        <v>0</v>
      </c>
      <c r="I834" t="n">
        <v>0</v>
      </c>
      <c r="J834" t="n">
        <v>0</v>
      </c>
      <c r="K834" t="n">
        <v>0</v>
      </c>
      <c r="L834" t="n">
        <v>0</v>
      </c>
      <c r="M834" t="n">
        <v>0</v>
      </c>
      <c r="N834" t="n">
        <v>0</v>
      </c>
      <c r="O834" t="n">
        <v>0</v>
      </c>
      <c r="P834" t="n">
        <v>0</v>
      </c>
      <c r="Q834" t="n">
        <v>0</v>
      </c>
      <c r="R834" s="2" t="inlineStr"/>
    </row>
    <row r="835" ht="15" customHeight="1">
      <c r="A835" t="inlineStr">
        <is>
          <t>A 19200-2023</t>
        </is>
      </c>
      <c r="B835" s="1" t="n">
        <v>45048</v>
      </c>
      <c r="C835" s="1" t="n">
        <v>45928</v>
      </c>
      <c r="D835" t="inlineStr">
        <is>
          <t>VÄSTERBOTTENS LÄN</t>
        </is>
      </c>
      <c r="E835" t="inlineStr">
        <is>
          <t>UMEÅ</t>
        </is>
      </c>
      <c r="G835" t="n">
        <v>0.2</v>
      </c>
      <c r="H835" t="n">
        <v>0</v>
      </c>
      <c r="I835" t="n">
        <v>0</v>
      </c>
      <c r="J835" t="n">
        <v>0</v>
      </c>
      <c r="K835" t="n">
        <v>0</v>
      </c>
      <c r="L835" t="n">
        <v>0</v>
      </c>
      <c r="M835" t="n">
        <v>0</v>
      </c>
      <c r="N835" t="n">
        <v>0</v>
      </c>
      <c r="O835" t="n">
        <v>0</v>
      </c>
      <c r="P835" t="n">
        <v>0</v>
      </c>
      <c r="Q835" t="n">
        <v>0</v>
      </c>
      <c r="R835" s="2" t="inlineStr"/>
    </row>
    <row r="836" ht="15" customHeight="1">
      <c r="A836" t="inlineStr">
        <is>
          <t>A 31859-2025</t>
        </is>
      </c>
      <c r="B836" s="1" t="n">
        <v>45834.6284375</v>
      </c>
      <c r="C836" s="1" t="n">
        <v>45928</v>
      </c>
      <c r="D836" t="inlineStr">
        <is>
          <t>VÄSTERBOTTENS LÄN</t>
        </is>
      </c>
      <c r="E836" t="inlineStr">
        <is>
          <t>UMEÅ</t>
        </is>
      </c>
      <c r="G836" t="n">
        <v>0.8</v>
      </c>
      <c r="H836" t="n">
        <v>0</v>
      </c>
      <c r="I836" t="n">
        <v>0</v>
      </c>
      <c r="J836" t="n">
        <v>0</v>
      </c>
      <c r="K836" t="n">
        <v>0</v>
      </c>
      <c r="L836" t="n">
        <v>0</v>
      </c>
      <c r="M836" t="n">
        <v>0</v>
      </c>
      <c r="N836" t="n">
        <v>0</v>
      </c>
      <c r="O836" t="n">
        <v>0</v>
      </c>
      <c r="P836" t="n">
        <v>0</v>
      </c>
      <c r="Q836" t="n">
        <v>0</v>
      </c>
      <c r="R836" s="2" t="inlineStr"/>
    </row>
    <row r="837" ht="15" customHeight="1">
      <c r="A837" t="inlineStr">
        <is>
          <t>A 31241-2025</t>
        </is>
      </c>
      <c r="B837" s="1" t="n">
        <v>45832.86366898148</v>
      </c>
      <c r="C837" s="1" t="n">
        <v>45928</v>
      </c>
      <c r="D837" t="inlineStr">
        <is>
          <t>VÄSTERBOTTENS LÄN</t>
        </is>
      </c>
      <c r="E837" t="inlineStr">
        <is>
          <t>UMEÅ</t>
        </is>
      </c>
      <c r="F837" t="inlineStr">
        <is>
          <t>Holmen skog AB</t>
        </is>
      </c>
      <c r="G837" t="n">
        <v>3.4</v>
      </c>
      <c r="H837" t="n">
        <v>0</v>
      </c>
      <c r="I837" t="n">
        <v>0</v>
      </c>
      <c r="J837" t="n">
        <v>0</v>
      </c>
      <c r="K837" t="n">
        <v>0</v>
      </c>
      <c r="L837" t="n">
        <v>0</v>
      </c>
      <c r="M837" t="n">
        <v>0</v>
      </c>
      <c r="N837" t="n">
        <v>0</v>
      </c>
      <c r="O837" t="n">
        <v>0</v>
      </c>
      <c r="P837" t="n">
        <v>0</v>
      </c>
      <c r="Q837" t="n">
        <v>0</v>
      </c>
      <c r="R837" s="2" t="inlineStr"/>
    </row>
    <row r="838" ht="15" customHeight="1">
      <c r="A838" t="inlineStr">
        <is>
          <t>A 26617-2024</t>
        </is>
      </c>
      <c r="B838" s="1" t="n">
        <v>45469.73981481481</v>
      </c>
      <c r="C838" s="1" t="n">
        <v>45928</v>
      </c>
      <c r="D838" t="inlineStr">
        <is>
          <t>VÄSTERBOTTENS LÄN</t>
        </is>
      </c>
      <c r="E838" t="inlineStr">
        <is>
          <t>UMEÅ</t>
        </is>
      </c>
      <c r="F838" t="inlineStr">
        <is>
          <t>Holmen skog AB</t>
        </is>
      </c>
      <c r="G838" t="n">
        <v>6.2</v>
      </c>
      <c r="H838" t="n">
        <v>0</v>
      </c>
      <c r="I838" t="n">
        <v>0</v>
      </c>
      <c r="J838" t="n">
        <v>0</v>
      </c>
      <c r="K838" t="n">
        <v>0</v>
      </c>
      <c r="L838" t="n">
        <v>0</v>
      </c>
      <c r="M838" t="n">
        <v>0</v>
      </c>
      <c r="N838" t="n">
        <v>0</v>
      </c>
      <c r="O838" t="n">
        <v>0</v>
      </c>
      <c r="P838" t="n">
        <v>0</v>
      </c>
      <c r="Q838" t="n">
        <v>0</v>
      </c>
      <c r="R838" s="2" t="inlineStr"/>
    </row>
    <row r="839" ht="15" customHeight="1">
      <c r="A839" t="inlineStr">
        <is>
          <t>A 32510-2025</t>
        </is>
      </c>
      <c r="B839" s="1" t="n">
        <v>45838.47287037037</v>
      </c>
      <c r="C839" s="1" t="n">
        <v>45928</v>
      </c>
      <c r="D839" t="inlineStr">
        <is>
          <t>VÄSTERBOTTENS LÄN</t>
        </is>
      </c>
      <c r="E839" t="inlineStr">
        <is>
          <t>UMEÅ</t>
        </is>
      </c>
      <c r="G839" t="n">
        <v>7.1</v>
      </c>
      <c r="H839" t="n">
        <v>0</v>
      </c>
      <c r="I839" t="n">
        <v>0</v>
      </c>
      <c r="J839" t="n">
        <v>0</v>
      </c>
      <c r="K839" t="n">
        <v>0</v>
      </c>
      <c r="L839" t="n">
        <v>0</v>
      </c>
      <c r="M839" t="n">
        <v>0</v>
      </c>
      <c r="N839" t="n">
        <v>0</v>
      </c>
      <c r="O839" t="n">
        <v>0</v>
      </c>
      <c r="P839" t="n">
        <v>0</v>
      </c>
      <c r="Q839" t="n">
        <v>0</v>
      </c>
      <c r="R839" s="2" t="inlineStr"/>
    </row>
    <row r="840" ht="15" customHeight="1">
      <c r="A840" t="inlineStr">
        <is>
          <t>A 32522-2025</t>
        </is>
      </c>
      <c r="B840" s="1" t="n">
        <v>45838.48564814815</v>
      </c>
      <c r="C840" s="1" t="n">
        <v>45928</v>
      </c>
      <c r="D840" t="inlineStr">
        <is>
          <t>VÄSTERBOTTENS LÄN</t>
        </is>
      </c>
      <c r="E840" t="inlineStr">
        <is>
          <t>UMEÅ</t>
        </is>
      </c>
      <c r="G840" t="n">
        <v>3.6</v>
      </c>
      <c r="H840" t="n">
        <v>0</v>
      </c>
      <c r="I840" t="n">
        <v>0</v>
      </c>
      <c r="J840" t="n">
        <v>0</v>
      </c>
      <c r="K840" t="n">
        <v>0</v>
      </c>
      <c r="L840" t="n">
        <v>0</v>
      </c>
      <c r="M840" t="n">
        <v>0</v>
      </c>
      <c r="N840" t="n">
        <v>0</v>
      </c>
      <c r="O840" t="n">
        <v>0</v>
      </c>
      <c r="P840" t="n">
        <v>0</v>
      </c>
      <c r="Q840" t="n">
        <v>0</v>
      </c>
      <c r="R840" s="2" t="inlineStr"/>
    </row>
    <row r="841" ht="15" customHeight="1">
      <c r="A841" t="inlineStr">
        <is>
          <t>A 32125-2025</t>
        </is>
      </c>
      <c r="B841" s="1" t="n">
        <v>45835.49601851852</v>
      </c>
      <c r="C841" s="1" t="n">
        <v>45928</v>
      </c>
      <c r="D841" t="inlineStr">
        <is>
          <t>VÄSTERBOTTENS LÄN</t>
        </is>
      </c>
      <c r="E841" t="inlineStr">
        <is>
          <t>UMEÅ</t>
        </is>
      </c>
      <c r="F841" t="inlineStr">
        <is>
          <t>Holmen skog AB</t>
        </is>
      </c>
      <c r="G841" t="n">
        <v>4.4</v>
      </c>
      <c r="H841" t="n">
        <v>0</v>
      </c>
      <c r="I841" t="n">
        <v>0</v>
      </c>
      <c r="J841" t="n">
        <v>0</v>
      </c>
      <c r="K841" t="n">
        <v>0</v>
      </c>
      <c r="L841" t="n">
        <v>0</v>
      </c>
      <c r="M841" t="n">
        <v>0</v>
      </c>
      <c r="N841" t="n">
        <v>0</v>
      </c>
      <c r="O841" t="n">
        <v>0</v>
      </c>
      <c r="P841" t="n">
        <v>0</v>
      </c>
      <c r="Q841" t="n">
        <v>0</v>
      </c>
      <c r="R841" s="2" t="inlineStr"/>
    </row>
    <row r="842" ht="15" customHeight="1">
      <c r="A842" t="inlineStr">
        <is>
          <t>A 33206-2025</t>
        </is>
      </c>
      <c r="B842" s="1" t="n">
        <v>45840.61583333334</v>
      </c>
      <c r="C842" s="1" t="n">
        <v>45928</v>
      </c>
      <c r="D842" t="inlineStr">
        <is>
          <t>VÄSTERBOTTENS LÄN</t>
        </is>
      </c>
      <c r="E842" t="inlineStr">
        <is>
          <t>UMEÅ</t>
        </is>
      </c>
      <c r="G842" t="n">
        <v>3</v>
      </c>
      <c r="H842" t="n">
        <v>0</v>
      </c>
      <c r="I842" t="n">
        <v>0</v>
      </c>
      <c r="J842" t="n">
        <v>0</v>
      </c>
      <c r="K842" t="n">
        <v>0</v>
      </c>
      <c r="L842" t="n">
        <v>0</v>
      </c>
      <c r="M842" t="n">
        <v>0</v>
      </c>
      <c r="N842" t="n">
        <v>0</v>
      </c>
      <c r="O842" t="n">
        <v>0</v>
      </c>
      <c r="P842" t="n">
        <v>0</v>
      </c>
      <c r="Q842" t="n">
        <v>0</v>
      </c>
      <c r="R842" s="2" t="inlineStr"/>
    </row>
    <row r="843" ht="15" customHeight="1">
      <c r="A843" t="inlineStr">
        <is>
          <t>A 33121-2025</t>
        </is>
      </c>
      <c r="B843" s="1" t="n">
        <v>45840.49439814815</v>
      </c>
      <c r="C843" s="1" t="n">
        <v>45928</v>
      </c>
      <c r="D843" t="inlineStr">
        <is>
          <t>VÄSTERBOTTENS LÄN</t>
        </is>
      </c>
      <c r="E843" t="inlineStr">
        <is>
          <t>UMEÅ</t>
        </is>
      </c>
      <c r="G843" t="n">
        <v>5.2</v>
      </c>
      <c r="H843" t="n">
        <v>0</v>
      </c>
      <c r="I843" t="n">
        <v>0</v>
      </c>
      <c r="J843" t="n">
        <v>0</v>
      </c>
      <c r="K843" t="n">
        <v>0</v>
      </c>
      <c r="L843" t="n">
        <v>0</v>
      </c>
      <c r="M843" t="n">
        <v>0</v>
      </c>
      <c r="N843" t="n">
        <v>0</v>
      </c>
      <c r="O843" t="n">
        <v>0</v>
      </c>
      <c r="P843" t="n">
        <v>0</v>
      </c>
      <c r="Q843" t="n">
        <v>0</v>
      </c>
      <c r="R843" s="2" t="inlineStr"/>
    </row>
    <row r="844" ht="15" customHeight="1">
      <c r="A844" t="inlineStr">
        <is>
          <t>A 33198-2025</t>
        </is>
      </c>
      <c r="B844" s="1" t="n">
        <v>45840.6047800926</v>
      </c>
      <c r="C844" s="1" t="n">
        <v>45928</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33085-2025</t>
        </is>
      </c>
      <c r="B845" s="1" t="n">
        <v>45840.46704861111</v>
      </c>
      <c r="C845" s="1" t="n">
        <v>45928</v>
      </c>
      <c r="D845" t="inlineStr">
        <is>
          <t>VÄSTERBOTTENS LÄN</t>
        </is>
      </c>
      <c r="E845" t="inlineStr">
        <is>
          <t>UMEÅ</t>
        </is>
      </c>
      <c r="G845" t="n">
        <v>3.6</v>
      </c>
      <c r="H845" t="n">
        <v>0</v>
      </c>
      <c r="I845" t="n">
        <v>0</v>
      </c>
      <c r="J845" t="n">
        <v>0</v>
      </c>
      <c r="K845" t="n">
        <v>0</v>
      </c>
      <c r="L845" t="n">
        <v>0</v>
      </c>
      <c r="M845" t="n">
        <v>0</v>
      </c>
      <c r="N845" t="n">
        <v>0</v>
      </c>
      <c r="O845" t="n">
        <v>0</v>
      </c>
      <c r="P845" t="n">
        <v>0</v>
      </c>
      <c r="Q845" t="n">
        <v>0</v>
      </c>
      <c r="R845" s="2" t="inlineStr"/>
    </row>
    <row r="846" ht="15" customHeight="1">
      <c r="A846" t="inlineStr">
        <is>
          <t>A 33193-2025</t>
        </is>
      </c>
      <c r="B846" s="1" t="n">
        <v>45840.60122685185</v>
      </c>
      <c r="C846" s="1" t="n">
        <v>45928</v>
      </c>
      <c r="D846" t="inlineStr">
        <is>
          <t>VÄSTERBOTTENS LÄN</t>
        </is>
      </c>
      <c r="E846" t="inlineStr">
        <is>
          <t>UMEÅ</t>
        </is>
      </c>
      <c r="G846" t="n">
        <v>2.2</v>
      </c>
      <c r="H846" t="n">
        <v>0</v>
      </c>
      <c r="I846" t="n">
        <v>0</v>
      </c>
      <c r="J846" t="n">
        <v>0</v>
      </c>
      <c r="K846" t="n">
        <v>0</v>
      </c>
      <c r="L846" t="n">
        <v>0</v>
      </c>
      <c r="M846" t="n">
        <v>0</v>
      </c>
      <c r="N846" t="n">
        <v>0</v>
      </c>
      <c r="O846" t="n">
        <v>0</v>
      </c>
      <c r="P846" t="n">
        <v>0</v>
      </c>
      <c r="Q846" t="n">
        <v>0</v>
      </c>
      <c r="R846" s="2" t="inlineStr"/>
    </row>
    <row r="847" ht="15" customHeight="1">
      <c r="A847" t="inlineStr">
        <is>
          <t>A 33210-2025</t>
        </is>
      </c>
      <c r="B847" s="1" t="n">
        <v>45840.62734953704</v>
      </c>
      <c r="C847" s="1" t="n">
        <v>45928</v>
      </c>
      <c r="D847" t="inlineStr">
        <is>
          <t>VÄSTERBOTTENS LÄN</t>
        </is>
      </c>
      <c r="E847" t="inlineStr">
        <is>
          <t>UMEÅ</t>
        </is>
      </c>
      <c r="G847" t="n">
        <v>1</v>
      </c>
      <c r="H847" t="n">
        <v>0</v>
      </c>
      <c r="I847" t="n">
        <v>0</v>
      </c>
      <c r="J847" t="n">
        <v>0</v>
      </c>
      <c r="K847" t="n">
        <v>0</v>
      </c>
      <c r="L847" t="n">
        <v>0</v>
      </c>
      <c r="M847" t="n">
        <v>0</v>
      </c>
      <c r="N847" t="n">
        <v>0</v>
      </c>
      <c r="O847" t="n">
        <v>0</v>
      </c>
      <c r="P847" t="n">
        <v>0</v>
      </c>
      <c r="Q847" t="n">
        <v>0</v>
      </c>
      <c r="R847" s="2" t="inlineStr"/>
    </row>
    <row r="848" ht="15" customHeight="1">
      <c r="A848" t="inlineStr">
        <is>
          <t>A 33049-2025</t>
        </is>
      </c>
      <c r="B848" s="1" t="n">
        <v>45840.42099537037</v>
      </c>
      <c r="C848" s="1" t="n">
        <v>45928</v>
      </c>
      <c r="D848" t="inlineStr">
        <is>
          <t>VÄSTERBOTTENS LÄN</t>
        </is>
      </c>
      <c r="E848" t="inlineStr">
        <is>
          <t>UMEÅ</t>
        </is>
      </c>
      <c r="G848" t="n">
        <v>3.6</v>
      </c>
      <c r="H848" t="n">
        <v>0</v>
      </c>
      <c r="I848" t="n">
        <v>0</v>
      </c>
      <c r="J848" t="n">
        <v>0</v>
      </c>
      <c r="K848" t="n">
        <v>0</v>
      </c>
      <c r="L848" t="n">
        <v>0</v>
      </c>
      <c r="M848" t="n">
        <v>0</v>
      </c>
      <c r="N848" t="n">
        <v>0</v>
      </c>
      <c r="O848" t="n">
        <v>0</v>
      </c>
      <c r="P848" t="n">
        <v>0</v>
      </c>
      <c r="Q848" t="n">
        <v>0</v>
      </c>
      <c r="R848" s="2" t="inlineStr"/>
    </row>
    <row r="849" ht="15" customHeight="1">
      <c r="A849" t="inlineStr">
        <is>
          <t>A 30053-2025</t>
        </is>
      </c>
      <c r="B849" s="1" t="n">
        <v>45826.60013888889</v>
      </c>
      <c r="C849" s="1" t="n">
        <v>45928</v>
      </c>
      <c r="D849" t="inlineStr">
        <is>
          <t>VÄSTERBOTTENS LÄN</t>
        </is>
      </c>
      <c r="E849" t="inlineStr">
        <is>
          <t>UMEÅ</t>
        </is>
      </c>
      <c r="G849" t="n">
        <v>5.5</v>
      </c>
      <c r="H849" t="n">
        <v>0</v>
      </c>
      <c r="I849" t="n">
        <v>0</v>
      </c>
      <c r="J849" t="n">
        <v>0</v>
      </c>
      <c r="K849" t="n">
        <v>0</v>
      </c>
      <c r="L849" t="n">
        <v>0</v>
      </c>
      <c r="M849" t="n">
        <v>0</v>
      </c>
      <c r="N849" t="n">
        <v>0</v>
      </c>
      <c r="O849" t="n">
        <v>0</v>
      </c>
      <c r="P849" t="n">
        <v>0</v>
      </c>
      <c r="Q849" t="n">
        <v>0</v>
      </c>
      <c r="R849" s="2" t="inlineStr"/>
    </row>
    <row r="850" ht="15" customHeight="1">
      <c r="A850" t="inlineStr">
        <is>
          <t>A 33795-2025</t>
        </is>
      </c>
      <c r="B850" s="1" t="n">
        <v>45842.43515046296</v>
      </c>
      <c r="C850" s="1" t="n">
        <v>45928</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61604-2024</t>
        </is>
      </c>
      <c r="B851" s="1" t="n">
        <v>45646.64148148148</v>
      </c>
      <c r="C851" s="1" t="n">
        <v>45928</v>
      </c>
      <c r="D851" t="inlineStr">
        <is>
          <t>VÄSTERBOTTENS LÄN</t>
        </is>
      </c>
      <c r="E851" t="inlineStr">
        <is>
          <t>UMEÅ</t>
        </is>
      </c>
      <c r="G851" t="n">
        <v>0.8</v>
      </c>
      <c r="H851" t="n">
        <v>0</v>
      </c>
      <c r="I851" t="n">
        <v>0</v>
      </c>
      <c r="J851" t="n">
        <v>0</v>
      </c>
      <c r="K851" t="n">
        <v>0</v>
      </c>
      <c r="L851" t="n">
        <v>0</v>
      </c>
      <c r="M851" t="n">
        <v>0</v>
      </c>
      <c r="N851" t="n">
        <v>0</v>
      </c>
      <c r="O851" t="n">
        <v>0</v>
      </c>
      <c r="P851" t="n">
        <v>0</v>
      </c>
      <c r="Q851" t="n">
        <v>0</v>
      </c>
      <c r="R851" s="2" t="inlineStr"/>
    </row>
    <row r="852" ht="15" customHeight="1">
      <c r="A852" t="inlineStr">
        <is>
          <t>A 8716-2024</t>
        </is>
      </c>
      <c r="B852" s="1" t="n">
        <v>45356</v>
      </c>
      <c r="C852" s="1" t="n">
        <v>45928</v>
      </c>
      <c r="D852" t="inlineStr">
        <is>
          <t>VÄSTERBOTTENS LÄN</t>
        </is>
      </c>
      <c r="E852" t="inlineStr">
        <is>
          <t>UMEÅ</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8717-2024</t>
        </is>
      </c>
      <c r="B853" s="1" t="n">
        <v>45356.4062962963</v>
      </c>
      <c r="C853" s="1" t="n">
        <v>45928</v>
      </c>
      <c r="D853" t="inlineStr">
        <is>
          <t>VÄSTERBOTTENS LÄN</t>
        </is>
      </c>
      <c r="E853" t="inlineStr">
        <is>
          <t>UMEÅ</t>
        </is>
      </c>
      <c r="G853" t="n">
        <v>2.8</v>
      </c>
      <c r="H853" t="n">
        <v>0</v>
      </c>
      <c r="I853" t="n">
        <v>0</v>
      </c>
      <c r="J853" t="n">
        <v>0</v>
      </c>
      <c r="K853" t="n">
        <v>0</v>
      </c>
      <c r="L853" t="n">
        <v>0</v>
      </c>
      <c r="M853" t="n">
        <v>0</v>
      </c>
      <c r="N853" t="n">
        <v>0</v>
      </c>
      <c r="O853" t="n">
        <v>0</v>
      </c>
      <c r="P853" t="n">
        <v>0</v>
      </c>
      <c r="Q853" t="n">
        <v>0</v>
      </c>
      <c r="R853" s="2" t="inlineStr"/>
    </row>
    <row r="854" ht="15" customHeight="1">
      <c r="A854" t="inlineStr">
        <is>
          <t>A 34290-2025</t>
        </is>
      </c>
      <c r="B854" s="1" t="n">
        <v>45846.33505787037</v>
      </c>
      <c r="C854" s="1" t="n">
        <v>45928</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2767-2025</t>
        </is>
      </c>
      <c r="B855" s="1" t="n">
        <v>45677</v>
      </c>
      <c r="C855" s="1" t="n">
        <v>45928</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43649-2024</t>
        </is>
      </c>
      <c r="B856" s="1" t="n">
        <v>45569.53054398148</v>
      </c>
      <c r="C856" s="1" t="n">
        <v>45928</v>
      </c>
      <c r="D856" t="inlineStr">
        <is>
          <t>VÄSTERBOTTENS LÄN</t>
        </is>
      </c>
      <c r="E856" t="inlineStr">
        <is>
          <t>UMEÅ</t>
        </is>
      </c>
      <c r="F856" t="inlineStr">
        <is>
          <t>Kommuner</t>
        </is>
      </c>
      <c r="G856" t="n">
        <v>4.3</v>
      </c>
      <c r="H856" t="n">
        <v>0</v>
      </c>
      <c r="I856" t="n">
        <v>0</v>
      </c>
      <c r="J856" t="n">
        <v>0</v>
      </c>
      <c r="K856" t="n">
        <v>0</v>
      </c>
      <c r="L856" t="n">
        <v>0</v>
      </c>
      <c r="M856" t="n">
        <v>0</v>
      </c>
      <c r="N856" t="n">
        <v>0</v>
      </c>
      <c r="O856" t="n">
        <v>0</v>
      </c>
      <c r="P856" t="n">
        <v>0</v>
      </c>
      <c r="Q856" t="n">
        <v>0</v>
      </c>
      <c r="R856" s="2" t="inlineStr"/>
    </row>
    <row r="857" ht="15" customHeight="1">
      <c r="A857" t="inlineStr">
        <is>
          <t>A 12141-2025</t>
        </is>
      </c>
      <c r="B857" s="1" t="n">
        <v>45729.40373842593</v>
      </c>
      <c r="C857" s="1" t="n">
        <v>45928</v>
      </c>
      <c r="D857" t="inlineStr">
        <is>
          <t>VÄSTERBOTTENS LÄN</t>
        </is>
      </c>
      <c r="E857" t="inlineStr">
        <is>
          <t>UMEÅ</t>
        </is>
      </c>
      <c r="G857" t="n">
        <v>6.6</v>
      </c>
      <c r="H857" t="n">
        <v>0</v>
      </c>
      <c r="I857" t="n">
        <v>0</v>
      </c>
      <c r="J857" t="n">
        <v>0</v>
      </c>
      <c r="K857" t="n">
        <v>0</v>
      </c>
      <c r="L857" t="n">
        <v>0</v>
      </c>
      <c r="M857" t="n">
        <v>0</v>
      </c>
      <c r="N857" t="n">
        <v>0</v>
      </c>
      <c r="O857" t="n">
        <v>0</v>
      </c>
      <c r="P857" t="n">
        <v>0</v>
      </c>
      <c r="Q857" t="n">
        <v>0</v>
      </c>
      <c r="R857" s="2" t="inlineStr"/>
    </row>
    <row r="858" ht="15" customHeight="1">
      <c r="A858" t="inlineStr">
        <is>
          <t>A 38887-2025</t>
        </is>
      </c>
      <c r="B858" s="1" t="n">
        <v>45887.58591435185</v>
      </c>
      <c r="C858" s="1" t="n">
        <v>45928</v>
      </c>
      <c r="D858" t="inlineStr">
        <is>
          <t>VÄSTERBOTTENS LÄN</t>
        </is>
      </c>
      <c r="E858" t="inlineStr">
        <is>
          <t>UMEÅ</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44166-2024</t>
        </is>
      </c>
      <c r="B859" s="1" t="n">
        <v>45572.73465277778</v>
      </c>
      <c r="C859" s="1" t="n">
        <v>45928</v>
      </c>
      <c r="D859" t="inlineStr">
        <is>
          <t>VÄSTERBOTTENS LÄN</t>
        </is>
      </c>
      <c r="E859" t="inlineStr">
        <is>
          <t>UMEÅ</t>
        </is>
      </c>
      <c r="G859" t="n">
        <v>3.2</v>
      </c>
      <c r="H859" t="n">
        <v>0</v>
      </c>
      <c r="I859" t="n">
        <v>0</v>
      </c>
      <c r="J859" t="n">
        <v>0</v>
      </c>
      <c r="K859" t="n">
        <v>0</v>
      </c>
      <c r="L859" t="n">
        <v>0</v>
      </c>
      <c r="M859" t="n">
        <v>0</v>
      </c>
      <c r="N859" t="n">
        <v>0</v>
      </c>
      <c r="O859" t="n">
        <v>0</v>
      </c>
      <c r="P859" t="n">
        <v>0</v>
      </c>
      <c r="Q859" t="n">
        <v>0</v>
      </c>
      <c r="R859" s="2" t="inlineStr"/>
    </row>
    <row r="860" ht="15" customHeight="1">
      <c r="A860" t="inlineStr">
        <is>
          <t>A 32282-2024</t>
        </is>
      </c>
      <c r="B860" s="1" t="n">
        <v>45512</v>
      </c>
      <c r="C860" s="1" t="n">
        <v>45928</v>
      </c>
      <c r="D860" t="inlineStr">
        <is>
          <t>VÄSTERBOTTENS LÄN</t>
        </is>
      </c>
      <c r="E860" t="inlineStr">
        <is>
          <t>UMEÅ</t>
        </is>
      </c>
      <c r="G860" t="n">
        <v>9.5</v>
      </c>
      <c r="H860" t="n">
        <v>0</v>
      </c>
      <c r="I860" t="n">
        <v>0</v>
      </c>
      <c r="J860" t="n">
        <v>0</v>
      </c>
      <c r="K860" t="n">
        <v>0</v>
      </c>
      <c r="L860" t="n">
        <v>0</v>
      </c>
      <c r="M860" t="n">
        <v>0</v>
      </c>
      <c r="N860" t="n">
        <v>0</v>
      </c>
      <c r="O860" t="n">
        <v>0</v>
      </c>
      <c r="P860" t="n">
        <v>0</v>
      </c>
      <c r="Q860" t="n">
        <v>0</v>
      </c>
      <c r="R860" s="2" t="inlineStr"/>
    </row>
    <row r="861" ht="15" customHeight="1">
      <c r="A861" t="inlineStr">
        <is>
          <t>A 13822-2025</t>
        </is>
      </c>
      <c r="B861" s="1" t="n">
        <v>45737.53160879629</v>
      </c>
      <c r="C861" s="1" t="n">
        <v>45928</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34039-2025</t>
        </is>
      </c>
      <c r="B862" s="1" t="n">
        <v>45845.37259259259</v>
      </c>
      <c r="C862" s="1" t="n">
        <v>45928</v>
      </c>
      <c r="D862" t="inlineStr">
        <is>
          <t>VÄSTERBOTTENS LÄN</t>
        </is>
      </c>
      <c r="E862" t="inlineStr">
        <is>
          <t>UMEÅ</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34061-2025</t>
        </is>
      </c>
      <c r="B863" s="1" t="n">
        <v>45845.42341435186</v>
      </c>
      <c r="C863" s="1" t="n">
        <v>45928</v>
      </c>
      <c r="D863" t="inlineStr">
        <is>
          <t>VÄSTERBOTTENS LÄN</t>
        </is>
      </c>
      <c r="E863" t="inlineStr">
        <is>
          <t>UMEÅ</t>
        </is>
      </c>
      <c r="F863" t="inlineStr">
        <is>
          <t>Holmen skog AB</t>
        </is>
      </c>
      <c r="G863" t="n">
        <v>4.3</v>
      </c>
      <c r="H863" t="n">
        <v>0</v>
      </c>
      <c r="I863" t="n">
        <v>0</v>
      </c>
      <c r="J863" t="n">
        <v>0</v>
      </c>
      <c r="K863" t="n">
        <v>0</v>
      </c>
      <c r="L863" t="n">
        <v>0</v>
      </c>
      <c r="M863" t="n">
        <v>0</v>
      </c>
      <c r="N863" t="n">
        <v>0</v>
      </c>
      <c r="O863" t="n">
        <v>0</v>
      </c>
      <c r="P863" t="n">
        <v>0</v>
      </c>
      <c r="Q863" t="n">
        <v>0</v>
      </c>
      <c r="R863" s="2" t="inlineStr"/>
    </row>
    <row r="864" ht="15" customHeight="1">
      <c r="A864" t="inlineStr">
        <is>
          <t>A 26967-2023</t>
        </is>
      </c>
      <c r="B864" s="1" t="n">
        <v>45091</v>
      </c>
      <c r="C864" s="1" t="n">
        <v>45928</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30266-2023</t>
        </is>
      </c>
      <c r="B865" s="1" t="n">
        <v>45110</v>
      </c>
      <c r="C865" s="1" t="n">
        <v>45928</v>
      </c>
      <c r="D865" t="inlineStr">
        <is>
          <t>VÄSTERBOTTENS LÄN</t>
        </is>
      </c>
      <c r="E865" t="inlineStr">
        <is>
          <t>UMEÅ</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34774-2025</t>
        </is>
      </c>
      <c r="B866" s="1" t="n">
        <v>45848.65680555555</v>
      </c>
      <c r="C866" s="1" t="n">
        <v>45928</v>
      </c>
      <c r="D866" t="inlineStr">
        <is>
          <t>VÄSTERBOTTENS LÄN</t>
        </is>
      </c>
      <c r="E866" t="inlineStr">
        <is>
          <t>UMEÅ</t>
        </is>
      </c>
      <c r="G866" t="n">
        <v>21.6</v>
      </c>
      <c r="H866" t="n">
        <v>0</v>
      </c>
      <c r="I866" t="n">
        <v>0</v>
      </c>
      <c r="J866" t="n">
        <v>0</v>
      </c>
      <c r="K866" t="n">
        <v>0</v>
      </c>
      <c r="L866" t="n">
        <v>0</v>
      </c>
      <c r="M866" t="n">
        <v>0</v>
      </c>
      <c r="N866" t="n">
        <v>0</v>
      </c>
      <c r="O866" t="n">
        <v>0</v>
      </c>
      <c r="P866" t="n">
        <v>0</v>
      </c>
      <c r="Q866" t="n">
        <v>0</v>
      </c>
      <c r="R866" s="2" t="inlineStr"/>
    </row>
    <row r="867" ht="15" customHeight="1">
      <c r="A867" t="inlineStr">
        <is>
          <t>A 34787-2025</t>
        </is>
      </c>
      <c r="B867" s="1" t="n">
        <v>45848.67791666667</v>
      </c>
      <c r="C867" s="1" t="n">
        <v>45928</v>
      </c>
      <c r="D867" t="inlineStr">
        <is>
          <t>VÄSTERBOTTENS LÄN</t>
        </is>
      </c>
      <c r="E867" t="inlineStr">
        <is>
          <t>UMEÅ</t>
        </is>
      </c>
      <c r="G867" t="n">
        <v>8.6</v>
      </c>
      <c r="H867" t="n">
        <v>0</v>
      </c>
      <c r="I867" t="n">
        <v>0</v>
      </c>
      <c r="J867" t="n">
        <v>0</v>
      </c>
      <c r="K867" t="n">
        <v>0</v>
      </c>
      <c r="L867" t="n">
        <v>0</v>
      </c>
      <c r="M867" t="n">
        <v>0</v>
      </c>
      <c r="N867" t="n">
        <v>0</v>
      </c>
      <c r="O867" t="n">
        <v>0</v>
      </c>
      <c r="P867" t="n">
        <v>0</v>
      </c>
      <c r="Q867" t="n">
        <v>0</v>
      </c>
      <c r="R867" s="2" t="inlineStr"/>
    </row>
    <row r="868" ht="15" customHeight="1">
      <c r="A868" t="inlineStr">
        <is>
          <t>A 13190-2025</t>
        </is>
      </c>
      <c r="B868" s="1" t="n">
        <v>45735.39761574074</v>
      </c>
      <c r="C868" s="1" t="n">
        <v>45928</v>
      </c>
      <c r="D868" t="inlineStr">
        <is>
          <t>VÄSTERBOTTENS LÄN</t>
        </is>
      </c>
      <c r="E868" t="inlineStr">
        <is>
          <t>UMEÅ</t>
        </is>
      </c>
      <c r="G868" t="n">
        <v>1.2</v>
      </c>
      <c r="H868" t="n">
        <v>0</v>
      </c>
      <c r="I868" t="n">
        <v>0</v>
      </c>
      <c r="J868" t="n">
        <v>0</v>
      </c>
      <c r="K868" t="n">
        <v>0</v>
      </c>
      <c r="L868" t="n">
        <v>0</v>
      </c>
      <c r="M868" t="n">
        <v>0</v>
      </c>
      <c r="N868" t="n">
        <v>0</v>
      </c>
      <c r="O868" t="n">
        <v>0</v>
      </c>
      <c r="P868" t="n">
        <v>0</v>
      </c>
      <c r="Q868" t="n">
        <v>0</v>
      </c>
      <c r="R868" s="2" t="inlineStr"/>
    </row>
    <row r="869" ht="15" customHeight="1">
      <c r="A869" t="inlineStr">
        <is>
          <t>A 13197-2025</t>
        </is>
      </c>
      <c r="B869" s="1" t="n">
        <v>45735</v>
      </c>
      <c r="C869" s="1" t="n">
        <v>45928</v>
      </c>
      <c r="D869" t="inlineStr">
        <is>
          <t>VÄSTERBOTTENS LÄN</t>
        </is>
      </c>
      <c r="E869" t="inlineStr">
        <is>
          <t>UMEÅ</t>
        </is>
      </c>
      <c r="G869" t="n">
        <v>2.3</v>
      </c>
      <c r="H869" t="n">
        <v>0</v>
      </c>
      <c r="I869" t="n">
        <v>0</v>
      </c>
      <c r="J869" t="n">
        <v>0</v>
      </c>
      <c r="K869" t="n">
        <v>0</v>
      </c>
      <c r="L869" t="n">
        <v>0</v>
      </c>
      <c r="M869" t="n">
        <v>0</v>
      </c>
      <c r="N869" t="n">
        <v>0</v>
      </c>
      <c r="O869" t="n">
        <v>0</v>
      </c>
      <c r="P869" t="n">
        <v>0</v>
      </c>
      <c r="Q869" t="n">
        <v>0</v>
      </c>
      <c r="R869" s="2" t="inlineStr"/>
    </row>
    <row r="870" ht="15" customHeight="1">
      <c r="A870" t="inlineStr">
        <is>
          <t>A 45603-2023</t>
        </is>
      </c>
      <c r="B870" s="1" t="n">
        <v>45194.64578703704</v>
      </c>
      <c r="C870" s="1" t="n">
        <v>45928</v>
      </c>
      <c r="D870" t="inlineStr">
        <is>
          <t>VÄSTERBOTTENS LÄN</t>
        </is>
      </c>
      <c r="E870" t="inlineStr">
        <is>
          <t>UMEÅ</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39523-2025</t>
        </is>
      </c>
      <c r="B871" s="1" t="n">
        <v>45890.43826388889</v>
      </c>
      <c r="C871" s="1" t="n">
        <v>45928</v>
      </c>
      <c r="D871" t="inlineStr">
        <is>
          <t>VÄSTERBOTTENS LÄN</t>
        </is>
      </c>
      <c r="E871" t="inlineStr">
        <is>
          <t>UMEÅ</t>
        </is>
      </c>
      <c r="G871" t="n">
        <v>0.8</v>
      </c>
      <c r="H871" t="n">
        <v>0</v>
      </c>
      <c r="I871" t="n">
        <v>0</v>
      </c>
      <c r="J871" t="n">
        <v>0</v>
      </c>
      <c r="K871" t="n">
        <v>0</v>
      </c>
      <c r="L871" t="n">
        <v>0</v>
      </c>
      <c r="M871" t="n">
        <v>0</v>
      </c>
      <c r="N871" t="n">
        <v>0</v>
      </c>
      <c r="O871" t="n">
        <v>0</v>
      </c>
      <c r="P871" t="n">
        <v>0</v>
      </c>
      <c r="Q871" t="n">
        <v>0</v>
      </c>
      <c r="R871" s="2" t="inlineStr"/>
    </row>
    <row r="872" ht="15" customHeight="1">
      <c r="A872" t="inlineStr">
        <is>
          <t>A 5078-2025</t>
        </is>
      </c>
      <c r="B872" s="1" t="n">
        <v>45691.50020833333</v>
      </c>
      <c r="C872" s="1" t="n">
        <v>45928</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39373-2025</t>
        </is>
      </c>
      <c r="B873" s="1" t="n">
        <v>45889.58655092592</v>
      </c>
      <c r="C873" s="1" t="n">
        <v>45928</v>
      </c>
      <c r="D873" t="inlineStr">
        <is>
          <t>VÄSTERBOTTENS LÄN</t>
        </is>
      </c>
      <c r="E873" t="inlineStr">
        <is>
          <t>UMEÅ</t>
        </is>
      </c>
      <c r="G873" t="n">
        <v>7.3</v>
      </c>
      <c r="H873" t="n">
        <v>0</v>
      </c>
      <c r="I873" t="n">
        <v>0</v>
      </c>
      <c r="J873" t="n">
        <v>0</v>
      </c>
      <c r="K873" t="n">
        <v>0</v>
      </c>
      <c r="L873" t="n">
        <v>0</v>
      </c>
      <c r="M873" t="n">
        <v>0</v>
      </c>
      <c r="N873" t="n">
        <v>0</v>
      </c>
      <c r="O873" t="n">
        <v>0</v>
      </c>
      <c r="P873" t="n">
        <v>0</v>
      </c>
      <c r="Q873" t="n">
        <v>0</v>
      </c>
      <c r="R873" s="2" t="inlineStr"/>
    </row>
    <row r="874" ht="15" customHeight="1">
      <c r="A874" t="inlineStr">
        <is>
          <t>A 8317-2025</t>
        </is>
      </c>
      <c r="B874" s="1" t="n">
        <v>45708</v>
      </c>
      <c r="C874" s="1" t="n">
        <v>45928</v>
      </c>
      <c r="D874" t="inlineStr">
        <is>
          <t>VÄSTERBOTTENS LÄN</t>
        </is>
      </c>
      <c r="E874" t="inlineStr">
        <is>
          <t>UMEÅ</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16453-2024</t>
        </is>
      </c>
      <c r="B875" s="1" t="n">
        <v>45407</v>
      </c>
      <c r="C875" s="1" t="n">
        <v>45928</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39836-2025</t>
        </is>
      </c>
      <c r="B876" s="1" t="n">
        <v>45891.56422453704</v>
      </c>
      <c r="C876" s="1" t="n">
        <v>45928</v>
      </c>
      <c r="D876" t="inlineStr">
        <is>
          <t>VÄSTERBOTTENS LÄN</t>
        </is>
      </c>
      <c r="E876" t="inlineStr">
        <is>
          <t>UMEÅ</t>
        </is>
      </c>
      <c r="G876" t="n">
        <v>1.8</v>
      </c>
      <c r="H876" t="n">
        <v>0</v>
      </c>
      <c r="I876" t="n">
        <v>0</v>
      </c>
      <c r="J876" t="n">
        <v>0</v>
      </c>
      <c r="K876" t="n">
        <v>0</v>
      </c>
      <c r="L876" t="n">
        <v>0</v>
      </c>
      <c r="M876" t="n">
        <v>0</v>
      </c>
      <c r="N876" t="n">
        <v>0</v>
      </c>
      <c r="O876" t="n">
        <v>0</v>
      </c>
      <c r="P876" t="n">
        <v>0</v>
      </c>
      <c r="Q876" t="n">
        <v>0</v>
      </c>
      <c r="R876" s="2" t="inlineStr"/>
    </row>
    <row r="877" ht="15" customHeight="1">
      <c r="A877" t="inlineStr">
        <is>
          <t>A 53731-2024</t>
        </is>
      </c>
      <c r="B877" s="1" t="n">
        <v>45615</v>
      </c>
      <c r="C877" s="1" t="n">
        <v>45928</v>
      </c>
      <c r="D877" t="inlineStr">
        <is>
          <t>VÄSTERBOTTENS LÄN</t>
        </is>
      </c>
      <c r="E877" t="inlineStr">
        <is>
          <t>UMEÅ</t>
        </is>
      </c>
      <c r="G877" t="n">
        <v>2.7</v>
      </c>
      <c r="H877" t="n">
        <v>0</v>
      </c>
      <c r="I877" t="n">
        <v>0</v>
      </c>
      <c r="J877" t="n">
        <v>0</v>
      </c>
      <c r="K877" t="n">
        <v>0</v>
      </c>
      <c r="L877" t="n">
        <v>0</v>
      </c>
      <c r="M877" t="n">
        <v>0</v>
      </c>
      <c r="N877" t="n">
        <v>0</v>
      </c>
      <c r="O877" t="n">
        <v>0</v>
      </c>
      <c r="P877" t="n">
        <v>0</v>
      </c>
      <c r="Q877" t="n">
        <v>0</v>
      </c>
      <c r="R877" s="2" t="inlineStr"/>
    </row>
    <row r="878" ht="15" customHeight="1">
      <c r="A878" t="inlineStr">
        <is>
          <t>A 40158-2025</t>
        </is>
      </c>
      <c r="B878" s="1" t="n">
        <v>45894.60689814815</v>
      </c>
      <c r="C878" s="1" t="n">
        <v>45928</v>
      </c>
      <c r="D878" t="inlineStr">
        <is>
          <t>VÄSTERBOTTENS LÄN</t>
        </is>
      </c>
      <c r="E878" t="inlineStr">
        <is>
          <t>UMEÅ</t>
        </is>
      </c>
      <c r="G878" t="n">
        <v>7.2</v>
      </c>
      <c r="H878" t="n">
        <v>0</v>
      </c>
      <c r="I878" t="n">
        <v>0</v>
      </c>
      <c r="J878" t="n">
        <v>0</v>
      </c>
      <c r="K878" t="n">
        <v>0</v>
      </c>
      <c r="L878" t="n">
        <v>0</v>
      </c>
      <c r="M878" t="n">
        <v>0</v>
      </c>
      <c r="N878" t="n">
        <v>0</v>
      </c>
      <c r="O878" t="n">
        <v>0</v>
      </c>
      <c r="P878" t="n">
        <v>0</v>
      </c>
      <c r="Q878" t="n">
        <v>0</v>
      </c>
      <c r="R878" s="2" t="inlineStr"/>
    </row>
    <row r="879" ht="15" customHeight="1">
      <c r="A879" t="inlineStr">
        <is>
          <t>A 39820-2025</t>
        </is>
      </c>
      <c r="B879" s="1" t="n">
        <v>45891.53517361111</v>
      </c>
      <c r="C879" s="1" t="n">
        <v>45928</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40039-2025</t>
        </is>
      </c>
      <c r="B880" s="1" t="n">
        <v>45894.39484953704</v>
      </c>
      <c r="C880" s="1" t="n">
        <v>45928</v>
      </c>
      <c r="D880" t="inlineStr">
        <is>
          <t>VÄSTERBOTTENS LÄN</t>
        </is>
      </c>
      <c r="E880" t="inlineStr">
        <is>
          <t>UMEÅ</t>
        </is>
      </c>
      <c r="G880" t="n">
        <v>4.5</v>
      </c>
      <c r="H880" t="n">
        <v>0</v>
      </c>
      <c r="I880" t="n">
        <v>0</v>
      </c>
      <c r="J880" t="n">
        <v>0</v>
      </c>
      <c r="K880" t="n">
        <v>0</v>
      </c>
      <c r="L880" t="n">
        <v>0</v>
      </c>
      <c r="M880" t="n">
        <v>0</v>
      </c>
      <c r="N880" t="n">
        <v>0</v>
      </c>
      <c r="O880" t="n">
        <v>0</v>
      </c>
      <c r="P880" t="n">
        <v>0</v>
      </c>
      <c r="Q880" t="n">
        <v>0</v>
      </c>
      <c r="R880" s="2" t="inlineStr"/>
    </row>
    <row r="881" ht="15" customHeight="1">
      <c r="A881" t="inlineStr">
        <is>
          <t>A 39445-2023</t>
        </is>
      </c>
      <c r="B881" s="1" t="n">
        <v>45166</v>
      </c>
      <c r="C881" s="1" t="n">
        <v>45928</v>
      </c>
      <c r="D881" t="inlineStr">
        <is>
          <t>VÄSTERBOTTENS LÄN</t>
        </is>
      </c>
      <c r="E881" t="inlineStr">
        <is>
          <t>UMEÅ</t>
        </is>
      </c>
      <c r="G881" t="n">
        <v>33.4</v>
      </c>
      <c r="H881" t="n">
        <v>0</v>
      </c>
      <c r="I881" t="n">
        <v>0</v>
      </c>
      <c r="J881" t="n">
        <v>0</v>
      </c>
      <c r="K881" t="n">
        <v>0</v>
      </c>
      <c r="L881" t="n">
        <v>0</v>
      </c>
      <c r="M881" t="n">
        <v>0</v>
      </c>
      <c r="N881" t="n">
        <v>0</v>
      </c>
      <c r="O881" t="n">
        <v>0</v>
      </c>
      <c r="P881" t="n">
        <v>0</v>
      </c>
      <c r="Q881" t="n">
        <v>0</v>
      </c>
      <c r="R881" s="2" t="inlineStr"/>
    </row>
    <row r="882" ht="15" customHeight="1">
      <c r="A882" t="inlineStr">
        <is>
          <t>A 40040-2025</t>
        </is>
      </c>
      <c r="B882" s="1" t="n">
        <v>45894.39736111111</v>
      </c>
      <c r="C882" s="1" t="n">
        <v>45928</v>
      </c>
      <c r="D882" t="inlineStr">
        <is>
          <t>VÄSTERBOTTENS LÄN</t>
        </is>
      </c>
      <c r="E882" t="inlineStr">
        <is>
          <t>UMEÅ</t>
        </is>
      </c>
      <c r="G882" t="n">
        <v>6.5</v>
      </c>
      <c r="H882" t="n">
        <v>0</v>
      </c>
      <c r="I882" t="n">
        <v>0</v>
      </c>
      <c r="J882" t="n">
        <v>0</v>
      </c>
      <c r="K882" t="n">
        <v>0</v>
      </c>
      <c r="L882" t="n">
        <v>0</v>
      </c>
      <c r="M882" t="n">
        <v>0</v>
      </c>
      <c r="N882" t="n">
        <v>0</v>
      </c>
      <c r="O882" t="n">
        <v>0</v>
      </c>
      <c r="P882" t="n">
        <v>0</v>
      </c>
      <c r="Q882" t="n">
        <v>0</v>
      </c>
      <c r="R882" s="2" t="inlineStr"/>
    </row>
    <row r="883" ht="15" customHeight="1">
      <c r="A883" t="inlineStr">
        <is>
          <t>A 8184-2025</t>
        </is>
      </c>
      <c r="B883" s="1" t="n">
        <v>45708</v>
      </c>
      <c r="C883" s="1" t="n">
        <v>45928</v>
      </c>
      <c r="D883" t="inlineStr">
        <is>
          <t>VÄSTERBOTTENS LÄN</t>
        </is>
      </c>
      <c r="E883" t="inlineStr">
        <is>
          <t>UMEÅ</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8581-2025</t>
        </is>
      </c>
      <c r="B884" s="1" t="n">
        <v>45709.67219907408</v>
      </c>
      <c r="C884" s="1" t="n">
        <v>45928</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8584-2025</t>
        </is>
      </c>
      <c r="B885" s="1" t="n">
        <v>45709.67657407407</v>
      </c>
      <c r="C885" s="1" t="n">
        <v>45928</v>
      </c>
      <c r="D885" t="inlineStr">
        <is>
          <t>VÄSTERBOTTENS LÄN</t>
        </is>
      </c>
      <c r="E885" t="inlineStr">
        <is>
          <t>UMEÅ</t>
        </is>
      </c>
      <c r="G885" t="n">
        <v>1.2</v>
      </c>
      <c r="H885" t="n">
        <v>0</v>
      </c>
      <c r="I885" t="n">
        <v>0</v>
      </c>
      <c r="J885" t="n">
        <v>0</v>
      </c>
      <c r="K885" t="n">
        <v>0</v>
      </c>
      <c r="L885" t="n">
        <v>0</v>
      </c>
      <c r="M885" t="n">
        <v>0</v>
      </c>
      <c r="N885" t="n">
        <v>0</v>
      </c>
      <c r="O885" t="n">
        <v>0</v>
      </c>
      <c r="P885" t="n">
        <v>0</v>
      </c>
      <c r="Q885" t="n">
        <v>0</v>
      </c>
      <c r="R885" s="2" t="inlineStr"/>
    </row>
    <row r="886" ht="15" customHeight="1">
      <c r="A886" t="inlineStr">
        <is>
          <t>A 8586-2025</t>
        </is>
      </c>
      <c r="B886" s="1" t="n">
        <v>45709.67998842592</v>
      </c>
      <c r="C886" s="1" t="n">
        <v>45928</v>
      </c>
      <c r="D886" t="inlineStr">
        <is>
          <t>VÄSTERBOTTENS LÄN</t>
        </is>
      </c>
      <c r="E886" t="inlineStr">
        <is>
          <t>UMEÅ</t>
        </is>
      </c>
      <c r="G886" t="n">
        <v>0.3</v>
      </c>
      <c r="H886" t="n">
        <v>0</v>
      </c>
      <c r="I886" t="n">
        <v>0</v>
      </c>
      <c r="J886" t="n">
        <v>0</v>
      </c>
      <c r="K886" t="n">
        <v>0</v>
      </c>
      <c r="L886" t="n">
        <v>0</v>
      </c>
      <c r="M886" t="n">
        <v>0</v>
      </c>
      <c r="N886" t="n">
        <v>0</v>
      </c>
      <c r="O886" t="n">
        <v>0</v>
      </c>
      <c r="P886" t="n">
        <v>0</v>
      </c>
      <c r="Q886" t="n">
        <v>0</v>
      </c>
      <c r="R886" s="2" t="inlineStr"/>
    </row>
    <row r="887" ht="15" customHeight="1">
      <c r="A887" t="inlineStr">
        <is>
          <t>A 8618-2025</t>
        </is>
      </c>
      <c r="B887" s="1" t="n">
        <v>45711</v>
      </c>
      <c r="C887" s="1" t="n">
        <v>45928</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14039-2024</t>
        </is>
      </c>
      <c r="B888" s="1" t="n">
        <v>45392</v>
      </c>
      <c r="C888" s="1" t="n">
        <v>45928</v>
      </c>
      <c r="D888" t="inlineStr">
        <is>
          <t>VÄSTERBOTTENS LÄN</t>
        </is>
      </c>
      <c r="E888" t="inlineStr">
        <is>
          <t>UMEÅ</t>
        </is>
      </c>
      <c r="G888" t="n">
        <v>6.1</v>
      </c>
      <c r="H888" t="n">
        <v>0</v>
      </c>
      <c r="I888" t="n">
        <v>0</v>
      </c>
      <c r="J888" t="n">
        <v>0</v>
      </c>
      <c r="K888" t="n">
        <v>0</v>
      </c>
      <c r="L888" t="n">
        <v>0</v>
      </c>
      <c r="M888" t="n">
        <v>0</v>
      </c>
      <c r="N888" t="n">
        <v>0</v>
      </c>
      <c r="O888" t="n">
        <v>0</v>
      </c>
      <c r="P888" t="n">
        <v>0</v>
      </c>
      <c r="Q888" t="n">
        <v>0</v>
      </c>
      <c r="R888" s="2" t="inlineStr"/>
    </row>
    <row r="889" ht="15" customHeight="1">
      <c r="A889" t="inlineStr">
        <is>
          <t>A 28099-2023</t>
        </is>
      </c>
      <c r="B889" s="1" t="n">
        <v>45099</v>
      </c>
      <c r="C889" s="1" t="n">
        <v>45928</v>
      </c>
      <c r="D889" t="inlineStr">
        <is>
          <t>VÄSTERBOTTENS LÄN</t>
        </is>
      </c>
      <c r="E889" t="inlineStr">
        <is>
          <t>UMEÅ</t>
        </is>
      </c>
      <c r="F889" t="inlineStr">
        <is>
          <t>Holmen skog AB</t>
        </is>
      </c>
      <c r="G889" t="n">
        <v>3.9</v>
      </c>
      <c r="H889" t="n">
        <v>0</v>
      </c>
      <c r="I889" t="n">
        <v>0</v>
      </c>
      <c r="J889" t="n">
        <v>0</v>
      </c>
      <c r="K889" t="n">
        <v>0</v>
      </c>
      <c r="L889" t="n">
        <v>0</v>
      </c>
      <c r="M889" t="n">
        <v>0</v>
      </c>
      <c r="N889" t="n">
        <v>0</v>
      </c>
      <c r="O889" t="n">
        <v>0</v>
      </c>
      <c r="P889" t="n">
        <v>0</v>
      </c>
      <c r="Q889" t="n">
        <v>0</v>
      </c>
      <c r="R889" s="2" t="inlineStr"/>
    </row>
    <row r="890" ht="15" customHeight="1">
      <c r="A890" t="inlineStr">
        <is>
          <t>A 7438-2022</t>
        </is>
      </c>
      <c r="B890" s="1" t="n">
        <v>44606.93429398148</v>
      </c>
      <c r="C890" s="1" t="n">
        <v>45928</v>
      </c>
      <c r="D890" t="inlineStr">
        <is>
          <t>VÄSTERBOTTENS LÄN</t>
        </is>
      </c>
      <c r="E890" t="inlineStr">
        <is>
          <t>UMEÅ</t>
        </is>
      </c>
      <c r="G890" t="n">
        <v>3.1</v>
      </c>
      <c r="H890" t="n">
        <v>0</v>
      </c>
      <c r="I890" t="n">
        <v>0</v>
      </c>
      <c r="J890" t="n">
        <v>0</v>
      </c>
      <c r="K890" t="n">
        <v>0</v>
      </c>
      <c r="L890" t="n">
        <v>0</v>
      </c>
      <c r="M890" t="n">
        <v>0</v>
      </c>
      <c r="N890" t="n">
        <v>0</v>
      </c>
      <c r="O890" t="n">
        <v>0</v>
      </c>
      <c r="P890" t="n">
        <v>0</v>
      </c>
      <c r="Q890" t="n">
        <v>0</v>
      </c>
      <c r="R890" s="2" t="inlineStr"/>
    </row>
    <row r="891" ht="15" customHeight="1">
      <c r="A891" t="inlineStr">
        <is>
          <t>A 46372-2023</t>
        </is>
      </c>
      <c r="B891" s="1" t="n">
        <v>45197</v>
      </c>
      <c r="C891" s="1" t="n">
        <v>45928</v>
      </c>
      <c r="D891" t="inlineStr">
        <is>
          <t>VÄSTERBOTTENS LÄN</t>
        </is>
      </c>
      <c r="E891" t="inlineStr">
        <is>
          <t>UMEÅ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4650-2025</t>
        </is>
      </c>
      <c r="B892" s="1" t="n">
        <v>45687.66449074074</v>
      </c>
      <c r="C892" s="1" t="n">
        <v>45928</v>
      </c>
      <c r="D892" t="inlineStr">
        <is>
          <t>VÄSTERBOTTENS LÄN</t>
        </is>
      </c>
      <c r="E892" t="inlineStr">
        <is>
          <t>UMEÅ</t>
        </is>
      </c>
      <c r="F892" t="inlineStr">
        <is>
          <t>Holmen skog AB</t>
        </is>
      </c>
      <c r="G892" t="n">
        <v>20.8</v>
      </c>
      <c r="H892" t="n">
        <v>0</v>
      </c>
      <c r="I892" t="n">
        <v>0</v>
      </c>
      <c r="J892" t="n">
        <v>0</v>
      </c>
      <c r="K892" t="n">
        <v>0</v>
      </c>
      <c r="L892" t="n">
        <v>0</v>
      </c>
      <c r="M892" t="n">
        <v>0</v>
      </c>
      <c r="N892" t="n">
        <v>0</v>
      </c>
      <c r="O892" t="n">
        <v>0</v>
      </c>
      <c r="P892" t="n">
        <v>0</v>
      </c>
      <c r="Q892" t="n">
        <v>0</v>
      </c>
      <c r="R892" s="2" t="inlineStr"/>
    </row>
    <row r="893" ht="15" customHeight="1">
      <c r="A893" t="inlineStr">
        <is>
          <t>A 21440-2024</t>
        </is>
      </c>
      <c r="B893" s="1" t="n">
        <v>45441</v>
      </c>
      <c r="C893" s="1" t="n">
        <v>45928</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3828-2025</t>
        </is>
      </c>
      <c r="B894" s="1" t="n">
        <v>45681.82818287037</v>
      </c>
      <c r="C894" s="1" t="n">
        <v>45928</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3829-2025</t>
        </is>
      </c>
      <c r="B895" s="1" t="n">
        <v>45681.83350694444</v>
      </c>
      <c r="C895" s="1" t="n">
        <v>45928</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9769-2022</t>
        </is>
      </c>
      <c r="B896" s="1" t="n">
        <v>44619.71880787037</v>
      </c>
      <c r="C896" s="1" t="n">
        <v>45928</v>
      </c>
      <c r="D896" t="inlineStr">
        <is>
          <t>VÄSTERBOTTENS LÄN</t>
        </is>
      </c>
      <c r="E896" t="inlineStr">
        <is>
          <t>UMEÅ</t>
        </is>
      </c>
      <c r="G896" t="n">
        <v>12.6</v>
      </c>
      <c r="H896" t="n">
        <v>0</v>
      </c>
      <c r="I896" t="n">
        <v>0</v>
      </c>
      <c r="J896" t="n">
        <v>0</v>
      </c>
      <c r="K896" t="n">
        <v>0</v>
      </c>
      <c r="L896" t="n">
        <v>0</v>
      </c>
      <c r="M896" t="n">
        <v>0</v>
      </c>
      <c r="N896" t="n">
        <v>0</v>
      </c>
      <c r="O896" t="n">
        <v>0</v>
      </c>
      <c r="P896" t="n">
        <v>0</v>
      </c>
      <c r="Q896" t="n">
        <v>0</v>
      </c>
      <c r="R896" s="2" t="inlineStr"/>
    </row>
    <row r="897" ht="15" customHeight="1">
      <c r="A897" t="inlineStr">
        <is>
          <t>A 39594-2023</t>
        </is>
      </c>
      <c r="B897" s="1" t="n">
        <v>45167</v>
      </c>
      <c r="C897" s="1" t="n">
        <v>45928</v>
      </c>
      <c r="D897" t="inlineStr">
        <is>
          <t>VÄSTERBOTTENS LÄN</t>
        </is>
      </c>
      <c r="E897" t="inlineStr">
        <is>
          <t>UMEÅ</t>
        </is>
      </c>
      <c r="F897" t="inlineStr">
        <is>
          <t>Sveaskog</t>
        </is>
      </c>
      <c r="G897" t="n">
        <v>8.6</v>
      </c>
      <c r="H897" t="n">
        <v>0</v>
      </c>
      <c r="I897" t="n">
        <v>0</v>
      </c>
      <c r="J897" t="n">
        <v>0</v>
      </c>
      <c r="K897" t="n">
        <v>0</v>
      </c>
      <c r="L897" t="n">
        <v>0</v>
      </c>
      <c r="M897" t="n">
        <v>0</v>
      </c>
      <c r="N897" t="n">
        <v>0</v>
      </c>
      <c r="O897" t="n">
        <v>0</v>
      </c>
      <c r="P897" t="n">
        <v>0</v>
      </c>
      <c r="Q897" t="n">
        <v>0</v>
      </c>
      <c r="R897" s="2" t="inlineStr"/>
    </row>
    <row r="898" ht="15" customHeight="1">
      <c r="A898" t="inlineStr">
        <is>
          <t>A 44121-2022</t>
        </is>
      </c>
      <c r="B898" s="1" t="n">
        <v>44839</v>
      </c>
      <c r="C898" s="1" t="n">
        <v>45928</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55082-2023</t>
        </is>
      </c>
      <c r="B899" s="1" t="n">
        <v>45230</v>
      </c>
      <c r="C899" s="1" t="n">
        <v>45928</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7853-2025</t>
        </is>
      </c>
      <c r="B900" s="1" t="n">
        <v>45706.67732638889</v>
      </c>
      <c r="C900" s="1" t="n">
        <v>45928</v>
      </c>
      <c r="D900" t="inlineStr">
        <is>
          <t>VÄSTERBOTTENS LÄN</t>
        </is>
      </c>
      <c r="E900" t="inlineStr">
        <is>
          <t>UMEÅ</t>
        </is>
      </c>
      <c r="G900" t="n">
        <v>1.6</v>
      </c>
      <c r="H900" t="n">
        <v>0</v>
      </c>
      <c r="I900" t="n">
        <v>0</v>
      </c>
      <c r="J900" t="n">
        <v>0</v>
      </c>
      <c r="K900" t="n">
        <v>0</v>
      </c>
      <c r="L900" t="n">
        <v>0</v>
      </c>
      <c r="M900" t="n">
        <v>0</v>
      </c>
      <c r="N900" t="n">
        <v>0</v>
      </c>
      <c r="O900" t="n">
        <v>0</v>
      </c>
      <c r="P900" t="n">
        <v>0</v>
      </c>
      <c r="Q900" t="n">
        <v>0</v>
      </c>
      <c r="R900" s="2" t="inlineStr"/>
    </row>
    <row r="901" ht="15" customHeight="1">
      <c r="A901" t="inlineStr">
        <is>
          <t>A 14380-2025</t>
        </is>
      </c>
      <c r="B901" s="1" t="n">
        <v>45741.41429398148</v>
      </c>
      <c r="C901" s="1" t="n">
        <v>45928</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46727-2023</t>
        </is>
      </c>
      <c r="B902" s="1" t="n">
        <v>45198</v>
      </c>
      <c r="C902" s="1" t="n">
        <v>45928</v>
      </c>
      <c r="D902" t="inlineStr">
        <is>
          <t>VÄSTERBOTTENS LÄN</t>
        </is>
      </c>
      <c r="E902" t="inlineStr">
        <is>
          <t>UMEÅ</t>
        </is>
      </c>
      <c r="G902" t="n">
        <v>4.3</v>
      </c>
      <c r="H902" t="n">
        <v>0</v>
      </c>
      <c r="I902" t="n">
        <v>0</v>
      </c>
      <c r="J902" t="n">
        <v>0</v>
      </c>
      <c r="K902" t="n">
        <v>0</v>
      </c>
      <c r="L902" t="n">
        <v>0</v>
      </c>
      <c r="M902" t="n">
        <v>0</v>
      </c>
      <c r="N902" t="n">
        <v>0</v>
      </c>
      <c r="O902" t="n">
        <v>0</v>
      </c>
      <c r="P902" t="n">
        <v>0</v>
      </c>
      <c r="Q902" t="n">
        <v>0</v>
      </c>
      <c r="R902" s="2" t="inlineStr"/>
    </row>
    <row r="903" ht="15" customHeight="1">
      <c r="A903" t="inlineStr">
        <is>
          <t>A 16606-2022</t>
        </is>
      </c>
      <c r="B903" s="1" t="n">
        <v>44672</v>
      </c>
      <c r="C903" s="1" t="n">
        <v>45928</v>
      </c>
      <c r="D903" t="inlineStr">
        <is>
          <t>VÄSTERBOTTENS LÄN</t>
        </is>
      </c>
      <c r="E903" t="inlineStr">
        <is>
          <t>UMEÅ</t>
        </is>
      </c>
      <c r="G903" t="n">
        <v>1.8</v>
      </c>
      <c r="H903" t="n">
        <v>0</v>
      </c>
      <c r="I903" t="n">
        <v>0</v>
      </c>
      <c r="J903" t="n">
        <v>0</v>
      </c>
      <c r="K903" t="n">
        <v>0</v>
      </c>
      <c r="L903" t="n">
        <v>0</v>
      </c>
      <c r="M903" t="n">
        <v>0</v>
      </c>
      <c r="N903" t="n">
        <v>0</v>
      </c>
      <c r="O903" t="n">
        <v>0</v>
      </c>
      <c r="P903" t="n">
        <v>0</v>
      </c>
      <c r="Q903" t="n">
        <v>0</v>
      </c>
      <c r="R903" s="2" t="inlineStr"/>
    </row>
    <row r="904" ht="15" customHeight="1">
      <c r="A904" t="inlineStr">
        <is>
          <t>A 59289-2023</t>
        </is>
      </c>
      <c r="B904" s="1" t="n">
        <v>45252</v>
      </c>
      <c r="C904" s="1" t="n">
        <v>45928</v>
      </c>
      <c r="D904" t="inlineStr">
        <is>
          <t>VÄSTERBOTTENS LÄN</t>
        </is>
      </c>
      <c r="E904" t="inlineStr">
        <is>
          <t>UMEÅ</t>
        </is>
      </c>
      <c r="G904" t="n">
        <v>2</v>
      </c>
      <c r="H904" t="n">
        <v>0</v>
      </c>
      <c r="I904" t="n">
        <v>0</v>
      </c>
      <c r="J904" t="n">
        <v>0</v>
      </c>
      <c r="K904" t="n">
        <v>0</v>
      </c>
      <c r="L904" t="n">
        <v>0</v>
      </c>
      <c r="M904" t="n">
        <v>0</v>
      </c>
      <c r="N904" t="n">
        <v>0</v>
      </c>
      <c r="O904" t="n">
        <v>0</v>
      </c>
      <c r="P904" t="n">
        <v>0</v>
      </c>
      <c r="Q904" t="n">
        <v>0</v>
      </c>
      <c r="R904" s="2" t="inlineStr"/>
    </row>
    <row r="905" ht="15" customHeight="1">
      <c r="A905" t="inlineStr">
        <is>
          <t>A 42463-2023</t>
        </is>
      </c>
      <c r="B905" s="1" t="n">
        <v>45180.67883101852</v>
      </c>
      <c r="C905" s="1" t="n">
        <v>45928</v>
      </c>
      <c r="D905" t="inlineStr">
        <is>
          <t>VÄSTERBOTTENS LÄN</t>
        </is>
      </c>
      <c r="E905" t="inlineStr">
        <is>
          <t>UMEÅ</t>
        </is>
      </c>
      <c r="G905" t="n">
        <v>3.5</v>
      </c>
      <c r="H905" t="n">
        <v>0</v>
      </c>
      <c r="I905" t="n">
        <v>0</v>
      </c>
      <c r="J905" t="n">
        <v>0</v>
      </c>
      <c r="K905" t="n">
        <v>0</v>
      </c>
      <c r="L905" t="n">
        <v>0</v>
      </c>
      <c r="M905" t="n">
        <v>0</v>
      </c>
      <c r="N905" t="n">
        <v>0</v>
      </c>
      <c r="O905" t="n">
        <v>0</v>
      </c>
      <c r="P905" t="n">
        <v>0</v>
      </c>
      <c r="Q905" t="n">
        <v>0</v>
      </c>
      <c r="R905" s="2" t="inlineStr"/>
    </row>
    <row r="906" ht="15" customHeight="1">
      <c r="A906" t="inlineStr">
        <is>
          <t>A 6130-2025</t>
        </is>
      </c>
      <c r="B906" s="1" t="n">
        <v>45698.36478009259</v>
      </c>
      <c r="C906" s="1" t="n">
        <v>45928</v>
      </c>
      <c r="D906" t="inlineStr">
        <is>
          <t>VÄSTERBOTTENS LÄN</t>
        </is>
      </c>
      <c r="E906" t="inlineStr">
        <is>
          <t>UMEÅ</t>
        </is>
      </c>
      <c r="G906" t="n">
        <v>2.5</v>
      </c>
      <c r="H906" t="n">
        <v>0</v>
      </c>
      <c r="I906" t="n">
        <v>0</v>
      </c>
      <c r="J906" t="n">
        <v>0</v>
      </c>
      <c r="K906" t="n">
        <v>0</v>
      </c>
      <c r="L906" t="n">
        <v>0</v>
      </c>
      <c r="M906" t="n">
        <v>0</v>
      </c>
      <c r="N906" t="n">
        <v>0</v>
      </c>
      <c r="O906" t="n">
        <v>0</v>
      </c>
      <c r="P906" t="n">
        <v>0</v>
      </c>
      <c r="Q906" t="n">
        <v>0</v>
      </c>
      <c r="R906" s="2" t="inlineStr"/>
    </row>
    <row r="907" ht="15" customHeight="1">
      <c r="A907" t="inlineStr">
        <is>
          <t>A 39945-2023</t>
        </is>
      </c>
      <c r="B907" s="1" t="n">
        <v>45168</v>
      </c>
      <c r="C907" s="1" t="n">
        <v>45928</v>
      </c>
      <c r="D907" t="inlineStr">
        <is>
          <t>VÄSTERBOTTENS LÄN</t>
        </is>
      </c>
      <c r="E907" t="inlineStr">
        <is>
          <t>UMEÅ</t>
        </is>
      </c>
      <c r="G907" t="n">
        <v>4.9</v>
      </c>
      <c r="H907" t="n">
        <v>0</v>
      </c>
      <c r="I907" t="n">
        <v>0</v>
      </c>
      <c r="J907" t="n">
        <v>0</v>
      </c>
      <c r="K907" t="n">
        <v>0</v>
      </c>
      <c r="L907" t="n">
        <v>0</v>
      </c>
      <c r="M907" t="n">
        <v>0</v>
      </c>
      <c r="N907" t="n">
        <v>0</v>
      </c>
      <c r="O907" t="n">
        <v>0</v>
      </c>
      <c r="P907" t="n">
        <v>0</v>
      </c>
      <c r="Q907" t="n">
        <v>0</v>
      </c>
      <c r="R907" s="2" t="inlineStr"/>
    </row>
    <row r="908" ht="15" customHeight="1">
      <c r="A908" t="inlineStr">
        <is>
          <t>A 29027-2022</t>
        </is>
      </c>
      <c r="B908" s="1" t="n">
        <v>44749.9266087963</v>
      </c>
      <c r="C908" s="1" t="n">
        <v>45928</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52529-2023</t>
        </is>
      </c>
      <c r="B909" s="1" t="n">
        <v>45225.53422453703</v>
      </c>
      <c r="C909" s="1" t="n">
        <v>45928</v>
      </c>
      <c r="D909" t="inlineStr">
        <is>
          <t>VÄSTERBOTTENS LÄN</t>
        </is>
      </c>
      <c r="E909" t="inlineStr">
        <is>
          <t>UMEÅ</t>
        </is>
      </c>
      <c r="G909" t="n">
        <v>0.5</v>
      </c>
      <c r="H909" t="n">
        <v>0</v>
      </c>
      <c r="I909" t="n">
        <v>0</v>
      </c>
      <c r="J909" t="n">
        <v>0</v>
      </c>
      <c r="K909" t="n">
        <v>0</v>
      </c>
      <c r="L909" t="n">
        <v>0</v>
      </c>
      <c r="M909" t="n">
        <v>0</v>
      </c>
      <c r="N909" t="n">
        <v>0</v>
      </c>
      <c r="O909" t="n">
        <v>0</v>
      </c>
      <c r="P909" t="n">
        <v>0</v>
      </c>
      <c r="Q909" t="n">
        <v>0</v>
      </c>
      <c r="R909" s="2" t="inlineStr"/>
    </row>
    <row r="910" ht="15" customHeight="1">
      <c r="A910" t="inlineStr">
        <is>
          <t>A 26352-2024</t>
        </is>
      </c>
      <c r="B910" s="1" t="n">
        <v>45469.36628472222</v>
      </c>
      <c r="C910" s="1" t="n">
        <v>45928</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25346-2024</t>
        </is>
      </c>
      <c r="B911" s="1" t="n">
        <v>45462</v>
      </c>
      <c r="C911" s="1" t="n">
        <v>45928</v>
      </c>
      <c r="D911" t="inlineStr">
        <is>
          <t>VÄSTERBOTTENS LÄN</t>
        </is>
      </c>
      <c r="E911" t="inlineStr">
        <is>
          <t>UMEÅ</t>
        </is>
      </c>
      <c r="G911" t="n">
        <v>2.5</v>
      </c>
      <c r="H911" t="n">
        <v>0</v>
      </c>
      <c r="I911" t="n">
        <v>0</v>
      </c>
      <c r="J911" t="n">
        <v>0</v>
      </c>
      <c r="K911" t="n">
        <v>0</v>
      </c>
      <c r="L911" t="n">
        <v>0</v>
      </c>
      <c r="M911" t="n">
        <v>0</v>
      </c>
      <c r="N911" t="n">
        <v>0</v>
      </c>
      <c r="O911" t="n">
        <v>0</v>
      </c>
      <c r="P911" t="n">
        <v>0</v>
      </c>
      <c r="Q911" t="n">
        <v>0</v>
      </c>
      <c r="R911" s="2" t="inlineStr"/>
    </row>
    <row r="912" ht="15" customHeight="1">
      <c r="A912" t="inlineStr">
        <is>
          <t>A 10422-2025</t>
        </is>
      </c>
      <c r="B912" s="1" t="n">
        <v>45720.64917824074</v>
      </c>
      <c r="C912" s="1" t="n">
        <v>45928</v>
      </c>
      <c r="D912" t="inlineStr">
        <is>
          <t>VÄSTERBOTTENS LÄN</t>
        </is>
      </c>
      <c r="E912" t="inlineStr">
        <is>
          <t>UMEÅ</t>
        </is>
      </c>
      <c r="G912" t="n">
        <v>1.7</v>
      </c>
      <c r="H912" t="n">
        <v>0</v>
      </c>
      <c r="I912" t="n">
        <v>0</v>
      </c>
      <c r="J912" t="n">
        <v>0</v>
      </c>
      <c r="K912" t="n">
        <v>0</v>
      </c>
      <c r="L912" t="n">
        <v>0</v>
      </c>
      <c r="M912" t="n">
        <v>0</v>
      </c>
      <c r="N912" t="n">
        <v>0</v>
      </c>
      <c r="O912" t="n">
        <v>0</v>
      </c>
      <c r="P912" t="n">
        <v>0</v>
      </c>
      <c r="Q912" t="n">
        <v>0</v>
      </c>
      <c r="R912" s="2" t="inlineStr"/>
    </row>
    <row r="913" ht="15" customHeight="1">
      <c r="A913" t="inlineStr">
        <is>
          <t>A 9159-2025</t>
        </is>
      </c>
      <c r="B913" s="1" t="n">
        <v>45714.35774305555</v>
      </c>
      <c r="C913" s="1" t="n">
        <v>45928</v>
      </c>
      <c r="D913" t="inlineStr">
        <is>
          <t>VÄSTERBOTTENS LÄN</t>
        </is>
      </c>
      <c r="E913" t="inlineStr">
        <is>
          <t>UMEÅ</t>
        </is>
      </c>
      <c r="G913" t="n">
        <v>3.2</v>
      </c>
      <c r="H913" t="n">
        <v>0</v>
      </c>
      <c r="I913" t="n">
        <v>0</v>
      </c>
      <c r="J913" t="n">
        <v>0</v>
      </c>
      <c r="K913" t="n">
        <v>0</v>
      </c>
      <c r="L913" t="n">
        <v>0</v>
      </c>
      <c r="M913" t="n">
        <v>0</v>
      </c>
      <c r="N913" t="n">
        <v>0</v>
      </c>
      <c r="O913" t="n">
        <v>0</v>
      </c>
      <c r="P913" t="n">
        <v>0</v>
      </c>
      <c r="Q913" t="n">
        <v>0</v>
      </c>
      <c r="R913" s="2" t="inlineStr"/>
    </row>
    <row r="914" ht="15" customHeight="1">
      <c r="A914" t="inlineStr">
        <is>
          <t>A 51709-2023</t>
        </is>
      </c>
      <c r="B914" s="1" t="n">
        <v>45215</v>
      </c>
      <c r="C914" s="1" t="n">
        <v>45928</v>
      </c>
      <c r="D914" t="inlineStr">
        <is>
          <t>VÄSTERBOTTENS LÄN</t>
        </is>
      </c>
      <c r="E914" t="inlineStr">
        <is>
          <t>UMEÅ</t>
        </is>
      </c>
      <c r="G914" t="n">
        <v>2.1</v>
      </c>
      <c r="H914" t="n">
        <v>0</v>
      </c>
      <c r="I914" t="n">
        <v>0</v>
      </c>
      <c r="J914" t="n">
        <v>0</v>
      </c>
      <c r="K914" t="n">
        <v>0</v>
      </c>
      <c r="L914" t="n">
        <v>0</v>
      </c>
      <c r="M914" t="n">
        <v>0</v>
      </c>
      <c r="N914" t="n">
        <v>0</v>
      </c>
      <c r="O914" t="n">
        <v>0</v>
      </c>
      <c r="P914" t="n">
        <v>0</v>
      </c>
      <c r="Q914" t="n">
        <v>0</v>
      </c>
      <c r="R914" s="2" t="inlineStr"/>
    </row>
    <row r="915" ht="15" customHeight="1">
      <c r="A915" t="inlineStr">
        <is>
          <t>A 61749-2023</t>
        </is>
      </c>
      <c r="B915" s="1" t="n">
        <v>45264</v>
      </c>
      <c r="C915" s="1" t="n">
        <v>45928</v>
      </c>
      <c r="D915" t="inlineStr">
        <is>
          <t>VÄSTERBOTTENS LÄN</t>
        </is>
      </c>
      <c r="E915" t="inlineStr">
        <is>
          <t>UMEÅ</t>
        </is>
      </c>
      <c r="G915" t="n">
        <v>2.4</v>
      </c>
      <c r="H915" t="n">
        <v>0</v>
      </c>
      <c r="I915" t="n">
        <v>0</v>
      </c>
      <c r="J915" t="n">
        <v>0</v>
      </c>
      <c r="K915" t="n">
        <v>0</v>
      </c>
      <c r="L915" t="n">
        <v>0</v>
      </c>
      <c r="M915" t="n">
        <v>0</v>
      </c>
      <c r="N915" t="n">
        <v>0</v>
      </c>
      <c r="O915" t="n">
        <v>0</v>
      </c>
      <c r="P915" t="n">
        <v>0</v>
      </c>
      <c r="Q915" t="n">
        <v>0</v>
      </c>
      <c r="R915" s="2" t="inlineStr"/>
    </row>
    <row r="916" ht="15" customHeight="1">
      <c r="A916" t="inlineStr">
        <is>
          <t>A 44459-2023</t>
        </is>
      </c>
      <c r="B916" s="1" t="n">
        <v>45189</v>
      </c>
      <c r="C916" s="1" t="n">
        <v>45928</v>
      </c>
      <c r="D916" t="inlineStr">
        <is>
          <t>VÄSTERBOTTENS LÄN</t>
        </is>
      </c>
      <c r="E916" t="inlineStr">
        <is>
          <t>UMEÅ</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59080-2022</t>
        </is>
      </c>
      <c r="B917" s="1" t="n">
        <v>44904</v>
      </c>
      <c r="C917" s="1" t="n">
        <v>45928</v>
      </c>
      <c r="D917" t="inlineStr">
        <is>
          <t>VÄSTERBOTTENS LÄN</t>
        </is>
      </c>
      <c r="E917" t="inlineStr">
        <is>
          <t>UMEÅ</t>
        </is>
      </c>
      <c r="G917" t="n">
        <v>1</v>
      </c>
      <c r="H917" t="n">
        <v>0</v>
      </c>
      <c r="I917" t="n">
        <v>0</v>
      </c>
      <c r="J917" t="n">
        <v>0</v>
      </c>
      <c r="K917" t="n">
        <v>0</v>
      </c>
      <c r="L917" t="n">
        <v>0</v>
      </c>
      <c r="M917" t="n">
        <v>0</v>
      </c>
      <c r="N917" t="n">
        <v>0</v>
      </c>
      <c r="O917" t="n">
        <v>0</v>
      </c>
      <c r="P917" t="n">
        <v>0</v>
      </c>
      <c r="Q917" t="n">
        <v>0</v>
      </c>
      <c r="R917" s="2" t="inlineStr"/>
    </row>
    <row r="918" ht="15" customHeight="1">
      <c r="A918" t="inlineStr">
        <is>
          <t>A 50725-2023</t>
        </is>
      </c>
      <c r="B918" s="1" t="n">
        <v>45217</v>
      </c>
      <c r="C918" s="1" t="n">
        <v>45928</v>
      </c>
      <c r="D918" t="inlineStr">
        <is>
          <t>VÄSTERBOTTENS LÄN</t>
        </is>
      </c>
      <c r="E918" t="inlineStr">
        <is>
          <t>UMEÅ</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50726-2023</t>
        </is>
      </c>
      <c r="B919" s="1" t="n">
        <v>45217</v>
      </c>
      <c r="C919" s="1" t="n">
        <v>45928</v>
      </c>
      <c r="D919" t="inlineStr">
        <is>
          <t>VÄSTERBOTTENS LÄN</t>
        </is>
      </c>
      <c r="E919" t="inlineStr">
        <is>
          <t>UMEÅ</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36816-2022</t>
        </is>
      </c>
      <c r="B920" s="1" t="n">
        <v>44805.5507175926</v>
      </c>
      <c r="C920" s="1" t="n">
        <v>45928</v>
      </c>
      <c r="D920" t="inlineStr">
        <is>
          <t>VÄSTERBOTTENS LÄN</t>
        </is>
      </c>
      <c r="E920" t="inlineStr">
        <is>
          <t>UMEÅ</t>
        </is>
      </c>
      <c r="F920" t="inlineStr">
        <is>
          <t>Holmen skog AB</t>
        </is>
      </c>
      <c r="G920" t="n">
        <v>2.9</v>
      </c>
      <c r="H920" t="n">
        <v>0</v>
      </c>
      <c r="I920" t="n">
        <v>0</v>
      </c>
      <c r="J920" t="n">
        <v>0</v>
      </c>
      <c r="K920" t="n">
        <v>0</v>
      </c>
      <c r="L920" t="n">
        <v>0</v>
      </c>
      <c r="M920" t="n">
        <v>0</v>
      </c>
      <c r="N920" t="n">
        <v>0</v>
      </c>
      <c r="O920" t="n">
        <v>0</v>
      </c>
      <c r="P920" t="n">
        <v>0</v>
      </c>
      <c r="Q920" t="n">
        <v>0</v>
      </c>
      <c r="R920" s="2" t="inlineStr"/>
    </row>
    <row r="921" ht="15" customHeight="1">
      <c r="A921" t="inlineStr">
        <is>
          <t>A 6998-2024</t>
        </is>
      </c>
      <c r="B921" s="1" t="n">
        <v>45343</v>
      </c>
      <c r="C921" s="1" t="n">
        <v>45928</v>
      </c>
      <c r="D921" t="inlineStr">
        <is>
          <t>VÄSTERBOTTENS LÄN</t>
        </is>
      </c>
      <c r="E921" t="inlineStr">
        <is>
          <t>UMEÅ</t>
        </is>
      </c>
      <c r="G921" t="n">
        <v>1.4</v>
      </c>
      <c r="H921" t="n">
        <v>0</v>
      </c>
      <c r="I921" t="n">
        <v>0</v>
      </c>
      <c r="J921" t="n">
        <v>0</v>
      </c>
      <c r="K921" t="n">
        <v>0</v>
      </c>
      <c r="L921" t="n">
        <v>0</v>
      </c>
      <c r="M921" t="n">
        <v>0</v>
      </c>
      <c r="N921" t="n">
        <v>0</v>
      </c>
      <c r="O921" t="n">
        <v>0</v>
      </c>
      <c r="P921" t="n">
        <v>0</v>
      </c>
      <c r="Q921" t="n">
        <v>0</v>
      </c>
      <c r="R921" s="2" t="inlineStr"/>
    </row>
    <row r="922" ht="15" customHeight="1">
      <c r="A922" t="inlineStr">
        <is>
          <t>A 27307-2022</t>
        </is>
      </c>
      <c r="B922" s="1" t="n">
        <v>44742.3241550926</v>
      </c>
      <c r="C922" s="1" t="n">
        <v>45928</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17081-2025</t>
        </is>
      </c>
      <c r="B923" s="1" t="n">
        <v>45755</v>
      </c>
      <c r="C923" s="1" t="n">
        <v>45928</v>
      </c>
      <c r="D923" t="inlineStr">
        <is>
          <t>VÄSTERBOTTENS LÄN</t>
        </is>
      </c>
      <c r="E923" t="inlineStr">
        <is>
          <t>UMEÅ</t>
        </is>
      </c>
      <c r="G923" t="n">
        <v>3.3</v>
      </c>
      <c r="H923" t="n">
        <v>0</v>
      </c>
      <c r="I923" t="n">
        <v>0</v>
      </c>
      <c r="J923" t="n">
        <v>0</v>
      </c>
      <c r="K923" t="n">
        <v>0</v>
      </c>
      <c r="L923" t="n">
        <v>0</v>
      </c>
      <c r="M923" t="n">
        <v>0</v>
      </c>
      <c r="N923" t="n">
        <v>0</v>
      </c>
      <c r="O923" t="n">
        <v>0</v>
      </c>
      <c r="P923" t="n">
        <v>0</v>
      </c>
      <c r="Q923" t="n">
        <v>0</v>
      </c>
      <c r="R923" s="2" t="inlineStr"/>
    </row>
    <row r="924" ht="15" customHeight="1">
      <c r="A924" t="inlineStr">
        <is>
          <t>A 62648-2021</t>
        </is>
      </c>
      <c r="B924" s="1" t="n">
        <v>44503</v>
      </c>
      <c r="C924" s="1" t="n">
        <v>45928</v>
      </c>
      <c r="D924" t="inlineStr">
        <is>
          <t>VÄSTERBOTTENS LÄN</t>
        </is>
      </c>
      <c r="E924" t="inlineStr">
        <is>
          <t>UMEÅ</t>
        </is>
      </c>
      <c r="G924" t="n">
        <v>2.3</v>
      </c>
      <c r="H924" t="n">
        <v>0</v>
      </c>
      <c r="I924" t="n">
        <v>0</v>
      </c>
      <c r="J924" t="n">
        <v>0</v>
      </c>
      <c r="K924" t="n">
        <v>0</v>
      </c>
      <c r="L924" t="n">
        <v>0</v>
      </c>
      <c r="M924" t="n">
        <v>0</v>
      </c>
      <c r="N924" t="n">
        <v>0</v>
      </c>
      <c r="O924" t="n">
        <v>0</v>
      </c>
      <c r="P924" t="n">
        <v>0</v>
      </c>
      <c r="Q924" t="n">
        <v>0</v>
      </c>
      <c r="R924" s="2" t="inlineStr"/>
    </row>
    <row r="925" ht="15" customHeight="1">
      <c r="A925" t="inlineStr">
        <is>
          <t>A 50084-2021</t>
        </is>
      </c>
      <c r="B925" s="1" t="n">
        <v>44456.59263888889</v>
      </c>
      <c r="C925" s="1" t="n">
        <v>45928</v>
      </c>
      <c r="D925" t="inlineStr">
        <is>
          <t>VÄSTERBOTTENS LÄN</t>
        </is>
      </c>
      <c r="E925" t="inlineStr">
        <is>
          <t>UMEÅ</t>
        </is>
      </c>
      <c r="G925" t="n">
        <v>10.7</v>
      </c>
      <c r="H925" t="n">
        <v>0</v>
      </c>
      <c r="I925" t="n">
        <v>0</v>
      </c>
      <c r="J925" t="n">
        <v>0</v>
      </c>
      <c r="K925" t="n">
        <v>0</v>
      </c>
      <c r="L925" t="n">
        <v>0</v>
      </c>
      <c r="M925" t="n">
        <v>0</v>
      </c>
      <c r="N925" t="n">
        <v>0</v>
      </c>
      <c r="O925" t="n">
        <v>0</v>
      </c>
      <c r="P925" t="n">
        <v>0</v>
      </c>
      <c r="Q925" t="n">
        <v>0</v>
      </c>
      <c r="R925" s="2" t="inlineStr"/>
    </row>
    <row r="926" ht="15" customHeight="1">
      <c r="A926" t="inlineStr">
        <is>
          <t>A 3366-2024</t>
        </is>
      </c>
      <c r="B926" s="1" t="n">
        <v>45317</v>
      </c>
      <c r="C926" s="1" t="n">
        <v>45928</v>
      </c>
      <c r="D926" t="inlineStr">
        <is>
          <t>VÄSTERBOTTENS LÄN</t>
        </is>
      </c>
      <c r="E926" t="inlineStr">
        <is>
          <t>UMEÅ</t>
        </is>
      </c>
      <c r="G926" t="n">
        <v>3.4</v>
      </c>
      <c r="H926" t="n">
        <v>0</v>
      </c>
      <c r="I926" t="n">
        <v>0</v>
      </c>
      <c r="J926" t="n">
        <v>0</v>
      </c>
      <c r="K926" t="n">
        <v>0</v>
      </c>
      <c r="L926" t="n">
        <v>0</v>
      </c>
      <c r="M926" t="n">
        <v>0</v>
      </c>
      <c r="N926" t="n">
        <v>0</v>
      </c>
      <c r="O926" t="n">
        <v>0</v>
      </c>
      <c r="P926" t="n">
        <v>0</v>
      </c>
      <c r="Q926" t="n">
        <v>0</v>
      </c>
      <c r="R926" s="2" t="inlineStr"/>
    </row>
    <row r="927" ht="15" customHeight="1">
      <c r="A927" t="inlineStr">
        <is>
          <t>A 14286-2025</t>
        </is>
      </c>
      <c r="B927" s="1" t="n">
        <v>45740.66287037037</v>
      </c>
      <c r="C927" s="1" t="n">
        <v>45928</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40024-2022</t>
        </is>
      </c>
      <c r="B928" s="1" t="n">
        <v>44820.41207175926</v>
      </c>
      <c r="C928" s="1" t="n">
        <v>45928</v>
      </c>
      <c r="D928" t="inlineStr">
        <is>
          <t>VÄSTERBOTTENS LÄN</t>
        </is>
      </c>
      <c r="E928" t="inlineStr">
        <is>
          <t>UMEÅ</t>
        </is>
      </c>
      <c r="G928" t="n">
        <v>3</v>
      </c>
      <c r="H928" t="n">
        <v>0</v>
      </c>
      <c r="I928" t="n">
        <v>0</v>
      </c>
      <c r="J928" t="n">
        <v>0</v>
      </c>
      <c r="K928" t="n">
        <v>0</v>
      </c>
      <c r="L928" t="n">
        <v>0</v>
      </c>
      <c r="M928" t="n">
        <v>0</v>
      </c>
      <c r="N928" t="n">
        <v>0</v>
      </c>
      <c r="O928" t="n">
        <v>0</v>
      </c>
      <c r="P928" t="n">
        <v>0</v>
      </c>
      <c r="Q928" t="n">
        <v>0</v>
      </c>
      <c r="R928" s="2" t="inlineStr"/>
    </row>
    <row r="929" ht="15" customHeight="1">
      <c r="A929" t="inlineStr">
        <is>
          <t>A 7437-2024</t>
        </is>
      </c>
      <c r="B929" s="1" t="n">
        <v>45345</v>
      </c>
      <c r="C929" s="1" t="n">
        <v>45928</v>
      </c>
      <c r="D929" t="inlineStr">
        <is>
          <t>VÄSTERBOTTENS LÄN</t>
        </is>
      </c>
      <c r="E929" t="inlineStr">
        <is>
          <t>UMEÅ</t>
        </is>
      </c>
      <c r="G929" t="n">
        <v>2.3</v>
      </c>
      <c r="H929" t="n">
        <v>0</v>
      </c>
      <c r="I929" t="n">
        <v>0</v>
      </c>
      <c r="J929" t="n">
        <v>0</v>
      </c>
      <c r="K929" t="n">
        <v>0</v>
      </c>
      <c r="L929" t="n">
        <v>0</v>
      </c>
      <c r="M929" t="n">
        <v>0</v>
      </c>
      <c r="N929" t="n">
        <v>0</v>
      </c>
      <c r="O929" t="n">
        <v>0</v>
      </c>
      <c r="P929" t="n">
        <v>0</v>
      </c>
      <c r="Q929" t="n">
        <v>0</v>
      </c>
      <c r="R929" s="2" t="inlineStr"/>
    </row>
    <row r="930" ht="15" customHeight="1">
      <c r="A930" t="inlineStr">
        <is>
          <t>A 7440-2024</t>
        </is>
      </c>
      <c r="B930" s="1" t="n">
        <v>45345</v>
      </c>
      <c r="C930" s="1" t="n">
        <v>45928</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37023-2024</t>
        </is>
      </c>
      <c r="B931" s="1" t="n">
        <v>45539</v>
      </c>
      <c r="C931" s="1" t="n">
        <v>45928</v>
      </c>
      <c r="D931" t="inlineStr">
        <is>
          <t>VÄSTERBOTTENS LÄN</t>
        </is>
      </c>
      <c r="E931" t="inlineStr">
        <is>
          <t>UMEÅ</t>
        </is>
      </c>
      <c r="G931" t="n">
        <v>1.2</v>
      </c>
      <c r="H931" t="n">
        <v>0</v>
      </c>
      <c r="I931" t="n">
        <v>0</v>
      </c>
      <c r="J931" t="n">
        <v>0</v>
      </c>
      <c r="K931" t="n">
        <v>0</v>
      </c>
      <c r="L931" t="n">
        <v>0</v>
      </c>
      <c r="M931" t="n">
        <v>0</v>
      </c>
      <c r="N931" t="n">
        <v>0</v>
      </c>
      <c r="O931" t="n">
        <v>0</v>
      </c>
      <c r="P931" t="n">
        <v>0</v>
      </c>
      <c r="Q931" t="n">
        <v>0</v>
      </c>
      <c r="R931" s="2" t="inlineStr"/>
    </row>
    <row r="932">
      <c r="A932" t="inlineStr">
        <is>
          <t>A 23840-2024</t>
        </is>
      </c>
      <c r="B932" s="1" t="n">
        <v>45455</v>
      </c>
      <c r="C932" s="1" t="n">
        <v>45928</v>
      </c>
      <c r="D932" t="inlineStr">
        <is>
          <t>VÄSTERBOTTENS LÄN</t>
        </is>
      </c>
      <c r="E932" t="inlineStr">
        <is>
          <t>UMEÅ</t>
        </is>
      </c>
      <c r="G932" t="n">
        <v>10.8</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2025-09-28T12:17:54Z</dcterms:created>
  <dcterms:modified xmlns:dcterms="http://purl.org/dc/terms/" xmlns:xsi="http://www.w3.org/2001/XMLSchema-instance" xsi:type="dcterms:W3CDTF">2025-09-28T12:17:55Z</dcterms:modified>
</cp:coreProperties>
</file>