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45828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45828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45828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45828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45828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45828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45828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24934-2025</t>
        </is>
      </c>
      <c r="B9" s="1" t="n">
        <v>45799</v>
      </c>
      <c r="C9" s="1" t="n">
        <v>45828</v>
      </c>
      <c r="D9" t="inlineStr">
        <is>
          <t>VÄSTERBOTTENS LÄN</t>
        </is>
      </c>
      <c r="E9" t="inlineStr">
        <is>
          <t>UMEÅ</t>
        </is>
      </c>
      <c r="G9" t="n">
        <v>24.9</v>
      </c>
      <c r="H9" t="n">
        <v>7</v>
      </c>
      <c r="I9" t="n">
        <v>4</v>
      </c>
      <c r="J9" t="n">
        <v>10</v>
      </c>
      <c r="K9" t="n">
        <v>1</v>
      </c>
      <c r="L9" t="n">
        <v>0</v>
      </c>
      <c r="M9" t="n">
        <v>0</v>
      </c>
      <c r="N9" t="n">
        <v>0</v>
      </c>
      <c r="O9" t="n">
        <v>11</v>
      </c>
      <c r="P9" t="n">
        <v>1</v>
      </c>
      <c r="Q9" t="n">
        <v>17</v>
      </c>
      <c r="R9" s="2" t="inlineStr">
        <is>
          <t>Sprickporing
Garnlav
Granticka
Harticka
Havsörn
Järpe
Leptoporus mollis
Lunglav
Spillkråka
Tretåig hackspett
Ullticka
Kattfotslav
Spindelblomster
Vedticka
Vågbandad barkbock
Grönsiska
Kungsfågel</t>
        </is>
      </c>
      <c r="S9">
        <f>HYPERLINK("https://klasma.github.io/Logging_242480/artfynd/A 24934-2025 artfynd.xlsx", "A 24934-2025")</f>
        <v/>
      </c>
      <c r="T9">
        <f>HYPERLINK("https://klasma.github.io/Logging_242480/kartor/A 24934-2025 karta.png", "A 24934-2025")</f>
        <v/>
      </c>
      <c r="V9">
        <f>HYPERLINK("https://klasma.github.io/Logging_242480/klagomål/A 24934-2025 FSC-klagomål.docx", "A 24934-2025")</f>
        <v/>
      </c>
      <c r="W9">
        <f>HYPERLINK("https://klasma.github.io/Logging_242480/klagomålsmail/A 24934-2025 FSC-klagomål mail.docx", "A 24934-2025")</f>
        <v/>
      </c>
      <c r="X9">
        <f>HYPERLINK("https://klasma.github.io/Logging_242480/tillsyn/A 24934-2025 tillsynsbegäran.docx", "A 24934-2025")</f>
        <v/>
      </c>
      <c r="Y9">
        <f>HYPERLINK("https://klasma.github.io/Logging_242480/tillsynsmail/A 24934-2025 tillsynsbegäran mail.docx", "A 24934-2025")</f>
        <v/>
      </c>
      <c r="Z9">
        <f>HYPERLINK("https://klasma.github.io/Logging_242480/fåglar/A 24934-2025 prioriterade fågelarter.docx", "A 24934-2025")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45828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45828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45828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45828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45828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45828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45828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45828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45828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45828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45828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45828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45828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45828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45828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45828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45828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45828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45828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45828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45828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45828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45828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45828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45828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45828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45828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45828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45828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45828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45828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45828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45828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45828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45828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45828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45828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45828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45828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45828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45828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45828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45828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45828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45828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45828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45828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45828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45828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45828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45828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45828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45828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45828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45828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45828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45828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45828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45828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45828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45828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45828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45828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45828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45828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45828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45828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45828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45828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45828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45828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45828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45828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45828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45828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45828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45828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45828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45828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45828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45828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45828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45828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45828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45828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45828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45828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45828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45828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45828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45828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45828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45828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45828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45828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45828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45828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45828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45828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45828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45828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45828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45828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45828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45828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45828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45828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45828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45828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45828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30173-2025</t>
        </is>
      </c>
      <c r="B120" s="1" t="n">
        <v>45827</v>
      </c>
      <c r="C120" s="1" t="n">
        <v>45828</v>
      </c>
      <c r="D120" t="inlineStr">
        <is>
          <t>VÄSTERBOTTENS LÄN</t>
        </is>
      </c>
      <c r="E120" t="inlineStr">
        <is>
          <t>UMEÅ</t>
        </is>
      </c>
      <c r="G120" t="n">
        <v>11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Nordfladdermus
Ullticka</t>
        </is>
      </c>
      <c r="S120">
        <f>HYPERLINK("https://klasma.github.io/Logging_242480/artfynd/A 30173-2025 artfynd.xlsx", "A 30173-2025")</f>
        <v/>
      </c>
      <c r="T120">
        <f>HYPERLINK("https://klasma.github.io/Logging_242480/kartor/A 30173-2025 karta.png", "A 30173-2025")</f>
        <v/>
      </c>
      <c r="V120">
        <f>HYPERLINK("https://klasma.github.io/Logging_242480/klagomål/A 30173-2025 FSC-klagomål.docx", "A 30173-2025")</f>
        <v/>
      </c>
      <c r="W120">
        <f>HYPERLINK("https://klasma.github.io/Logging_242480/klagomålsmail/A 30173-2025 FSC-klagomål mail.docx", "A 30173-2025")</f>
        <v/>
      </c>
      <c r="X120">
        <f>HYPERLINK("https://klasma.github.io/Logging_242480/tillsyn/A 30173-2025 tillsynsbegäran.docx", "A 30173-2025")</f>
        <v/>
      </c>
      <c r="Y120">
        <f>HYPERLINK("https://klasma.github.io/Logging_242480/tillsynsmail/A 30173-2025 tillsynsbegäran mail.docx", "A 30173-2025")</f>
        <v/>
      </c>
    </row>
    <row r="121" ht="15" customHeight="1">
      <c r="A121" t="inlineStr">
        <is>
          <t>A 30170-2025</t>
        </is>
      </c>
      <c r="B121" s="1" t="n">
        <v>45827</v>
      </c>
      <c r="C121" s="1" t="n">
        <v>45828</v>
      </c>
      <c r="D121" t="inlineStr">
        <is>
          <t>VÄSTERBOTTENS LÄN</t>
        </is>
      </c>
      <c r="E121" t="inlineStr">
        <is>
          <t>UMEÅ</t>
        </is>
      </c>
      <c r="G121" t="n">
        <v>12.1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Guldgräshoppa
Norrlandslav</t>
        </is>
      </c>
      <c r="S121">
        <f>HYPERLINK("https://klasma.github.io/Logging_242480/artfynd/A 30170-2025 artfynd.xlsx", "A 30170-2025")</f>
        <v/>
      </c>
      <c r="T121">
        <f>HYPERLINK("https://klasma.github.io/Logging_242480/kartor/A 30170-2025 karta.png", "A 30170-2025")</f>
        <v/>
      </c>
      <c r="V121">
        <f>HYPERLINK("https://klasma.github.io/Logging_242480/klagomål/A 30170-2025 FSC-klagomål.docx", "A 30170-2025")</f>
        <v/>
      </c>
      <c r="W121">
        <f>HYPERLINK("https://klasma.github.io/Logging_242480/klagomålsmail/A 30170-2025 FSC-klagomål mail.docx", "A 30170-2025")</f>
        <v/>
      </c>
      <c r="X121">
        <f>HYPERLINK("https://klasma.github.io/Logging_242480/tillsyn/A 30170-2025 tillsynsbegäran.docx", "A 30170-2025")</f>
        <v/>
      </c>
      <c r="Y121">
        <f>HYPERLINK("https://klasma.github.io/Logging_242480/tillsynsmail/A 30170-2025 tillsynsbegäran mail.docx", "A 30170-2025")</f>
        <v/>
      </c>
    </row>
    <row r="122" ht="15" customHeight="1">
      <c r="A122" t="inlineStr">
        <is>
          <t>A 53745-2019</t>
        </is>
      </c>
      <c r="B122" s="1" t="n">
        <v>43749</v>
      </c>
      <c r="C122" s="1" t="n">
        <v>45828</v>
      </c>
      <c r="D122" t="inlineStr">
        <is>
          <t>VÄSTERBOTTENS LÄN</t>
        </is>
      </c>
      <c r="E122" t="inlineStr">
        <is>
          <t>UMEÅ</t>
        </is>
      </c>
      <c r="G122" t="n">
        <v>1.9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HYPERLINK("https://klasma.github.io/Logging_2480/artfynd/A 53745-2019 artfynd.xlsx", "A 53745-2019")</f>
        <v/>
      </c>
      <c r="T122">
        <f>HYPERLINK("https://klasma.github.io/Logging_2480/kartor/A 53745-2019 karta.png", "A 53745-2019")</f>
        <v/>
      </c>
      <c r="V122">
        <f>HYPERLINK("https://klasma.github.io/Logging_2480/klagomål/A 53745-2019 FSC-klagomål.docx", "A 53745-2019")</f>
        <v/>
      </c>
      <c r="W122">
        <f>HYPERLINK("https://klasma.github.io/Logging_2480/klagomålsmail/A 53745-2019 FSC-klagomål mail.docx", "A 53745-2019")</f>
        <v/>
      </c>
      <c r="X122">
        <f>HYPERLINK("https://klasma.github.io/Logging_2480/tillsyn/A 53745-2019 tillsynsbegäran.docx", "A 53745-2019")</f>
        <v/>
      </c>
      <c r="Y122">
        <f>HYPERLINK("https://klasma.github.io/Logging_2480/tillsynsmail/A 53745-2019 tillsynsbegäran mail.docx", "A 53745-2019")</f>
        <v/>
      </c>
    </row>
    <row r="123" ht="15" customHeight="1">
      <c r="A123" t="inlineStr">
        <is>
          <t>A 23492-2020</t>
        </is>
      </c>
      <c r="B123" s="1" t="n">
        <v>43966</v>
      </c>
      <c r="C123" s="1" t="n">
        <v>45828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HYPERLINK("https://klasma.github.io/Logging_2480/artfynd/A 23492-2020 artfynd.xlsx", "A 23492-2020")</f>
        <v/>
      </c>
      <c r="T123">
        <f>HYPERLINK("https://klasma.github.io/Logging_2480/kartor/A 23492-2020 karta.png", "A 23492-2020")</f>
        <v/>
      </c>
      <c r="V123">
        <f>HYPERLINK("https://klasma.github.io/Logging_2480/klagomål/A 23492-2020 FSC-klagomål.docx", "A 23492-2020")</f>
        <v/>
      </c>
      <c r="W123">
        <f>HYPERLINK("https://klasma.github.io/Logging_2480/klagomålsmail/A 23492-2020 FSC-klagomål mail.docx", "A 23492-2020")</f>
        <v/>
      </c>
      <c r="X123">
        <f>HYPERLINK("https://klasma.github.io/Logging_2480/tillsyn/A 23492-2020 tillsynsbegäran.docx", "A 23492-2020")</f>
        <v/>
      </c>
      <c r="Y123">
        <f>HYPERLINK("https://klasma.github.io/Logging_2480/tillsynsmail/A 23492-2020 tillsynsbegäran mail.docx", "A 23492-2020")</f>
        <v/>
      </c>
    </row>
    <row r="124" ht="15" customHeight="1">
      <c r="A124" t="inlineStr">
        <is>
          <t>A 18248-2021</t>
        </is>
      </c>
      <c r="B124" s="1" t="n">
        <v>44305</v>
      </c>
      <c r="C124" s="1" t="n">
        <v>45828</v>
      </c>
      <c r="D124" t="inlineStr">
        <is>
          <t>VÄSTERBOTTENS LÄN</t>
        </is>
      </c>
      <c r="E124" t="inlineStr">
        <is>
          <t>UMEÅ</t>
        </is>
      </c>
      <c r="G124" t="n">
        <v>22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Bivråk</t>
        </is>
      </c>
      <c r="S124">
        <f>HYPERLINK("https://klasma.github.io/Logging_2480/artfynd/A 18248-2021 artfynd.xlsx", "A 18248-2021")</f>
        <v/>
      </c>
      <c r="T124">
        <f>HYPERLINK("https://klasma.github.io/Logging_2480/kartor/A 18248-2021 karta.png", "A 18248-2021")</f>
        <v/>
      </c>
      <c r="V124">
        <f>HYPERLINK("https://klasma.github.io/Logging_2480/klagomål/A 18248-2021 FSC-klagomål.docx", "A 18248-2021")</f>
        <v/>
      </c>
      <c r="W124">
        <f>HYPERLINK("https://klasma.github.io/Logging_2480/klagomålsmail/A 18248-2021 FSC-klagomål mail.docx", "A 18248-2021")</f>
        <v/>
      </c>
      <c r="X124">
        <f>HYPERLINK("https://klasma.github.io/Logging_2480/tillsyn/A 18248-2021 tillsynsbegäran.docx", "A 18248-2021")</f>
        <v/>
      </c>
      <c r="Y124">
        <f>HYPERLINK("https://klasma.github.io/Logging_2480/tillsynsmail/A 18248-2021 tillsynsbegäran mail.docx", "A 18248-2021")</f>
        <v/>
      </c>
      <c r="Z124">
        <f>HYPERLINK("https://klasma.github.io/Logging_2480/fåglar/A 18248-2021 prioriterade fågelarter.docx", "A 18248-2021")</f>
        <v/>
      </c>
    </row>
    <row r="125" ht="15" customHeight="1">
      <c r="A125" t="inlineStr">
        <is>
          <t>A 38396-2021</t>
        </is>
      </c>
      <c r="B125" s="1" t="n">
        <v>44406</v>
      </c>
      <c r="C125" s="1" t="n">
        <v>45828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HYPERLINK("https://klasma.github.io/Logging_2480/artfynd/A 38396-2021 artfynd.xlsx", "A 38396-2021")</f>
        <v/>
      </c>
      <c r="T125">
        <f>HYPERLINK("https://klasma.github.io/Logging_2480/kartor/A 38396-2021 karta.png", "A 38396-2021")</f>
        <v/>
      </c>
      <c r="V125">
        <f>HYPERLINK("https://klasma.github.io/Logging_2480/klagomål/A 38396-2021 FSC-klagomål.docx", "A 38396-2021")</f>
        <v/>
      </c>
      <c r="W125">
        <f>HYPERLINK("https://klasma.github.io/Logging_2480/klagomålsmail/A 38396-2021 FSC-klagomål mail.docx", "A 38396-2021")</f>
        <v/>
      </c>
      <c r="X125">
        <f>HYPERLINK("https://klasma.github.io/Logging_2480/tillsyn/A 38396-2021 tillsynsbegäran.docx", "A 38396-2021")</f>
        <v/>
      </c>
      <c r="Y125">
        <f>HYPERLINK("https://klasma.github.io/Logging_2480/tillsynsmail/A 38396-2021 tillsynsbegäran mail.docx", "A 38396-2021")</f>
        <v/>
      </c>
    </row>
    <row r="126" ht="15" customHeight="1">
      <c r="A126" t="inlineStr">
        <is>
          <t>A 38393-2021</t>
        </is>
      </c>
      <c r="B126" s="1" t="n">
        <v>44406</v>
      </c>
      <c r="C126" s="1" t="n">
        <v>45828</v>
      </c>
      <c r="D126" t="inlineStr">
        <is>
          <t>VÄSTERBOTTENS LÄN</t>
        </is>
      </c>
      <c r="E126" t="inlineStr">
        <is>
          <t>UMEÅ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38393-2021 artfynd.xlsx", "A 38393-2021")</f>
        <v/>
      </c>
      <c r="T126">
        <f>HYPERLINK("https://klasma.github.io/Logging_2480/kartor/A 38393-2021 karta.png", "A 38393-2021")</f>
        <v/>
      </c>
      <c r="V126">
        <f>HYPERLINK("https://klasma.github.io/Logging_2480/klagomål/A 38393-2021 FSC-klagomål.docx", "A 38393-2021")</f>
        <v/>
      </c>
      <c r="W126">
        <f>HYPERLINK("https://klasma.github.io/Logging_2480/klagomålsmail/A 38393-2021 FSC-klagomål mail.docx", "A 38393-2021")</f>
        <v/>
      </c>
      <c r="X126">
        <f>HYPERLINK("https://klasma.github.io/Logging_2480/tillsyn/A 38393-2021 tillsynsbegäran.docx", "A 38393-2021")</f>
        <v/>
      </c>
      <c r="Y126">
        <f>HYPERLINK("https://klasma.github.io/Logging_2480/tillsynsmail/A 38393-2021 tillsynsbegäran mail.docx", "A 38393-2021")</f>
        <v/>
      </c>
      <c r="Z126">
        <f>HYPERLINK("https://klasma.github.io/Logging_2480/fåglar/A 38393-2021 prioriterade fågelarter.docx", "A 38393-2021")</f>
        <v/>
      </c>
    </row>
    <row r="127" ht="15" customHeight="1">
      <c r="A127" t="inlineStr">
        <is>
          <t>A 38390-2021</t>
        </is>
      </c>
      <c r="B127" s="1" t="n">
        <v>44406</v>
      </c>
      <c r="C127" s="1" t="n">
        <v>45828</v>
      </c>
      <c r="D127" t="inlineStr">
        <is>
          <t>VÄSTERBOTTENS LÄN</t>
        </is>
      </c>
      <c r="E127" t="inlineStr">
        <is>
          <t>UMEÅ</t>
        </is>
      </c>
      <c r="F127" t="inlineStr">
        <is>
          <t>Övriga statliga verk och myndigheter</t>
        </is>
      </c>
      <c r="G127" t="n">
        <v>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38390-2021 artfynd.xlsx", "A 38390-2021")</f>
        <v/>
      </c>
      <c r="T127">
        <f>HYPERLINK("https://klasma.github.io/Logging_2480/kartor/A 38390-2021 karta.png", "A 38390-2021")</f>
        <v/>
      </c>
      <c r="V127">
        <f>HYPERLINK("https://klasma.github.io/Logging_2480/klagomål/A 38390-2021 FSC-klagomål.docx", "A 38390-2021")</f>
        <v/>
      </c>
      <c r="W127">
        <f>HYPERLINK("https://klasma.github.io/Logging_2480/klagomålsmail/A 38390-2021 FSC-klagomål mail.docx", "A 38390-2021")</f>
        <v/>
      </c>
      <c r="X127">
        <f>HYPERLINK("https://klasma.github.io/Logging_2480/tillsyn/A 38390-2021 tillsynsbegäran.docx", "A 38390-2021")</f>
        <v/>
      </c>
      <c r="Y127">
        <f>HYPERLINK("https://klasma.github.io/Logging_2480/tillsynsmail/A 38390-2021 tillsynsbegäran mail.docx", "A 38390-2021")</f>
        <v/>
      </c>
    </row>
    <row r="128" ht="15" customHeight="1">
      <c r="A128" t="inlineStr">
        <is>
          <t>A 38438-2021</t>
        </is>
      </c>
      <c r="B128" s="1" t="n">
        <v>44406</v>
      </c>
      <c r="C128" s="1" t="n">
        <v>45828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HYPERLINK("https://klasma.github.io/Logging_2480/artfynd/A 38438-2021 artfynd.xlsx", "A 38438-2021")</f>
        <v/>
      </c>
      <c r="T128">
        <f>HYPERLINK("https://klasma.github.io/Logging_2480/kartor/A 38438-2021 karta.png", "A 38438-2021")</f>
        <v/>
      </c>
      <c r="V128">
        <f>HYPERLINK("https://klasma.github.io/Logging_2480/klagomål/A 38438-2021 FSC-klagomål.docx", "A 38438-2021")</f>
        <v/>
      </c>
      <c r="W128">
        <f>HYPERLINK("https://klasma.github.io/Logging_2480/klagomålsmail/A 38438-2021 FSC-klagomål mail.docx", "A 38438-2021")</f>
        <v/>
      </c>
      <c r="X128">
        <f>HYPERLINK("https://klasma.github.io/Logging_2480/tillsyn/A 38438-2021 tillsynsbegäran.docx", "A 38438-2021")</f>
        <v/>
      </c>
      <c r="Y128">
        <f>HYPERLINK("https://klasma.github.io/Logging_2480/tillsynsmail/A 38438-2021 tillsynsbegäran mail.docx", "A 38438-2021")</f>
        <v/>
      </c>
    </row>
    <row r="129" ht="15" customHeight="1">
      <c r="A129" t="inlineStr">
        <is>
          <t>A 38437-2021</t>
        </is>
      </c>
      <c r="B129" s="1" t="n">
        <v>44406</v>
      </c>
      <c r="C129" s="1" t="n">
        <v>45828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2.3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38437-2021 artfynd.xlsx", "A 38437-2021")</f>
        <v/>
      </c>
      <c r="T129">
        <f>HYPERLINK("https://klasma.github.io/Logging_2480/kartor/A 38437-2021 karta.png", "A 38437-2021")</f>
        <v/>
      </c>
      <c r="V129">
        <f>HYPERLINK("https://klasma.github.io/Logging_2480/klagomål/A 38437-2021 FSC-klagomål.docx", "A 38437-2021")</f>
        <v/>
      </c>
      <c r="W129">
        <f>HYPERLINK("https://klasma.github.io/Logging_2480/klagomålsmail/A 38437-2021 FSC-klagomål mail.docx", "A 38437-2021")</f>
        <v/>
      </c>
      <c r="X129">
        <f>HYPERLINK("https://klasma.github.io/Logging_2480/tillsyn/A 38437-2021 tillsynsbegäran.docx", "A 38437-2021")</f>
        <v/>
      </c>
      <c r="Y129">
        <f>HYPERLINK("https://klasma.github.io/Logging_2480/tillsynsmail/A 38437-2021 tillsynsbegäran mail.docx", "A 38437-2021")</f>
        <v/>
      </c>
    </row>
    <row r="130" ht="15" customHeight="1">
      <c r="A130" t="inlineStr">
        <is>
          <t>A 38545-2021</t>
        </is>
      </c>
      <c r="B130" s="1" t="n">
        <v>44407</v>
      </c>
      <c r="C130" s="1" t="n">
        <v>45828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0.6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HYPERLINK("https://klasma.github.io/Logging_2480/artfynd/A 38545-2021 artfynd.xlsx", "A 38545-2021")</f>
        <v/>
      </c>
      <c r="T130">
        <f>HYPERLINK("https://klasma.github.io/Logging_2480/kartor/A 38545-2021 karta.png", "A 38545-2021")</f>
        <v/>
      </c>
      <c r="V130">
        <f>HYPERLINK("https://klasma.github.io/Logging_2480/klagomål/A 38545-2021 FSC-klagomål.docx", "A 38545-2021")</f>
        <v/>
      </c>
      <c r="W130">
        <f>HYPERLINK("https://klasma.github.io/Logging_2480/klagomålsmail/A 38545-2021 FSC-klagomål mail.docx", "A 38545-2021")</f>
        <v/>
      </c>
      <c r="X130">
        <f>HYPERLINK("https://klasma.github.io/Logging_2480/tillsyn/A 38545-2021 tillsynsbegäran.docx", "A 38545-2021")</f>
        <v/>
      </c>
      <c r="Y130">
        <f>HYPERLINK("https://klasma.github.io/Logging_2480/tillsynsmail/A 38545-2021 tillsynsbegäran mail.docx", "A 38545-2021")</f>
        <v/>
      </c>
      <c r="Z130">
        <f>HYPERLINK("https://klasma.github.io/Logging_2480/fåglar/A 38545-2021 prioriterade fågelarter.docx", "A 38545-2021")</f>
        <v/>
      </c>
    </row>
    <row r="131" ht="15" customHeight="1">
      <c r="A131" t="inlineStr">
        <is>
          <t>A 38681-2021</t>
        </is>
      </c>
      <c r="B131" s="1" t="n">
        <v>44407</v>
      </c>
      <c r="C131" s="1" t="n">
        <v>45828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HYPERLINK("https://klasma.github.io/Logging_2480/artfynd/A 38681-2021 artfynd.xlsx", "A 38681-2021")</f>
        <v/>
      </c>
      <c r="T131">
        <f>HYPERLINK("https://klasma.github.io/Logging_2480/kartor/A 38681-2021 karta.png", "A 38681-2021")</f>
        <v/>
      </c>
      <c r="V131">
        <f>HYPERLINK("https://klasma.github.io/Logging_2480/klagomål/A 38681-2021 FSC-klagomål.docx", "A 38681-2021")</f>
        <v/>
      </c>
      <c r="W131">
        <f>HYPERLINK("https://klasma.github.io/Logging_2480/klagomålsmail/A 38681-2021 FSC-klagomål mail.docx", "A 38681-2021")</f>
        <v/>
      </c>
      <c r="X131">
        <f>HYPERLINK("https://klasma.github.io/Logging_2480/tillsyn/A 38681-2021 tillsynsbegäran.docx", "A 38681-2021")</f>
        <v/>
      </c>
      <c r="Y131">
        <f>HYPERLINK("https://klasma.github.io/Logging_2480/tillsynsmail/A 38681-2021 tillsynsbegäran mail.docx", "A 38681-2021")</f>
        <v/>
      </c>
      <c r="Z131">
        <f>HYPERLINK("https://klasma.github.io/Logging_2480/fåglar/A 38681-2021 prioriterade fågelarter.docx", "A 38681-2021")</f>
        <v/>
      </c>
    </row>
    <row r="132" ht="15" customHeight="1">
      <c r="A132" t="inlineStr">
        <is>
          <t>A 38683-2021</t>
        </is>
      </c>
      <c r="B132" s="1" t="n">
        <v>44407</v>
      </c>
      <c r="C132" s="1" t="n">
        <v>45828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Springkornsfältmätare</t>
        </is>
      </c>
      <c r="S132">
        <f>HYPERLINK("https://klasma.github.io/Logging_2480/artfynd/A 38683-2021 artfynd.xlsx", "A 38683-2021")</f>
        <v/>
      </c>
      <c r="T132">
        <f>HYPERLINK("https://klasma.github.io/Logging_2480/kartor/A 38683-2021 karta.png", "A 38683-2021")</f>
        <v/>
      </c>
      <c r="V132">
        <f>HYPERLINK("https://klasma.github.io/Logging_2480/klagomål/A 38683-2021 FSC-klagomål.docx", "A 38683-2021")</f>
        <v/>
      </c>
      <c r="W132">
        <f>HYPERLINK("https://klasma.github.io/Logging_2480/klagomålsmail/A 38683-2021 FSC-klagomål mail.docx", "A 38683-2021")</f>
        <v/>
      </c>
      <c r="X132">
        <f>HYPERLINK("https://klasma.github.io/Logging_2480/tillsyn/A 38683-2021 tillsynsbegäran.docx", "A 38683-2021")</f>
        <v/>
      </c>
      <c r="Y132">
        <f>HYPERLINK("https://klasma.github.io/Logging_2480/tillsynsmail/A 38683-2021 tillsynsbegäran mail.docx", "A 38683-2021")</f>
        <v/>
      </c>
    </row>
    <row r="133" ht="15" customHeight="1">
      <c r="A133" t="inlineStr">
        <is>
          <t>A 38719-2021</t>
        </is>
      </c>
      <c r="B133" s="1" t="n">
        <v>44410</v>
      </c>
      <c r="C133" s="1" t="n">
        <v>45828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HYPERLINK("https://klasma.github.io/Logging_2480/artfynd/A 38719-2021 artfynd.xlsx", "A 38719-2021")</f>
        <v/>
      </c>
      <c r="T133">
        <f>HYPERLINK("https://klasma.github.io/Logging_2480/kartor/A 38719-2021 karta.png", "A 38719-2021")</f>
        <v/>
      </c>
      <c r="V133">
        <f>HYPERLINK("https://klasma.github.io/Logging_2480/klagomål/A 38719-2021 FSC-klagomål.docx", "A 38719-2021")</f>
        <v/>
      </c>
      <c r="W133">
        <f>HYPERLINK("https://klasma.github.io/Logging_2480/klagomålsmail/A 38719-2021 FSC-klagomål mail.docx", "A 38719-2021")</f>
        <v/>
      </c>
      <c r="X133">
        <f>HYPERLINK("https://klasma.github.io/Logging_2480/tillsyn/A 38719-2021 tillsynsbegäran.docx", "A 38719-2021")</f>
        <v/>
      </c>
      <c r="Y133">
        <f>HYPERLINK("https://klasma.github.io/Logging_2480/tillsynsmail/A 38719-2021 tillsynsbegäran mail.docx", "A 38719-2021")</f>
        <v/>
      </c>
      <c r="Z133">
        <f>HYPERLINK("https://klasma.github.io/Logging_2480/fåglar/A 38719-2021 prioriterade fågelarter.docx", "A 38719-2021")</f>
        <v/>
      </c>
    </row>
    <row r="134" ht="15" customHeight="1">
      <c r="A134" t="inlineStr">
        <is>
          <t>A 38700-2021</t>
        </is>
      </c>
      <c r="B134" s="1" t="n">
        <v>44410</v>
      </c>
      <c r="C134" s="1" t="n">
        <v>45828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HYPERLINK("https://klasma.github.io/Logging_2480/artfynd/A 38700-2021 artfynd.xlsx", "A 38700-2021")</f>
        <v/>
      </c>
      <c r="T134">
        <f>HYPERLINK("https://klasma.github.io/Logging_2480/kartor/A 38700-2021 karta.png", "A 38700-2021")</f>
        <v/>
      </c>
      <c r="V134">
        <f>HYPERLINK("https://klasma.github.io/Logging_2480/klagomål/A 38700-2021 FSC-klagomål.docx", "A 38700-2021")</f>
        <v/>
      </c>
      <c r="W134">
        <f>HYPERLINK("https://klasma.github.io/Logging_2480/klagomålsmail/A 38700-2021 FSC-klagomål mail.docx", "A 38700-2021")</f>
        <v/>
      </c>
      <c r="X134">
        <f>HYPERLINK("https://klasma.github.io/Logging_2480/tillsyn/A 38700-2021 tillsynsbegäran.docx", "A 38700-2021")</f>
        <v/>
      </c>
      <c r="Y134">
        <f>HYPERLINK("https://klasma.github.io/Logging_2480/tillsynsmail/A 38700-2021 tillsynsbegäran mail.docx", "A 38700-2021")</f>
        <v/>
      </c>
    </row>
    <row r="135" ht="15" customHeight="1">
      <c r="A135" t="inlineStr">
        <is>
          <t>A 38742-2021</t>
        </is>
      </c>
      <c r="B135" s="1" t="n">
        <v>44410</v>
      </c>
      <c r="C135" s="1" t="n">
        <v>45828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Stubbträfluga</t>
        </is>
      </c>
      <c r="S135">
        <f>HYPERLINK("https://klasma.github.io/Logging_2480/artfynd/A 38742-2021 artfynd.xlsx", "A 38742-2021")</f>
        <v/>
      </c>
      <c r="T135">
        <f>HYPERLINK("https://klasma.github.io/Logging_2480/kartor/A 38742-2021 karta.png", "A 38742-2021")</f>
        <v/>
      </c>
      <c r="V135">
        <f>HYPERLINK("https://klasma.github.io/Logging_2480/klagomål/A 38742-2021 FSC-klagomål.docx", "A 38742-2021")</f>
        <v/>
      </c>
      <c r="W135">
        <f>HYPERLINK("https://klasma.github.io/Logging_2480/klagomålsmail/A 38742-2021 FSC-klagomål mail.docx", "A 38742-2021")</f>
        <v/>
      </c>
      <c r="X135">
        <f>HYPERLINK("https://klasma.github.io/Logging_2480/tillsyn/A 38742-2021 tillsynsbegäran.docx", "A 38742-2021")</f>
        <v/>
      </c>
      <c r="Y135">
        <f>HYPERLINK("https://klasma.github.io/Logging_2480/tillsynsmail/A 38742-2021 tillsynsbegäran mail.docx", "A 38742-2021")</f>
        <v/>
      </c>
    </row>
    <row r="136" ht="15" customHeight="1">
      <c r="A136" t="inlineStr">
        <is>
          <t>A 47038-2021</t>
        </is>
      </c>
      <c r="B136" s="1" t="n">
        <v>44446</v>
      </c>
      <c r="C136" s="1" t="n">
        <v>45828</v>
      </c>
      <c r="D136" t="inlineStr">
        <is>
          <t>VÄSTERBOTTENS LÄN</t>
        </is>
      </c>
      <c r="E136" t="inlineStr">
        <is>
          <t>UMEÅ</t>
        </is>
      </c>
      <c r="G136" t="n">
        <v>22.3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HYPERLINK("https://klasma.github.io/Logging_2480/artfynd/A 47038-2021 artfynd.xlsx", "A 47038-2021")</f>
        <v/>
      </c>
      <c r="T136">
        <f>HYPERLINK("https://klasma.github.io/Logging_2480/kartor/A 47038-2021 karta.png", "A 47038-2021")</f>
        <v/>
      </c>
      <c r="V136">
        <f>HYPERLINK("https://klasma.github.io/Logging_2480/klagomål/A 47038-2021 FSC-klagomål.docx", "A 47038-2021")</f>
        <v/>
      </c>
      <c r="W136">
        <f>HYPERLINK("https://klasma.github.io/Logging_2480/klagomålsmail/A 47038-2021 FSC-klagomål mail.docx", "A 47038-2021")</f>
        <v/>
      </c>
      <c r="X136">
        <f>HYPERLINK("https://klasma.github.io/Logging_2480/tillsyn/A 47038-2021 tillsynsbegäran.docx", "A 47038-2021")</f>
        <v/>
      </c>
      <c r="Y136">
        <f>HYPERLINK("https://klasma.github.io/Logging_2480/tillsynsmail/A 47038-2021 tillsynsbegäran mail.docx", "A 47038-2021")</f>
        <v/>
      </c>
    </row>
    <row r="137" ht="15" customHeight="1">
      <c r="A137" t="inlineStr">
        <is>
          <t>A 49774-2021</t>
        </is>
      </c>
      <c r="B137" s="1" t="n">
        <v>44455</v>
      </c>
      <c r="C137" s="1" t="n">
        <v>45828</v>
      </c>
      <c r="D137" t="inlineStr">
        <is>
          <t>VÄSTERBOTTENS LÄN</t>
        </is>
      </c>
      <c r="E137" t="inlineStr">
        <is>
          <t>UMEÅ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49774-2021 artfynd.xlsx", "A 49774-2021")</f>
        <v/>
      </c>
      <c r="T137">
        <f>HYPERLINK("https://klasma.github.io/Logging_2480/kartor/A 49774-2021 karta.png", "A 49774-2021")</f>
        <v/>
      </c>
      <c r="V137">
        <f>HYPERLINK("https://klasma.github.io/Logging_2480/klagomål/A 49774-2021 FSC-klagomål.docx", "A 49774-2021")</f>
        <v/>
      </c>
      <c r="W137">
        <f>HYPERLINK("https://klasma.github.io/Logging_2480/klagomålsmail/A 49774-2021 FSC-klagomål mail.docx", "A 49774-2021")</f>
        <v/>
      </c>
      <c r="X137">
        <f>HYPERLINK("https://klasma.github.io/Logging_2480/tillsyn/A 49774-2021 tillsynsbegäran.docx", "A 49774-2021")</f>
        <v/>
      </c>
      <c r="Y137">
        <f>HYPERLINK("https://klasma.github.io/Logging_2480/tillsynsmail/A 49774-2021 tillsynsbegäran mail.docx", "A 49774-2021")</f>
        <v/>
      </c>
    </row>
    <row r="138" ht="15" customHeight="1">
      <c r="A138" t="inlineStr">
        <is>
          <t>A 49850-2021</t>
        </is>
      </c>
      <c r="B138" s="1" t="n">
        <v>44455</v>
      </c>
      <c r="C138" s="1" t="n">
        <v>45828</v>
      </c>
      <c r="D138" t="inlineStr">
        <is>
          <t>VÄSTERBOTTENS LÄN</t>
        </is>
      </c>
      <c r="E138" t="inlineStr">
        <is>
          <t>UMEÅ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49850-2021 artfynd.xlsx", "A 49850-2021")</f>
        <v/>
      </c>
      <c r="T138">
        <f>HYPERLINK("https://klasma.github.io/Logging_2480/kartor/A 49850-2021 karta.png", "A 49850-2021")</f>
        <v/>
      </c>
      <c r="V138">
        <f>HYPERLINK("https://klasma.github.io/Logging_2480/klagomål/A 49850-2021 FSC-klagomål.docx", "A 49850-2021")</f>
        <v/>
      </c>
      <c r="W138">
        <f>HYPERLINK("https://klasma.github.io/Logging_2480/klagomålsmail/A 49850-2021 FSC-klagomål mail.docx", "A 49850-2021")</f>
        <v/>
      </c>
      <c r="X138">
        <f>HYPERLINK("https://klasma.github.io/Logging_2480/tillsyn/A 49850-2021 tillsynsbegäran.docx", "A 49850-2021")</f>
        <v/>
      </c>
      <c r="Y138">
        <f>HYPERLINK("https://klasma.github.io/Logging_2480/tillsynsmail/A 49850-2021 tillsynsbegäran mail.docx", "A 49850-2021")</f>
        <v/>
      </c>
    </row>
    <row r="139" ht="15" customHeight="1">
      <c r="A139" t="inlineStr">
        <is>
          <t>A 6711-2022</t>
        </is>
      </c>
      <c r="B139" s="1" t="n">
        <v>44602</v>
      </c>
      <c r="C139" s="1" t="n">
        <v>45828</v>
      </c>
      <c r="D139" t="inlineStr">
        <is>
          <t>VÄSTERBOTTENS LÄN</t>
        </is>
      </c>
      <c r="E139" t="inlineStr">
        <is>
          <t>UMEÅ</t>
        </is>
      </c>
      <c r="G139" t="n">
        <v>9.6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kärrhök</t>
        </is>
      </c>
      <c r="S139">
        <f>HYPERLINK("https://klasma.github.io/Logging_2480/artfynd/A 6711-2022 artfynd.xlsx", "A 6711-2022")</f>
        <v/>
      </c>
      <c r="T139">
        <f>HYPERLINK("https://klasma.github.io/Logging_2480/kartor/A 6711-2022 karta.png", "A 6711-2022")</f>
        <v/>
      </c>
      <c r="V139">
        <f>HYPERLINK("https://klasma.github.io/Logging_2480/klagomål/A 6711-2022 FSC-klagomål.docx", "A 6711-2022")</f>
        <v/>
      </c>
      <c r="W139">
        <f>HYPERLINK("https://klasma.github.io/Logging_2480/klagomålsmail/A 6711-2022 FSC-klagomål mail.docx", "A 6711-2022")</f>
        <v/>
      </c>
      <c r="X139">
        <f>HYPERLINK("https://klasma.github.io/Logging_2480/tillsyn/A 6711-2022 tillsynsbegäran.docx", "A 6711-2022")</f>
        <v/>
      </c>
      <c r="Y139">
        <f>HYPERLINK("https://klasma.github.io/Logging_2480/tillsynsmail/A 6711-2022 tillsynsbegäran mail.docx", "A 6711-2022")</f>
        <v/>
      </c>
      <c r="Z139">
        <f>HYPERLINK("https://klasma.github.io/Logging_2480/fåglar/A 6711-2022 prioriterade fågelarter.docx", "A 6711-2022")</f>
        <v/>
      </c>
    </row>
    <row r="140" ht="15" customHeight="1">
      <c r="A140" t="inlineStr">
        <is>
          <t>A 11502-2022</t>
        </is>
      </c>
      <c r="B140" s="1" t="n">
        <v>44631</v>
      </c>
      <c r="C140" s="1" t="n">
        <v>45828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Violettgrå tagellav</t>
        </is>
      </c>
      <c r="S140">
        <f>HYPERLINK("https://klasma.github.io/Logging_2480/artfynd/A 11502-2022 artfynd.xlsx", "A 11502-2022")</f>
        <v/>
      </c>
      <c r="T140">
        <f>HYPERLINK("https://klasma.github.io/Logging_2480/kartor/A 11502-2022 karta.png", "A 11502-2022")</f>
        <v/>
      </c>
      <c r="V140">
        <f>HYPERLINK("https://klasma.github.io/Logging_2480/klagomål/A 11502-2022 FSC-klagomål.docx", "A 11502-2022")</f>
        <v/>
      </c>
      <c r="W140">
        <f>HYPERLINK("https://klasma.github.io/Logging_2480/klagomålsmail/A 11502-2022 FSC-klagomål mail.docx", "A 11502-2022")</f>
        <v/>
      </c>
      <c r="X140">
        <f>HYPERLINK("https://klasma.github.io/Logging_2480/tillsyn/A 11502-2022 tillsynsbegäran.docx", "A 11502-2022")</f>
        <v/>
      </c>
      <c r="Y140">
        <f>HYPERLINK("https://klasma.github.io/Logging_2480/tillsynsmail/A 11502-2022 tillsynsbegäran mail.docx", "A 11502-2022")</f>
        <v/>
      </c>
    </row>
    <row r="141" ht="15" customHeight="1">
      <c r="A141" t="inlineStr">
        <is>
          <t>A 16839-2022</t>
        </is>
      </c>
      <c r="B141" s="1" t="n">
        <v>44673</v>
      </c>
      <c r="C141" s="1" t="n">
        <v>45828</v>
      </c>
      <c r="D141" t="inlineStr">
        <is>
          <t>VÄSTERBOTTENS LÄN</t>
        </is>
      </c>
      <c r="E141" t="inlineStr">
        <is>
          <t>UMEÅ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Kråka</t>
        </is>
      </c>
      <c r="S141">
        <f>HYPERLINK("https://klasma.github.io/Logging_2480/artfynd/A 16839-2022 artfynd.xlsx", "A 16839-2022")</f>
        <v/>
      </c>
      <c r="T141">
        <f>HYPERLINK("https://klasma.github.io/Logging_2480/kartor/A 16839-2022 karta.png", "A 16839-2022")</f>
        <v/>
      </c>
      <c r="V141">
        <f>HYPERLINK("https://klasma.github.io/Logging_2480/klagomål/A 16839-2022 FSC-klagomål.docx", "A 16839-2022")</f>
        <v/>
      </c>
      <c r="W141">
        <f>HYPERLINK("https://klasma.github.io/Logging_2480/klagomålsmail/A 16839-2022 FSC-klagomål mail.docx", "A 16839-2022")</f>
        <v/>
      </c>
      <c r="X141">
        <f>HYPERLINK("https://klasma.github.io/Logging_2480/tillsyn/A 16839-2022 tillsynsbegäran.docx", "A 16839-2022")</f>
        <v/>
      </c>
      <c r="Y141">
        <f>HYPERLINK("https://klasma.github.io/Logging_2480/tillsynsmail/A 16839-2022 tillsynsbegäran mail.docx", "A 16839-2022")</f>
        <v/>
      </c>
      <c r="Z141">
        <f>HYPERLINK("https://klasma.github.io/Logging_2480/fåglar/A 16839-2022 prioriterade fågelarter.docx", "A 16839-2022")</f>
        <v/>
      </c>
    </row>
    <row r="142" ht="15" customHeight="1">
      <c r="A142" t="inlineStr">
        <is>
          <t>A 23035-2022</t>
        </is>
      </c>
      <c r="B142" s="1" t="n">
        <v>44715</v>
      </c>
      <c r="C142" s="1" t="n">
        <v>45828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HYPERLINK("https://klasma.github.io/Logging_2480/artfynd/A 23035-2022 artfynd.xlsx", "A 23035-2022")</f>
        <v/>
      </c>
      <c r="T142">
        <f>HYPERLINK("https://klasma.github.io/Logging_2480/kartor/A 23035-2022 karta.png", "A 23035-2022")</f>
        <v/>
      </c>
      <c r="V142">
        <f>HYPERLINK("https://klasma.github.io/Logging_2480/klagomål/A 23035-2022 FSC-klagomål.docx", "A 23035-2022")</f>
        <v/>
      </c>
      <c r="W142">
        <f>HYPERLINK("https://klasma.github.io/Logging_2480/klagomålsmail/A 23035-2022 FSC-klagomål mail.docx", "A 23035-2022")</f>
        <v/>
      </c>
      <c r="X142">
        <f>HYPERLINK("https://klasma.github.io/Logging_2480/tillsyn/A 23035-2022 tillsynsbegäran.docx", "A 23035-2022")</f>
        <v/>
      </c>
      <c r="Y142">
        <f>HYPERLINK("https://klasma.github.io/Logging_2480/tillsynsmail/A 23035-2022 tillsynsbegäran mail.docx", "A 23035-2022")</f>
        <v/>
      </c>
    </row>
    <row r="143" ht="15" customHeight="1">
      <c r="A143" t="inlineStr">
        <is>
          <t>A 25702-2022</t>
        </is>
      </c>
      <c r="B143" s="1" t="n">
        <v>44733</v>
      </c>
      <c r="C143" s="1" t="n">
        <v>45828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8.5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Järpe</t>
        </is>
      </c>
      <c r="S143">
        <f>HYPERLINK("https://klasma.github.io/Logging_2480/artfynd/A 25702-2022 artfynd.xlsx", "A 25702-2022")</f>
        <v/>
      </c>
      <c r="T143">
        <f>HYPERLINK("https://klasma.github.io/Logging_2480/kartor/A 25702-2022 karta.png", "A 25702-2022")</f>
        <v/>
      </c>
      <c r="V143">
        <f>HYPERLINK("https://klasma.github.io/Logging_2480/klagomål/A 25702-2022 FSC-klagomål.docx", "A 25702-2022")</f>
        <v/>
      </c>
      <c r="W143">
        <f>HYPERLINK("https://klasma.github.io/Logging_2480/klagomålsmail/A 25702-2022 FSC-klagomål mail.docx", "A 25702-2022")</f>
        <v/>
      </c>
      <c r="X143">
        <f>HYPERLINK("https://klasma.github.io/Logging_2480/tillsyn/A 25702-2022 tillsynsbegäran.docx", "A 25702-2022")</f>
        <v/>
      </c>
      <c r="Y143">
        <f>HYPERLINK("https://klasma.github.io/Logging_2480/tillsynsmail/A 25702-2022 tillsynsbegäran mail.docx", "A 25702-2022")</f>
        <v/>
      </c>
      <c r="Z143">
        <f>HYPERLINK("https://klasma.github.io/Logging_2480/fåglar/A 25702-2022 prioriterade fågelarter.docx", "A 25702-2022")</f>
        <v/>
      </c>
    </row>
    <row r="144" ht="15" customHeight="1">
      <c r="A144" t="inlineStr">
        <is>
          <t>A 31318-2022</t>
        </is>
      </c>
      <c r="B144" s="1" t="n">
        <v>44772</v>
      </c>
      <c r="C144" s="1" t="n">
        <v>45828</v>
      </c>
      <c r="D144" t="inlineStr">
        <is>
          <t>VÄSTERBOTTENS LÄN</t>
        </is>
      </c>
      <c r="E144" t="inlineStr">
        <is>
          <t>UMEÅ</t>
        </is>
      </c>
      <c r="G144" t="n">
        <v>11.3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Sävsparv</t>
        </is>
      </c>
      <c r="S144">
        <f>HYPERLINK("https://klasma.github.io/Logging_2480/artfynd/A 31318-2022 artfynd.xlsx", "A 31318-2022")</f>
        <v/>
      </c>
      <c r="T144">
        <f>HYPERLINK("https://klasma.github.io/Logging_2480/kartor/A 31318-2022 karta.png", "A 31318-2022")</f>
        <v/>
      </c>
      <c r="V144">
        <f>HYPERLINK("https://klasma.github.io/Logging_2480/klagomål/A 31318-2022 FSC-klagomål.docx", "A 31318-2022")</f>
        <v/>
      </c>
      <c r="W144">
        <f>HYPERLINK("https://klasma.github.io/Logging_2480/klagomålsmail/A 31318-2022 FSC-klagomål mail.docx", "A 31318-2022")</f>
        <v/>
      </c>
      <c r="X144">
        <f>HYPERLINK("https://klasma.github.io/Logging_2480/tillsyn/A 31318-2022 tillsynsbegäran.docx", "A 31318-2022")</f>
        <v/>
      </c>
      <c r="Y144">
        <f>HYPERLINK("https://klasma.github.io/Logging_2480/tillsynsmail/A 31318-2022 tillsynsbegäran mail.docx", "A 31318-2022")</f>
        <v/>
      </c>
      <c r="Z144">
        <f>HYPERLINK("https://klasma.github.io/Logging_2480/fåglar/A 31318-2022 prioriterade fågelarter.docx", "A 31318-2022")</f>
        <v/>
      </c>
    </row>
    <row r="145" ht="15" customHeight="1">
      <c r="A145" t="inlineStr">
        <is>
          <t>A 43519-2022</t>
        </is>
      </c>
      <c r="B145" s="1" t="n">
        <v>44837</v>
      </c>
      <c r="C145" s="1" t="n">
        <v>45828</v>
      </c>
      <c r="D145" t="inlineStr">
        <is>
          <t>VÄSTERBOTTENS LÄN</t>
        </is>
      </c>
      <c r="E145" t="inlineStr">
        <is>
          <t>UMEÅ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Skogshare</t>
        </is>
      </c>
      <c r="S145">
        <f>HYPERLINK("https://klasma.github.io/Logging_2480/artfynd/A 43519-2022 artfynd.xlsx", "A 43519-2022")</f>
        <v/>
      </c>
      <c r="T145">
        <f>HYPERLINK("https://klasma.github.io/Logging_2480/kartor/A 43519-2022 karta.png", "A 43519-2022")</f>
        <v/>
      </c>
      <c r="V145">
        <f>HYPERLINK("https://klasma.github.io/Logging_2480/klagomål/A 43519-2022 FSC-klagomål.docx", "A 43519-2022")</f>
        <v/>
      </c>
      <c r="W145">
        <f>HYPERLINK("https://klasma.github.io/Logging_2480/klagomålsmail/A 43519-2022 FSC-klagomål mail.docx", "A 43519-2022")</f>
        <v/>
      </c>
      <c r="X145">
        <f>HYPERLINK("https://klasma.github.io/Logging_2480/tillsyn/A 43519-2022 tillsynsbegäran.docx", "A 43519-2022")</f>
        <v/>
      </c>
      <c r="Y145">
        <f>HYPERLINK("https://klasma.github.io/Logging_2480/tillsynsmail/A 43519-2022 tillsynsbegäran mail.docx", "A 43519-2022")</f>
        <v/>
      </c>
    </row>
    <row r="146" ht="15" customHeight="1">
      <c r="A146" t="inlineStr">
        <is>
          <t>A 48771-2022</t>
        </is>
      </c>
      <c r="B146" s="1" t="n">
        <v>44859</v>
      </c>
      <c r="C146" s="1" t="n">
        <v>45828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HYPERLINK("https://klasma.github.io/Logging_2480/artfynd/A 48771-2022 artfynd.xlsx", "A 48771-2022")</f>
        <v/>
      </c>
      <c r="T146">
        <f>HYPERLINK("https://klasma.github.io/Logging_2480/kartor/A 48771-2022 karta.png", "A 48771-2022")</f>
        <v/>
      </c>
      <c r="V146">
        <f>HYPERLINK("https://klasma.github.io/Logging_2480/klagomål/A 48771-2022 FSC-klagomål.docx", "A 48771-2022")</f>
        <v/>
      </c>
      <c r="W146">
        <f>HYPERLINK("https://klasma.github.io/Logging_2480/klagomålsmail/A 48771-2022 FSC-klagomål mail.docx", "A 48771-2022")</f>
        <v/>
      </c>
      <c r="X146">
        <f>HYPERLINK("https://klasma.github.io/Logging_2480/tillsyn/A 48771-2022 tillsynsbegäran.docx", "A 48771-2022")</f>
        <v/>
      </c>
      <c r="Y146">
        <f>HYPERLINK("https://klasma.github.io/Logging_2480/tillsynsmail/A 48771-2022 tillsynsbegäran mail.docx", "A 48771-2022")</f>
        <v/>
      </c>
    </row>
    <row r="147" ht="15" customHeight="1">
      <c r="A147" t="inlineStr">
        <is>
          <t>A 49658-2022</t>
        </is>
      </c>
      <c r="B147" s="1" t="n">
        <v>44862</v>
      </c>
      <c r="C147" s="1" t="n">
        <v>45828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Vanlig groda</t>
        </is>
      </c>
      <c r="S147">
        <f>HYPERLINK("https://klasma.github.io/Logging_2480/artfynd/A 49658-2022 artfynd.xlsx", "A 49658-2022")</f>
        <v/>
      </c>
      <c r="T147">
        <f>HYPERLINK("https://klasma.github.io/Logging_2480/kartor/A 49658-2022 karta.png", "A 49658-2022")</f>
        <v/>
      </c>
      <c r="V147">
        <f>HYPERLINK("https://klasma.github.io/Logging_2480/klagomål/A 49658-2022 FSC-klagomål.docx", "A 49658-2022")</f>
        <v/>
      </c>
      <c r="W147">
        <f>HYPERLINK("https://klasma.github.io/Logging_2480/klagomålsmail/A 49658-2022 FSC-klagomål mail.docx", "A 49658-2022")</f>
        <v/>
      </c>
      <c r="X147">
        <f>HYPERLINK("https://klasma.github.io/Logging_2480/tillsyn/A 49658-2022 tillsynsbegäran.docx", "A 49658-2022")</f>
        <v/>
      </c>
      <c r="Y147">
        <f>HYPERLINK("https://klasma.github.io/Logging_2480/tillsynsmail/A 49658-2022 tillsynsbegäran mail.docx", "A 49658-2022")</f>
        <v/>
      </c>
    </row>
    <row r="148" ht="15" customHeight="1">
      <c r="A148" t="inlineStr">
        <is>
          <t>A 59075-2022</t>
        </is>
      </c>
      <c r="B148" s="1" t="n">
        <v>44904</v>
      </c>
      <c r="C148" s="1" t="n">
        <v>45828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Vedticka</t>
        </is>
      </c>
      <c r="S148">
        <f>HYPERLINK("https://klasma.github.io/Logging_2480/artfynd/A 59075-2022 artfynd.xlsx", "A 59075-2022")</f>
        <v/>
      </c>
      <c r="T148">
        <f>HYPERLINK("https://klasma.github.io/Logging_2480/kartor/A 59075-2022 karta.png", "A 59075-2022")</f>
        <v/>
      </c>
      <c r="V148">
        <f>HYPERLINK("https://klasma.github.io/Logging_2480/klagomål/A 59075-2022 FSC-klagomål.docx", "A 59075-2022")</f>
        <v/>
      </c>
      <c r="W148">
        <f>HYPERLINK("https://klasma.github.io/Logging_2480/klagomålsmail/A 59075-2022 FSC-klagomål mail.docx", "A 59075-2022")</f>
        <v/>
      </c>
      <c r="X148">
        <f>HYPERLINK("https://klasma.github.io/Logging_2480/tillsyn/A 59075-2022 tillsynsbegäran.docx", "A 59075-2022")</f>
        <v/>
      </c>
      <c r="Y148">
        <f>HYPERLINK("https://klasma.github.io/Logging_2480/tillsynsmail/A 59075-2022 tillsynsbegäran mail.docx", "A 59075-2022")</f>
        <v/>
      </c>
    </row>
    <row r="149" ht="15" customHeight="1">
      <c r="A149" t="inlineStr">
        <is>
          <t>A 11395-2023</t>
        </is>
      </c>
      <c r="B149" s="1" t="n">
        <v>44993</v>
      </c>
      <c r="C149" s="1" t="n">
        <v>45828</v>
      </c>
      <c r="D149" t="inlineStr">
        <is>
          <t>VÄSTERBOTTENS LÄN</t>
        </is>
      </c>
      <c r="E149" t="inlineStr">
        <is>
          <t>UMEÅ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Skarp dropptaggsvamp</t>
        </is>
      </c>
      <c r="S149">
        <f>HYPERLINK("https://klasma.github.io/Logging_2480/artfynd/A 11395-2023 artfynd.xlsx", "A 11395-2023")</f>
        <v/>
      </c>
      <c r="T149">
        <f>HYPERLINK("https://klasma.github.io/Logging_2480/kartor/A 11395-2023 karta.png", "A 11395-2023")</f>
        <v/>
      </c>
      <c r="V149">
        <f>HYPERLINK("https://klasma.github.io/Logging_2480/klagomål/A 11395-2023 FSC-klagomål.docx", "A 11395-2023")</f>
        <v/>
      </c>
      <c r="W149">
        <f>HYPERLINK("https://klasma.github.io/Logging_2480/klagomålsmail/A 11395-2023 FSC-klagomål mail.docx", "A 11395-2023")</f>
        <v/>
      </c>
      <c r="X149">
        <f>HYPERLINK("https://klasma.github.io/Logging_2480/tillsyn/A 11395-2023 tillsynsbegäran.docx", "A 11395-2023")</f>
        <v/>
      </c>
      <c r="Y149">
        <f>HYPERLINK("https://klasma.github.io/Logging_2480/tillsynsmail/A 11395-2023 tillsynsbegäran mail.docx", "A 11395-2023")</f>
        <v/>
      </c>
    </row>
    <row r="150" ht="15" customHeight="1">
      <c r="A150" t="inlineStr">
        <is>
          <t>A 15654-2023</t>
        </is>
      </c>
      <c r="B150" s="1" t="n">
        <v>45019</v>
      </c>
      <c r="C150" s="1" t="n">
        <v>45828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HYPERLINK("https://klasma.github.io/Logging_2480/artfynd/A 15654-2023 artfynd.xlsx", "A 15654-2023")</f>
        <v/>
      </c>
      <c r="T150">
        <f>HYPERLINK("https://klasma.github.io/Logging_2480/kartor/A 15654-2023 karta.png", "A 15654-2023")</f>
        <v/>
      </c>
      <c r="V150">
        <f>HYPERLINK("https://klasma.github.io/Logging_2480/klagomål/A 15654-2023 FSC-klagomål.docx", "A 15654-2023")</f>
        <v/>
      </c>
      <c r="W150">
        <f>HYPERLINK("https://klasma.github.io/Logging_2480/klagomålsmail/A 15654-2023 FSC-klagomål mail.docx", "A 15654-2023")</f>
        <v/>
      </c>
      <c r="X150">
        <f>HYPERLINK("https://klasma.github.io/Logging_2480/tillsyn/A 15654-2023 tillsynsbegäran.docx", "A 15654-2023")</f>
        <v/>
      </c>
      <c r="Y150">
        <f>HYPERLINK("https://klasma.github.io/Logging_2480/tillsynsmail/A 15654-2023 tillsynsbegäran mail.docx", "A 15654-2023")</f>
        <v/>
      </c>
    </row>
    <row r="151" ht="15" customHeight="1">
      <c r="A151" t="inlineStr">
        <is>
          <t>A 28262-2023</t>
        </is>
      </c>
      <c r="B151" s="1" t="n">
        <v>45099</v>
      </c>
      <c r="C151" s="1" t="n">
        <v>45828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2.6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Gulskölding</t>
        </is>
      </c>
      <c r="S151">
        <f>HYPERLINK("https://klasma.github.io/Logging_2480/artfynd/A 28262-2023 artfynd.xlsx", "A 28262-2023")</f>
        <v/>
      </c>
      <c r="T151">
        <f>HYPERLINK("https://klasma.github.io/Logging_2480/kartor/A 28262-2023 karta.png", "A 28262-2023")</f>
        <v/>
      </c>
      <c r="V151">
        <f>HYPERLINK("https://klasma.github.io/Logging_2480/klagomål/A 28262-2023 FSC-klagomål.docx", "A 28262-2023")</f>
        <v/>
      </c>
      <c r="W151">
        <f>HYPERLINK("https://klasma.github.io/Logging_2480/klagomålsmail/A 28262-2023 FSC-klagomål mail.docx", "A 28262-2023")</f>
        <v/>
      </c>
      <c r="X151">
        <f>HYPERLINK("https://klasma.github.io/Logging_2480/tillsyn/A 28262-2023 tillsynsbegäran.docx", "A 28262-2023")</f>
        <v/>
      </c>
      <c r="Y151">
        <f>HYPERLINK("https://klasma.github.io/Logging_2480/tillsynsmail/A 28262-2023 tillsynsbegäran mail.docx", "A 28262-2023")</f>
        <v/>
      </c>
    </row>
    <row r="152" ht="15" customHeight="1">
      <c r="A152" t="inlineStr">
        <is>
          <t>A 31311-2023</t>
        </is>
      </c>
      <c r="B152" s="1" t="n">
        <v>45104</v>
      </c>
      <c r="C152" s="1" t="n">
        <v>45828</v>
      </c>
      <c r="D152" t="inlineStr">
        <is>
          <t>VÄSTERBOTTENS LÄN</t>
        </is>
      </c>
      <c r="E152" t="inlineStr">
        <is>
          <t>UMEÅ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HYPERLINK("https://klasma.github.io/Logging_2480/artfynd/A 31311-2023 artfynd.xlsx", "A 31311-2023")</f>
        <v/>
      </c>
      <c r="T152">
        <f>HYPERLINK("https://klasma.github.io/Logging_2480/kartor/A 31311-2023 karta.png", "A 31311-2023")</f>
        <v/>
      </c>
      <c r="V152">
        <f>HYPERLINK("https://klasma.github.io/Logging_2480/klagomål/A 31311-2023 FSC-klagomål.docx", "A 31311-2023")</f>
        <v/>
      </c>
      <c r="W152">
        <f>HYPERLINK("https://klasma.github.io/Logging_2480/klagomålsmail/A 31311-2023 FSC-klagomål mail.docx", "A 31311-2023")</f>
        <v/>
      </c>
      <c r="X152">
        <f>HYPERLINK("https://klasma.github.io/Logging_2480/tillsyn/A 31311-2023 tillsynsbegäran.docx", "A 31311-2023")</f>
        <v/>
      </c>
      <c r="Y152">
        <f>HYPERLINK("https://klasma.github.io/Logging_2480/tillsynsmail/A 31311-2023 tillsynsbegäran mail.docx", "A 31311-2023")</f>
        <v/>
      </c>
    </row>
    <row r="153" ht="15" customHeight="1">
      <c r="A153" t="inlineStr">
        <is>
          <t>A 31468-2023</t>
        </is>
      </c>
      <c r="B153" s="1" t="n">
        <v>45114</v>
      </c>
      <c r="C153" s="1" t="n">
        <v>45828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HYPERLINK("https://klasma.github.io/Logging_2480/artfynd/A 31468-2023 artfynd.xlsx", "A 31468-2023")</f>
        <v/>
      </c>
      <c r="T153">
        <f>HYPERLINK("https://klasma.github.io/Logging_2480/kartor/A 31468-2023 karta.png", "A 31468-2023")</f>
        <v/>
      </c>
      <c r="V153">
        <f>HYPERLINK("https://klasma.github.io/Logging_2480/klagomål/A 31468-2023 FSC-klagomål.docx", "A 31468-2023")</f>
        <v/>
      </c>
      <c r="W153">
        <f>HYPERLINK("https://klasma.github.io/Logging_2480/klagomålsmail/A 31468-2023 FSC-klagomål mail.docx", "A 31468-2023")</f>
        <v/>
      </c>
      <c r="X153">
        <f>HYPERLINK("https://klasma.github.io/Logging_2480/tillsyn/A 31468-2023 tillsynsbegäran.docx", "A 31468-2023")</f>
        <v/>
      </c>
      <c r="Y153">
        <f>HYPERLINK("https://klasma.github.io/Logging_2480/tillsynsmail/A 31468-2023 tillsynsbegäran mail.docx", "A 31468-2023")</f>
        <v/>
      </c>
      <c r="Z153">
        <f>HYPERLINK("https://klasma.github.io/Logging_2480/fåglar/A 31468-2023 prioriterade fågelarter.docx", "A 31468-2023")</f>
        <v/>
      </c>
    </row>
    <row r="154" ht="15" customHeight="1">
      <c r="A154" t="inlineStr">
        <is>
          <t>A 33419-2023</t>
        </is>
      </c>
      <c r="B154" s="1" t="n">
        <v>45128</v>
      </c>
      <c r="C154" s="1" t="n">
        <v>45828</v>
      </c>
      <c r="D154" t="inlineStr">
        <is>
          <t>VÄSTERBOTTENS LÄN</t>
        </is>
      </c>
      <c r="E154" t="inlineStr">
        <is>
          <t>UMEÅ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Goliatmusseron</t>
        </is>
      </c>
      <c r="S154">
        <f>HYPERLINK("https://klasma.github.io/Logging_2480/artfynd/A 33419-2023 artfynd.xlsx", "A 33419-2023")</f>
        <v/>
      </c>
      <c r="T154">
        <f>HYPERLINK("https://klasma.github.io/Logging_2480/kartor/A 33419-2023 karta.png", "A 33419-2023")</f>
        <v/>
      </c>
      <c r="V154">
        <f>HYPERLINK("https://klasma.github.io/Logging_2480/klagomål/A 33419-2023 FSC-klagomål.docx", "A 33419-2023")</f>
        <v/>
      </c>
      <c r="W154">
        <f>HYPERLINK("https://klasma.github.io/Logging_2480/klagomålsmail/A 33419-2023 FSC-klagomål mail.docx", "A 33419-2023")</f>
        <v/>
      </c>
      <c r="X154">
        <f>HYPERLINK("https://klasma.github.io/Logging_2480/tillsyn/A 33419-2023 tillsynsbegäran.docx", "A 33419-2023")</f>
        <v/>
      </c>
      <c r="Y154">
        <f>HYPERLINK("https://klasma.github.io/Logging_2480/tillsynsmail/A 33419-2023 tillsynsbegäran mail.docx", "A 33419-2023")</f>
        <v/>
      </c>
    </row>
    <row r="155" ht="15" customHeight="1">
      <c r="A155" t="inlineStr">
        <is>
          <t>A 36528-2023</t>
        </is>
      </c>
      <c r="B155" s="1" t="n">
        <v>45152</v>
      </c>
      <c r="C155" s="1" t="n">
        <v>45828</v>
      </c>
      <c r="D155" t="inlineStr">
        <is>
          <t>VÄSTERBOTTENS LÄN</t>
        </is>
      </c>
      <c r="E155" t="inlineStr">
        <is>
          <t>UMEÅ</t>
        </is>
      </c>
      <c r="G155" t="n">
        <v>2.4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HYPERLINK("https://klasma.github.io/Logging_2480/artfynd/A 36528-2023 artfynd.xlsx", "A 36528-2023")</f>
        <v/>
      </c>
      <c r="T155">
        <f>HYPERLINK("https://klasma.github.io/Logging_2480/kartor/A 36528-2023 karta.png", "A 36528-2023")</f>
        <v/>
      </c>
      <c r="U155">
        <f>HYPERLINK("https://klasma.github.io/Logging_2480/knärot/A 36528-2023 karta knärot.png", "A 36528-2023")</f>
        <v/>
      </c>
      <c r="V155">
        <f>HYPERLINK("https://klasma.github.io/Logging_2480/klagomål/A 36528-2023 FSC-klagomål.docx", "A 36528-2023")</f>
        <v/>
      </c>
      <c r="W155">
        <f>HYPERLINK("https://klasma.github.io/Logging_2480/klagomålsmail/A 36528-2023 FSC-klagomål mail.docx", "A 36528-2023")</f>
        <v/>
      </c>
      <c r="X155">
        <f>HYPERLINK("https://klasma.github.io/Logging_2480/tillsyn/A 36528-2023 tillsynsbegäran.docx", "A 36528-2023")</f>
        <v/>
      </c>
      <c r="Y155">
        <f>HYPERLINK("https://klasma.github.io/Logging_2480/tillsynsmail/A 36528-2023 tillsynsbegäran mail.docx", "A 36528-2023")</f>
        <v/>
      </c>
    </row>
    <row r="156" ht="15" customHeight="1">
      <c r="A156" t="inlineStr">
        <is>
          <t>A 39118-2023</t>
        </is>
      </c>
      <c r="B156" s="1" t="n">
        <v>45165</v>
      </c>
      <c r="C156" s="1" t="n">
        <v>45828</v>
      </c>
      <c r="D156" t="inlineStr">
        <is>
          <t>VÄSTERBOTTENS LÄN</t>
        </is>
      </c>
      <c r="E156" t="inlineStr">
        <is>
          <t>UMEÅ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HYPERLINK("https://klasma.github.io/Logging_2480/artfynd/A 39118-2023 artfynd.xlsx", "A 39118-2023")</f>
        <v/>
      </c>
      <c r="T156">
        <f>HYPERLINK("https://klasma.github.io/Logging_2480/kartor/A 39118-2023 karta.png", "A 39118-2023")</f>
        <v/>
      </c>
      <c r="V156">
        <f>HYPERLINK("https://klasma.github.io/Logging_2480/klagomål/A 39118-2023 FSC-klagomål.docx", "A 39118-2023")</f>
        <v/>
      </c>
      <c r="W156">
        <f>HYPERLINK("https://klasma.github.io/Logging_2480/klagomålsmail/A 39118-2023 FSC-klagomål mail.docx", "A 39118-2023")</f>
        <v/>
      </c>
      <c r="X156">
        <f>HYPERLINK("https://klasma.github.io/Logging_2480/tillsyn/A 39118-2023 tillsynsbegäran.docx", "A 39118-2023")</f>
        <v/>
      </c>
      <c r="Y156">
        <f>HYPERLINK("https://klasma.github.io/Logging_2480/tillsynsmail/A 39118-2023 tillsynsbegäran mail.docx", "A 39118-2023")</f>
        <v/>
      </c>
    </row>
    <row r="157" ht="15" customHeight="1">
      <c r="A157" t="inlineStr">
        <is>
          <t>A 39554-2023</t>
        </is>
      </c>
      <c r="B157" s="1" t="n">
        <v>45167</v>
      </c>
      <c r="C157" s="1" t="n">
        <v>45828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Blanksvart spiklav</t>
        </is>
      </c>
      <c r="S157">
        <f>HYPERLINK("https://klasma.github.io/Logging_2480/artfynd/A 39554-2023 artfynd.xlsx", "A 39554-2023")</f>
        <v/>
      </c>
      <c r="T157">
        <f>HYPERLINK("https://klasma.github.io/Logging_2480/kartor/A 39554-2023 karta.png", "A 39554-2023")</f>
        <v/>
      </c>
      <c r="V157">
        <f>HYPERLINK("https://klasma.github.io/Logging_2480/klagomål/A 39554-2023 FSC-klagomål.docx", "A 39554-2023")</f>
        <v/>
      </c>
      <c r="W157">
        <f>HYPERLINK("https://klasma.github.io/Logging_2480/klagomålsmail/A 39554-2023 FSC-klagomål mail.docx", "A 39554-2023")</f>
        <v/>
      </c>
      <c r="X157">
        <f>HYPERLINK("https://klasma.github.io/Logging_2480/tillsyn/A 39554-2023 tillsynsbegäran.docx", "A 39554-2023")</f>
        <v/>
      </c>
      <c r="Y157">
        <f>HYPERLINK("https://klasma.github.io/Logging_2480/tillsynsmail/A 39554-2023 tillsynsbegäran mail.docx", "A 39554-2023")</f>
        <v/>
      </c>
    </row>
    <row r="158" ht="15" customHeight="1">
      <c r="A158" t="inlineStr">
        <is>
          <t>A 41674-2023</t>
        </is>
      </c>
      <c r="B158" s="1" t="n">
        <v>45176</v>
      </c>
      <c r="C158" s="1" t="n">
        <v>45828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4.1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Nordfladdermus</t>
        </is>
      </c>
      <c r="S158">
        <f>HYPERLINK("https://klasma.github.io/Logging_2480/artfynd/A 41674-2023 artfynd.xlsx", "A 41674-2023")</f>
        <v/>
      </c>
      <c r="T158">
        <f>HYPERLINK("https://klasma.github.io/Logging_2480/kartor/A 41674-2023 karta.png", "A 41674-2023")</f>
        <v/>
      </c>
      <c r="V158">
        <f>HYPERLINK("https://klasma.github.io/Logging_2480/klagomål/A 41674-2023 FSC-klagomål.docx", "A 41674-2023")</f>
        <v/>
      </c>
      <c r="W158">
        <f>HYPERLINK("https://klasma.github.io/Logging_2480/klagomålsmail/A 41674-2023 FSC-klagomål mail.docx", "A 41674-2023")</f>
        <v/>
      </c>
      <c r="X158">
        <f>HYPERLINK("https://klasma.github.io/Logging_2480/tillsyn/A 41674-2023 tillsynsbegäran.docx", "A 41674-2023")</f>
        <v/>
      </c>
      <c r="Y158">
        <f>HYPERLINK("https://klasma.github.io/Logging_2480/tillsynsmail/A 41674-2023 tillsynsbegäran mail.docx", "A 41674-2023")</f>
        <v/>
      </c>
    </row>
    <row r="159" ht="15" customHeight="1">
      <c r="A159" t="inlineStr">
        <is>
          <t>A 44521-2023</t>
        </is>
      </c>
      <c r="B159" s="1" t="n">
        <v>45189</v>
      </c>
      <c r="C159" s="1" t="n">
        <v>45828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6.7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HYPERLINK("https://klasma.github.io/Logging_2480/artfynd/A 44521-2023 artfynd.xlsx", "A 44521-2023")</f>
        <v/>
      </c>
      <c r="T159">
        <f>HYPERLINK("https://klasma.github.io/Logging_2480/kartor/A 44521-2023 karta.png", "A 44521-2023")</f>
        <v/>
      </c>
      <c r="V159">
        <f>HYPERLINK("https://klasma.github.io/Logging_2480/klagomål/A 44521-2023 FSC-klagomål.docx", "A 44521-2023")</f>
        <v/>
      </c>
      <c r="W159">
        <f>HYPERLINK("https://klasma.github.io/Logging_2480/klagomålsmail/A 44521-2023 FSC-klagomål mail.docx", "A 44521-2023")</f>
        <v/>
      </c>
      <c r="X159">
        <f>HYPERLINK("https://klasma.github.io/Logging_2480/tillsyn/A 44521-2023 tillsynsbegäran.docx", "A 44521-2023")</f>
        <v/>
      </c>
      <c r="Y159">
        <f>HYPERLINK("https://klasma.github.io/Logging_2480/tillsynsmail/A 44521-2023 tillsynsbegäran mail.docx", "A 44521-2023")</f>
        <v/>
      </c>
      <c r="Z159">
        <f>HYPERLINK("https://klasma.github.io/Logging_2480/fåglar/A 44521-2023 prioriterade fågelarter.docx", "A 44521-2023")</f>
        <v/>
      </c>
    </row>
    <row r="160" ht="15" customHeight="1">
      <c r="A160" t="inlineStr">
        <is>
          <t>A 45131-2023</t>
        </is>
      </c>
      <c r="B160" s="1" t="n">
        <v>45191</v>
      </c>
      <c r="C160" s="1" t="n">
        <v>45828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3.8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Granbräken</t>
        </is>
      </c>
      <c r="S160">
        <f>HYPERLINK("https://klasma.github.io/Logging_2480/artfynd/A 45131-2023 artfynd.xlsx", "A 45131-2023")</f>
        <v/>
      </c>
      <c r="T160">
        <f>HYPERLINK("https://klasma.github.io/Logging_2480/kartor/A 45131-2023 karta.png", "A 45131-2023")</f>
        <v/>
      </c>
      <c r="V160">
        <f>HYPERLINK("https://klasma.github.io/Logging_2480/klagomål/A 45131-2023 FSC-klagomål.docx", "A 45131-2023")</f>
        <v/>
      </c>
      <c r="W160">
        <f>HYPERLINK("https://klasma.github.io/Logging_2480/klagomålsmail/A 45131-2023 FSC-klagomål mail.docx", "A 45131-2023")</f>
        <v/>
      </c>
      <c r="X160">
        <f>HYPERLINK("https://klasma.github.io/Logging_2480/tillsyn/A 45131-2023 tillsynsbegäran.docx", "A 45131-2023")</f>
        <v/>
      </c>
      <c r="Y160">
        <f>HYPERLINK("https://klasma.github.io/Logging_2480/tillsynsmail/A 45131-2023 tillsynsbegäran mail.docx", "A 45131-2023")</f>
        <v/>
      </c>
    </row>
    <row r="161" ht="15" customHeight="1">
      <c r="A161" t="inlineStr">
        <is>
          <t>A 49031-2023</t>
        </is>
      </c>
      <c r="B161" s="1" t="n">
        <v>45209</v>
      </c>
      <c r="C161" s="1" t="n">
        <v>45828</v>
      </c>
      <c r="D161" t="inlineStr">
        <is>
          <t>VÄSTERBOTTENS LÄN</t>
        </is>
      </c>
      <c r="E161" t="inlineStr">
        <is>
          <t>UMEÅ</t>
        </is>
      </c>
      <c r="G161" t="n">
        <v>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Tjäder</t>
        </is>
      </c>
      <c r="S161">
        <f>HYPERLINK("https://klasma.github.io/Logging_2480/artfynd/A 49031-2023 artfynd.xlsx", "A 49031-2023")</f>
        <v/>
      </c>
      <c r="T161">
        <f>HYPERLINK("https://klasma.github.io/Logging_2480/kartor/A 49031-2023 karta.png", "A 49031-2023")</f>
        <v/>
      </c>
      <c r="V161">
        <f>HYPERLINK("https://klasma.github.io/Logging_2480/klagomål/A 49031-2023 FSC-klagomål.docx", "A 49031-2023")</f>
        <v/>
      </c>
      <c r="W161">
        <f>HYPERLINK("https://klasma.github.io/Logging_2480/klagomålsmail/A 49031-2023 FSC-klagomål mail.docx", "A 49031-2023")</f>
        <v/>
      </c>
      <c r="X161">
        <f>HYPERLINK("https://klasma.github.io/Logging_2480/tillsyn/A 49031-2023 tillsynsbegäran.docx", "A 49031-2023")</f>
        <v/>
      </c>
      <c r="Y161">
        <f>HYPERLINK("https://klasma.github.io/Logging_2480/tillsynsmail/A 49031-2023 tillsynsbegäran mail.docx", "A 49031-2023")</f>
        <v/>
      </c>
      <c r="Z161">
        <f>HYPERLINK("https://klasma.github.io/Logging_2480/fåglar/A 49031-2023 prioriterade fågelarter.docx", "A 49031-2023")</f>
        <v/>
      </c>
    </row>
    <row r="162" ht="15" customHeight="1">
      <c r="A162" t="inlineStr">
        <is>
          <t>A 58670-2023</t>
        </is>
      </c>
      <c r="B162" s="1" t="n">
        <v>45251</v>
      </c>
      <c r="C162" s="1" t="n">
        <v>45828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HYPERLINK("https://klasma.github.io/Logging_2480/artfynd/A 58670-2023 artfynd.xlsx", "A 58670-2023")</f>
        <v/>
      </c>
      <c r="T162">
        <f>HYPERLINK("https://klasma.github.io/Logging_2480/kartor/A 58670-2023 karta.png", "A 58670-2023")</f>
        <v/>
      </c>
      <c r="V162">
        <f>HYPERLINK("https://klasma.github.io/Logging_2480/klagomål/A 58670-2023 FSC-klagomål.docx", "A 58670-2023")</f>
        <v/>
      </c>
      <c r="W162">
        <f>HYPERLINK("https://klasma.github.io/Logging_2480/klagomålsmail/A 58670-2023 FSC-klagomål mail.docx", "A 58670-2023")</f>
        <v/>
      </c>
      <c r="X162">
        <f>HYPERLINK("https://klasma.github.io/Logging_2480/tillsyn/A 58670-2023 tillsynsbegäran.docx", "A 58670-2023")</f>
        <v/>
      </c>
      <c r="Y162">
        <f>HYPERLINK("https://klasma.github.io/Logging_2480/tillsynsmail/A 58670-2023 tillsynsbegäran mail.docx", "A 58670-2023")</f>
        <v/>
      </c>
    </row>
    <row r="163" ht="15" customHeight="1">
      <c r="A163" t="inlineStr">
        <is>
          <t>A 59152-2023</t>
        </is>
      </c>
      <c r="B163" s="1" t="n">
        <v>45251</v>
      </c>
      <c r="C163" s="1" t="n">
        <v>45828</v>
      </c>
      <c r="D163" t="inlineStr">
        <is>
          <t>VÄSTERBOTTENS LÄN</t>
        </is>
      </c>
      <c r="E163" t="inlineStr">
        <is>
          <t>UMEÅ</t>
        </is>
      </c>
      <c r="G163" t="n">
        <v>1.7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Vanlig padda</t>
        </is>
      </c>
      <c r="S163">
        <f>HYPERLINK("https://klasma.github.io/Logging_2480/artfynd/A 59152-2023 artfynd.xlsx", "A 59152-2023")</f>
        <v/>
      </c>
      <c r="T163">
        <f>HYPERLINK("https://klasma.github.io/Logging_2480/kartor/A 59152-2023 karta.png", "A 59152-2023")</f>
        <v/>
      </c>
      <c r="V163">
        <f>HYPERLINK("https://klasma.github.io/Logging_2480/klagomål/A 59152-2023 FSC-klagomål.docx", "A 59152-2023")</f>
        <v/>
      </c>
      <c r="W163">
        <f>HYPERLINK("https://klasma.github.io/Logging_2480/klagomålsmail/A 59152-2023 FSC-klagomål mail.docx", "A 59152-2023")</f>
        <v/>
      </c>
      <c r="X163">
        <f>HYPERLINK("https://klasma.github.io/Logging_2480/tillsyn/A 59152-2023 tillsynsbegäran.docx", "A 59152-2023")</f>
        <v/>
      </c>
      <c r="Y163">
        <f>HYPERLINK("https://klasma.github.io/Logging_2480/tillsynsmail/A 59152-2023 tillsynsbegäran mail.docx", "A 59152-2023")</f>
        <v/>
      </c>
    </row>
    <row r="164" ht="15" customHeight="1">
      <c r="A164" t="inlineStr">
        <is>
          <t>A 63810-2023</t>
        </is>
      </c>
      <c r="B164" s="1" t="n">
        <v>45275</v>
      </c>
      <c r="C164" s="1" t="n">
        <v>45828</v>
      </c>
      <c r="D164" t="inlineStr">
        <is>
          <t>VÄSTERBOTTENS LÄN</t>
        </is>
      </c>
      <c r="E164" t="inlineStr">
        <is>
          <t>UMEÅ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HYPERLINK("https://klasma.github.io/Logging_2480/artfynd/A 63810-2023 artfynd.xlsx", "A 63810-2023")</f>
        <v/>
      </c>
      <c r="T164">
        <f>HYPERLINK("https://klasma.github.io/Logging_2480/kartor/A 63810-2023 karta.png", "A 63810-2023")</f>
        <v/>
      </c>
      <c r="V164">
        <f>HYPERLINK("https://klasma.github.io/Logging_2480/klagomål/A 63810-2023 FSC-klagomål.docx", "A 63810-2023")</f>
        <v/>
      </c>
      <c r="W164">
        <f>HYPERLINK("https://klasma.github.io/Logging_2480/klagomålsmail/A 63810-2023 FSC-klagomål mail.docx", "A 63810-2023")</f>
        <v/>
      </c>
      <c r="X164">
        <f>HYPERLINK("https://klasma.github.io/Logging_2480/tillsyn/A 63810-2023 tillsynsbegäran.docx", "A 63810-2023")</f>
        <v/>
      </c>
      <c r="Y164">
        <f>HYPERLINK("https://klasma.github.io/Logging_2480/tillsynsmail/A 63810-2023 tillsynsbegäran mail.docx", "A 63810-2023")</f>
        <v/>
      </c>
      <c r="Z164">
        <f>HYPERLINK("https://klasma.github.io/Logging_2480/fåglar/A 63810-2023 prioriterade fågelarter.docx", "A 63810-2023")</f>
        <v/>
      </c>
    </row>
    <row r="165" ht="15" customHeight="1">
      <c r="A165" t="inlineStr">
        <is>
          <t>A 3514-2024</t>
        </is>
      </c>
      <c r="B165" s="1" t="n">
        <v>45320</v>
      </c>
      <c r="C165" s="1" t="n">
        <v>45828</v>
      </c>
      <c r="D165" t="inlineStr">
        <is>
          <t>VÄSTERBOTTENS LÄN</t>
        </is>
      </c>
      <c r="E165" t="inlineStr">
        <is>
          <t>UMEÅ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HYPERLINK("https://klasma.github.io/Logging_2480/artfynd/A 3514-2024 artfynd.xlsx", "A 3514-2024")</f>
        <v/>
      </c>
      <c r="T165">
        <f>HYPERLINK("https://klasma.github.io/Logging_2480/kartor/A 3514-2024 karta.png", "A 3514-2024")</f>
        <v/>
      </c>
      <c r="V165">
        <f>HYPERLINK("https://klasma.github.io/Logging_2480/klagomål/A 3514-2024 FSC-klagomål.docx", "A 3514-2024")</f>
        <v/>
      </c>
      <c r="W165">
        <f>HYPERLINK("https://klasma.github.io/Logging_2480/klagomålsmail/A 3514-2024 FSC-klagomål mail.docx", "A 3514-2024")</f>
        <v/>
      </c>
      <c r="X165">
        <f>HYPERLINK("https://klasma.github.io/Logging_2480/tillsyn/A 3514-2024 tillsynsbegäran.docx", "A 3514-2024")</f>
        <v/>
      </c>
      <c r="Y165">
        <f>HYPERLINK("https://klasma.github.io/Logging_2480/tillsynsmail/A 3514-2024 tillsynsbegäran mail.docx", "A 3514-2024")</f>
        <v/>
      </c>
    </row>
    <row r="166" ht="15" customHeight="1">
      <c r="A166" t="inlineStr">
        <is>
          <t>A 15438-2024</t>
        </is>
      </c>
      <c r="B166" s="1" t="n">
        <v>45401</v>
      </c>
      <c r="C166" s="1" t="n">
        <v>45828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HYPERLINK("https://klasma.github.io/Logging_2480/artfynd/A 15438-2024 artfynd.xlsx", "A 15438-2024")</f>
        <v/>
      </c>
      <c r="T166">
        <f>HYPERLINK("https://klasma.github.io/Logging_2480/kartor/A 15438-2024 karta.png", "A 15438-2024")</f>
        <v/>
      </c>
      <c r="V166">
        <f>HYPERLINK("https://klasma.github.io/Logging_2480/klagomål/A 15438-2024 FSC-klagomål.docx", "A 15438-2024")</f>
        <v/>
      </c>
      <c r="W166">
        <f>HYPERLINK("https://klasma.github.io/Logging_2480/klagomålsmail/A 15438-2024 FSC-klagomål mail.docx", "A 15438-2024")</f>
        <v/>
      </c>
      <c r="X166">
        <f>HYPERLINK("https://klasma.github.io/Logging_2480/tillsyn/A 15438-2024 tillsynsbegäran.docx", "A 15438-2024")</f>
        <v/>
      </c>
      <c r="Y166">
        <f>HYPERLINK("https://klasma.github.io/Logging_2480/tillsynsmail/A 15438-2024 tillsynsbegäran mail.docx", "A 15438-2024")</f>
        <v/>
      </c>
      <c r="Z166">
        <f>HYPERLINK("https://klasma.github.io/Logging_2480/fåglar/A 15438-2024 prioriterade fågelarter.docx", "A 15438-2024")</f>
        <v/>
      </c>
    </row>
    <row r="167" ht="15" customHeight="1">
      <c r="A167" t="inlineStr">
        <is>
          <t>A 20757-2024</t>
        </is>
      </c>
      <c r="B167" s="1" t="n">
        <v>45436</v>
      </c>
      <c r="C167" s="1" t="n">
        <v>45828</v>
      </c>
      <c r="D167" t="inlineStr">
        <is>
          <t>VÄSTERBOTTENS LÄN</t>
        </is>
      </c>
      <c r="E167" t="inlineStr">
        <is>
          <t>UMEÅ</t>
        </is>
      </c>
      <c r="G167" t="n">
        <v>5.2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HYPERLINK("https://klasma.github.io/Logging_2480/artfynd/A 20757-2024 artfynd.xlsx", "A 20757-2024")</f>
        <v/>
      </c>
      <c r="T167">
        <f>HYPERLINK("https://klasma.github.io/Logging_2480/kartor/A 20757-2024 karta.png", "A 20757-2024")</f>
        <v/>
      </c>
      <c r="V167">
        <f>HYPERLINK("https://klasma.github.io/Logging_2480/klagomål/A 20757-2024 FSC-klagomål.docx", "A 20757-2024")</f>
        <v/>
      </c>
      <c r="W167">
        <f>HYPERLINK("https://klasma.github.io/Logging_2480/klagomålsmail/A 20757-2024 FSC-klagomål mail.docx", "A 20757-2024")</f>
        <v/>
      </c>
      <c r="X167">
        <f>HYPERLINK("https://klasma.github.io/Logging_2480/tillsyn/A 20757-2024 tillsynsbegäran.docx", "A 20757-2024")</f>
        <v/>
      </c>
      <c r="Y167">
        <f>HYPERLINK("https://klasma.github.io/Logging_2480/tillsynsmail/A 20757-2024 tillsynsbegäran mail.docx", "A 20757-2024")</f>
        <v/>
      </c>
    </row>
    <row r="168" ht="15" customHeight="1">
      <c r="A168" t="inlineStr">
        <is>
          <t>A 26932-2024</t>
        </is>
      </c>
      <c r="B168" s="1" t="n">
        <v>45470</v>
      </c>
      <c r="C168" s="1" t="n">
        <v>45828</v>
      </c>
      <c r="D168" t="inlineStr">
        <is>
          <t>VÄSTERBOTTENS LÄN</t>
        </is>
      </c>
      <c r="E168" t="inlineStr">
        <is>
          <t>UMEÅ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Violettgrå tagellav</t>
        </is>
      </c>
      <c r="S168">
        <f>HYPERLINK("https://klasma.github.io/Logging_2480/artfynd/A 26932-2024 artfynd.xlsx", "A 26932-2024")</f>
        <v/>
      </c>
      <c r="T168">
        <f>HYPERLINK("https://klasma.github.io/Logging_2480/kartor/A 26932-2024 karta.png", "A 26932-2024")</f>
        <v/>
      </c>
      <c r="V168">
        <f>HYPERLINK("https://klasma.github.io/Logging_2480/klagomål/A 26932-2024 FSC-klagomål.docx", "A 26932-2024")</f>
        <v/>
      </c>
      <c r="W168">
        <f>HYPERLINK("https://klasma.github.io/Logging_2480/klagomålsmail/A 26932-2024 FSC-klagomål mail.docx", "A 26932-2024")</f>
        <v/>
      </c>
      <c r="X168">
        <f>HYPERLINK("https://klasma.github.io/Logging_2480/tillsyn/A 26932-2024 tillsynsbegäran.docx", "A 26932-2024")</f>
        <v/>
      </c>
      <c r="Y168">
        <f>HYPERLINK("https://klasma.github.io/Logging_2480/tillsynsmail/A 26932-2024 tillsynsbegäran mail.docx", "A 26932-2024")</f>
        <v/>
      </c>
    </row>
    <row r="169" ht="15" customHeight="1">
      <c r="A169" t="inlineStr">
        <is>
          <t>A 32220-2024</t>
        </is>
      </c>
      <c r="B169" s="1" t="n">
        <v>45511</v>
      </c>
      <c r="C169" s="1" t="n">
        <v>45828</v>
      </c>
      <c r="D169" t="inlineStr">
        <is>
          <t>VÄSTERBOTTENS LÄN</t>
        </is>
      </c>
      <c r="E169" t="inlineStr">
        <is>
          <t>UMEÅ</t>
        </is>
      </c>
      <c r="G169" t="n">
        <v>6.9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HYPERLINK("https://klasma.github.io/Logging_2480/artfynd/A 32220-2024 artfynd.xlsx", "A 32220-2024")</f>
        <v/>
      </c>
      <c r="T169">
        <f>HYPERLINK("https://klasma.github.io/Logging_2480/kartor/A 32220-2024 karta.png", "A 32220-2024")</f>
        <v/>
      </c>
      <c r="V169">
        <f>HYPERLINK("https://klasma.github.io/Logging_2480/klagomål/A 32220-2024 FSC-klagomål.docx", "A 32220-2024")</f>
        <v/>
      </c>
      <c r="W169">
        <f>HYPERLINK("https://klasma.github.io/Logging_2480/klagomålsmail/A 32220-2024 FSC-klagomål mail.docx", "A 32220-2024")</f>
        <v/>
      </c>
      <c r="X169">
        <f>HYPERLINK("https://klasma.github.io/Logging_2480/tillsyn/A 32220-2024 tillsynsbegäran.docx", "A 32220-2024")</f>
        <v/>
      </c>
      <c r="Y169">
        <f>HYPERLINK("https://klasma.github.io/Logging_2480/tillsynsmail/A 32220-2024 tillsynsbegäran mail.docx", "A 32220-2024")</f>
        <v/>
      </c>
      <c r="Z169">
        <f>HYPERLINK("https://klasma.github.io/Logging_2480/fåglar/A 32220-2024 prioriterade fågelarter.docx", "A 32220-2024")</f>
        <v/>
      </c>
    </row>
    <row r="170" ht="15" customHeight="1">
      <c r="A170" t="inlineStr">
        <is>
          <t>A 33451-2024</t>
        </is>
      </c>
      <c r="B170" s="1" t="n">
        <v>45519</v>
      </c>
      <c r="C170" s="1" t="n">
        <v>45828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3.6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Ävjepilört</t>
        </is>
      </c>
      <c r="S170">
        <f>HYPERLINK("https://klasma.github.io/Logging_2480/artfynd/A 33451-2024 artfynd.xlsx", "A 33451-2024")</f>
        <v/>
      </c>
      <c r="T170">
        <f>HYPERLINK("https://klasma.github.io/Logging_2480/kartor/A 33451-2024 karta.png", "A 33451-2024")</f>
        <v/>
      </c>
      <c r="V170">
        <f>HYPERLINK("https://klasma.github.io/Logging_2480/klagomål/A 33451-2024 FSC-klagomål.docx", "A 33451-2024")</f>
        <v/>
      </c>
      <c r="W170">
        <f>HYPERLINK("https://klasma.github.io/Logging_2480/klagomålsmail/A 33451-2024 FSC-klagomål mail.docx", "A 33451-2024")</f>
        <v/>
      </c>
      <c r="X170">
        <f>HYPERLINK("https://klasma.github.io/Logging_2480/tillsyn/A 33451-2024 tillsynsbegäran.docx", "A 33451-2024")</f>
        <v/>
      </c>
      <c r="Y170">
        <f>HYPERLINK("https://klasma.github.io/Logging_2480/tillsynsmail/A 33451-2024 tillsynsbegäran mail.docx", "A 33451-2024")</f>
        <v/>
      </c>
    </row>
    <row r="171" ht="15" customHeight="1">
      <c r="A171" t="inlineStr">
        <is>
          <t>A 39877-2024</t>
        </is>
      </c>
      <c r="B171" s="1" t="n">
        <v>45553</v>
      </c>
      <c r="C171" s="1" t="n">
        <v>45828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39877-2024 artfynd.xlsx", "A 39877-2024")</f>
        <v/>
      </c>
      <c r="T171">
        <f>HYPERLINK("https://klasma.github.io/Logging_2480/kartor/A 39877-2024 karta.png", "A 39877-2024")</f>
        <v/>
      </c>
      <c r="V171">
        <f>HYPERLINK("https://klasma.github.io/Logging_2480/klagomål/A 39877-2024 FSC-klagomål.docx", "A 39877-2024")</f>
        <v/>
      </c>
      <c r="W171">
        <f>HYPERLINK("https://klasma.github.io/Logging_2480/klagomålsmail/A 39877-2024 FSC-klagomål mail.docx", "A 39877-2024")</f>
        <v/>
      </c>
      <c r="X171">
        <f>HYPERLINK("https://klasma.github.io/Logging_2480/tillsyn/A 39877-2024 tillsynsbegäran.docx", "A 39877-2024")</f>
        <v/>
      </c>
      <c r="Y171">
        <f>HYPERLINK("https://klasma.github.io/Logging_2480/tillsynsmail/A 39877-2024 tillsynsbegäran mail.docx", "A 39877-2024")</f>
        <v/>
      </c>
    </row>
    <row r="172" ht="15" customHeight="1">
      <c r="A172" t="inlineStr">
        <is>
          <t>A 40665-2024</t>
        </is>
      </c>
      <c r="B172" s="1" t="n">
        <v>45558</v>
      </c>
      <c r="C172" s="1" t="n">
        <v>45828</v>
      </c>
      <c r="D172" t="inlineStr">
        <is>
          <t>VÄSTERBOTTENS LÄN</t>
        </is>
      </c>
      <c r="E172" t="inlineStr">
        <is>
          <t>UMEÅ</t>
        </is>
      </c>
      <c r="G172" t="n">
        <v>15.3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HYPERLINK("https://klasma.github.io/Logging_2480/artfynd/A 40665-2024 artfynd.xlsx", "A 40665-2024")</f>
        <v/>
      </c>
      <c r="T172">
        <f>HYPERLINK("https://klasma.github.io/Logging_2480/kartor/A 40665-2024 karta.png", "A 40665-2024")</f>
        <v/>
      </c>
      <c r="V172">
        <f>HYPERLINK("https://klasma.github.io/Logging_2480/klagomål/A 40665-2024 FSC-klagomål.docx", "A 40665-2024")</f>
        <v/>
      </c>
      <c r="W172">
        <f>HYPERLINK("https://klasma.github.io/Logging_2480/klagomålsmail/A 40665-2024 FSC-klagomål mail.docx", "A 40665-2024")</f>
        <v/>
      </c>
      <c r="X172">
        <f>HYPERLINK("https://klasma.github.io/Logging_2480/tillsyn/A 40665-2024 tillsynsbegäran.docx", "A 40665-2024")</f>
        <v/>
      </c>
      <c r="Y172">
        <f>HYPERLINK("https://klasma.github.io/Logging_2480/tillsynsmail/A 40665-2024 tillsynsbegäran mail.docx", "A 40665-2024")</f>
        <v/>
      </c>
    </row>
    <row r="173" ht="15" customHeight="1">
      <c r="A173" t="inlineStr">
        <is>
          <t>A 40851-2024</t>
        </is>
      </c>
      <c r="B173" s="1" t="n">
        <v>45558</v>
      </c>
      <c r="C173" s="1" t="n">
        <v>45828</v>
      </c>
      <c r="D173" t="inlineStr">
        <is>
          <t>VÄSTERBOTTENS LÄN</t>
        </is>
      </c>
      <c r="E173" t="inlineStr">
        <is>
          <t>UMEÅ</t>
        </is>
      </c>
      <c r="G173" t="n">
        <v>2.9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Havsörn</t>
        </is>
      </c>
      <c r="S173">
        <f>HYPERLINK("https://klasma.github.io/Logging_2480/artfynd/A 40851-2024 artfynd.xlsx", "A 40851-2024")</f>
        <v/>
      </c>
      <c r="T173">
        <f>HYPERLINK("https://klasma.github.io/Logging_2480/kartor/A 40851-2024 karta.png", "A 40851-2024")</f>
        <v/>
      </c>
      <c r="V173">
        <f>HYPERLINK("https://klasma.github.io/Logging_2480/klagomål/A 40851-2024 FSC-klagomål.docx", "A 40851-2024")</f>
        <v/>
      </c>
      <c r="W173">
        <f>HYPERLINK("https://klasma.github.io/Logging_2480/klagomålsmail/A 40851-2024 FSC-klagomål mail.docx", "A 40851-2024")</f>
        <v/>
      </c>
      <c r="X173">
        <f>HYPERLINK("https://klasma.github.io/Logging_2480/tillsyn/A 40851-2024 tillsynsbegäran.docx", "A 40851-2024")</f>
        <v/>
      </c>
      <c r="Y173">
        <f>HYPERLINK("https://klasma.github.io/Logging_2480/tillsynsmail/A 40851-2024 tillsynsbegäran mail.docx", "A 40851-2024")</f>
        <v/>
      </c>
      <c r="Z173">
        <f>HYPERLINK("https://klasma.github.io/Logging_2480/fåglar/A 40851-2024 prioriterade fågelarter.docx", "A 40851-2024")</f>
        <v/>
      </c>
    </row>
    <row r="174" ht="15" customHeight="1">
      <c r="A174" t="inlineStr">
        <is>
          <t>A 41225-2024</t>
        </is>
      </c>
      <c r="B174" s="1" t="n">
        <v>45559</v>
      </c>
      <c r="C174" s="1" t="n">
        <v>45828</v>
      </c>
      <c r="D174" t="inlineStr">
        <is>
          <t>VÄSTERBOTTENS LÄN</t>
        </is>
      </c>
      <c r="E174" t="inlineStr">
        <is>
          <t>UMEÅ</t>
        </is>
      </c>
      <c r="F174" t="inlineStr">
        <is>
          <t>Sveaskog</t>
        </is>
      </c>
      <c r="G174" t="n">
        <v>3.5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HYPERLINK("https://klasma.github.io/Logging_2480/artfynd/A 41225-2024 artfynd.xlsx", "A 41225-2024")</f>
        <v/>
      </c>
      <c r="T174">
        <f>HYPERLINK("https://klasma.github.io/Logging_2480/kartor/A 41225-2024 karta.png", "A 41225-2024")</f>
        <v/>
      </c>
      <c r="V174">
        <f>HYPERLINK("https://klasma.github.io/Logging_2480/klagomål/A 41225-2024 FSC-klagomål.docx", "A 41225-2024")</f>
        <v/>
      </c>
      <c r="W174">
        <f>HYPERLINK("https://klasma.github.io/Logging_2480/klagomålsmail/A 41225-2024 FSC-klagomål mail.docx", "A 41225-2024")</f>
        <v/>
      </c>
      <c r="X174">
        <f>HYPERLINK("https://klasma.github.io/Logging_2480/tillsyn/A 41225-2024 tillsynsbegäran.docx", "A 41225-2024")</f>
        <v/>
      </c>
      <c r="Y174">
        <f>HYPERLINK("https://klasma.github.io/Logging_2480/tillsynsmail/A 41225-2024 tillsynsbegäran mail.docx", "A 41225-2024")</f>
        <v/>
      </c>
    </row>
    <row r="175" ht="15" customHeight="1">
      <c r="A175" t="inlineStr">
        <is>
          <t>A 43029-2024</t>
        </is>
      </c>
      <c r="B175" s="1" t="n">
        <v>45567</v>
      </c>
      <c r="C175" s="1" t="n">
        <v>45828</v>
      </c>
      <c r="D175" t="inlineStr">
        <is>
          <t>VÄSTERBOTTENS LÄN</t>
        </is>
      </c>
      <c r="E175" t="inlineStr">
        <is>
          <t>UMEÅ</t>
        </is>
      </c>
      <c r="G175" t="n">
        <v>5.7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43029-2024 artfynd.xlsx", "A 43029-2024")</f>
        <v/>
      </c>
      <c r="T175">
        <f>HYPERLINK("https://klasma.github.io/Logging_2480/kartor/A 43029-2024 karta.png", "A 43029-2024")</f>
        <v/>
      </c>
      <c r="V175">
        <f>HYPERLINK("https://klasma.github.io/Logging_2480/klagomål/A 43029-2024 FSC-klagomål.docx", "A 43029-2024")</f>
        <v/>
      </c>
      <c r="W175">
        <f>HYPERLINK("https://klasma.github.io/Logging_2480/klagomålsmail/A 43029-2024 FSC-klagomål mail.docx", "A 43029-2024")</f>
        <v/>
      </c>
      <c r="X175">
        <f>HYPERLINK("https://klasma.github.io/Logging_2480/tillsyn/A 43029-2024 tillsynsbegäran.docx", "A 43029-2024")</f>
        <v/>
      </c>
      <c r="Y175">
        <f>HYPERLINK("https://klasma.github.io/Logging_2480/tillsynsmail/A 43029-2024 tillsynsbegäran mail.docx", "A 43029-2024")</f>
        <v/>
      </c>
    </row>
    <row r="176" ht="15" customHeight="1">
      <c r="A176" t="inlineStr">
        <is>
          <t>A 43550-2024</t>
        </is>
      </c>
      <c r="B176" s="1" t="n">
        <v>45569</v>
      </c>
      <c r="C176" s="1" t="n">
        <v>45828</v>
      </c>
      <c r="D176" t="inlineStr">
        <is>
          <t>VÄSTERBOTTENS LÄN</t>
        </is>
      </c>
      <c r="E176" t="inlineStr">
        <is>
          <t>UMEÅ</t>
        </is>
      </c>
      <c r="F176" t="inlineStr">
        <is>
          <t>Kommuner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Rävticka</t>
        </is>
      </c>
      <c r="S176">
        <f>HYPERLINK("https://klasma.github.io/Logging_2480/artfynd/A 43550-2024 artfynd.xlsx", "A 43550-2024")</f>
        <v/>
      </c>
      <c r="T176">
        <f>HYPERLINK("https://klasma.github.io/Logging_2480/kartor/A 43550-2024 karta.png", "A 43550-2024")</f>
        <v/>
      </c>
      <c r="V176">
        <f>HYPERLINK("https://klasma.github.io/Logging_2480/klagomål/A 43550-2024 FSC-klagomål.docx", "A 43550-2024")</f>
        <v/>
      </c>
      <c r="W176">
        <f>HYPERLINK("https://klasma.github.io/Logging_2480/klagomålsmail/A 43550-2024 FSC-klagomål mail.docx", "A 43550-2024")</f>
        <v/>
      </c>
      <c r="X176">
        <f>HYPERLINK("https://klasma.github.io/Logging_2480/tillsyn/A 43550-2024 tillsynsbegäran.docx", "A 43550-2024")</f>
        <v/>
      </c>
      <c r="Y176">
        <f>HYPERLINK("https://klasma.github.io/Logging_2480/tillsynsmail/A 43550-2024 tillsynsbegäran mail.docx", "A 43550-2024")</f>
        <v/>
      </c>
    </row>
    <row r="177" ht="15" customHeight="1">
      <c r="A177" t="inlineStr">
        <is>
          <t>A 45429-2024</t>
        </is>
      </c>
      <c r="B177" s="1" t="n">
        <v>45576</v>
      </c>
      <c r="C177" s="1" t="n">
        <v>45828</v>
      </c>
      <c r="D177" t="inlineStr">
        <is>
          <t>VÄSTERBOTTENS LÄN</t>
        </is>
      </c>
      <c r="E177" t="inlineStr">
        <is>
          <t>UMEÅ</t>
        </is>
      </c>
      <c r="F177" t="inlineStr">
        <is>
          <t>Sveaskog</t>
        </is>
      </c>
      <c r="G177" t="n">
        <v>11.5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HYPERLINK("https://klasma.github.io/Logging_2480/artfynd/A 45429-2024 artfynd.xlsx", "A 45429-2024")</f>
        <v/>
      </c>
      <c r="T177">
        <f>HYPERLINK("https://klasma.github.io/Logging_2480/kartor/A 45429-2024 karta.png", "A 45429-2024")</f>
        <v/>
      </c>
      <c r="V177">
        <f>HYPERLINK("https://klasma.github.io/Logging_2480/klagomål/A 45429-2024 FSC-klagomål.docx", "A 45429-2024")</f>
        <v/>
      </c>
      <c r="W177">
        <f>HYPERLINK("https://klasma.github.io/Logging_2480/klagomålsmail/A 45429-2024 FSC-klagomål mail.docx", "A 45429-2024")</f>
        <v/>
      </c>
      <c r="X177">
        <f>HYPERLINK("https://klasma.github.io/Logging_2480/tillsyn/A 45429-2024 tillsynsbegäran.docx", "A 45429-2024")</f>
        <v/>
      </c>
      <c r="Y177">
        <f>HYPERLINK("https://klasma.github.io/Logging_2480/tillsynsmail/A 45429-2024 tillsynsbegäran mail.docx", "A 45429-2024")</f>
        <v/>
      </c>
    </row>
    <row r="178" ht="15" customHeight="1">
      <c r="A178" t="inlineStr">
        <is>
          <t>A 45633-2024</t>
        </is>
      </c>
      <c r="B178" s="1" t="n">
        <v>45579</v>
      </c>
      <c r="C178" s="1" t="n">
        <v>45828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5.4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Mörk kolflarnlav</t>
        </is>
      </c>
      <c r="S178">
        <f>HYPERLINK("https://klasma.github.io/Logging_2480/artfynd/A 45633-2024 artfynd.xlsx", "A 45633-2024")</f>
        <v/>
      </c>
      <c r="T178">
        <f>HYPERLINK("https://klasma.github.io/Logging_2480/kartor/A 45633-2024 karta.png", "A 45633-2024")</f>
        <v/>
      </c>
      <c r="V178">
        <f>HYPERLINK("https://klasma.github.io/Logging_2480/klagomål/A 45633-2024 FSC-klagomål.docx", "A 45633-2024")</f>
        <v/>
      </c>
      <c r="W178">
        <f>HYPERLINK("https://klasma.github.io/Logging_2480/klagomålsmail/A 45633-2024 FSC-klagomål mail.docx", "A 45633-2024")</f>
        <v/>
      </c>
      <c r="X178">
        <f>HYPERLINK("https://klasma.github.io/Logging_2480/tillsyn/A 45633-2024 tillsynsbegäran.docx", "A 45633-2024")</f>
        <v/>
      </c>
      <c r="Y178">
        <f>HYPERLINK("https://klasma.github.io/Logging_2480/tillsynsmail/A 45633-2024 tillsynsbegäran mail.docx", "A 45633-2024")</f>
        <v/>
      </c>
    </row>
    <row r="179" ht="15" customHeight="1">
      <c r="A179" t="inlineStr">
        <is>
          <t>A 45659-2024</t>
        </is>
      </c>
      <c r="B179" s="1" t="n">
        <v>45579</v>
      </c>
      <c r="C179" s="1" t="n">
        <v>45828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HYPERLINK("https://klasma.github.io/Logging_2480/artfynd/A 45659-2024 artfynd.xlsx", "A 45659-2024")</f>
        <v/>
      </c>
      <c r="T179">
        <f>HYPERLINK("https://klasma.github.io/Logging_2480/kartor/A 45659-2024 karta.png", "A 45659-2024")</f>
        <v/>
      </c>
      <c r="V179">
        <f>HYPERLINK("https://klasma.github.io/Logging_2480/klagomål/A 45659-2024 FSC-klagomål.docx", "A 45659-2024")</f>
        <v/>
      </c>
      <c r="W179">
        <f>HYPERLINK("https://klasma.github.io/Logging_2480/klagomålsmail/A 45659-2024 FSC-klagomål mail.docx", "A 45659-2024")</f>
        <v/>
      </c>
      <c r="X179">
        <f>HYPERLINK("https://klasma.github.io/Logging_2480/tillsyn/A 45659-2024 tillsynsbegäran.docx", "A 45659-2024")</f>
        <v/>
      </c>
      <c r="Y179">
        <f>HYPERLINK("https://klasma.github.io/Logging_2480/tillsynsmail/A 45659-2024 tillsynsbegäran mail.docx", "A 45659-2024")</f>
        <v/>
      </c>
    </row>
    <row r="180" ht="15" customHeight="1">
      <c r="A180" t="inlineStr">
        <is>
          <t>A 49134-2024</t>
        </is>
      </c>
      <c r="B180" s="1" t="n">
        <v>45594</v>
      </c>
      <c r="C180" s="1" t="n">
        <v>45828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Skogshare</t>
        </is>
      </c>
      <c r="S180">
        <f>HYPERLINK("https://klasma.github.io/Logging_2480/artfynd/A 49134-2024 artfynd.xlsx", "A 49134-2024")</f>
        <v/>
      </c>
      <c r="T180">
        <f>HYPERLINK("https://klasma.github.io/Logging_2480/kartor/A 49134-2024 karta.png", "A 49134-2024")</f>
        <v/>
      </c>
      <c r="V180">
        <f>HYPERLINK("https://klasma.github.io/Logging_2480/klagomål/A 49134-2024 FSC-klagomål.docx", "A 49134-2024")</f>
        <v/>
      </c>
      <c r="W180">
        <f>HYPERLINK("https://klasma.github.io/Logging_2480/klagomålsmail/A 49134-2024 FSC-klagomål mail.docx", "A 49134-2024")</f>
        <v/>
      </c>
      <c r="X180">
        <f>HYPERLINK("https://klasma.github.io/Logging_2480/tillsyn/A 49134-2024 tillsynsbegäran.docx", "A 49134-2024")</f>
        <v/>
      </c>
      <c r="Y180">
        <f>HYPERLINK("https://klasma.github.io/Logging_2480/tillsynsmail/A 49134-2024 tillsynsbegäran mail.docx", "A 49134-2024")</f>
        <v/>
      </c>
    </row>
    <row r="181" ht="15" customHeight="1">
      <c r="A181" t="inlineStr">
        <is>
          <t>A 56135-2024</t>
        </is>
      </c>
      <c r="B181" s="1" t="n">
        <v>45624</v>
      </c>
      <c r="C181" s="1" t="n">
        <v>45828</v>
      </c>
      <c r="D181" t="inlineStr">
        <is>
          <t>VÄSTERBOTTENS LÄN</t>
        </is>
      </c>
      <c r="E181" t="inlineStr">
        <is>
          <t>UMEÅ</t>
        </is>
      </c>
      <c r="G181" t="n">
        <v>19.9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Violettgrå tagellav</t>
        </is>
      </c>
      <c r="S181">
        <f>HYPERLINK("https://klasma.github.io/Logging_2480/artfynd/A 56135-2024 artfynd.xlsx", "A 56135-2024")</f>
        <v/>
      </c>
      <c r="T181">
        <f>HYPERLINK("https://klasma.github.io/Logging_2480/kartor/A 56135-2024 karta.png", "A 56135-2024")</f>
        <v/>
      </c>
      <c r="V181">
        <f>HYPERLINK("https://klasma.github.io/Logging_2480/klagomål/A 56135-2024 FSC-klagomål.docx", "A 56135-2024")</f>
        <v/>
      </c>
      <c r="W181">
        <f>HYPERLINK("https://klasma.github.io/Logging_2480/klagomålsmail/A 56135-2024 FSC-klagomål mail.docx", "A 56135-2024")</f>
        <v/>
      </c>
      <c r="X181">
        <f>HYPERLINK("https://klasma.github.io/Logging_2480/tillsyn/A 56135-2024 tillsynsbegäran.docx", "A 56135-2024")</f>
        <v/>
      </c>
      <c r="Y181">
        <f>HYPERLINK("https://klasma.github.io/Logging_2480/tillsynsmail/A 56135-2024 tillsynsbegäran mail.docx", "A 56135-2024")</f>
        <v/>
      </c>
    </row>
    <row r="182" ht="15" customHeight="1">
      <c r="A182" t="inlineStr">
        <is>
          <t>A 60496-2024</t>
        </is>
      </c>
      <c r="B182" s="1" t="n">
        <v>45643</v>
      </c>
      <c r="C182" s="1" t="n">
        <v>45828</v>
      </c>
      <c r="D182" t="inlineStr">
        <is>
          <t>VÄSTERBOTTENS LÄN</t>
        </is>
      </c>
      <c r="E182" t="inlineStr">
        <is>
          <t>UMEÅ</t>
        </is>
      </c>
      <c r="G182" t="n">
        <v>1.7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HYPERLINK("https://klasma.github.io/Logging_2480/artfynd/A 60496-2024 artfynd.xlsx", "A 60496-2024")</f>
        <v/>
      </c>
      <c r="T182">
        <f>HYPERLINK("https://klasma.github.io/Logging_2480/kartor/A 60496-2024 karta.png", "A 60496-2024")</f>
        <v/>
      </c>
      <c r="V182">
        <f>HYPERLINK("https://klasma.github.io/Logging_2480/klagomål/A 60496-2024 FSC-klagomål.docx", "A 60496-2024")</f>
        <v/>
      </c>
      <c r="W182">
        <f>HYPERLINK("https://klasma.github.io/Logging_2480/klagomålsmail/A 60496-2024 FSC-klagomål mail.docx", "A 60496-2024")</f>
        <v/>
      </c>
      <c r="X182">
        <f>HYPERLINK("https://klasma.github.io/Logging_2480/tillsyn/A 60496-2024 tillsynsbegäran.docx", "A 60496-2024")</f>
        <v/>
      </c>
      <c r="Y182">
        <f>HYPERLINK("https://klasma.github.io/Logging_2480/tillsynsmail/A 60496-2024 tillsynsbegäran mail.docx", "A 60496-2024")</f>
        <v/>
      </c>
      <c r="Z182">
        <f>HYPERLINK("https://klasma.github.io/Logging_2480/fåglar/A 60496-2024 prioriterade fågelarter.docx", "A 60496-2024")</f>
        <v/>
      </c>
    </row>
    <row r="183" ht="15" customHeight="1">
      <c r="A183" t="inlineStr">
        <is>
          <t>A 2972-2025</t>
        </is>
      </c>
      <c r="B183" s="1" t="n">
        <v>45678</v>
      </c>
      <c r="C183" s="1" t="n">
        <v>45828</v>
      </c>
      <c r="D183" t="inlineStr">
        <is>
          <t>VÄSTERBOTTENS LÄN</t>
        </is>
      </c>
      <c r="E183" t="inlineStr">
        <is>
          <t>UMEÅ</t>
        </is>
      </c>
      <c r="F183" t="inlineStr">
        <is>
          <t>SCA</t>
        </is>
      </c>
      <c r="G183" t="n">
        <v>8.4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Skogsödla</t>
        </is>
      </c>
      <c r="S183">
        <f>HYPERLINK("https://klasma.github.io/Logging_2480/artfynd/A 2972-2025 artfynd.xlsx", "A 2972-2025")</f>
        <v/>
      </c>
      <c r="T183">
        <f>HYPERLINK("https://klasma.github.io/Logging_2480/kartor/A 2972-2025 karta.png", "A 2972-2025")</f>
        <v/>
      </c>
      <c r="V183">
        <f>HYPERLINK("https://klasma.github.io/Logging_2480/klagomål/A 2972-2025 FSC-klagomål.docx", "A 2972-2025")</f>
        <v/>
      </c>
      <c r="W183">
        <f>HYPERLINK("https://klasma.github.io/Logging_2480/klagomålsmail/A 2972-2025 FSC-klagomål mail.docx", "A 2972-2025")</f>
        <v/>
      </c>
      <c r="X183">
        <f>HYPERLINK("https://klasma.github.io/Logging_2480/tillsyn/A 2972-2025 tillsynsbegäran.docx", "A 2972-2025")</f>
        <v/>
      </c>
      <c r="Y183">
        <f>HYPERLINK("https://klasma.github.io/Logging_2480/tillsynsmail/A 2972-2025 tillsynsbegäran mail.docx", "A 2972-2025")</f>
        <v/>
      </c>
    </row>
    <row r="184" ht="15" customHeight="1">
      <c r="A184" t="inlineStr">
        <is>
          <t>A 7848-2025</t>
        </is>
      </c>
      <c r="B184" s="1" t="n">
        <v>45706</v>
      </c>
      <c r="C184" s="1" t="n">
        <v>45828</v>
      </c>
      <c r="D184" t="inlineStr">
        <is>
          <t>VÄSTERBOTTENS LÄN</t>
        </is>
      </c>
      <c r="E184" t="inlineStr">
        <is>
          <t>UMEÅ</t>
        </is>
      </c>
      <c r="G184" t="n">
        <v>8.6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HYPERLINK("https://klasma.github.io/Logging_2480/artfynd/A 7848-2025 artfynd.xlsx", "A 7848-2025")</f>
        <v/>
      </c>
      <c r="T184">
        <f>HYPERLINK("https://klasma.github.io/Logging_2480/kartor/A 7848-2025 karta.png", "A 7848-2025")</f>
        <v/>
      </c>
      <c r="V184">
        <f>HYPERLINK("https://klasma.github.io/Logging_2480/klagomål/A 7848-2025 FSC-klagomål.docx", "A 7848-2025")</f>
        <v/>
      </c>
      <c r="W184">
        <f>HYPERLINK("https://klasma.github.io/Logging_2480/klagomålsmail/A 7848-2025 FSC-klagomål mail.docx", "A 7848-2025")</f>
        <v/>
      </c>
      <c r="X184">
        <f>HYPERLINK("https://klasma.github.io/Logging_2480/tillsyn/A 7848-2025 tillsynsbegäran.docx", "A 7848-2025")</f>
        <v/>
      </c>
      <c r="Y184">
        <f>HYPERLINK("https://klasma.github.io/Logging_2480/tillsynsmail/A 7848-2025 tillsynsbegäran mail.docx", "A 7848-2025")</f>
        <v/>
      </c>
      <c r="Z184">
        <f>HYPERLINK("https://klasma.github.io/Logging_2480/fåglar/A 7848-2025 prioriterade fågelarter.docx", "A 7848-2025")</f>
        <v/>
      </c>
    </row>
    <row r="185" ht="15" customHeight="1">
      <c r="A185" t="inlineStr">
        <is>
          <t>A 11044-2025</t>
        </is>
      </c>
      <c r="B185" s="1" t="n">
        <v>45723</v>
      </c>
      <c r="C185" s="1" t="n">
        <v>45828</v>
      </c>
      <c r="D185" t="inlineStr">
        <is>
          <t>VÄSTERBOTTENS LÄN</t>
        </is>
      </c>
      <c r="E185" t="inlineStr">
        <is>
          <t>UMEÅ</t>
        </is>
      </c>
      <c r="G185" t="n">
        <v>4.1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HYPERLINK("https://klasma.github.io/Logging_242480/artfynd/A 11044-2025 artfynd.xlsx", "A 11044-2025")</f>
        <v/>
      </c>
      <c r="T185">
        <f>HYPERLINK("https://klasma.github.io/Logging_242480/kartor/A 11044-2025 karta.png", "A 11044-2025")</f>
        <v/>
      </c>
      <c r="V185">
        <f>HYPERLINK("https://klasma.github.io/Logging_242480/klagomål/A 11044-2025 FSC-klagomål.docx", "A 11044-2025")</f>
        <v/>
      </c>
      <c r="W185">
        <f>HYPERLINK("https://klasma.github.io/Logging_242480/klagomålsmail/A 11044-2025 FSC-klagomål mail.docx", "A 11044-2025")</f>
        <v/>
      </c>
      <c r="X185">
        <f>HYPERLINK("https://klasma.github.io/Logging_242480/tillsyn/A 11044-2025 tillsynsbegäran.docx", "A 11044-2025")</f>
        <v/>
      </c>
      <c r="Y185">
        <f>HYPERLINK("https://klasma.github.io/Logging_242480/tillsynsmail/A 11044-2025 tillsynsbegäran mail.docx", "A 11044-2025")</f>
        <v/>
      </c>
    </row>
    <row r="186" ht="15" customHeight="1">
      <c r="A186" t="inlineStr">
        <is>
          <t>A 10945-2025</t>
        </is>
      </c>
      <c r="B186" s="1" t="n">
        <v>45723</v>
      </c>
      <c r="C186" s="1" t="n">
        <v>45828</v>
      </c>
      <c r="D186" t="inlineStr">
        <is>
          <t>VÄSTERBOTTENS LÄN</t>
        </is>
      </c>
      <c r="E186" t="inlineStr">
        <is>
          <t>UMEÅ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10945-2025 artfynd.xlsx", "A 10945-2025")</f>
        <v/>
      </c>
      <c r="T186">
        <f>HYPERLINK("https://klasma.github.io/Logging_242480/kartor/A 10945-2025 karta.png", "A 10945-2025")</f>
        <v/>
      </c>
      <c r="V186">
        <f>HYPERLINK("https://klasma.github.io/Logging_242480/klagomål/A 10945-2025 FSC-klagomål.docx", "A 10945-2025")</f>
        <v/>
      </c>
      <c r="W186">
        <f>HYPERLINK("https://klasma.github.io/Logging_242480/klagomålsmail/A 10945-2025 FSC-klagomål mail.docx", "A 10945-2025")</f>
        <v/>
      </c>
      <c r="X186">
        <f>HYPERLINK("https://klasma.github.io/Logging_242480/tillsyn/A 10945-2025 tillsynsbegäran.docx", "A 10945-2025")</f>
        <v/>
      </c>
      <c r="Y186">
        <f>HYPERLINK("https://klasma.github.io/Logging_242480/tillsynsmail/A 10945-2025 tillsynsbegäran mail.docx", "A 10945-2025")</f>
        <v/>
      </c>
    </row>
    <row r="187" ht="15" customHeight="1">
      <c r="A187" t="inlineStr">
        <is>
          <t>A 11781-2025</t>
        </is>
      </c>
      <c r="B187" s="1" t="n">
        <v>45727</v>
      </c>
      <c r="C187" s="1" t="n">
        <v>45828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Vitgrynig nållav</t>
        </is>
      </c>
      <c r="S187">
        <f>HYPERLINK("https://klasma.github.io/Logging_242480/artfynd/A 11781-2025 artfynd.xlsx", "A 11781-2025")</f>
        <v/>
      </c>
      <c r="T187">
        <f>HYPERLINK("https://klasma.github.io/Logging_242480/kartor/A 11781-2025 karta.png", "A 11781-2025")</f>
        <v/>
      </c>
      <c r="V187">
        <f>HYPERLINK("https://klasma.github.io/Logging_242480/klagomål/A 11781-2025 FSC-klagomål.docx", "A 11781-2025")</f>
        <v/>
      </c>
      <c r="W187">
        <f>HYPERLINK("https://klasma.github.io/Logging_242480/klagomålsmail/A 11781-2025 FSC-klagomål mail.docx", "A 11781-2025")</f>
        <v/>
      </c>
      <c r="X187">
        <f>HYPERLINK("https://klasma.github.io/Logging_242480/tillsyn/A 11781-2025 tillsynsbegäran.docx", "A 11781-2025")</f>
        <v/>
      </c>
      <c r="Y187">
        <f>HYPERLINK("https://klasma.github.io/Logging_242480/tillsynsmail/A 11781-2025 tillsynsbegäran mail.docx", "A 11781-2025")</f>
        <v/>
      </c>
    </row>
    <row r="188" ht="15" customHeight="1">
      <c r="A188" t="inlineStr">
        <is>
          <t>A 17091-2025</t>
        </is>
      </c>
      <c r="B188" s="1" t="n">
        <v>45755</v>
      </c>
      <c r="C188" s="1" t="n">
        <v>45828</v>
      </c>
      <c r="D188" t="inlineStr">
        <is>
          <t>VÄSTERBOTTENS LÄN</t>
        </is>
      </c>
      <c r="E188" t="inlineStr">
        <is>
          <t>UMEÅ</t>
        </is>
      </c>
      <c r="G188" t="n">
        <v>2.2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HYPERLINK("https://klasma.github.io/Logging_242480/artfynd/A 17091-2025 artfynd.xlsx", "A 17091-2025")</f>
        <v/>
      </c>
      <c r="T188">
        <f>HYPERLINK("https://klasma.github.io/Logging_242480/kartor/A 17091-2025 karta.png", "A 17091-2025")</f>
        <v/>
      </c>
      <c r="V188">
        <f>HYPERLINK("https://klasma.github.io/Logging_242480/klagomål/A 17091-2025 FSC-klagomål.docx", "A 17091-2025")</f>
        <v/>
      </c>
      <c r="W188">
        <f>HYPERLINK("https://klasma.github.io/Logging_242480/klagomålsmail/A 17091-2025 FSC-klagomål mail.docx", "A 17091-2025")</f>
        <v/>
      </c>
      <c r="X188">
        <f>HYPERLINK("https://klasma.github.io/Logging_242480/tillsyn/A 17091-2025 tillsynsbegäran.docx", "A 17091-2025")</f>
        <v/>
      </c>
      <c r="Y188">
        <f>HYPERLINK("https://klasma.github.io/Logging_242480/tillsynsmail/A 17091-2025 tillsynsbegäran mail.docx", "A 17091-2025")</f>
        <v/>
      </c>
    </row>
    <row r="189" ht="15" customHeight="1">
      <c r="A189" t="inlineStr">
        <is>
          <t>A 19228-2025</t>
        </is>
      </c>
      <c r="B189" s="1" t="n">
        <v>45769</v>
      </c>
      <c r="C189" s="1" t="n">
        <v>45828</v>
      </c>
      <c r="D189" t="inlineStr">
        <is>
          <t>VÄSTERBOTTENS LÄN</t>
        </is>
      </c>
      <c r="E189" t="inlineStr">
        <is>
          <t>UMEÅ</t>
        </is>
      </c>
      <c r="G189" t="n">
        <v>3.6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Äggvaxskivling</t>
        </is>
      </c>
      <c r="S189">
        <f>HYPERLINK("https://klasma.github.io/Logging_242480/artfynd/A 19228-2025 artfynd.xlsx", "A 19228-2025")</f>
        <v/>
      </c>
      <c r="T189">
        <f>HYPERLINK("https://klasma.github.io/Logging_242480/kartor/A 19228-2025 karta.png", "A 19228-2025")</f>
        <v/>
      </c>
      <c r="V189">
        <f>HYPERLINK("https://klasma.github.io/Logging_242480/klagomål/A 19228-2025 FSC-klagomål.docx", "A 19228-2025")</f>
        <v/>
      </c>
      <c r="W189">
        <f>HYPERLINK("https://klasma.github.io/Logging_242480/klagomålsmail/A 19228-2025 FSC-klagomål mail.docx", "A 19228-2025")</f>
        <v/>
      </c>
      <c r="X189">
        <f>HYPERLINK("https://klasma.github.io/Logging_242480/tillsyn/A 19228-2025 tillsynsbegäran.docx", "A 19228-2025")</f>
        <v/>
      </c>
      <c r="Y189">
        <f>HYPERLINK("https://klasma.github.io/Logging_242480/tillsynsmail/A 19228-2025 tillsynsbegäran mail.docx", "A 19228-2025")</f>
        <v/>
      </c>
    </row>
    <row r="190" ht="15" customHeight="1">
      <c r="A190" t="inlineStr">
        <is>
          <t>A 29397-2025</t>
        </is>
      </c>
      <c r="B190" s="1" t="n">
        <v>45824</v>
      </c>
      <c r="C190" s="1" t="n">
        <v>45828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Tjäder</t>
        </is>
      </c>
      <c r="S190">
        <f>HYPERLINK("https://klasma.github.io/Logging_242480/artfynd/A 29397-2025 artfynd.xlsx", "A 29397-2025")</f>
        <v/>
      </c>
      <c r="T190">
        <f>HYPERLINK("https://klasma.github.io/Logging_242480/kartor/A 29397-2025 karta.png", "A 29397-2025")</f>
        <v/>
      </c>
      <c r="V190">
        <f>HYPERLINK("https://klasma.github.io/Logging_242480/klagomål/A 29397-2025 FSC-klagomål.docx", "A 29397-2025")</f>
        <v/>
      </c>
      <c r="W190">
        <f>HYPERLINK("https://klasma.github.io/Logging_242480/klagomålsmail/A 29397-2025 FSC-klagomål mail.docx", "A 29397-2025")</f>
        <v/>
      </c>
      <c r="X190">
        <f>HYPERLINK("https://klasma.github.io/Logging_242480/tillsyn/A 29397-2025 tillsynsbegäran.docx", "A 29397-2025")</f>
        <v/>
      </c>
      <c r="Y190">
        <f>HYPERLINK("https://klasma.github.io/Logging_242480/tillsynsmail/A 29397-2025 tillsynsbegäran mail.docx", "A 29397-2025")</f>
        <v/>
      </c>
      <c r="Z190">
        <f>HYPERLINK("https://klasma.github.io/Logging_242480/fåglar/A 29397-2025 prioriterade fågelarter.docx", "A 29397-2025")</f>
        <v/>
      </c>
    </row>
    <row r="191" ht="15" customHeight="1">
      <c r="A191" t="inlineStr">
        <is>
          <t>A 17665-2019</t>
        </is>
      </c>
      <c r="B191" s="1" t="n">
        <v>43556</v>
      </c>
      <c r="C191" s="1" t="n">
        <v>45828</v>
      </c>
      <c r="D191" t="inlineStr">
        <is>
          <t>VÄSTERBOTTENS LÄN</t>
        </is>
      </c>
      <c r="E191" t="inlineStr">
        <is>
          <t>UMEÅ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18151-2019</t>
        </is>
      </c>
      <c r="B192" s="1" t="n">
        <v>43556</v>
      </c>
      <c r="C192" s="1" t="n">
        <v>45828</v>
      </c>
      <c r="D192" t="inlineStr">
        <is>
          <t>VÄSTERBOTTENS LÄN</t>
        </is>
      </c>
      <c r="E192" t="inlineStr">
        <is>
          <t>UMEÅ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20458-2019</t>
        </is>
      </c>
      <c r="B193" s="1" t="n">
        <v>43572</v>
      </c>
      <c r="C193" s="1" t="n">
        <v>45828</v>
      </c>
      <c r="D193" t="inlineStr">
        <is>
          <t>VÄSTERBOTTENS LÄN</t>
        </is>
      </c>
      <c r="E193" t="inlineStr">
        <is>
          <t>UMEÅ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22739-2019</t>
        </is>
      </c>
      <c r="B194" s="1" t="n">
        <v>43588</v>
      </c>
      <c r="C194" s="1" t="n">
        <v>45828</v>
      </c>
      <c r="D194" t="inlineStr">
        <is>
          <t>VÄSTERBOTTENS LÄN</t>
        </is>
      </c>
      <c r="E194" t="inlineStr">
        <is>
          <t>UMEÅ</t>
        </is>
      </c>
      <c r="F194" t="inlineStr">
        <is>
          <t>Kommuner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23098-2019</t>
        </is>
      </c>
      <c r="B195" s="1" t="n">
        <v>43591</v>
      </c>
      <c r="C195" s="1" t="n">
        <v>45828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23510-2019</t>
        </is>
      </c>
      <c r="B196" s="1" t="n">
        <v>43593</v>
      </c>
      <c r="C196" s="1" t="n">
        <v>45828</v>
      </c>
      <c r="D196" t="inlineStr">
        <is>
          <t>VÄSTERBOTTENS LÄN</t>
        </is>
      </c>
      <c r="E196" t="inlineStr">
        <is>
          <t>UMEÅ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23491-2019</t>
        </is>
      </c>
      <c r="B197" s="1" t="n">
        <v>43593</v>
      </c>
      <c r="C197" s="1" t="n">
        <v>45828</v>
      </c>
      <c r="D197" t="inlineStr">
        <is>
          <t>VÄSTERBOTTENS LÄN</t>
        </is>
      </c>
      <c r="E197" t="inlineStr">
        <is>
          <t>UMEÅ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23796-2019</t>
        </is>
      </c>
      <c r="B198" s="1" t="n">
        <v>43595</v>
      </c>
      <c r="C198" s="1" t="n">
        <v>45828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25273-2019</t>
        </is>
      </c>
      <c r="B199" s="1" t="n">
        <v>43605</v>
      </c>
      <c r="C199" s="1" t="n">
        <v>45828</v>
      </c>
      <c r="D199" t="inlineStr">
        <is>
          <t>VÄSTERBOTTENS LÄN</t>
        </is>
      </c>
      <c r="E199" t="inlineStr">
        <is>
          <t>UMEÅ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25787-2019</t>
        </is>
      </c>
      <c r="B200" s="1" t="n">
        <v>43605</v>
      </c>
      <c r="C200" s="1" t="n">
        <v>45828</v>
      </c>
      <c r="D200" t="inlineStr">
        <is>
          <t>VÄSTERBOTTENS LÄN</t>
        </is>
      </c>
      <c r="E200" t="inlineStr">
        <is>
          <t>UMEÅ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25514-2019</t>
        </is>
      </c>
      <c r="B201" s="1" t="n">
        <v>43606</v>
      </c>
      <c r="C201" s="1" t="n">
        <v>45828</v>
      </c>
      <c r="D201" t="inlineStr">
        <is>
          <t>VÄSTERBOTTENS LÄN</t>
        </is>
      </c>
      <c r="E201" t="inlineStr">
        <is>
          <t>UMEÅ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26382-2019</t>
        </is>
      </c>
      <c r="B202" s="1" t="n">
        <v>43606</v>
      </c>
      <c r="C202" s="1" t="n">
        <v>45828</v>
      </c>
      <c r="D202" t="inlineStr">
        <is>
          <t>VÄSTERBOTTENS LÄN</t>
        </is>
      </c>
      <c r="E202" t="inlineStr">
        <is>
          <t>UMEÅ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28147-2019</t>
        </is>
      </c>
      <c r="B203" s="1" t="n">
        <v>43613</v>
      </c>
      <c r="C203" s="1" t="n">
        <v>45828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28995-2019</t>
        </is>
      </c>
      <c r="B204" s="1" t="n">
        <v>43620</v>
      </c>
      <c r="C204" s="1" t="n">
        <v>45828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29281-2019</t>
        </is>
      </c>
      <c r="B205" s="1" t="n">
        <v>43623</v>
      </c>
      <c r="C205" s="1" t="n">
        <v>45828</v>
      </c>
      <c r="D205" t="inlineStr">
        <is>
          <t>VÄSTERBOTTENS LÄN</t>
        </is>
      </c>
      <c r="E205" t="inlineStr">
        <is>
          <t>UMEÅ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29128-2019</t>
        </is>
      </c>
      <c r="B206" s="1" t="n">
        <v>43628</v>
      </c>
      <c r="C206" s="1" t="n">
        <v>45828</v>
      </c>
      <c r="D206" t="inlineStr">
        <is>
          <t>VÄSTERBOTTENS LÄN</t>
        </is>
      </c>
      <c r="E206" t="inlineStr">
        <is>
          <t>UMEÅ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29126-2019</t>
        </is>
      </c>
      <c r="B207" s="1" t="n">
        <v>43628</v>
      </c>
      <c r="C207" s="1" t="n">
        <v>45828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30440-2019</t>
        </is>
      </c>
      <c r="B208" s="1" t="n">
        <v>43633</v>
      </c>
      <c r="C208" s="1" t="n">
        <v>45828</v>
      </c>
      <c r="D208" t="inlineStr">
        <is>
          <t>VÄSTERBOTTENS LÄN</t>
        </is>
      </c>
      <c r="E208" t="inlineStr">
        <is>
          <t>UMEÅ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30187-2019</t>
        </is>
      </c>
      <c r="B209" s="1" t="n">
        <v>43634</v>
      </c>
      <c r="C209" s="1" t="n">
        <v>45828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30964-2019</t>
        </is>
      </c>
      <c r="B210" s="1" t="n">
        <v>43639</v>
      </c>
      <c r="C210" s="1" t="n">
        <v>45828</v>
      </c>
      <c r="D210" t="inlineStr">
        <is>
          <t>VÄSTERBOTTENS LÄN</t>
        </is>
      </c>
      <c r="E210" t="inlineStr">
        <is>
          <t>UMEÅ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30966-2019</t>
        </is>
      </c>
      <c r="B211" s="1" t="n">
        <v>43639</v>
      </c>
      <c r="C211" s="1" t="n">
        <v>45828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30965-2019</t>
        </is>
      </c>
      <c r="B212" s="1" t="n">
        <v>43639</v>
      </c>
      <c r="C212" s="1" t="n">
        <v>45828</v>
      </c>
      <c r="D212" t="inlineStr">
        <is>
          <t>VÄSTERBOTTENS LÄN</t>
        </is>
      </c>
      <c r="E212" t="inlineStr">
        <is>
          <t>UMEÅ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31265-2019</t>
        </is>
      </c>
      <c r="B213" s="1" t="n">
        <v>43640</v>
      </c>
      <c r="C213" s="1" t="n">
        <v>45828</v>
      </c>
      <c r="D213" t="inlineStr">
        <is>
          <t>VÄSTERBOTTENS LÄN</t>
        </is>
      </c>
      <c r="E213" t="inlineStr">
        <is>
          <t>UMEÅ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31919-2019</t>
        </is>
      </c>
      <c r="B214" s="1" t="n">
        <v>43641</v>
      </c>
      <c r="C214" s="1" t="n">
        <v>45828</v>
      </c>
      <c r="D214" t="inlineStr">
        <is>
          <t>VÄSTERBOTTENS LÄN</t>
        </is>
      </c>
      <c r="E214" t="inlineStr">
        <is>
          <t>UMEÅ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32079-2019</t>
        </is>
      </c>
      <c r="B215" s="1" t="n">
        <v>43642</v>
      </c>
      <c r="C215" s="1" t="n">
        <v>45828</v>
      </c>
      <c r="D215" t="inlineStr">
        <is>
          <t>VÄSTERBOTTENS LÄN</t>
        </is>
      </c>
      <c r="E215" t="inlineStr">
        <is>
          <t>UMEÅ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31938-2019</t>
        </is>
      </c>
      <c r="B216" s="1" t="n">
        <v>43643</v>
      </c>
      <c r="C216" s="1" t="n">
        <v>45828</v>
      </c>
      <c r="D216" t="inlineStr">
        <is>
          <t>VÄSTERBOTTENS LÄN</t>
        </is>
      </c>
      <c r="E216" t="inlineStr">
        <is>
          <t>UMEÅ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33033-2019</t>
        </is>
      </c>
      <c r="B217" s="1" t="n">
        <v>43649</v>
      </c>
      <c r="C217" s="1" t="n">
        <v>45828</v>
      </c>
      <c r="D217" t="inlineStr">
        <is>
          <t>VÄSTERBOTTENS LÄN</t>
        </is>
      </c>
      <c r="E217" t="inlineStr">
        <is>
          <t>UMEÅ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33029-2019</t>
        </is>
      </c>
      <c r="B218" s="1" t="n">
        <v>43649</v>
      </c>
      <c r="C218" s="1" t="n">
        <v>45828</v>
      </c>
      <c r="D218" t="inlineStr">
        <is>
          <t>VÄSTERBOTTENS LÄN</t>
        </is>
      </c>
      <c r="E218" t="inlineStr">
        <is>
          <t>UMEÅ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33034-2019</t>
        </is>
      </c>
      <c r="B219" s="1" t="n">
        <v>43650</v>
      </c>
      <c r="C219" s="1" t="n">
        <v>45828</v>
      </c>
      <c r="D219" t="inlineStr">
        <is>
          <t>VÄSTERBOTTENS LÄN</t>
        </is>
      </c>
      <c r="E219" t="inlineStr">
        <is>
          <t>UMEÅ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35451-2019</t>
        </is>
      </c>
      <c r="B220" s="1" t="n">
        <v>43651</v>
      </c>
      <c r="C220" s="1" t="n">
        <v>45828</v>
      </c>
      <c r="D220" t="inlineStr">
        <is>
          <t>VÄSTERBOTTENS LÄN</t>
        </is>
      </c>
      <c r="E220" t="inlineStr">
        <is>
          <t>UMEÅ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35450-2019</t>
        </is>
      </c>
      <c r="B221" s="1" t="n">
        <v>43651</v>
      </c>
      <c r="C221" s="1" t="n">
        <v>45828</v>
      </c>
      <c r="D221" t="inlineStr">
        <is>
          <t>VÄSTERBOTTENS LÄN</t>
        </is>
      </c>
      <c r="E221" t="inlineStr">
        <is>
          <t>UMEÅ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35380-2019</t>
        </is>
      </c>
      <c r="B222" s="1" t="n">
        <v>43651</v>
      </c>
      <c r="C222" s="1" t="n">
        <v>45828</v>
      </c>
      <c r="D222" t="inlineStr">
        <is>
          <t>VÄSTERBOTTENS LÄN</t>
        </is>
      </c>
      <c r="E222" t="inlineStr">
        <is>
          <t>UMEÅ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41058-2019</t>
        </is>
      </c>
      <c r="B223" s="1" t="n">
        <v>43693</v>
      </c>
      <c r="C223" s="1" t="n">
        <v>45828</v>
      </c>
      <c r="D223" t="inlineStr">
        <is>
          <t>VÄSTERBOTTENS LÄN</t>
        </is>
      </c>
      <c r="E223" t="inlineStr">
        <is>
          <t>UMEÅ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40120-2019</t>
        </is>
      </c>
      <c r="B224" s="1" t="n">
        <v>43693</v>
      </c>
      <c r="C224" s="1" t="n">
        <v>45828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41352-2019</t>
        </is>
      </c>
      <c r="B225" s="1" t="n">
        <v>43698</v>
      </c>
      <c r="C225" s="1" t="n">
        <v>45828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41754-2019</t>
        </is>
      </c>
      <c r="B226" s="1" t="n">
        <v>43699</v>
      </c>
      <c r="C226" s="1" t="n">
        <v>45828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42477-2019</t>
        </is>
      </c>
      <c r="B227" s="1" t="n">
        <v>43704</v>
      </c>
      <c r="C227" s="1" t="n">
        <v>45828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42721-2019</t>
        </is>
      </c>
      <c r="B228" s="1" t="n">
        <v>43704</v>
      </c>
      <c r="C228" s="1" t="n">
        <v>45828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42599-2019</t>
        </is>
      </c>
      <c r="B229" s="1" t="n">
        <v>43704</v>
      </c>
      <c r="C229" s="1" t="n">
        <v>45828</v>
      </c>
      <c r="D229" t="inlineStr">
        <is>
          <t>VÄSTERBOTTENS LÄN</t>
        </is>
      </c>
      <c r="E229" t="inlineStr">
        <is>
          <t>UMEÅ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43613-2019</t>
        </is>
      </c>
      <c r="B230" s="1" t="n">
        <v>43704</v>
      </c>
      <c r="C230" s="1" t="n">
        <v>45828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44537-2019</t>
        </is>
      </c>
      <c r="B231" s="1" t="n">
        <v>43706</v>
      </c>
      <c r="C231" s="1" t="n">
        <v>45828</v>
      </c>
      <c r="D231" t="inlineStr">
        <is>
          <t>VÄSTERBOTTENS LÄN</t>
        </is>
      </c>
      <c r="E231" t="inlineStr">
        <is>
          <t>UMEÅ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45322-2019</t>
        </is>
      </c>
      <c r="B232" s="1" t="n">
        <v>43707</v>
      </c>
      <c r="C232" s="1" t="n">
        <v>45828</v>
      </c>
      <c r="D232" t="inlineStr">
        <is>
          <t>VÄSTERBOTTENS LÄN</t>
        </is>
      </c>
      <c r="E232" t="inlineStr">
        <is>
          <t>UMEÅ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45536-2019</t>
        </is>
      </c>
      <c r="B233" s="1" t="n">
        <v>43714</v>
      </c>
      <c r="C233" s="1" t="n">
        <v>45828</v>
      </c>
      <c r="D233" t="inlineStr">
        <is>
          <t>VÄSTERBOTTENS LÄN</t>
        </is>
      </c>
      <c r="E233" t="inlineStr">
        <is>
          <t>UMEÅ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45905-2019</t>
        </is>
      </c>
      <c r="B234" s="1" t="n">
        <v>43717</v>
      </c>
      <c r="C234" s="1" t="n">
        <v>45828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45906-2019</t>
        </is>
      </c>
      <c r="B235" s="1" t="n">
        <v>43717</v>
      </c>
      <c r="C235" s="1" t="n">
        <v>45828</v>
      </c>
      <c r="D235" t="inlineStr">
        <is>
          <t>VÄSTERBOTTENS LÄN</t>
        </is>
      </c>
      <c r="E235" t="inlineStr">
        <is>
          <t>UMEÅ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46601-2019</t>
        </is>
      </c>
      <c r="B236" s="1" t="n">
        <v>43719</v>
      </c>
      <c r="C236" s="1" t="n">
        <v>45828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47110-2019</t>
        </is>
      </c>
      <c r="B237" s="1" t="n">
        <v>43720</v>
      </c>
      <c r="C237" s="1" t="n">
        <v>45828</v>
      </c>
      <c r="D237" t="inlineStr">
        <is>
          <t>VÄSTERBOTTENS LÄN</t>
        </is>
      </c>
      <c r="E237" t="inlineStr">
        <is>
          <t>UMEÅ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47111-2019</t>
        </is>
      </c>
      <c r="B238" s="1" t="n">
        <v>43720</v>
      </c>
      <c r="C238" s="1" t="n">
        <v>45828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47601-2019</t>
        </is>
      </c>
      <c r="B239" s="1" t="n">
        <v>43724</v>
      </c>
      <c r="C239" s="1" t="n">
        <v>45828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47573-2019</t>
        </is>
      </c>
      <c r="B240" s="1" t="n">
        <v>43724</v>
      </c>
      <c r="C240" s="1" t="n">
        <v>45828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47708-2019</t>
        </is>
      </c>
      <c r="B241" s="1" t="n">
        <v>43724</v>
      </c>
      <c r="C241" s="1" t="n">
        <v>45828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48558-2019</t>
        </is>
      </c>
      <c r="B242" s="1" t="n">
        <v>43727</v>
      </c>
      <c r="C242" s="1" t="n">
        <v>45828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51751-2019</t>
        </is>
      </c>
      <c r="B243" s="1" t="n">
        <v>43734</v>
      </c>
      <c r="C243" s="1" t="n">
        <v>45828</v>
      </c>
      <c r="D243" t="inlineStr">
        <is>
          <t>VÄSTERBOTTENS LÄN</t>
        </is>
      </c>
      <c r="E243" t="inlineStr">
        <is>
          <t>UMEÅ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51743-2019</t>
        </is>
      </c>
      <c r="B244" s="1" t="n">
        <v>43734</v>
      </c>
      <c r="C244" s="1" t="n">
        <v>45828</v>
      </c>
      <c r="D244" t="inlineStr">
        <is>
          <t>VÄSTERBOTTENS LÄN</t>
        </is>
      </c>
      <c r="E244" t="inlineStr">
        <is>
          <t>UMEÅ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51555-2019</t>
        </is>
      </c>
      <c r="B245" s="1" t="n">
        <v>43734</v>
      </c>
      <c r="C245" s="1" t="n">
        <v>45828</v>
      </c>
      <c r="D245" t="inlineStr">
        <is>
          <t>VÄSTERBOTTENS LÄN</t>
        </is>
      </c>
      <c r="E245" t="inlineStr">
        <is>
          <t>UMEÅ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53203-2019</t>
        </is>
      </c>
      <c r="B246" s="1" t="n">
        <v>43735</v>
      </c>
      <c r="C246" s="1" t="n">
        <v>45828</v>
      </c>
      <c r="D246" t="inlineStr">
        <is>
          <t>VÄSTERBOTTENS LÄN</t>
        </is>
      </c>
      <c r="E246" t="inlineStr">
        <is>
          <t>UMEÅ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50793-2019</t>
        </is>
      </c>
      <c r="B247" s="1" t="n">
        <v>43738</v>
      </c>
      <c r="C247" s="1" t="n">
        <v>45828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51077-2019</t>
        </is>
      </c>
      <c r="B248" s="1" t="n">
        <v>43739</v>
      </c>
      <c r="C248" s="1" t="n">
        <v>45828</v>
      </c>
      <c r="D248" t="inlineStr">
        <is>
          <t>VÄSTERBOTTENS LÄN</t>
        </is>
      </c>
      <c r="E248" t="inlineStr">
        <is>
          <t>UMEÅ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51087-2019</t>
        </is>
      </c>
      <c r="B249" s="1" t="n">
        <v>43739</v>
      </c>
      <c r="C249" s="1" t="n">
        <v>45828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51124-2019</t>
        </is>
      </c>
      <c r="B250" s="1" t="n">
        <v>43739</v>
      </c>
      <c r="C250" s="1" t="n">
        <v>45828</v>
      </c>
      <c r="D250" t="inlineStr">
        <is>
          <t>VÄSTERBOTTENS LÄN</t>
        </is>
      </c>
      <c r="E250" t="inlineStr">
        <is>
          <t>UMEÅ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52024-2019</t>
        </is>
      </c>
      <c r="B251" s="1" t="n">
        <v>43742</v>
      </c>
      <c r="C251" s="1" t="n">
        <v>45828</v>
      </c>
      <c r="D251" t="inlineStr">
        <is>
          <t>VÄSTERBOTTENS LÄN</t>
        </is>
      </c>
      <c r="E251" t="inlineStr">
        <is>
          <t>UMEÅ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52475-2019</t>
        </is>
      </c>
      <c r="B252" s="1" t="n">
        <v>43745</v>
      </c>
      <c r="C252" s="1" t="n">
        <v>45828</v>
      </c>
      <c r="D252" t="inlineStr">
        <is>
          <t>VÄSTERBOTTENS LÄN</t>
        </is>
      </c>
      <c r="E252" t="inlineStr">
        <is>
          <t>UMEÅ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53268-2019</t>
        </is>
      </c>
      <c r="B253" s="1" t="n">
        <v>43748</v>
      </c>
      <c r="C253" s="1" t="n">
        <v>45828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53410-2019</t>
        </is>
      </c>
      <c r="B254" s="1" t="n">
        <v>43748</v>
      </c>
      <c r="C254" s="1" t="n">
        <v>45828</v>
      </c>
      <c r="D254" t="inlineStr">
        <is>
          <t>VÄSTERBOTTENS LÄN</t>
        </is>
      </c>
      <c r="E254" t="inlineStr">
        <is>
          <t>UMEÅ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53813-2019</t>
        </is>
      </c>
      <c r="B255" s="1" t="n">
        <v>43751</v>
      </c>
      <c r="C255" s="1" t="n">
        <v>45828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55275-2019</t>
        </is>
      </c>
      <c r="B256" s="1" t="n">
        <v>43753</v>
      </c>
      <c r="C256" s="1" t="n">
        <v>45828</v>
      </c>
      <c r="D256" t="inlineStr">
        <is>
          <t>VÄSTERBOTTENS LÄN</t>
        </is>
      </c>
      <c r="E256" t="inlineStr">
        <is>
          <t>UMEÅ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54880-2019</t>
        </is>
      </c>
      <c r="B257" s="1" t="n">
        <v>43755</v>
      </c>
      <c r="C257" s="1" t="n">
        <v>45828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55906-2019</t>
        </is>
      </c>
      <c r="B258" s="1" t="n">
        <v>43755</v>
      </c>
      <c r="C258" s="1" t="n">
        <v>45828</v>
      </c>
      <c r="D258" t="inlineStr">
        <is>
          <t>VÄSTERBOTTENS LÄN</t>
        </is>
      </c>
      <c r="E258" t="inlineStr">
        <is>
          <t>UMEÅ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56088-2019</t>
        </is>
      </c>
      <c r="B259" s="1" t="n">
        <v>43755</v>
      </c>
      <c r="C259" s="1" t="n">
        <v>45828</v>
      </c>
      <c r="D259" t="inlineStr">
        <is>
          <t>VÄSTERBOTTENS LÄN</t>
        </is>
      </c>
      <c r="E259" t="inlineStr">
        <is>
          <t>UMEÅ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58338-2019</t>
        </is>
      </c>
      <c r="B260" s="1" t="n">
        <v>43770</v>
      </c>
      <c r="C260" s="1" t="n">
        <v>45828</v>
      </c>
      <c r="D260" t="inlineStr">
        <is>
          <t>VÄSTERBOTTENS LÄN</t>
        </is>
      </c>
      <c r="E260" t="inlineStr">
        <is>
          <t>UMEÅ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59459-2019</t>
        </is>
      </c>
      <c r="B261" s="1" t="n">
        <v>43776</v>
      </c>
      <c r="C261" s="1" t="n">
        <v>45828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59757-2019</t>
        </is>
      </c>
      <c r="B262" s="1" t="n">
        <v>43776</v>
      </c>
      <c r="C262" s="1" t="n">
        <v>45828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62298-2019</t>
        </is>
      </c>
      <c r="B263" s="1" t="n">
        <v>43782</v>
      </c>
      <c r="C263" s="1" t="n">
        <v>45828</v>
      </c>
      <c r="D263" t="inlineStr">
        <is>
          <t>VÄSTERBOTTENS LÄN</t>
        </is>
      </c>
      <c r="E263" t="inlineStr">
        <is>
          <t>UMEÅ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62219-2019</t>
        </is>
      </c>
      <c r="B264" s="1" t="n">
        <v>43782</v>
      </c>
      <c r="C264" s="1" t="n">
        <v>45828</v>
      </c>
      <c r="D264" t="inlineStr">
        <is>
          <t>VÄSTERBOTTENS LÄN</t>
        </is>
      </c>
      <c r="E264" t="inlineStr">
        <is>
          <t>UMEÅ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61231-2019</t>
        </is>
      </c>
      <c r="B265" s="1" t="n">
        <v>43782</v>
      </c>
      <c r="C265" s="1" t="n">
        <v>45828</v>
      </c>
      <c r="D265" t="inlineStr">
        <is>
          <t>VÄSTERBOTTENS LÄN</t>
        </is>
      </c>
      <c r="E265" t="inlineStr">
        <is>
          <t>UMEÅ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61491-2019</t>
        </is>
      </c>
      <c r="B266" s="1" t="n">
        <v>43783</v>
      </c>
      <c r="C266" s="1" t="n">
        <v>45828</v>
      </c>
      <c r="D266" t="inlineStr">
        <is>
          <t>VÄSTERBOTTENS LÄN</t>
        </is>
      </c>
      <c r="E266" t="inlineStr">
        <is>
          <t>UMEÅ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61485-2019</t>
        </is>
      </c>
      <c r="B267" s="1" t="n">
        <v>43783</v>
      </c>
      <c r="C267" s="1" t="n">
        <v>45828</v>
      </c>
      <c r="D267" t="inlineStr">
        <is>
          <t>VÄSTERBOTTENS LÄN</t>
        </is>
      </c>
      <c r="E267" t="inlineStr">
        <is>
          <t>UMEÅ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61251-2019</t>
        </is>
      </c>
      <c r="B268" s="1" t="n">
        <v>43783</v>
      </c>
      <c r="C268" s="1" t="n">
        <v>45828</v>
      </c>
      <c r="D268" t="inlineStr">
        <is>
          <t>VÄSTERBOTTENS LÄN</t>
        </is>
      </c>
      <c r="E268" t="inlineStr">
        <is>
          <t>UMEÅ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63424-2019</t>
        </is>
      </c>
      <c r="B269" s="1" t="n">
        <v>43787</v>
      </c>
      <c r="C269" s="1" t="n">
        <v>45828</v>
      </c>
      <c r="D269" t="inlineStr">
        <is>
          <t>VÄSTERBOTTENS LÄN</t>
        </is>
      </c>
      <c r="E269" t="inlineStr">
        <is>
          <t>UMEÅ</t>
        </is>
      </c>
      <c r="F269" t="inlineStr">
        <is>
          <t>SCA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62268-2019</t>
        </is>
      </c>
      <c r="B270" s="1" t="n">
        <v>43788</v>
      </c>
      <c r="C270" s="1" t="n">
        <v>45828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62202-2019</t>
        </is>
      </c>
      <c r="B271" s="1" t="n">
        <v>43788</v>
      </c>
      <c r="C271" s="1" t="n">
        <v>45828</v>
      </c>
      <c r="D271" t="inlineStr">
        <is>
          <t>VÄSTERBOTTENS LÄN</t>
        </is>
      </c>
      <c r="E271" t="inlineStr">
        <is>
          <t>UMEÅ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62229-2019</t>
        </is>
      </c>
      <c r="B272" s="1" t="n">
        <v>43788</v>
      </c>
      <c r="C272" s="1" t="n">
        <v>45828</v>
      </c>
      <c r="D272" t="inlineStr">
        <is>
          <t>VÄSTERBOTTENS LÄN</t>
        </is>
      </c>
      <c r="E272" t="inlineStr">
        <is>
          <t>UMEÅ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63617-2019</t>
        </is>
      </c>
      <c r="B273" s="1" t="n">
        <v>43788</v>
      </c>
      <c r="C273" s="1" t="n">
        <v>45828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63559-2019</t>
        </is>
      </c>
      <c r="B274" s="1" t="n">
        <v>43795</v>
      </c>
      <c r="C274" s="1" t="n">
        <v>45828</v>
      </c>
      <c r="D274" t="inlineStr">
        <is>
          <t>VÄSTERBOTTENS LÄN</t>
        </is>
      </c>
      <c r="E274" t="inlineStr">
        <is>
          <t>UMEÅ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64785-2019</t>
        </is>
      </c>
      <c r="B275" s="1" t="n">
        <v>43801</v>
      </c>
      <c r="C275" s="1" t="n">
        <v>45828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65020-2019</t>
        </is>
      </c>
      <c r="B276" s="1" t="n">
        <v>43801</v>
      </c>
      <c r="C276" s="1" t="n">
        <v>45828</v>
      </c>
      <c r="D276" t="inlineStr">
        <is>
          <t>VÄSTERBOTTENS LÄN</t>
        </is>
      </c>
      <c r="E276" t="inlineStr">
        <is>
          <t>UMEÅ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66124-2019</t>
        </is>
      </c>
      <c r="B277" s="1" t="n">
        <v>43801</v>
      </c>
      <c r="C277" s="1" t="n">
        <v>45828</v>
      </c>
      <c r="D277" t="inlineStr">
        <is>
          <t>VÄSTERBOTTENS LÄN</t>
        </is>
      </c>
      <c r="E277" t="inlineStr">
        <is>
          <t>UMEÅ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66120-2019</t>
        </is>
      </c>
      <c r="B278" s="1" t="n">
        <v>43801</v>
      </c>
      <c r="C278" s="1" t="n">
        <v>45828</v>
      </c>
      <c r="D278" t="inlineStr">
        <is>
          <t>VÄSTERBOTTENS LÄN</t>
        </is>
      </c>
      <c r="E278" t="inlineStr">
        <is>
          <t>UMEÅ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65227-2019</t>
        </is>
      </c>
      <c r="B279" s="1" t="n">
        <v>43802</v>
      </c>
      <c r="C279" s="1" t="n">
        <v>45828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66471-2019</t>
        </is>
      </c>
      <c r="B280" s="1" t="n">
        <v>43802</v>
      </c>
      <c r="C280" s="1" t="n">
        <v>45828</v>
      </c>
      <c r="D280" t="inlineStr">
        <is>
          <t>VÄSTERBOTTENS LÄN</t>
        </is>
      </c>
      <c r="E280" t="inlineStr">
        <is>
          <t>UMEÅ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65576-2019</t>
        </is>
      </c>
      <c r="B281" s="1" t="n">
        <v>43804</v>
      </c>
      <c r="C281" s="1" t="n">
        <v>45828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65840-2019</t>
        </is>
      </c>
      <c r="B282" s="1" t="n">
        <v>43805</v>
      </c>
      <c r="C282" s="1" t="n">
        <v>45828</v>
      </c>
      <c r="D282" t="inlineStr">
        <is>
          <t>VÄSTERBOTTENS LÄN</t>
        </is>
      </c>
      <c r="E282" t="inlineStr">
        <is>
          <t>UMEÅ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65851-2019</t>
        </is>
      </c>
      <c r="B283" s="1" t="n">
        <v>43805</v>
      </c>
      <c r="C283" s="1" t="n">
        <v>45828</v>
      </c>
      <c r="D283" t="inlineStr">
        <is>
          <t>VÄSTERBOTTENS LÄN</t>
        </is>
      </c>
      <c r="E283" t="inlineStr">
        <is>
          <t>UMEÅ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66990-2019</t>
        </is>
      </c>
      <c r="B284" s="1" t="n">
        <v>43805</v>
      </c>
      <c r="C284" s="1" t="n">
        <v>45828</v>
      </c>
      <c r="D284" t="inlineStr">
        <is>
          <t>VÄSTERBOTTENS LÄN</t>
        </is>
      </c>
      <c r="E284" t="inlineStr">
        <is>
          <t>UMEÅ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67659-2019</t>
        </is>
      </c>
      <c r="B285" s="1" t="n">
        <v>43815</v>
      </c>
      <c r="C285" s="1" t="n">
        <v>45828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68623-2019</t>
        </is>
      </c>
      <c r="B286" s="1" t="n">
        <v>43818</v>
      </c>
      <c r="C286" s="1" t="n">
        <v>45828</v>
      </c>
      <c r="D286" t="inlineStr">
        <is>
          <t>VÄSTERBOTTENS LÄN</t>
        </is>
      </c>
      <c r="E286" t="inlineStr">
        <is>
          <t>UMEÅ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68858-2019</t>
        </is>
      </c>
      <c r="B287" s="1" t="n">
        <v>43820</v>
      </c>
      <c r="C287" s="1" t="n">
        <v>45828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3108-2020</t>
        </is>
      </c>
      <c r="B288" s="1" t="n">
        <v>43843</v>
      </c>
      <c r="C288" s="1" t="n">
        <v>45828</v>
      </c>
      <c r="D288" t="inlineStr">
        <is>
          <t>VÄSTERBOTTENS LÄN</t>
        </is>
      </c>
      <c r="E288" t="inlineStr">
        <is>
          <t>UMEÅ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1601-2020</t>
        </is>
      </c>
      <c r="B289" s="1" t="n">
        <v>43844</v>
      </c>
      <c r="C289" s="1" t="n">
        <v>45828</v>
      </c>
      <c r="D289" t="inlineStr">
        <is>
          <t>VÄSTERBOTTENS LÄN</t>
        </is>
      </c>
      <c r="E289" t="inlineStr">
        <is>
          <t>UMEÅ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5022-2020</t>
        </is>
      </c>
      <c r="B290" s="1" t="n">
        <v>43853</v>
      </c>
      <c r="C290" s="1" t="n">
        <v>45828</v>
      </c>
      <c r="D290" t="inlineStr">
        <is>
          <t>VÄSTERBOTTENS LÄN</t>
        </is>
      </c>
      <c r="E290" t="inlineStr">
        <is>
          <t>UMEÅ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4771-2020</t>
        </is>
      </c>
      <c r="B291" s="1" t="n">
        <v>43859</v>
      </c>
      <c r="C291" s="1" t="n">
        <v>45828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8187-2020</t>
        </is>
      </c>
      <c r="B292" s="1" t="n">
        <v>43873</v>
      </c>
      <c r="C292" s="1" t="n">
        <v>45828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11085-2020</t>
        </is>
      </c>
      <c r="B293" s="1" t="n">
        <v>43885</v>
      </c>
      <c r="C293" s="1" t="n">
        <v>45828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11084-2020</t>
        </is>
      </c>
      <c r="B294" s="1" t="n">
        <v>43885</v>
      </c>
      <c r="C294" s="1" t="n">
        <v>45828</v>
      </c>
      <c r="D294" t="inlineStr">
        <is>
          <t>VÄSTERBOTTENS LÄN</t>
        </is>
      </c>
      <c r="E294" t="inlineStr">
        <is>
          <t>UMEÅ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11087-2020</t>
        </is>
      </c>
      <c r="B295" s="1" t="n">
        <v>43885</v>
      </c>
      <c r="C295" s="1" t="n">
        <v>45828</v>
      </c>
      <c r="D295" t="inlineStr">
        <is>
          <t>VÄSTERBOTTENS LÄN</t>
        </is>
      </c>
      <c r="E295" t="inlineStr">
        <is>
          <t>UMEÅ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11495-2020</t>
        </is>
      </c>
      <c r="B296" s="1" t="n">
        <v>43887</v>
      </c>
      <c r="C296" s="1" t="n">
        <v>45828</v>
      </c>
      <c r="D296" t="inlineStr">
        <is>
          <t>VÄSTERBOTTENS LÄN</t>
        </is>
      </c>
      <c r="E296" t="inlineStr">
        <is>
          <t>UMEÅ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10745-2020</t>
        </is>
      </c>
      <c r="B297" s="1" t="n">
        <v>43888</v>
      </c>
      <c r="C297" s="1" t="n">
        <v>45828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29.5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11888-2020</t>
        </is>
      </c>
      <c r="B298" s="1" t="n">
        <v>43888</v>
      </c>
      <c r="C298" s="1" t="n">
        <v>45828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11947-2020</t>
        </is>
      </c>
      <c r="B299" s="1" t="n">
        <v>43889</v>
      </c>
      <c r="C299" s="1" t="n">
        <v>45828</v>
      </c>
      <c r="D299" t="inlineStr">
        <is>
          <t>VÄSTERBOTTENS LÄN</t>
        </is>
      </c>
      <c r="E299" t="inlineStr">
        <is>
          <t>UMEÅ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16540-2020</t>
        </is>
      </c>
      <c r="B300" s="1" t="n">
        <v>43909</v>
      </c>
      <c r="C300" s="1" t="n">
        <v>45828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15095-2020</t>
        </is>
      </c>
      <c r="B301" s="1" t="n">
        <v>43910</v>
      </c>
      <c r="C301" s="1" t="n">
        <v>45828</v>
      </c>
      <c r="D301" t="inlineStr">
        <is>
          <t>VÄSTERBOTTENS LÄN</t>
        </is>
      </c>
      <c r="E301" t="inlineStr">
        <is>
          <t>UMEÅ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16823-2020</t>
        </is>
      </c>
      <c r="B302" s="1" t="n">
        <v>43913</v>
      </c>
      <c r="C302" s="1" t="n">
        <v>45828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16871-2020</t>
        </is>
      </c>
      <c r="B303" s="1" t="n">
        <v>43921</v>
      </c>
      <c r="C303" s="1" t="n">
        <v>45828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16868-2020</t>
        </is>
      </c>
      <c r="B304" s="1" t="n">
        <v>43921</v>
      </c>
      <c r="C304" s="1" t="n">
        <v>45828</v>
      </c>
      <c r="D304" t="inlineStr">
        <is>
          <t>VÄSTERBOTTENS LÄN</t>
        </is>
      </c>
      <c r="E304" t="inlineStr">
        <is>
          <t>UMEÅ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17016-2020</t>
        </is>
      </c>
      <c r="B305" s="1" t="n">
        <v>43921</v>
      </c>
      <c r="C305" s="1" t="n">
        <v>45828</v>
      </c>
      <c r="D305" t="inlineStr">
        <is>
          <t>VÄSTERBOTTENS LÄN</t>
        </is>
      </c>
      <c r="E305" t="inlineStr">
        <is>
          <t>UMEÅ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17092-2020</t>
        </is>
      </c>
      <c r="B306" s="1" t="n">
        <v>43922</v>
      </c>
      <c r="C306" s="1" t="n">
        <v>45828</v>
      </c>
      <c r="D306" t="inlineStr">
        <is>
          <t>VÄSTERBOTTENS LÄN</t>
        </is>
      </c>
      <c r="E306" t="inlineStr">
        <is>
          <t>UMEÅ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18233-2020</t>
        </is>
      </c>
      <c r="B307" s="1" t="n">
        <v>43928</v>
      </c>
      <c r="C307" s="1" t="n">
        <v>45828</v>
      </c>
      <c r="D307" t="inlineStr">
        <is>
          <t>VÄSTERBOTTENS LÄN</t>
        </is>
      </c>
      <c r="E307" t="inlineStr">
        <is>
          <t>UMEÅ</t>
        </is>
      </c>
      <c r="G307" t="n">
        <v>26.8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18636-2020</t>
        </is>
      </c>
      <c r="B308" s="1" t="n">
        <v>43928</v>
      </c>
      <c r="C308" s="1" t="n">
        <v>45828</v>
      </c>
      <c r="D308" t="inlineStr">
        <is>
          <t>VÄSTERBOTTENS LÄN</t>
        </is>
      </c>
      <c r="E308" t="inlineStr">
        <is>
          <t>UMEÅ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18908-2020</t>
        </is>
      </c>
      <c r="B309" s="1" t="n">
        <v>43930</v>
      </c>
      <c r="C309" s="1" t="n">
        <v>45828</v>
      </c>
      <c r="D309" t="inlineStr">
        <is>
          <t>VÄSTERBOTTENS LÄN</t>
        </is>
      </c>
      <c r="E309" t="inlineStr">
        <is>
          <t>UMEÅ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19580-2020</t>
        </is>
      </c>
      <c r="B310" s="1" t="n">
        <v>43941</v>
      </c>
      <c r="C310" s="1" t="n">
        <v>45828</v>
      </c>
      <c r="D310" t="inlineStr">
        <is>
          <t>VÄSTERBOTTENS LÄN</t>
        </is>
      </c>
      <c r="E310" t="inlineStr">
        <is>
          <t>UMEÅ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19541-2020</t>
        </is>
      </c>
      <c r="B311" s="1" t="n">
        <v>43941</v>
      </c>
      <c r="C311" s="1" t="n">
        <v>45828</v>
      </c>
      <c r="D311" t="inlineStr">
        <is>
          <t>VÄSTERBOTTENS LÄN</t>
        </is>
      </c>
      <c r="E311" t="inlineStr">
        <is>
          <t>UMEÅ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19767-2020</t>
        </is>
      </c>
      <c r="B312" s="1" t="n">
        <v>43942</v>
      </c>
      <c r="C312" s="1" t="n">
        <v>45828</v>
      </c>
      <c r="D312" t="inlineStr">
        <is>
          <t>VÄSTERBOTTENS LÄN</t>
        </is>
      </c>
      <c r="E312" t="inlineStr">
        <is>
          <t>UMEÅ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20288-2020</t>
        </is>
      </c>
      <c r="B313" s="1" t="n">
        <v>43945</v>
      </c>
      <c r="C313" s="1" t="n">
        <v>45828</v>
      </c>
      <c r="D313" t="inlineStr">
        <is>
          <t>VÄSTERBOTTENS LÄN</t>
        </is>
      </c>
      <c r="E313" t="inlineStr">
        <is>
          <t>UMEÅ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20956-2020</t>
        </is>
      </c>
      <c r="B314" s="1" t="n">
        <v>43950</v>
      </c>
      <c r="C314" s="1" t="n">
        <v>45828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21235-2020</t>
        </is>
      </c>
      <c r="B315" s="1" t="n">
        <v>43952</v>
      </c>
      <c r="C315" s="1" t="n">
        <v>45828</v>
      </c>
      <c r="D315" t="inlineStr">
        <is>
          <t>VÄSTERBOTTENS LÄN</t>
        </is>
      </c>
      <c r="E315" t="inlineStr">
        <is>
          <t>UMEÅ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21282-2020</t>
        </is>
      </c>
      <c r="B316" s="1" t="n">
        <v>43955</v>
      </c>
      <c r="C316" s="1" t="n">
        <v>45828</v>
      </c>
      <c r="D316" t="inlineStr">
        <is>
          <t>VÄSTERBOTTENS LÄN</t>
        </is>
      </c>
      <c r="E316" t="inlineStr">
        <is>
          <t>UMEÅ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21288-2020</t>
        </is>
      </c>
      <c r="B317" s="1" t="n">
        <v>43955</v>
      </c>
      <c r="C317" s="1" t="n">
        <v>45828</v>
      </c>
      <c r="D317" t="inlineStr">
        <is>
          <t>VÄSTERBOTTENS LÄN</t>
        </is>
      </c>
      <c r="E317" t="inlineStr">
        <is>
          <t>UMEÅ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21283-2020</t>
        </is>
      </c>
      <c r="B318" s="1" t="n">
        <v>43955</v>
      </c>
      <c r="C318" s="1" t="n">
        <v>45828</v>
      </c>
      <c r="D318" t="inlineStr">
        <is>
          <t>VÄSTERBOTTENS LÄN</t>
        </is>
      </c>
      <c r="E318" t="inlineStr">
        <is>
          <t>UMEÅ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22030-2020</t>
        </is>
      </c>
      <c r="B319" s="1" t="n">
        <v>43959</v>
      </c>
      <c r="C319" s="1" t="n">
        <v>45828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22142-2020</t>
        </is>
      </c>
      <c r="B320" s="1" t="n">
        <v>43961</v>
      </c>
      <c r="C320" s="1" t="n">
        <v>45828</v>
      </c>
      <c r="D320" t="inlineStr">
        <is>
          <t>VÄSTERBOTTENS LÄN</t>
        </is>
      </c>
      <c r="E320" t="inlineStr">
        <is>
          <t>UMEÅ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22136-2020</t>
        </is>
      </c>
      <c r="B321" s="1" t="n">
        <v>43961</v>
      </c>
      <c r="C321" s="1" t="n">
        <v>45828</v>
      </c>
      <c r="D321" t="inlineStr">
        <is>
          <t>VÄSTERBOTTENS LÄN</t>
        </is>
      </c>
      <c r="E321" t="inlineStr">
        <is>
          <t>UMEÅ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22442-2020</t>
        </is>
      </c>
      <c r="B322" s="1" t="n">
        <v>43963</v>
      </c>
      <c r="C322" s="1" t="n">
        <v>45828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22423-2020</t>
        </is>
      </c>
      <c r="B323" s="1" t="n">
        <v>43963</v>
      </c>
      <c r="C323" s="1" t="n">
        <v>45828</v>
      </c>
      <c r="D323" t="inlineStr">
        <is>
          <t>VÄSTERBOTTENS LÄN</t>
        </is>
      </c>
      <c r="E323" t="inlineStr">
        <is>
          <t>UMEÅ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22436-2020</t>
        </is>
      </c>
      <c r="B324" s="1" t="n">
        <v>43963</v>
      </c>
      <c r="C324" s="1" t="n">
        <v>45828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22956-2020</t>
        </is>
      </c>
      <c r="B325" s="1" t="n">
        <v>43965</v>
      </c>
      <c r="C325" s="1" t="n">
        <v>45828</v>
      </c>
      <c r="D325" t="inlineStr">
        <is>
          <t>VÄSTERBOTTENS LÄN</t>
        </is>
      </c>
      <c r="E325" t="inlineStr">
        <is>
          <t>UMEÅ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23106-2020</t>
        </is>
      </c>
      <c r="B326" s="1" t="n">
        <v>43965</v>
      </c>
      <c r="C326" s="1" t="n">
        <v>45828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22975-2020</t>
        </is>
      </c>
      <c r="B327" s="1" t="n">
        <v>43965</v>
      </c>
      <c r="C327" s="1" t="n">
        <v>45828</v>
      </c>
      <c r="D327" t="inlineStr">
        <is>
          <t>VÄSTERBOTTENS LÄN</t>
        </is>
      </c>
      <c r="E327" t="inlineStr">
        <is>
          <t>UMEÅ</t>
        </is>
      </c>
      <c r="G327" t="n">
        <v>27.5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23193-2020</t>
        </is>
      </c>
      <c r="B328" s="1" t="n">
        <v>43966</v>
      </c>
      <c r="C328" s="1" t="n">
        <v>45828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25.9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23489-2020</t>
        </is>
      </c>
      <c r="B329" s="1" t="n">
        <v>43966</v>
      </c>
      <c r="C329" s="1" t="n">
        <v>45828</v>
      </c>
      <c r="D329" t="inlineStr">
        <is>
          <t>VÄSTERBOTTENS LÄN</t>
        </is>
      </c>
      <c r="E329" t="inlineStr">
        <is>
          <t>UMEÅ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23487-2020</t>
        </is>
      </c>
      <c r="B330" s="1" t="n">
        <v>43966</v>
      </c>
      <c r="C330" s="1" t="n">
        <v>45828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24258-2020</t>
        </is>
      </c>
      <c r="B331" s="1" t="n">
        <v>43976</v>
      </c>
      <c r="C331" s="1" t="n">
        <v>45828</v>
      </c>
      <c r="D331" t="inlineStr">
        <is>
          <t>VÄSTERBOTTENS LÄN</t>
        </is>
      </c>
      <c r="E331" t="inlineStr">
        <is>
          <t>UMEÅ</t>
        </is>
      </c>
      <c r="F331" t="inlineStr">
        <is>
          <t>Kommuner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24702-2020</t>
        </is>
      </c>
      <c r="B332" s="1" t="n">
        <v>43978</v>
      </c>
      <c r="C332" s="1" t="n">
        <v>45828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24715-2020</t>
        </is>
      </c>
      <c r="B333" s="1" t="n">
        <v>43978</v>
      </c>
      <c r="C333" s="1" t="n">
        <v>45828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25178-2020</t>
        </is>
      </c>
      <c r="B334" s="1" t="n">
        <v>43980</v>
      </c>
      <c r="C334" s="1" t="n">
        <v>45828</v>
      </c>
      <c r="D334" t="inlineStr">
        <is>
          <t>VÄSTERBOTTENS LÄN</t>
        </is>
      </c>
      <c r="E334" t="inlineStr">
        <is>
          <t>UMEÅ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26580-2020</t>
        </is>
      </c>
      <c r="B335" s="1" t="n">
        <v>43986</v>
      </c>
      <c r="C335" s="1" t="n">
        <v>45828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26362-2020</t>
        </is>
      </c>
      <c r="B336" s="1" t="n">
        <v>43986</v>
      </c>
      <c r="C336" s="1" t="n">
        <v>45828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26988-2020</t>
        </is>
      </c>
      <c r="B337" s="1" t="n">
        <v>43991</v>
      </c>
      <c r="C337" s="1" t="n">
        <v>45828</v>
      </c>
      <c r="D337" t="inlineStr">
        <is>
          <t>VÄSTERBOTTENS LÄN</t>
        </is>
      </c>
      <c r="E337" t="inlineStr">
        <is>
          <t>UMEÅ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28039-2020</t>
        </is>
      </c>
      <c r="B338" s="1" t="n">
        <v>43993</v>
      </c>
      <c r="C338" s="1" t="n">
        <v>45828</v>
      </c>
      <c r="D338" t="inlineStr">
        <is>
          <t>VÄSTERBOTTENS LÄN</t>
        </is>
      </c>
      <c r="E338" t="inlineStr">
        <is>
          <t>UMEÅ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29026-2020</t>
        </is>
      </c>
      <c r="B339" s="1" t="n">
        <v>43999</v>
      </c>
      <c r="C339" s="1" t="n">
        <v>45828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29252-2020</t>
        </is>
      </c>
      <c r="B340" s="1" t="n">
        <v>44000</v>
      </c>
      <c r="C340" s="1" t="n">
        <v>45828</v>
      </c>
      <c r="D340" t="inlineStr">
        <is>
          <t>VÄSTERBOTTENS LÄN</t>
        </is>
      </c>
      <c r="E340" t="inlineStr">
        <is>
          <t>UMEÅ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29720-2020</t>
        </is>
      </c>
      <c r="B341" s="1" t="n">
        <v>44005</v>
      </c>
      <c r="C341" s="1" t="n">
        <v>45828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29735-2020</t>
        </is>
      </c>
      <c r="B342" s="1" t="n">
        <v>44005</v>
      </c>
      <c r="C342" s="1" t="n">
        <v>45828</v>
      </c>
      <c r="D342" t="inlineStr">
        <is>
          <t>VÄSTERBOTTENS LÄN</t>
        </is>
      </c>
      <c r="E342" t="inlineStr">
        <is>
          <t>UMEÅ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29734-2020</t>
        </is>
      </c>
      <c r="B343" s="1" t="n">
        <v>44005</v>
      </c>
      <c r="C343" s="1" t="n">
        <v>45828</v>
      </c>
      <c r="D343" t="inlineStr">
        <is>
          <t>VÄSTERBOTTENS LÄN</t>
        </is>
      </c>
      <c r="E343" t="inlineStr">
        <is>
          <t>UMEÅ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30234-2020</t>
        </is>
      </c>
      <c r="B344" s="1" t="n">
        <v>44006</v>
      </c>
      <c r="C344" s="1" t="n">
        <v>45828</v>
      </c>
      <c r="D344" t="inlineStr">
        <is>
          <t>VÄSTERBOTTENS LÄN</t>
        </is>
      </c>
      <c r="E344" t="inlineStr">
        <is>
          <t>UMEÅ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30632-2020</t>
        </is>
      </c>
      <c r="B345" s="1" t="n">
        <v>44008</v>
      </c>
      <c r="C345" s="1" t="n">
        <v>45828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30555-2020</t>
        </is>
      </c>
      <c r="B346" s="1" t="n">
        <v>44008</v>
      </c>
      <c r="C346" s="1" t="n">
        <v>45828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30861-2020</t>
        </is>
      </c>
      <c r="B347" s="1" t="n">
        <v>44011</v>
      </c>
      <c r="C347" s="1" t="n">
        <v>45828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31057-2020</t>
        </is>
      </c>
      <c r="B348" s="1" t="n">
        <v>44012</v>
      </c>
      <c r="C348" s="1" t="n">
        <v>45828</v>
      </c>
      <c r="D348" t="inlineStr">
        <is>
          <t>VÄSTERBOTTENS LÄN</t>
        </is>
      </c>
      <c r="E348" t="inlineStr">
        <is>
          <t>UMEÅ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31237-2020</t>
        </is>
      </c>
      <c r="B349" s="1" t="n">
        <v>44012</v>
      </c>
      <c r="C349" s="1" t="n">
        <v>45828</v>
      </c>
      <c r="D349" t="inlineStr">
        <is>
          <t>VÄSTERBOTTENS LÄN</t>
        </is>
      </c>
      <c r="E349" t="inlineStr">
        <is>
          <t>UMEÅ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31467-2020</t>
        </is>
      </c>
      <c r="B350" s="1" t="n">
        <v>44013</v>
      </c>
      <c r="C350" s="1" t="n">
        <v>45828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32571-2020</t>
        </is>
      </c>
      <c r="B351" s="1" t="n">
        <v>44018</v>
      </c>
      <c r="C351" s="1" t="n">
        <v>45828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33021-2020</t>
        </is>
      </c>
      <c r="B352" s="1" t="n">
        <v>44019</v>
      </c>
      <c r="C352" s="1" t="n">
        <v>45828</v>
      </c>
      <c r="D352" t="inlineStr">
        <is>
          <t>VÄSTERBOTTENS LÄN</t>
        </is>
      </c>
      <c r="E352" t="inlineStr">
        <is>
          <t>UMEÅ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33574-2020</t>
        </is>
      </c>
      <c r="B353" s="1" t="n">
        <v>44021</v>
      </c>
      <c r="C353" s="1" t="n">
        <v>45828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35687-2020</t>
        </is>
      </c>
      <c r="B354" s="1" t="n">
        <v>44046</v>
      </c>
      <c r="C354" s="1" t="n">
        <v>45828</v>
      </c>
      <c r="D354" t="inlineStr">
        <is>
          <t>VÄSTERBOTTENS LÄN</t>
        </is>
      </c>
      <c r="E354" t="inlineStr">
        <is>
          <t>UMEÅ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36531-2020</t>
        </is>
      </c>
      <c r="B355" s="1" t="n">
        <v>44050</v>
      </c>
      <c r="C355" s="1" t="n">
        <v>45828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38075-2020</t>
        </is>
      </c>
      <c r="B356" s="1" t="n">
        <v>44057</v>
      </c>
      <c r="C356" s="1" t="n">
        <v>45828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38073-2020</t>
        </is>
      </c>
      <c r="B357" s="1" t="n">
        <v>44057</v>
      </c>
      <c r="C357" s="1" t="n">
        <v>45828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39001-2020</t>
        </is>
      </c>
      <c r="B358" s="1" t="n">
        <v>44062</v>
      </c>
      <c r="C358" s="1" t="n">
        <v>45828</v>
      </c>
      <c r="D358" t="inlineStr">
        <is>
          <t>VÄSTERBOTTENS LÄN</t>
        </is>
      </c>
      <c r="E358" t="inlineStr">
        <is>
          <t>UMEÅ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40105-2020</t>
        </is>
      </c>
      <c r="B359" s="1" t="n">
        <v>44068</v>
      </c>
      <c r="C359" s="1" t="n">
        <v>45828</v>
      </c>
      <c r="D359" t="inlineStr">
        <is>
          <t>VÄSTERBOTTENS LÄN</t>
        </is>
      </c>
      <c r="E359" t="inlineStr">
        <is>
          <t>UMEÅ</t>
        </is>
      </c>
      <c r="F359" t="inlineStr">
        <is>
          <t>Övriga Aktiebolag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40419-2020</t>
        </is>
      </c>
      <c r="B360" s="1" t="n">
        <v>44069</v>
      </c>
      <c r="C360" s="1" t="n">
        <v>45828</v>
      </c>
      <c r="D360" t="inlineStr">
        <is>
          <t>VÄSTERBOTTENS LÄN</t>
        </is>
      </c>
      <c r="E360" t="inlineStr">
        <is>
          <t>UMEÅ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41440-2020</t>
        </is>
      </c>
      <c r="B361" s="1" t="n">
        <v>44073</v>
      </c>
      <c r="C361" s="1" t="n">
        <v>45828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41696-2020</t>
        </is>
      </c>
      <c r="B362" s="1" t="n">
        <v>44074</v>
      </c>
      <c r="C362" s="1" t="n">
        <v>45828</v>
      </c>
      <c r="D362" t="inlineStr">
        <is>
          <t>VÄSTERBOTTENS LÄN</t>
        </is>
      </c>
      <c r="E362" t="inlineStr">
        <is>
          <t>UMEÅ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43607-2020</t>
        </is>
      </c>
      <c r="B363" s="1" t="n">
        <v>44078</v>
      </c>
      <c r="C363" s="1" t="n">
        <v>45828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44707-2020</t>
        </is>
      </c>
      <c r="B364" s="1" t="n">
        <v>44083</v>
      </c>
      <c r="C364" s="1" t="n">
        <v>45828</v>
      </c>
      <c r="D364" t="inlineStr">
        <is>
          <t>VÄSTERBOTTENS LÄN</t>
        </is>
      </c>
      <c r="E364" t="inlineStr">
        <is>
          <t>UMEÅ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44367-2020</t>
        </is>
      </c>
      <c r="B365" s="1" t="n">
        <v>44084</v>
      </c>
      <c r="C365" s="1" t="n">
        <v>45828</v>
      </c>
      <c r="D365" t="inlineStr">
        <is>
          <t>VÄSTERBOTTENS LÄN</t>
        </is>
      </c>
      <c r="E365" t="inlineStr">
        <is>
          <t>UMEÅ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46845-2020</t>
        </is>
      </c>
      <c r="B366" s="1" t="n">
        <v>44090</v>
      </c>
      <c r="C366" s="1" t="n">
        <v>45828</v>
      </c>
      <c r="D366" t="inlineStr">
        <is>
          <t>VÄSTERBOTTENS LÄN</t>
        </is>
      </c>
      <c r="E366" t="inlineStr">
        <is>
          <t>UMEÅ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46380-2020</t>
        </is>
      </c>
      <c r="B367" s="1" t="n">
        <v>44092</v>
      </c>
      <c r="C367" s="1" t="n">
        <v>45828</v>
      </c>
      <c r="D367" t="inlineStr">
        <is>
          <t>VÄSTERBOTTENS LÄN</t>
        </is>
      </c>
      <c r="E367" t="inlineStr">
        <is>
          <t>UMEÅ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47641-2020</t>
        </is>
      </c>
      <c r="B368" s="1" t="n">
        <v>44095</v>
      </c>
      <c r="C368" s="1" t="n">
        <v>45828</v>
      </c>
      <c r="D368" t="inlineStr">
        <is>
          <t>VÄSTERBOTTENS LÄN</t>
        </is>
      </c>
      <c r="E368" t="inlineStr">
        <is>
          <t>UMEÅ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47580-2020</t>
        </is>
      </c>
      <c r="B369" s="1" t="n">
        <v>44095</v>
      </c>
      <c r="C369" s="1" t="n">
        <v>45828</v>
      </c>
      <c r="D369" t="inlineStr">
        <is>
          <t>VÄSTERBOTTENS LÄN</t>
        </is>
      </c>
      <c r="E369" t="inlineStr">
        <is>
          <t>UMEÅ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48946-2020</t>
        </is>
      </c>
      <c r="B370" s="1" t="n">
        <v>44102</v>
      </c>
      <c r="C370" s="1" t="n">
        <v>45828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48948-2020</t>
        </is>
      </c>
      <c r="B371" s="1" t="n">
        <v>44102</v>
      </c>
      <c r="C371" s="1" t="n">
        <v>45828</v>
      </c>
      <c r="D371" t="inlineStr">
        <is>
          <t>VÄSTERBOTTENS LÄN</t>
        </is>
      </c>
      <c r="E371" t="inlineStr">
        <is>
          <t>UMEÅ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48906-2020</t>
        </is>
      </c>
      <c r="B372" s="1" t="n">
        <v>44104</v>
      </c>
      <c r="C372" s="1" t="n">
        <v>45828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49356-2020</t>
        </is>
      </c>
      <c r="B373" s="1" t="n">
        <v>44105</v>
      </c>
      <c r="C373" s="1" t="n">
        <v>45828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50744-2020</t>
        </is>
      </c>
      <c r="B374" s="1" t="n">
        <v>44105</v>
      </c>
      <c r="C374" s="1" t="n">
        <v>45828</v>
      </c>
      <c r="D374" t="inlineStr">
        <is>
          <t>VÄSTERBOTTENS LÄN</t>
        </is>
      </c>
      <c r="E374" t="inlineStr">
        <is>
          <t>UMEÅ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50723-2020</t>
        </is>
      </c>
      <c r="B375" s="1" t="n">
        <v>44105</v>
      </c>
      <c r="C375" s="1" t="n">
        <v>45828</v>
      </c>
      <c r="D375" t="inlineStr">
        <is>
          <t>VÄSTERBOTTENS LÄN</t>
        </is>
      </c>
      <c r="E375" t="inlineStr">
        <is>
          <t>UMEÅ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51412-2020</t>
        </is>
      </c>
      <c r="B376" s="1" t="n">
        <v>44106</v>
      </c>
      <c r="C376" s="1" t="n">
        <v>45828</v>
      </c>
      <c r="D376" t="inlineStr">
        <is>
          <t>VÄSTERBOTTENS LÄN</t>
        </is>
      </c>
      <c r="E376" t="inlineStr">
        <is>
          <t>UMEÅ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50097-2020</t>
        </is>
      </c>
      <c r="B377" s="1" t="n">
        <v>44109</v>
      </c>
      <c r="C377" s="1" t="n">
        <v>45828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50323-2020</t>
        </is>
      </c>
      <c r="B378" s="1" t="n">
        <v>44110</v>
      </c>
      <c r="C378" s="1" t="n">
        <v>45828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52451-2020</t>
        </is>
      </c>
      <c r="B379" s="1" t="n">
        <v>44113</v>
      </c>
      <c r="C379" s="1" t="n">
        <v>45828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53294-2020</t>
        </is>
      </c>
      <c r="B380" s="1" t="n">
        <v>44123</v>
      </c>
      <c r="C380" s="1" t="n">
        <v>45828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53782-2020</t>
        </is>
      </c>
      <c r="B381" s="1" t="n">
        <v>44123</v>
      </c>
      <c r="C381" s="1" t="n">
        <v>45828</v>
      </c>
      <c r="D381" t="inlineStr">
        <is>
          <t>VÄSTERBOTTENS LÄN</t>
        </is>
      </c>
      <c r="E381" t="inlineStr">
        <is>
          <t>UMEÅ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53448-2020</t>
        </is>
      </c>
      <c r="B382" s="1" t="n">
        <v>44123</v>
      </c>
      <c r="C382" s="1" t="n">
        <v>45828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53836-2020</t>
        </is>
      </c>
      <c r="B383" s="1" t="n">
        <v>44124</v>
      </c>
      <c r="C383" s="1" t="n">
        <v>45828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54436-2020</t>
        </is>
      </c>
      <c r="B384" s="1" t="n">
        <v>44124</v>
      </c>
      <c r="C384" s="1" t="n">
        <v>45828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55411-2020</t>
        </is>
      </c>
      <c r="B385" s="1" t="n">
        <v>44131</v>
      </c>
      <c r="C385" s="1" t="n">
        <v>45828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55773-2020</t>
        </is>
      </c>
      <c r="B386" s="1" t="n">
        <v>44132</v>
      </c>
      <c r="C386" s="1" t="n">
        <v>45828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56208-2020</t>
        </is>
      </c>
      <c r="B387" s="1" t="n">
        <v>44133</v>
      </c>
      <c r="C387" s="1" t="n">
        <v>45828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58213-2020</t>
        </is>
      </c>
      <c r="B388" s="1" t="n">
        <v>44140</v>
      </c>
      <c r="C388" s="1" t="n">
        <v>45828</v>
      </c>
      <c r="D388" t="inlineStr">
        <is>
          <t>VÄSTERBOTTENS LÄN</t>
        </is>
      </c>
      <c r="E388" t="inlineStr">
        <is>
          <t>UMEÅ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57786-2020</t>
        </is>
      </c>
      <c r="B389" s="1" t="n">
        <v>44141</v>
      </c>
      <c r="C389" s="1" t="n">
        <v>45828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57958-2020</t>
        </is>
      </c>
      <c r="B390" s="1" t="n">
        <v>44143</v>
      </c>
      <c r="C390" s="1" t="n">
        <v>45828</v>
      </c>
      <c r="D390" t="inlineStr">
        <is>
          <t>VÄSTERBOTTENS LÄN</t>
        </is>
      </c>
      <c r="E390" t="inlineStr">
        <is>
          <t>UMEÅ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58263-2020</t>
        </is>
      </c>
      <c r="B391" s="1" t="n">
        <v>44144</v>
      </c>
      <c r="C391" s="1" t="n">
        <v>45828</v>
      </c>
      <c r="D391" t="inlineStr">
        <is>
          <t>VÄSTERBOTTENS LÄN</t>
        </is>
      </c>
      <c r="E391" t="inlineStr">
        <is>
          <t>UMEÅ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58710-2020</t>
        </is>
      </c>
      <c r="B392" s="1" t="n">
        <v>44146</v>
      </c>
      <c r="C392" s="1" t="n">
        <v>45828</v>
      </c>
      <c r="D392" t="inlineStr">
        <is>
          <t>VÄSTERBOTTENS LÄN</t>
        </is>
      </c>
      <c r="E392" t="inlineStr">
        <is>
          <t>UMEÅ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58913-2020</t>
        </is>
      </c>
      <c r="B393" s="1" t="n">
        <v>44146</v>
      </c>
      <c r="C393" s="1" t="n">
        <v>45828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58916-2020</t>
        </is>
      </c>
      <c r="B394" s="1" t="n">
        <v>44146</v>
      </c>
      <c r="C394" s="1" t="n">
        <v>45828</v>
      </c>
      <c r="D394" t="inlineStr">
        <is>
          <t>VÄSTERBOTTENS LÄN</t>
        </is>
      </c>
      <c r="E394" t="inlineStr">
        <is>
          <t>UMEÅ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59196-2020</t>
        </is>
      </c>
      <c r="B395" s="1" t="n">
        <v>44147</v>
      </c>
      <c r="C395" s="1" t="n">
        <v>45828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59386-2020</t>
        </is>
      </c>
      <c r="B396" s="1" t="n">
        <v>44148</v>
      </c>
      <c r="C396" s="1" t="n">
        <v>45828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60157-2020</t>
        </is>
      </c>
      <c r="B397" s="1" t="n">
        <v>44151</v>
      </c>
      <c r="C397" s="1" t="n">
        <v>45828</v>
      </c>
      <c r="D397" t="inlineStr">
        <is>
          <t>VÄSTERBOTTENS LÄN</t>
        </is>
      </c>
      <c r="E397" t="inlineStr">
        <is>
          <t>UMEÅ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61241-2020</t>
        </is>
      </c>
      <c r="B398" s="1" t="n">
        <v>44153</v>
      </c>
      <c r="C398" s="1" t="n">
        <v>45828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61351-2020</t>
        </is>
      </c>
      <c r="B399" s="1" t="n">
        <v>44155</v>
      </c>
      <c r="C399" s="1" t="n">
        <v>45828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61451-2020</t>
        </is>
      </c>
      <c r="B400" s="1" t="n">
        <v>44158</v>
      </c>
      <c r="C400" s="1" t="n">
        <v>45828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61450-2020</t>
        </is>
      </c>
      <c r="B401" s="1" t="n">
        <v>44158</v>
      </c>
      <c r="C401" s="1" t="n">
        <v>45828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61918-2020</t>
        </is>
      </c>
      <c r="B402" s="1" t="n">
        <v>44158</v>
      </c>
      <c r="C402" s="1" t="n">
        <v>45828</v>
      </c>
      <c r="D402" t="inlineStr">
        <is>
          <t>VÄSTERBOTTENS LÄN</t>
        </is>
      </c>
      <c r="E402" t="inlineStr">
        <is>
          <t>UMEÅ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62332-2020</t>
        </is>
      </c>
      <c r="B403" s="1" t="n">
        <v>44158</v>
      </c>
      <c r="C403" s="1" t="n">
        <v>45828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62937-2020</t>
        </is>
      </c>
      <c r="B404" s="1" t="n">
        <v>44160</v>
      </c>
      <c r="C404" s="1" t="n">
        <v>45828</v>
      </c>
      <c r="D404" t="inlineStr">
        <is>
          <t>VÄSTERBOTTENS LÄN</t>
        </is>
      </c>
      <c r="E404" t="inlineStr">
        <is>
          <t>UMEÅ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62581-2020</t>
        </is>
      </c>
      <c r="B405" s="1" t="n">
        <v>44160</v>
      </c>
      <c r="C405" s="1" t="n">
        <v>45828</v>
      </c>
      <c r="D405" t="inlineStr">
        <is>
          <t>VÄSTERBOTTENS LÄN</t>
        </is>
      </c>
      <c r="E405" t="inlineStr">
        <is>
          <t>UMEÅ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62955-2020</t>
        </is>
      </c>
      <c r="B406" s="1" t="n">
        <v>44162</v>
      </c>
      <c r="C406" s="1" t="n">
        <v>45828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63377-2020</t>
        </is>
      </c>
      <c r="B407" s="1" t="n">
        <v>44165</v>
      </c>
      <c r="C407" s="1" t="n">
        <v>45828</v>
      </c>
      <c r="D407" t="inlineStr">
        <is>
          <t>VÄSTERBOTTENS LÄN</t>
        </is>
      </c>
      <c r="E407" t="inlineStr">
        <is>
          <t>UMEÅ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67444-2020</t>
        </is>
      </c>
      <c r="B408" s="1" t="n">
        <v>44179</v>
      </c>
      <c r="C408" s="1" t="n">
        <v>45828</v>
      </c>
      <c r="D408" t="inlineStr">
        <is>
          <t>VÄSTERBOTTENS LÄN</t>
        </is>
      </c>
      <c r="E408" t="inlineStr">
        <is>
          <t>UMEÅ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67007-2020</t>
        </is>
      </c>
      <c r="B409" s="1" t="n">
        <v>44180</v>
      </c>
      <c r="C409" s="1" t="n">
        <v>45828</v>
      </c>
      <c r="D409" t="inlineStr">
        <is>
          <t>VÄSTERBOTTENS LÄN</t>
        </is>
      </c>
      <c r="E409" t="inlineStr">
        <is>
          <t>UMEÅ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67854-2020</t>
        </is>
      </c>
      <c r="B410" s="1" t="n">
        <v>44182</v>
      </c>
      <c r="C410" s="1" t="n">
        <v>45828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352-2021</t>
        </is>
      </c>
      <c r="B411" s="1" t="n">
        <v>44186</v>
      </c>
      <c r="C411" s="1" t="n">
        <v>45828</v>
      </c>
      <c r="D411" t="inlineStr">
        <is>
          <t>VÄSTERBOTTENS LÄN</t>
        </is>
      </c>
      <c r="E411" t="inlineStr">
        <is>
          <t>UMEÅ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68705-2020</t>
        </is>
      </c>
      <c r="B412" s="1" t="n">
        <v>44186</v>
      </c>
      <c r="C412" s="1" t="n">
        <v>45828</v>
      </c>
      <c r="D412" t="inlineStr">
        <is>
          <t>VÄSTERBOTTENS LÄN</t>
        </is>
      </c>
      <c r="E412" t="inlineStr">
        <is>
          <t>UMEÅ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68823-2020</t>
        </is>
      </c>
      <c r="B413" s="1" t="n">
        <v>44186</v>
      </c>
      <c r="C413" s="1" t="n">
        <v>45828</v>
      </c>
      <c r="D413" t="inlineStr">
        <is>
          <t>VÄSTERBOTTENS LÄN</t>
        </is>
      </c>
      <c r="E413" t="inlineStr">
        <is>
          <t>UMEÅ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338-2021</t>
        </is>
      </c>
      <c r="B414" s="1" t="n">
        <v>44186</v>
      </c>
      <c r="C414" s="1" t="n">
        <v>45828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68662-2020</t>
        </is>
      </c>
      <c r="B415" s="1" t="n">
        <v>44187</v>
      </c>
      <c r="C415" s="1" t="n">
        <v>45828</v>
      </c>
      <c r="D415" t="inlineStr">
        <is>
          <t>VÄSTERBOTTENS LÄN</t>
        </is>
      </c>
      <c r="E415" t="inlineStr">
        <is>
          <t>UMEÅ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69596-2020</t>
        </is>
      </c>
      <c r="B416" s="1" t="n">
        <v>44194</v>
      </c>
      <c r="C416" s="1" t="n">
        <v>45828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2505-2021</t>
        </is>
      </c>
      <c r="B417" s="1" t="n">
        <v>44214</v>
      </c>
      <c r="C417" s="1" t="n">
        <v>45828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2947-2021</t>
        </is>
      </c>
      <c r="B418" s="1" t="n">
        <v>44214</v>
      </c>
      <c r="C418" s="1" t="n">
        <v>45828</v>
      </c>
      <c r="D418" t="inlineStr">
        <is>
          <t>VÄSTERBOTTENS LÄN</t>
        </is>
      </c>
      <c r="E418" t="inlineStr">
        <is>
          <t>UMEÅ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2789-2021</t>
        </is>
      </c>
      <c r="B419" s="1" t="n">
        <v>44214</v>
      </c>
      <c r="C419" s="1" t="n">
        <v>45828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2943-2021</t>
        </is>
      </c>
      <c r="B420" s="1" t="n">
        <v>44214</v>
      </c>
      <c r="C420" s="1" t="n">
        <v>45828</v>
      </c>
      <c r="D420" t="inlineStr">
        <is>
          <t>VÄSTERBOTTENS LÄN</t>
        </is>
      </c>
      <c r="E420" t="inlineStr">
        <is>
          <t>UMEÅ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3914-2021</t>
        </is>
      </c>
      <c r="B421" s="1" t="n">
        <v>44217</v>
      </c>
      <c r="C421" s="1" t="n">
        <v>45828</v>
      </c>
      <c r="D421" t="inlineStr">
        <is>
          <t>VÄSTERBOTTENS LÄN</t>
        </is>
      </c>
      <c r="E421" t="inlineStr">
        <is>
          <t>UMEÅ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3748-2021</t>
        </is>
      </c>
      <c r="B422" s="1" t="n">
        <v>44221</v>
      </c>
      <c r="C422" s="1" t="n">
        <v>45828</v>
      </c>
      <c r="D422" t="inlineStr">
        <is>
          <t>VÄSTERBOTTENS LÄN</t>
        </is>
      </c>
      <c r="E422" t="inlineStr">
        <is>
          <t>UMEÅ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4478-2021</t>
        </is>
      </c>
      <c r="B423" s="1" t="n">
        <v>44222</v>
      </c>
      <c r="C423" s="1" t="n">
        <v>45828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4473-2021</t>
        </is>
      </c>
      <c r="B424" s="1" t="n">
        <v>44222</v>
      </c>
      <c r="C424" s="1" t="n">
        <v>45828</v>
      </c>
      <c r="D424" t="inlineStr">
        <is>
          <t>VÄSTERBOTTENS LÄN</t>
        </is>
      </c>
      <c r="E424" t="inlineStr">
        <is>
          <t>UMEÅ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4449-2021</t>
        </is>
      </c>
      <c r="B425" s="1" t="n">
        <v>44224</v>
      </c>
      <c r="C425" s="1" t="n">
        <v>45828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6174-2021</t>
        </is>
      </c>
      <c r="B426" s="1" t="n">
        <v>44232</v>
      </c>
      <c r="C426" s="1" t="n">
        <v>45828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6116-2021</t>
        </is>
      </c>
      <c r="B427" s="1" t="n">
        <v>44232</v>
      </c>
      <c r="C427" s="1" t="n">
        <v>45828</v>
      </c>
      <c r="D427" t="inlineStr">
        <is>
          <t>VÄSTERBOTTENS LÄN</t>
        </is>
      </c>
      <c r="E427" t="inlineStr">
        <is>
          <t>UMEÅ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8800-2021</t>
        </is>
      </c>
      <c r="B428" s="1" t="n">
        <v>44246</v>
      </c>
      <c r="C428" s="1" t="n">
        <v>45828</v>
      </c>
      <c r="D428" t="inlineStr">
        <is>
          <t>VÄSTERBOTTENS LÄN</t>
        </is>
      </c>
      <c r="E428" t="inlineStr">
        <is>
          <t>UMEÅ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9308-2021</t>
        </is>
      </c>
      <c r="B429" s="1" t="n">
        <v>44249</v>
      </c>
      <c r="C429" s="1" t="n">
        <v>45828</v>
      </c>
      <c r="D429" t="inlineStr">
        <is>
          <t>VÄSTERBOTTENS LÄN</t>
        </is>
      </c>
      <c r="E429" t="inlineStr">
        <is>
          <t>UMEÅ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9170-2021</t>
        </is>
      </c>
      <c r="B430" s="1" t="n">
        <v>44249</v>
      </c>
      <c r="C430" s="1" t="n">
        <v>45828</v>
      </c>
      <c r="D430" t="inlineStr">
        <is>
          <t>VÄSTERBOTTENS LÄN</t>
        </is>
      </c>
      <c r="E430" t="inlineStr">
        <is>
          <t>UMEÅ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9169-2021</t>
        </is>
      </c>
      <c r="B431" s="1" t="n">
        <v>44249</v>
      </c>
      <c r="C431" s="1" t="n">
        <v>45828</v>
      </c>
      <c r="D431" t="inlineStr">
        <is>
          <t>VÄSTERBOTTENS LÄN</t>
        </is>
      </c>
      <c r="E431" t="inlineStr">
        <is>
          <t>UMEÅ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9780-2021</t>
        </is>
      </c>
      <c r="B432" s="1" t="n">
        <v>44251</v>
      </c>
      <c r="C432" s="1" t="n">
        <v>45828</v>
      </c>
      <c r="D432" t="inlineStr">
        <is>
          <t>VÄSTERBOTTENS LÄN</t>
        </is>
      </c>
      <c r="E432" t="inlineStr">
        <is>
          <t>UMEÅ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10445-2021</t>
        </is>
      </c>
      <c r="B433" s="1" t="n">
        <v>44257</v>
      </c>
      <c r="C433" s="1" t="n">
        <v>45828</v>
      </c>
      <c r="D433" t="inlineStr">
        <is>
          <t>VÄSTERBOTTENS LÄN</t>
        </is>
      </c>
      <c r="E433" t="inlineStr">
        <is>
          <t>UMEÅ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13745-2021</t>
        </is>
      </c>
      <c r="B434" s="1" t="n">
        <v>44274</v>
      </c>
      <c r="C434" s="1" t="n">
        <v>45828</v>
      </c>
      <c r="D434" t="inlineStr">
        <is>
          <t>VÄSTERBOTTENS LÄN</t>
        </is>
      </c>
      <c r="E434" t="inlineStr">
        <is>
          <t>UMEÅ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14619-2021</t>
        </is>
      </c>
      <c r="B435" s="1" t="n">
        <v>44280</v>
      </c>
      <c r="C435" s="1" t="n">
        <v>45828</v>
      </c>
      <c r="D435" t="inlineStr">
        <is>
          <t>VÄSTERBOTTENS LÄN</t>
        </is>
      </c>
      <c r="E435" t="inlineStr">
        <is>
          <t>UMEÅ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16045-2021</t>
        </is>
      </c>
      <c r="B436" s="1" t="n">
        <v>44287</v>
      </c>
      <c r="C436" s="1" t="n">
        <v>45828</v>
      </c>
      <c r="D436" t="inlineStr">
        <is>
          <t>VÄSTERBOTTENS LÄN</t>
        </is>
      </c>
      <c r="E436" t="inlineStr">
        <is>
          <t>UMEÅ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16410-2021</t>
        </is>
      </c>
      <c r="B437" s="1" t="n">
        <v>44293</v>
      </c>
      <c r="C437" s="1" t="n">
        <v>45828</v>
      </c>
      <c r="D437" t="inlineStr">
        <is>
          <t>VÄSTERBOTTENS LÄN</t>
        </is>
      </c>
      <c r="E437" t="inlineStr">
        <is>
          <t>UMEÅ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16909-2021</t>
        </is>
      </c>
      <c r="B438" s="1" t="n">
        <v>44294</v>
      </c>
      <c r="C438" s="1" t="n">
        <v>45828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17438-2021</t>
        </is>
      </c>
      <c r="B439" s="1" t="n">
        <v>44299</v>
      </c>
      <c r="C439" s="1" t="n">
        <v>45828</v>
      </c>
      <c r="D439" t="inlineStr">
        <is>
          <t>VÄSTERBOTTENS LÄN</t>
        </is>
      </c>
      <c r="E439" t="inlineStr">
        <is>
          <t>UMEÅ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18455-2021</t>
        </is>
      </c>
      <c r="B440" s="1" t="n">
        <v>44305</v>
      </c>
      <c r="C440" s="1" t="n">
        <v>45828</v>
      </c>
      <c r="D440" t="inlineStr">
        <is>
          <t>VÄSTERBOTTENS LÄN</t>
        </is>
      </c>
      <c r="E440" t="inlineStr">
        <is>
          <t>UMEÅ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18685-2021</t>
        </is>
      </c>
      <c r="B441" s="1" t="n">
        <v>44306</v>
      </c>
      <c r="C441" s="1" t="n">
        <v>45828</v>
      </c>
      <c r="D441" t="inlineStr">
        <is>
          <t>VÄSTERBOTTENS LÄN</t>
        </is>
      </c>
      <c r="E441" t="inlineStr">
        <is>
          <t>UMEÅ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19062-2021</t>
        </is>
      </c>
      <c r="B442" s="1" t="n">
        <v>44308</v>
      </c>
      <c r="C442" s="1" t="n">
        <v>45828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19074-2021</t>
        </is>
      </c>
      <c r="B443" s="1" t="n">
        <v>44308</v>
      </c>
      <c r="C443" s="1" t="n">
        <v>45828</v>
      </c>
      <c r="D443" t="inlineStr">
        <is>
          <t>VÄSTERBOTTENS LÄN</t>
        </is>
      </c>
      <c r="E443" t="inlineStr">
        <is>
          <t>UMEÅ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19058-2021</t>
        </is>
      </c>
      <c r="B444" s="1" t="n">
        <v>44308</v>
      </c>
      <c r="C444" s="1" t="n">
        <v>45828</v>
      </c>
      <c r="D444" t="inlineStr">
        <is>
          <t>VÄSTERBOTTENS LÄN</t>
        </is>
      </c>
      <c r="E444" t="inlineStr">
        <is>
          <t>UMEÅ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19543-2021</t>
        </is>
      </c>
      <c r="B445" s="1" t="n">
        <v>44309</v>
      </c>
      <c r="C445" s="1" t="n">
        <v>45828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19749-2021</t>
        </is>
      </c>
      <c r="B446" s="1" t="n">
        <v>44312</v>
      </c>
      <c r="C446" s="1" t="n">
        <v>45828</v>
      </c>
      <c r="D446" t="inlineStr">
        <is>
          <t>VÄSTERBOTTENS LÄN</t>
        </is>
      </c>
      <c r="E446" t="inlineStr">
        <is>
          <t>UMEÅ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20498-2021</t>
        </is>
      </c>
      <c r="B447" s="1" t="n">
        <v>44313</v>
      </c>
      <c r="C447" s="1" t="n">
        <v>45828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20454-2021</t>
        </is>
      </c>
      <c r="B448" s="1" t="n">
        <v>44314</v>
      </c>
      <c r="C448" s="1" t="n">
        <v>45828</v>
      </c>
      <c r="D448" t="inlineStr">
        <is>
          <t>VÄSTERBOTTENS LÄN</t>
        </is>
      </c>
      <c r="E448" t="inlineStr">
        <is>
          <t>UMEÅ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20459-2021</t>
        </is>
      </c>
      <c r="B449" s="1" t="n">
        <v>44314</v>
      </c>
      <c r="C449" s="1" t="n">
        <v>45828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21261-2021</t>
        </is>
      </c>
      <c r="B450" s="1" t="n">
        <v>44320</v>
      </c>
      <c r="C450" s="1" t="n">
        <v>45828</v>
      </c>
      <c r="D450" t="inlineStr">
        <is>
          <t>VÄSTERBOTTENS LÄN</t>
        </is>
      </c>
      <c r="E450" t="inlineStr">
        <is>
          <t>UMEÅ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21581-2021</t>
        </is>
      </c>
      <c r="B451" s="1" t="n">
        <v>44321</v>
      </c>
      <c r="C451" s="1" t="n">
        <v>45828</v>
      </c>
      <c r="D451" t="inlineStr">
        <is>
          <t>VÄSTERBOTTENS LÄN</t>
        </is>
      </c>
      <c r="E451" t="inlineStr">
        <is>
          <t>UMEÅ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22279-2021</t>
        </is>
      </c>
      <c r="B452" s="1" t="n">
        <v>44326</v>
      </c>
      <c r="C452" s="1" t="n">
        <v>45828</v>
      </c>
      <c r="D452" t="inlineStr">
        <is>
          <t>VÄSTERBOTTENS LÄN</t>
        </is>
      </c>
      <c r="E452" t="inlineStr">
        <is>
          <t>UMEÅ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22503-2021</t>
        </is>
      </c>
      <c r="B453" s="1" t="n">
        <v>44326</v>
      </c>
      <c r="C453" s="1" t="n">
        <v>45828</v>
      </c>
      <c r="D453" t="inlineStr">
        <is>
          <t>VÄSTERBOTTENS LÄN</t>
        </is>
      </c>
      <c r="E453" t="inlineStr">
        <is>
          <t>UMEÅ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23285-2021</t>
        </is>
      </c>
      <c r="B454" s="1" t="n">
        <v>44330</v>
      </c>
      <c r="C454" s="1" t="n">
        <v>45828</v>
      </c>
      <c r="D454" t="inlineStr">
        <is>
          <t>VÄSTERBOTTENS LÄN</t>
        </is>
      </c>
      <c r="E454" t="inlineStr">
        <is>
          <t>UMEÅ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23372-2021</t>
        </is>
      </c>
      <c r="B455" s="1" t="n">
        <v>44333</v>
      </c>
      <c r="C455" s="1" t="n">
        <v>45828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24942-2021</t>
        </is>
      </c>
      <c r="B456" s="1" t="n">
        <v>44341</v>
      </c>
      <c r="C456" s="1" t="n">
        <v>45828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25859-2021</t>
        </is>
      </c>
      <c r="B457" s="1" t="n">
        <v>44343</v>
      </c>
      <c r="C457" s="1" t="n">
        <v>45828</v>
      </c>
      <c r="D457" t="inlineStr">
        <is>
          <t>VÄSTERBOTTENS LÄN</t>
        </is>
      </c>
      <c r="E457" t="inlineStr">
        <is>
          <t>UMEÅ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27172-2021</t>
        </is>
      </c>
      <c r="B458" s="1" t="n">
        <v>44350</v>
      </c>
      <c r="C458" s="1" t="n">
        <v>45828</v>
      </c>
      <c r="D458" t="inlineStr">
        <is>
          <t>VÄSTERBOTTENS LÄN</t>
        </is>
      </c>
      <c r="E458" t="inlineStr">
        <is>
          <t>UMEÅ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27804-2021</t>
        </is>
      </c>
      <c r="B459" s="1" t="n">
        <v>44354</v>
      </c>
      <c r="C459" s="1" t="n">
        <v>45828</v>
      </c>
      <c r="D459" t="inlineStr">
        <is>
          <t>VÄSTERBOTTENS LÄN</t>
        </is>
      </c>
      <c r="E459" t="inlineStr">
        <is>
          <t>UMEÅ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27998-2021</t>
        </is>
      </c>
      <c r="B460" s="1" t="n">
        <v>44354</v>
      </c>
      <c r="C460" s="1" t="n">
        <v>45828</v>
      </c>
      <c r="D460" t="inlineStr">
        <is>
          <t>VÄSTERBOTTENS LÄN</t>
        </is>
      </c>
      <c r="E460" t="inlineStr">
        <is>
          <t>UMEÅ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28109-2021</t>
        </is>
      </c>
      <c r="B461" s="1" t="n">
        <v>44355</v>
      </c>
      <c r="C461" s="1" t="n">
        <v>45828</v>
      </c>
      <c r="D461" t="inlineStr">
        <is>
          <t>VÄSTERBOTTENS LÄN</t>
        </is>
      </c>
      <c r="E461" t="inlineStr">
        <is>
          <t>UMEÅ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28267-2021</t>
        </is>
      </c>
      <c r="B462" s="1" t="n">
        <v>44355</v>
      </c>
      <c r="C462" s="1" t="n">
        <v>45828</v>
      </c>
      <c r="D462" t="inlineStr">
        <is>
          <t>VÄSTERBOTTENS LÄN</t>
        </is>
      </c>
      <c r="E462" t="inlineStr">
        <is>
          <t>UMEÅ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29534-2021</t>
        </is>
      </c>
      <c r="B463" s="1" t="n">
        <v>44361</v>
      </c>
      <c r="C463" s="1" t="n">
        <v>45828</v>
      </c>
      <c r="D463" t="inlineStr">
        <is>
          <t>VÄSTERBOTTENS LÄN</t>
        </is>
      </c>
      <c r="E463" t="inlineStr">
        <is>
          <t>UMEÅ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29529-2021</t>
        </is>
      </c>
      <c r="B464" s="1" t="n">
        <v>44361</v>
      </c>
      <c r="C464" s="1" t="n">
        <v>45828</v>
      </c>
      <c r="D464" t="inlineStr">
        <is>
          <t>VÄSTERBOTTENS LÄN</t>
        </is>
      </c>
      <c r="E464" t="inlineStr">
        <is>
          <t>UMEÅ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33095-2021</t>
        </is>
      </c>
      <c r="B465" s="1" t="n">
        <v>44376</v>
      </c>
      <c r="C465" s="1" t="n">
        <v>45828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33159-2021</t>
        </is>
      </c>
      <c r="B466" s="1" t="n">
        <v>44376</v>
      </c>
      <c r="C466" s="1" t="n">
        <v>45828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18.4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33229-2021</t>
        </is>
      </c>
      <c r="B467" s="1" t="n">
        <v>44376</v>
      </c>
      <c r="C467" s="1" t="n">
        <v>45828</v>
      </c>
      <c r="D467" t="inlineStr">
        <is>
          <t>VÄSTERBOTTENS LÄN</t>
        </is>
      </c>
      <c r="E467" t="inlineStr">
        <is>
          <t>UMEÅ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33753-2021</t>
        </is>
      </c>
      <c r="B468" s="1" t="n">
        <v>44378</v>
      </c>
      <c r="C468" s="1" t="n">
        <v>45828</v>
      </c>
      <c r="D468" t="inlineStr">
        <is>
          <t>VÄSTERBOTTENS LÄN</t>
        </is>
      </c>
      <c r="E468" t="inlineStr">
        <is>
          <t>UMEÅ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34121-2021</t>
        </is>
      </c>
      <c r="B469" s="1" t="n">
        <v>44379</v>
      </c>
      <c r="C469" s="1" t="n">
        <v>45828</v>
      </c>
      <c r="D469" t="inlineStr">
        <is>
          <t>VÄSTERBOTTENS LÄN</t>
        </is>
      </c>
      <c r="E469" t="inlineStr">
        <is>
          <t>UMEÅ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34488-2021</t>
        </is>
      </c>
      <c r="B470" s="1" t="n">
        <v>44382</v>
      </c>
      <c r="C470" s="1" t="n">
        <v>45828</v>
      </c>
      <c r="D470" t="inlineStr">
        <is>
          <t>VÄSTERBOTTENS LÄN</t>
        </is>
      </c>
      <c r="E470" t="inlineStr">
        <is>
          <t>UMEÅ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34754-2021</t>
        </is>
      </c>
      <c r="B471" s="1" t="n">
        <v>44382</v>
      </c>
      <c r="C471" s="1" t="n">
        <v>45828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34777-2021</t>
        </is>
      </c>
      <c r="B472" s="1" t="n">
        <v>44382</v>
      </c>
      <c r="C472" s="1" t="n">
        <v>45828</v>
      </c>
      <c r="D472" t="inlineStr">
        <is>
          <t>VÄSTERBOTTENS LÄN</t>
        </is>
      </c>
      <c r="E472" t="inlineStr">
        <is>
          <t>UMEÅ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35465-2021</t>
        </is>
      </c>
      <c r="B473" s="1" t="n">
        <v>44385</v>
      </c>
      <c r="C473" s="1" t="n">
        <v>45828</v>
      </c>
      <c r="D473" t="inlineStr">
        <is>
          <t>VÄSTERBOTTENS LÄN</t>
        </is>
      </c>
      <c r="E473" t="inlineStr">
        <is>
          <t>UMEÅ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35480-2021</t>
        </is>
      </c>
      <c r="B474" s="1" t="n">
        <v>44385</v>
      </c>
      <c r="C474" s="1" t="n">
        <v>45828</v>
      </c>
      <c r="D474" t="inlineStr">
        <is>
          <t>VÄSTERBOTTENS LÄN</t>
        </is>
      </c>
      <c r="E474" t="inlineStr">
        <is>
          <t>UMEÅ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35738-2021</t>
        </is>
      </c>
      <c r="B475" s="1" t="n">
        <v>44386</v>
      </c>
      <c r="C475" s="1" t="n">
        <v>45828</v>
      </c>
      <c r="D475" t="inlineStr">
        <is>
          <t>VÄSTERBOTTENS LÄN</t>
        </is>
      </c>
      <c r="E475" t="inlineStr">
        <is>
          <t>UMEÅ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38391-2021</t>
        </is>
      </c>
      <c r="B476" s="1" t="n">
        <v>44406</v>
      </c>
      <c r="C476" s="1" t="n">
        <v>45828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38434-2021</t>
        </is>
      </c>
      <c r="B477" s="1" t="n">
        <v>44406</v>
      </c>
      <c r="C477" s="1" t="n">
        <v>45828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38394-2021</t>
        </is>
      </c>
      <c r="B478" s="1" t="n">
        <v>44406</v>
      </c>
      <c r="C478" s="1" t="n">
        <v>45828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38398-2021</t>
        </is>
      </c>
      <c r="B479" s="1" t="n">
        <v>44406</v>
      </c>
      <c r="C479" s="1" t="n">
        <v>45828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38403-2021</t>
        </is>
      </c>
      <c r="B480" s="1" t="n">
        <v>44406</v>
      </c>
      <c r="C480" s="1" t="n">
        <v>45828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38397-2021</t>
        </is>
      </c>
      <c r="B481" s="1" t="n">
        <v>44406</v>
      </c>
      <c r="C481" s="1" t="n">
        <v>45828</v>
      </c>
      <c r="D481" t="inlineStr">
        <is>
          <t>VÄSTERBOTTENS LÄN</t>
        </is>
      </c>
      <c r="E481" t="inlineStr">
        <is>
          <t>UMEÅ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38402-2021</t>
        </is>
      </c>
      <c r="B482" s="1" t="n">
        <v>44406</v>
      </c>
      <c r="C482" s="1" t="n">
        <v>45828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38435-2021</t>
        </is>
      </c>
      <c r="B483" s="1" t="n">
        <v>44406</v>
      </c>
      <c r="C483" s="1" t="n">
        <v>45828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38395-2021</t>
        </is>
      </c>
      <c r="B484" s="1" t="n">
        <v>44406</v>
      </c>
      <c r="C484" s="1" t="n">
        <v>45828</v>
      </c>
      <c r="D484" t="inlineStr">
        <is>
          <t>VÄSTERBOTTENS LÄN</t>
        </is>
      </c>
      <c r="E484" t="inlineStr">
        <is>
          <t>UMEÅ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38399-2021</t>
        </is>
      </c>
      <c r="B485" s="1" t="n">
        <v>44406</v>
      </c>
      <c r="C485" s="1" t="n">
        <v>45828</v>
      </c>
      <c r="D485" t="inlineStr">
        <is>
          <t>VÄSTERBOTTENS LÄN</t>
        </is>
      </c>
      <c r="E485" t="inlineStr">
        <is>
          <t>UMEÅ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38406-2021</t>
        </is>
      </c>
      <c r="B486" s="1" t="n">
        <v>44406</v>
      </c>
      <c r="C486" s="1" t="n">
        <v>45828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38445-2021</t>
        </is>
      </c>
      <c r="B487" s="1" t="n">
        <v>44406</v>
      </c>
      <c r="C487" s="1" t="n">
        <v>45828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38439-2021</t>
        </is>
      </c>
      <c r="B488" s="1" t="n">
        <v>44406</v>
      </c>
      <c r="C488" s="1" t="n">
        <v>45828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38447-2021</t>
        </is>
      </c>
      <c r="B489" s="1" t="n">
        <v>44406</v>
      </c>
      <c r="C489" s="1" t="n">
        <v>45828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38449-2021</t>
        </is>
      </c>
      <c r="B490" s="1" t="n">
        <v>44406</v>
      </c>
      <c r="C490" s="1" t="n">
        <v>45828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38515-2021</t>
        </is>
      </c>
      <c r="B491" s="1" t="n">
        <v>44407</v>
      </c>
      <c r="C491" s="1" t="n">
        <v>45828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38537-2021</t>
        </is>
      </c>
      <c r="B492" s="1" t="n">
        <v>44407</v>
      </c>
      <c r="C492" s="1" t="n">
        <v>45828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38503-2021</t>
        </is>
      </c>
      <c r="B493" s="1" t="n">
        <v>44407</v>
      </c>
      <c r="C493" s="1" t="n">
        <v>45828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38220-2021</t>
        </is>
      </c>
      <c r="B494" s="1" t="n">
        <v>44407</v>
      </c>
      <c r="C494" s="1" t="n">
        <v>45828</v>
      </c>
      <c r="D494" t="inlineStr">
        <is>
          <t>VÄSTERBOTTENS LÄN</t>
        </is>
      </c>
      <c r="E494" t="inlineStr">
        <is>
          <t>UMEÅ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38514-2021</t>
        </is>
      </c>
      <c r="B495" s="1" t="n">
        <v>44407</v>
      </c>
      <c r="C495" s="1" t="n">
        <v>45828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38519-2021</t>
        </is>
      </c>
      <c r="B496" s="1" t="n">
        <v>44407</v>
      </c>
      <c r="C496" s="1" t="n">
        <v>45828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38535-2021</t>
        </is>
      </c>
      <c r="B497" s="1" t="n">
        <v>44407</v>
      </c>
      <c r="C497" s="1" t="n">
        <v>45828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38516-2021</t>
        </is>
      </c>
      <c r="B498" s="1" t="n">
        <v>44407</v>
      </c>
      <c r="C498" s="1" t="n">
        <v>45828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38523-2021</t>
        </is>
      </c>
      <c r="B499" s="1" t="n">
        <v>44407</v>
      </c>
      <c r="C499" s="1" t="n">
        <v>45828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38541-2021</t>
        </is>
      </c>
      <c r="B500" s="1" t="n">
        <v>44407</v>
      </c>
      <c r="C500" s="1" t="n">
        <v>45828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38547-2021</t>
        </is>
      </c>
      <c r="B501" s="1" t="n">
        <v>44407</v>
      </c>
      <c r="C501" s="1" t="n">
        <v>45828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38559-2021</t>
        </is>
      </c>
      <c r="B502" s="1" t="n">
        <v>44407</v>
      </c>
      <c r="C502" s="1" t="n">
        <v>45828</v>
      </c>
      <c r="D502" t="inlineStr">
        <is>
          <t>VÄSTERBOTTENS LÄN</t>
        </is>
      </c>
      <c r="E502" t="inlineStr">
        <is>
          <t>UMEÅ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38517-2021</t>
        </is>
      </c>
      <c r="B503" s="1" t="n">
        <v>44407</v>
      </c>
      <c r="C503" s="1" t="n">
        <v>45828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38524-2021</t>
        </is>
      </c>
      <c r="B504" s="1" t="n">
        <v>44407</v>
      </c>
      <c r="C504" s="1" t="n">
        <v>45828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38543-2021</t>
        </is>
      </c>
      <c r="B505" s="1" t="n">
        <v>44407</v>
      </c>
      <c r="C505" s="1" t="n">
        <v>45828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38560-2021</t>
        </is>
      </c>
      <c r="B506" s="1" t="n">
        <v>44407</v>
      </c>
      <c r="C506" s="1" t="n">
        <v>45828</v>
      </c>
      <c r="D506" t="inlineStr">
        <is>
          <t>VÄSTERBOTTENS LÄN</t>
        </is>
      </c>
      <c r="E506" t="inlineStr">
        <is>
          <t>UMEÅ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38679-2021</t>
        </is>
      </c>
      <c r="B507" s="1" t="n">
        <v>44407</v>
      </c>
      <c r="C507" s="1" t="n">
        <v>45828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38685-2021</t>
        </is>
      </c>
      <c r="B508" s="1" t="n">
        <v>44407</v>
      </c>
      <c r="C508" s="1" t="n">
        <v>45828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38690-2021</t>
        </is>
      </c>
      <c r="B509" s="1" t="n">
        <v>44407</v>
      </c>
      <c r="C509" s="1" t="n">
        <v>45828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38691-2021</t>
        </is>
      </c>
      <c r="B510" s="1" t="n">
        <v>44407</v>
      </c>
      <c r="C510" s="1" t="n">
        <v>45828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38684-2021</t>
        </is>
      </c>
      <c r="B511" s="1" t="n">
        <v>44407</v>
      </c>
      <c r="C511" s="1" t="n">
        <v>45828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38729-2021</t>
        </is>
      </c>
      <c r="B512" s="1" t="n">
        <v>44410</v>
      </c>
      <c r="C512" s="1" t="n">
        <v>45828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38746-2021</t>
        </is>
      </c>
      <c r="B513" s="1" t="n">
        <v>44410</v>
      </c>
      <c r="C513" s="1" t="n">
        <v>45828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38720-2021</t>
        </is>
      </c>
      <c r="B514" s="1" t="n">
        <v>44410</v>
      </c>
      <c r="C514" s="1" t="n">
        <v>45828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38725-2021</t>
        </is>
      </c>
      <c r="B515" s="1" t="n">
        <v>44410</v>
      </c>
      <c r="C515" s="1" t="n">
        <v>45828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38731-2021</t>
        </is>
      </c>
      <c r="B516" s="1" t="n">
        <v>44410</v>
      </c>
      <c r="C516" s="1" t="n">
        <v>45828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38739-2021</t>
        </is>
      </c>
      <c r="B517" s="1" t="n">
        <v>44410</v>
      </c>
      <c r="C517" s="1" t="n">
        <v>45828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38750-2021</t>
        </is>
      </c>
      <c r="B518" s="1" t="n">
        <v>44410</v>
      </c>
      <c r="C518" s="1" t="n">
        <v>45828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38721-2021</t>
        </is>
      </c>
      <c r="B519" s="1" t="n">
        <v>44410</v>
      </c>
      <c r="C519" s="1" t="n">
        <v>45828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38717-2021</t>
        </is>
      </c>
      <c r="B520" s="1" t="n">
        <v>44410</v>
      </c>
      <c r="C520" s="1" t="n">
        <v>45828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38722-2021</t>
        </is>
      </c>
      <c r="B521" s="1" t="n">
        <v>44410</v>
      </c>
      <c r="C521" s="1" t="n">
        <v>45828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38891-2021</t>
        </is>
      </c>
      <c r="B522" s="1" t="n">
        <v>44410</v>
      </c>
      <c r="C522" s="1" t="n">
        <v>45828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38893-2021</t>
        </is>
      </c>
      <c r="B523" s="1" t="n">
        <v>44410</v>
      </c>
      <c r="C523" s="1" t="n">
        <v>45828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38910-2021</t>
        </is>
      </c>
      <c r="B524" s="1" t="n">
        <v>44410</v>
      </c>
      <c r="C524" s="1" t="n">
        <v>45828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38920-2021</t>
        </is>
      </c>
      <c r="B525" s="1" t="n">
        <v>44410</v>
      </c>
      <c r="C525" s="1" t="n">
        <v>45828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38895-2021</t>
        </is>
      </c>
      <c r="B526" s="1" t="n">
        <v>44410</v>
      </c>
      <c r="C526" s="1" t="n">
        <v>45828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38912-2021</t>
        </is>
      </c>
      <c r="B527" s="1" t="n">
        <v>44410</v>
      </c>
      <c r="C527" s="1" t="n">
        <v>45828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38921-2021</t>
        </is>
      </c>
      <c r="B528" s="1" t="n">
        <v>44410</v>
      </c>
      <c r="C528" s="1" t="n">
        <v>45828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38906-2021</t>
        </is>
      </c>
      <c r="B529" s="1" t="n">
        <v>44410</v>
      </c>
      <c r="C529" s="1" t="n">
        <v>45828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38915-2021</t>
        </is>
      </c>
      <c r="B530" s="1" t="n">
        <v>44410</v>
      </c>
      <c r="C530" s="1" t="n">
        <v>45828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38923-2021</t>
        </is>
      </c>
      <c r="B531" s="1" t="n">
        <v>44410</v>
      </c>
      <c r="C531" s="1" t="n">
        <v>45828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38892-2021</t>
        </is>
      </c>
      <c r="B532" s="1" t="n">
        <v>44410</v>
      </c>
      <c r="C532" s="1" t="n">
        <v>45828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38909-2021</t>
        </is>
      </c>
      <c r="B533" s="1" t="n">
        <v>44410</v>
      </c>
      <c r="C533" s="1" t="n">
        <v>45828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38918-2021</t>
        </is>
      </c>
      <c r="B534" s="1" t="n">
        <v>44410</v>
      </c>
      <c r="C534" s="1" t="n">
        <v>45828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38924-2021</t>
        </is>
      </c>
      <c r="B535" s="1" t="n">
        <v>44410</v>
      </c>
      <c r="C535" s="1" t="n">
        <v>45828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40348-2021</t>
        </is>
      </c>
      <c r="B536" s="1" t="n">
        <v>44419</v>
      </c>
      <c r="C536" s="1" t="n">
        <v>45828</v>
      </c>
      <c r="D536" t="inlineStr">
        <is>
          <t>VÄSTERBOTTENS LÄN</t>
        </is>
      </c>
      <c r="E536" t="inlineStr">
        <is>
          <t>UMEÅ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40962-2021</t>
        </is>
      </c>
      <c r="B537" s="1" t="n">
        <v>44421</v>
      </c>
      <c r="C537" s="1" t="n">
        <v>45828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42352-2021</t>
        </is>
      </c>
      <c r="B538" s="1" t="n">
        <v>44427</v>
      </c>
      <c r="C538" s="1" t="n">
        <v>45828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43357-2021</t>
        </is>
      </c>
      <c r="B539" s="1" t="n">
        <v>44432</v>
      </c>
      <c r="C539" s="1" t="n">
        <v>45828</v>
      </c>
      <c r="D539" t="inlineStr">
        <is>
          <t>VÄSTERBOTTENS LÄN</t>
        </is>
      </c>
      <c r="E539" t="inlineStr">
        <is>
          <t>UMEÅ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43591-2021</t>
        </is>
      </c>
      <c r="B540" s="1" t="n">
        <v>44433</v>
      </c>
      <c r="C540" s="1" t="n">
        <v>45828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44817-2021</t>
        </is>
      </c>
      <c r="B541" s="1" t="n">
        <v>44438</v>
      </c>
      <c r="C541" s="1" t="n">
        <v>45828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47142-2021</t>
        </is>
      </c>
      <c r="B542" s="1" t="n">
        <v>44447</v>
      </c>
      <c r="C542" s="1" t="n">
        <v>45828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47141-2021</t>
        </is>
      </c>
      <c r="B543" s="1" t="n">
        <v>44447</v>
      </c>
      <c r="C543" s="1" t="n">
        <v>45828</v>
      </c>
      <c r="D543" t="inlineStr">
        <is>
          <t>VÄSTERBOTTENS LÄN</t>
        </is>
      </c>
      <c r="E543" t="inlineStr">
        <is>
          <t>UMEÅ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48607-2021</t>
        </is>
      </c>
      <c r="B544" s="1" t="n">
        <v>44452</v>
      </c>
      <c r="C544" s="1" t="n">
        <v>45828</v>
      </c>
      <c r="D544" t="inlineStr">
        <is>
          <t>VÄSTERBOTTENS LÄN</t>
        </is>
      </c>
      <c r="E544" t="inlineStr">
        <is>
          <t>UMEÅ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48613-2021</t>
        </is>
      </c>
      <c r="B545" s="1" t="n">
        <v>44452</v>
      </c>
      <c r="C545" s="1" t="n">
        <v>45828</v>
      </c>
      <c r="D545" t="inlineStr">
        <is>
          <t>VÄSTERBOTTENS LÄN</t>
        </is>
      </c>
      <c r="E545" t="inlineStr">
        <is>
          <t>UMEÅ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48837-2021</t>
        </is>
      </c>
      <c r="B546" s="1" t="n">
        <v>44453</v>
      </c>
      <c r="C546" s="1" t="n">
        <v>45828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49353-2021</t>
        </is>
      </c>
      <c r="B547" s="1" t="n">
        <v>44453</v>
      </c>
      <c r="C547" s="1" t="n">
        <v>45828</v>
      </c>
      <c r="D547" t="inlineStr">
        <is>
          <t>VÄSTERBOTTENS LÄN</t>
        </is>
      </c>
      <c r="E547" t="inlineStr">
        <is>
          <t>UMEÅ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50084-2021</t>
        </is>
      </c>
      <c r="B548" s="1" t="n">
        <v>44456</v>
      </c>
      <c r="C548" s="1" t="n">
        <v>45828</v>
      </c>
      <c r="D548" t="inlineStr">
        <is>
          <t>VÄSTERBOTTENS LÄN</t>
        </is>
      </c>
      <c r="E548" t="inlineStr">
        <is>
          <t>UMEÅ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50110-2021</t>
        </is>
      </c>
      <c r="B549" s="1" t="n">
        <v>44456</v>
      </c>
      <c r="C549" s="1" t="n">
        <v>45828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50700-2021</t>
        </is>
      </c>
      <c r="B550" s="1" t="n">
        <v>44460</v>
      </c>
      <c r="C550" s="1" t="n">
        <v>45828</v>
      </c>
      <c r="D550" t="inlineStr">
        <is>
          <t>VÄSTERBOTTENS LÄN</t>
        </is>
      </c>
      <c r="E550" t="inlineStr">
        <is>
          <t>UMEÅ</t>
        </is>
      </c>
      <c r="F550" t="inlineStr">
        <is>
          <t>Övriga Aktiebolag</t>
        </is>
      </c>
      <c r="G550" t="n">
        <v>54.2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51507-2021</t>
        </is>
      </c>
      <c r="B551" s="1" t="n">
        <v>44462</v>
      </c>
      <c r="C551" s="1" t="n">
        <v>45828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17.5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52314-2021</t>
        </is>
      </c>
      <c r="B552" s="1" t="n">
        <v>44464</v>
      </c>
      <c r="C552" s="1" t="n">
        <v>45828</v>
      </c>
      <c r="D552" t="inlineStr">
        <is>
          <t>VÄSTERBOTTENS LÄN</t>
        </is>
      </c>
      <c r="E552" t="inlineStr">
        <is>
          <t>UMEÅ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52311-2021</t>
        </is>
      </c>
      <c r="B553" s="1" t="n">
        <v>44464</v>
      </c>
      <c r="C553" s="1" t="n">
        <v>45828</v>
      </c>
      <c r="D553" t="inlineStr">
        <is>
          <t>VÄSTERBOTTENS LÄN</t>
        </is>
      </c>
      <c r="E553" t="inlineStr">
        <is>
          <t>UMEÅ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52309-2021</t>
        </is>
      </c>
      <c r="B554" s="1" t="n">
        <v>44463</v>
      </c>
      <c r="C554" s="1" t="n">
        <v>45828</v>
      </c>
      <c r="D554" t="inlineStr">
        <is>
          <t>VÄSTERBOTTENS LÄN</t>
        </is>
      </c>
      <c r="E554" t="inlineStr">
        <is>
          <t>UMEÅ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52740-2021</t>
        </is>
      </c>
      <c r="B555" s="1" t="n">
        <v>44467</v>
      </c>
      <c r="C555" s="1" t="n">
        <v>45828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53181-2021</t>
        </is>
      </c>
      <c r="B556" s="1" t="n">
        <v>44467</v>
      </c>
      <c r="C556" s="1" t="n">
        <v>45828</v>
      </c>
      <c r="D556" t="inlineStr">
        <is>
          <t>VÄSTERBOTTENS LÄN</t>
        </is>
      </c>
      <c r="E556" t="inlineStr">
        <is>
          <t>UMEÅ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53570-2021</t>
        </is>
      </c>
      <c r="B557" s="1" t="n">
        <v>44469</v>
      </c>
      <c r="C557" s="1" t="n">
        <v>45828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54225-2021</t>
        </is>
      </c>
      <c r="B558" s="1" t="n">
        <v>44470</v>
      </c>
      <c r="C558" s="1" t="n">
        <v>45828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54439-2021</t>
        </is>
      </c>
      <c r="B559" s="1" t="n">
        <v>44473</v>
      </c>
      <c r="C559" s="1" t="n">
        <v>45828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54354-2021</t>
        </is>
      </c>
      <c r="B560" s="1" t="n">
        <v>44473</v>
      </c>
      <c r="C560" s="1" t="n">
        <v>45828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55590-2021</t>
        </is>
      </c>
      <c r="B561" s="1" t="n">
        <v>44476</v>
      </c>
      <c r="C561" s="1" t="n">
        <v>45828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55910-2021</t>
        </is>
      </c>
      <c r="B562" s="1" t="n">
        <v>44476</v>
      </c>
      <c r="C562" s="1" t="n">
        <v>45828</v>
      </c>
      <c r="D562" t="inlineStr">
        <is>
          <t>VÄSTERBOTTENS LÄN</t>
        </is>
      </c>
      <c r="E562" t="inlineStr">
        <is>
          <t>UMEÅ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56563-2021</t>
        </is>
      </c>
      <c r="B563" s="1" t="n">
        <v>44480</v>
      </c>
      <c r="C563" s="1" t="n">
        <v>45828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56675-2021</t>
        </is>
      </c>
      <c r="B564" s="1" t="n">
        <v>44481</v>
      </c>
      <c r="C564" s="1" t="n">
        <v>45828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56676-2021</t>
        </is>
      </c>
      <c r="B565" s="1" t="n">
        <v>44481</v>
      </c>
      <c r="C565" s="1" t="n">
        <v>45828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56963-2021</t>
        </is>
      </c>
      <c r="B566" s="1" t="n">
        <v>44482</v>
      </c>
      <c r="C566" s="1" t="n">
        <v>45828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57603-2021</t>
        </is>
      </c>
      <c r="B567" s="1" t="n">
        <v>44483</v>
      </c>
      <c r="C567" s="1" t="n">
        <v>45828</v>
      </c>
      <c r="D567" t="inlineStr">
        <is>
          <t>VÄSTERBOTTENS LÄN</t>
        </is>
      </c>
      <c r="E567" t="inlineStr">
        <is>
          <t>UMEÅ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58284-2021</t>
        </is>
      </c>
      <c r="B568" s="1" t="n">
        <v>44488</v>
      </c>
      <c r="C568" s="1" t="n">
        <v>45828</v>
      </c>
      <c r="D568" t="inlineStr">
        <is>
          <t>VÄSTERBOTTENS LÄN</t>
        </is>
      </c>
      <c r="E568" t="inlineStr">
        <is>
          <t>UMEÅ</t>
        </is>
      </c>
      <c r="F568" t="inlineStr">
        <is>
          <t>Kommuner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58538-2021</t>
        </is>
      </c>
      <c r="B569" s="1" t="n">
        <v>44488</v>
      </c>
      <c r="C569" s="1" t="n">
        <v>45828</v>
      </c>
      <c r="D569" t="inlineStr">
        <is>
          <t>VÄSTERBOTTENS LÄN</t>
        </is>
      </c>
      <c r="E569" t="inlineStr">
        <is>
          <t>UMEÅ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58612-2021</t>
        </is>
      </c>
      <c r="B570" s="1" t="n">
        <v>44489</v>
      </c>
      <c r="C570" s="1" t="n">
        <v>45828</v>
      </c>
      <c r="D570" t="inlineStr">
        <is>
          <t>VÄSTERBOTTENS LÄN</t>
        </is>
      </c>
      <c r="E570" t="inlineStr">
        <is>
          <t>UMEÅ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60088-2021</t>
        </is>
      </c>
      <c r="B571" s="1" t="n">
        <v>44495</v>
      </c>
      <c r="C571" s="1" t="n">
        <v>45828</v>
      </c>
      <c r="D571" t="inlineStr">
        <is>
          <t>VÄSTERBOTTENS LÄN</t>
        </is>
      </c>
      <c r="E571" t="inlineStr">
        <is>
          <t>UMEÅ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60832-2021</t>
        </is>
      </c>
      <c r="B572" s="1" t="n">
        <v>44496</v>
      </c>
      <c r="C572" s="1" t="n">
        <v>45828</v>
      </c>
      <c r="D572" t="inlineStr">
        <is>
          <t>VÄSTERBOTTENS LÄN</t>
        </is>
      </c>
      <c r="E572" t="inlineStr">
        <is>
          <t>UMEÅ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62084-2021</t>
        </is>
      </c>
      <c r="B573" s="1" t="n">
        <v>44502</v>
      </c>
      <c r="C573" s="1" t="n">
        <v>45828</v>
      </c>
      <c r="D573" t="inlineStr">
        <is>
          <t>VÄSTERBOTTENS LÄN</t>
        </is>
      </c>
      <c r="E573" t="inlineStr">
        <is>
          <t>UMEÅ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62648-2021</t>
        </is>
      </c>
      <c r="B574" s="1" t="n">
        <v>44503</v>
      </c>
      <c r="C574" s="1" t="n">
        <v>45828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62982-2021</t>
        </is>
      </c>
      <c r="B575" s="1" t="n">
        <v>44504</v>
      </c>
      <c r="C575" s="1" t="n">
        <v>45828</v>
      </c>
      <c r="D575" t="inlineStr">
        <is>
          <t>VÄSTERBOTTENS LÄN</t>
        </is>
      </c>
      <c r="E575" t="inlineStr">
        <is>
          <t>UMEÅ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64355-2021</t>
        </is>
      </c>
      <c r="B576" s="1" t="n">
        <v>44511</v>
      </c>
      <c r="C576" s="1" t="n">
        <v>45828</v>
      </c>
      <c r="D576" t="inlineStr">
        <is>
          <t>VÄSTERBOTTENS LÄN</t>
        </is>
      </c>
      <c r="E576" t="inlineStr">
        <is>
          <t>UMEÅ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65251-2021</t>
        </is>
      </c>
      <c r="B577" s="1" t="n">
        <v>44515</v>
      </c>
      <c r="C577" s="1" t="n">
        <v>45828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65242-2021</t>
        </is>
      </c>
      <c r="B578" s="1" t="n">
        <v>44515</v>
      </c>
      <c r="C578" s="1" t="n">
        <v>45828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68757-2021</t>
        </is>
      </c>
      <c r="B579" s="1" t="n">
        <v>44529</v>
      </c>
      <c r="C579" s="1" t="n">
        <v>45828</v>
      </c>
      <c r="D579" t="inlineStr">
        <is>
          <t>VÄSTERBOTTENS LÄN</t>
        </is>
      </c>
      <c r="E579" t="inlineStr">
        <is>
          <t>UMEÅ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70077-2021</t>
        </is>
      </c>
      <c r="B580" s="1" t="n">
        <v>44533</v>
      </c>
      <c r="C580" s="1" t="n">
        <v>45828</v>
      </c>
      <c r="D580" t="inlineStr">
        <is>
          <t>VÄSTERBOTTENS LÄN</t>
        </is>
      </c>
      <c r="E580" t="inlineStr">
        <is>
          <t>UMEÅ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70068-2021</t>
        </is>
      </c>
      <c r="B581" s="1" t="n">
        <v>44533</v>
      </c>
      <c r="C581" s="1" t="n">
        <v>45828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71806-2021</t>
        </is>
      </c>
      <c r="B582" s="1" t="n">
        <v>44543</v>
      </c>
      <c r="C582" s="1" t="n">
        <v>45828</v>
      </c>
      <c r="D582" t="inlineStr">
        <is>
          <t>VÄSTERBOTTENS LÄN</t>
        </is>
      </c>
      <c r="E582" t="inlineStr">
        <is>
          <t>UMEÅ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72125-2021</t>
        </is>
      </c>
      <c r="B583" s="1" t="n">
        <v>44543</v>
      </c>
      <c r="C583" s="1" t="n">
        <v>45828</v>
      </c>
      <c r="D583" t="inlineStr">
        <is>
          <t>VÄSTERBOTTENS LÄN</t>
        </is>
      </c>
      <c r="E583" t="inlineStr">
        <is>
          <t>UMEÅ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73537-2021</t>
        </is>
      </c>
      <c r="B584" s="1" t="n">
        <v>44550</v>
      </c>
      <c r="C584" s="1" t="n">
        <v>45828</v>
      </c>
      <c r="D584" t="inlineStr">
        <is>
          <t>VÄSTERBOTTENS LÄN</t>
        </is>
      </c>
      <c r="E584" t="inlineStr">
        <is>
          <t>UMEÅ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73534-2021</t>
        </is>
      </c>
      <c r="B585" s="1" t="n">
        <v>44550</v>
      </c>
      <c r="C585" s="1" t="n">
        <v>45828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73532-2021</t>
        </is>
      </c>
      <c r="B586" s="1" t="n">
        <v>44550</v>
      </c>
      <c r="C586" s="1" t="n">
        <v>45828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73538-2021</t>
        </is>
      </c>
      <c r="B587" s="1" t="n">
        <v>44550</v>
      </c>
      <c r="C587" s="1" t="n">
        <v>45828</v>
      </c>
      <c r="D587" t="inlineStr">
        <is>
          <t>VÄSTERBOTTENS LÄN</t>
        </is>
      </c>
      <c r="E587" t="inlineStr">
        <is>
          <t>UMEÅ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74480-2021</t>
        </is>
      </c>
      <c r="B588" s="1" t="n">
        <v>44560</v>
      </c>
      <c r="C588" s="1" t="n">
        <v>45828</v>
      </c>
      <c r="D588" t="inlineStr">
        <is>
          <t>VÄSTERBOTTENS LÄN</t>
        </is>
      </c>
      <c r="E588" t="inlineStr">
        <is>
          <t>UMEÅ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703-2022</t>
        </is>
      </c>
      <c r="B589" s="1" t="n">
        <v>44566</v>
      </c>
      <c r="C589" s="1" t="n">
        <v>45828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1821-2022</t>
        </is>
      </c>
      <c r="B590" s="1" t="n">
        <v>44574</v>
      </c>
      <c r="C590" s="1" t="n">
        <v>45828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2586-2022</t>
        </is>
      </c>
      <c r="B591" s="1" t="n">
        <v>44580</v>
      </c>
      <c r="C591" s="1" t="n">
        <v>45828</v>
      </c>
      <c r="D591" t="inlineStr">
        <is>
          <t>VÄSTERBOTTENS LÄN</t>
        </is>
      </c>
      <c r="E591" t="inlineStr">
        <is>
          <t>UMEÅ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2608-2022</t>
        </is>
      </c>
      <c r="B592" s="1" t="n">
        <v>44580</v>
      </c>
      <c r="C592" s="1" t="n">
        <v>45828</v>
      </c>
      <c r="D592" t="inlineStr">
        <is>
          <t>VÄSTERBOTTENS LÄN</t>
        </is>
      </c>
      <c r="E592" t="inlineStr">
        <is>
          <t>UMEÅ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2857-2022</t>
        </is>
      </c>
      <c r="B593" s="1" t="n">
        <v>44581</v>
      </c>
      <c r="C593" s="1" t="n">
        <v>45828</v>
      </c>
      <c r="D593" t="inlineStr">
        <is>
          <t>VÄSTERBOTTENS LÄN</t>
        </is>
      </c>
      <c r="E593" t="inlineStr">
        <is>
          <t>UMEÅ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3940-2022</t>
        </is>
      </c>
      <c r="B594" s="1" t="n">
        <v>44587</v>
      </c>
      <c r="C594" s="1" t="n">
        <v>45828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4084-2022</t>
        </is>
      </c>
      <c r="B595" s="1" t="n">
        <v>44588</v>
      </c>
      <c r="C595" s="1" t="n">
        <v>45828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4629-2022</t>
        </is>
      </c>
      <c r="B596" s="1" t="n">
        <v>44592</v>
      </c>
      <c r="C596" s="1" t="n">
        <v>45828</v>
      </c>
      <c r="D596" t="inlineStr">
        <is>
          <t>VÄSTERBOTTENS LÄN</t>
        </is>
      </c>
      <c r="E596" t="inlineStr">
        <is>
          <t>UMEÅ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4893-2022</t>
        </is>
      </c>
      <c r="B597" s="1" t="n">
        <v>44592</v>
      </c>
      <c r="C597" s="1" t="n">
        <v>45828</v>
      </c>
      <c r="D597" t="inlineStr">
        <is>
          <t>VÄSTERBOTTENS LÄN</t>
        </is>
      </c>
      <c r="E597" t="inlineStr">
        <is>
          <t>UMEÅ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5374-2022</t>
        </is>
      </c>
      <c r="B598" s="1" t="n">
        <v>44594</v>
      </c>
      <c r="C598" s="1" t="n">
        <v>45828</v>
      </c>
      <c r="D598" t="inlineStr">
        <is>
          <t>VÄSTERBOTTENS LÄN</t>
        </is>
      </c>
      <c r="E598" t="inlineStr">
        <is>
          <t>UMEÅ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5899-2022</t>
        </is>
      </c>
      <c r="B599" s="1" t="n">
        <v>44596</v>
      </c>
      <c r="C599" s="1" t="n">
        <v>45828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5969-2022</t>
        </is>
      </c>
      <c r="B600" s="1" t="n">
        <v>44599</v>
      </c>
      <c r="C600" s="1" t="n">
        <v>45828</v>
      </c>
      <c r="D600" t="inlineStr">
        <is>
          <t>VÄSTERBOTTENS LÄN</t>
        </is>
      </c>
      <c r="E600" t="inlineStr">
        <is>
          <t>UMEÅ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6169-2022</t>
        </is>
      </c>
      <c r="B601" s="1" t="n">
        <v>44599</v>
      </c>
      <c r="C601" s="1" t="n">
        <v>45828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6342-2022</t>
        </is>
      </c>
      <c r="B602" s="1" t="n">
        <v>44600</v>
      </c>
      <c r="C602" s="1" t="n">
        <v>45828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7263-2022</t>
        </is>
      </c>
      <c r="B603" s="1" t="n">
        <v>44606</v>
      </c>
      <c r="C603" s="1" t="n">
        <v>45828</v>
      </c>
      <c r="D603" t="inlineStr">
        <is>
          <t>VÄSTERBOTTENS LÄN</t>
        </is>
      </c>
      <c r="E603" t="inlineStr">
        <is>
          <t>UMEÅ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7210-2022</t>
        </is>
      </c>
      <c r="B604" s="1" t="n">
        <v>44606</v>
      </c>
      <c r="C604" s="1" t="n">
        <v>45828</v>
      </c>
      <c r="D604" t="inlineStr">
        <is>
          <t>VÄSTERBOTTENS LÄN</t>
        </is>
      </c>
      <c r="E604" t="inlineStr">
        <is>
          <t>UMEÅ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7316-2022</t>
        </is>
      </c>
      <c r="B605" s="1" t="n">
        <v>44606</v>
      </c>
      <c r="C605" s="1" t="n">
        <v>45828</v>
      </c>
      <c r="D605" t="inlineStr">
        <is>
          <t>VÄSTERBOTTENS LÄN</t>
        </is>
      </c>
      <c r="E605" t="inlineStr">
        <is>
          <t>UMEÅ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7376-2022</t>
        </is>
      </c>
      <c r="B606" s="1" t="n">
        <v>44606</v>
      </c>
      <c r="C606" s="1" t="n">
        <v>45828</v>
      </c>
      <c r="D606" t="inlineStr">
        <is>
          <t>VÄSTERBOTTENS LÄN</t>
        </is>
      </c>
      <c r="E606" t="inlineStr">
        <is>
          <t>UMEÅ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7382-2022</t>
        </is>
      </c>
      <c r="B607" s="1" t="n">
        <v>44606</v>
      </c>
      <c r="C607" s="1" t="n">
        <v>45828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7356-2022</t>
        </is>
      </c>
      <c r="B608" s="1" t="n">
        <v>44606</v>
      </c>
      <c r="C608" s="1" t="n">
        <v>45828</v>
      </c>
      <c r="D608" t="inlineStr">
        <is>
          <t>VÄSTERBOTTENS LÄN</t>
        </is>
      </c>
      <c r="E608" t="inlineStr">
        <is>
          <t>UMEÅ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7384-2022</t>
        </is>
      </c>
      <c r="B609" s="1" t="n">
        <v>44606</v>
      </c>
      <c r="C609" s="1" t="n">
        <v>45828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7430-2022</t>
        </is>
      </c>
      <c r="B610" s="1" t="n">
        <v>44606</v>
      </c>
      <c r="C610" s="1" t="n">
        <v>45828</v>
      </c>
      <c r="D610" t="inlineStr">
        <is>
          <t>VÄSTERBOTTENS LÄN</t>
        </is>
      </c>
      <c r="E610" t="inlineStr">
        <is>
          <t>UMEÅ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7438-2022</t>
        </is>
      </c>
      <c r="B611" s="1" t="n">
        <v>44606</v>
      </c>
      <c r="C611" s="1" t="n">
        <v>45828</v>
      </c>
      <c r="D611" t="inlineStr">
        <is>
          <t>VÄSTERBOTTENS LÄN</t>
        </is>
      </c>
      <c r="E611" t="inlineStr">
        <is>
          <t>UMEÅ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7383-2022</t>
        </is>
      </c>
      <c r="B612" s="1" t="n">
        <v>44606</v>
      </c>
      <c r="C612" s="1" t="n">
        <v>45828</v>
      </c>
      <c r="D612" t="inlineStr">
        <is>
          <t>VÄSTERBOTTENS LÄN</t>
        </is>
      </c>
      <c r="E612" t="inlineStr">
        <is>
          <t>UMEÅ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8223-2022</t>
        </is>
      </c>
      <c r="B613" s="1" t="n">
        <v>44609</v>
      </c>
      <c r="C613" s="1" t="n">
        <v>45828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8409-2022</t>
        </is>
      </c>
      <c r="B614" s="1" t="n">
        <v>44610</v>
      </c>
      <c r="C614" s="1" t="n">
        <v>45828</v>
      </c>
      <c r="D614" t="inlineStr">
        <is>
          <t>VÄSTERBOTTENS LÄN</t>
        </is>
      </c>
      <c r="E614" t="inlineStr">
        <is>
          <t>UMEÅ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8412-2022</t>
        </is>
      </c>
      <c r="B615" s="1" t="n">
        <v>44610</v>
      </c>
      <c r="C615" s="1" t="n">
        <v>45828</v>
      </c>
      <c r="D615" t="inlineStr">
        <is>
          <t>VÄSTERBOTTENS LÄN</t>
        </is>
      </c>
      <c r="E615" t="inlineStr">
        <is>
          <t>UMEÅ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9684-2022</t>
        </is>
      </c>
      <c r="B616" s="1" t="n">
        <v>44617</v>
      </c>
      <c r="C616" s="1" t="n">
        <v>45828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9769-2022</t>
        </is>
      </c>
      <c r="B617" s="1" t="n">
        <v>44619</v>
      </c>
      <c r="C617" s="1" t="n">
        <v>45828</v>
      </c>
      <c r="D617" t="inlineStr">
        <is>
          <t>VÄSTERBOTTENS LÄN</t>
        </is>
      </c>
      <c r="E617" t="inlineStr">
        <is>
          <t>UMEÅ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9770-2022</t>
        </is>
      </c>
      <c r="B618" s="1" t="n">
        <v>44619</v>
      </c>
      <c r="C618" s="1" t="n">
        <v>45828</v>
      </c>
      <c r="D618" t="inlineStr">
        <is>
          <t>VÄSTERBOTTENS LÄN</t>
        </is>
      </c>
      <c r="E618" t="inlineStr">
        <is>
          <t>UMEÅ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9924-2022</t>
        </is>
      </c>
      <c r="B619" s="1" t="n">
        <v>44620</v>
      </c>
      <c r="C619" s="1" t="n">
        <v>45828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11109-2022</t>
        </is>
      </c>
      <c r="B620" s="1" t="n">
        <v>44628</v>
      </c>
      <c r="C620" s="1" t="n">
        <v>45828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11157-2022</t>
        </is>
      </c>
      <c r="B621" s="1" t="n">
        <v>44629</v>
      </c>
      <c r="C621" s="1" t="n">
        <v>45828</v>
      </c>
      <c r="D621" t="inlineStr">
        <is>
          <t>VÄSTERBOTTENS LÄN</t>
        </is>
      </c>
      <c r="E621" t="inlineStr">
        <is>
          <t>UMEÅ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11538-2022</t>
        </is>
      </c>
      <c r="B622" s="1" t="n">
        <v>44631</v>
      </c>
      <c r="C622" s="1" t="n">
        <v>45828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11515-2022</t>
        </is>
      </c>
      <c r="B623" s="1" t="n">
        <v>44631</v>
      </c>
      <c r="C623" s="1" t="n">
        <v>45828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11511-2022</t>
        </is>
      </c>
      <c r="B624" s="1" t="n">
        <v>44631</v>
      </c>
      <c r="C624" s="1" t="n">
        <v>45828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12942-2022</t>
        </is>
      </c>
      <c r="B625" s="1" t="n">
        <v>44642</v>
      </c>
      <c r="C625" s="1" t="n">
        <v>45828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14431-2022</t>
        </is>
      </c>
      <c r="B626" s="1" t="n">
        <v>44653</v>
      </c>
      <c r="C626" s="1" t="n">
        <v>45828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14432-2022</t>
        </is>
      </c>
      <c r="B627" s="1" t="n">
        <v>44653</v>
      </c>
      <c r="C627" s="1" t="n">
        <v>45828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16138-2022</t>
        </is>
      </c>
      <c r="B628" s="1" t="n">
        <v>44666</v>
      </c>
      <c r="C628" s="1" t="n">
        <v>45828</v>
      </c>
      <c r="D628" t="inlineStr">
        <is>
          <t>VÄSTERBOTTENS LÄN</t>
        </is>
      </c>
      <c r="E628" t="inlineStr">
        <is>
          <t>UMEÅ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16210-2022</t>
        </is>
      </c>
      <c r="B629" s="1" t="n">
        <v>44670</v>
      </c>
      <c r="C629" s="1" t="n">
        <v>45828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16606-2022</t>
        </is>
      </c>
      <c r="B630" s="1" t="n">
        <v>44672</v>
      </c>
      <c r="C630" s="1" t="n">
        <v>45828</v>
      </c>
      <c r="D630" t="inlineStr">
        <is>
          <t>VÄSTERBOTTENS LÄN</t>
        </is>
      </c>
      <c r="E630" t="inlineStr">
        <is>
          <t>UMEÅ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17484-2022</t>
        </is>
      </c>
      <c r="B631" s="1" t="n">
        <v>44679</v>
      </c>
      <c r="C631" s="1" t="n">
        <v>45828</v>
      </c>
      <c r="D631" t="inlineStr">
        <is>
          <t>VÄSTERBOTTENS LÄN</t>
        </is>
      </c>
      <c r="E631" t="inlineStr">
        <is>
          <t>UMEÅ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17477-2022</t>
        </is>
      </c>
      <c r="B632" s="1" t="n">
        <v>44679</v>
      </c>
      <c r="C632" s="1" t="n">
        <v>45828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18788-2022</t>
        </is>
      </c>
      <c r="B633" s="1" t="n">
        <v>44687</v>
      </c>
      <c r="C633" s="1" t="n">
        <v>45828</v>
      </c>
      <c r="D633" t="inlineStr">
        <is>
          <t>VÄSTERBOTTENS LÄN</t>
        </is>
      </c>
      <c r="E633" t="inlineStr">
        <is>
          <t>UMEÅ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20862-2022</t>
        </is>
      </c>
      <c r="B634" s="1" t="n">
        <v>44701</v>
      </c>
      <c r="C634" s="1" t="n">
        <v>45828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21574-2022</t>
        </is>
      </c>
      <c r="B635" s="1" t="n">
        <v>44706</v>
      </c>
      <c r="C635" s="1" t="n">
        <v>45828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22609-2022</t>
        </is>
      </c>
      <c r="B636" s="1" t="n">
        <v>44714</v>
      </c>
      <c r="C636" s="1" t="n">
        <v>45828</v>
      </c>
      <c r="D636" t="inlineStr">
        <is>
          <t>VÄSTERBOTTENS LÄN</t>
        </is>
      </c>
      <c r="E636" t="inlineStr">
        <is>
          <t>UMEÅ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22795-2022</t>
        </is>
      </c>
      <c r="B637" s="1" t="n">
        <v>44715</v>
      </c>
      <c r="C637" s="1" t="n">
        <v>45828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23006-2022</t>
        </is>
      </c>
      <c r="B638" s="1" t="n">
        <v>44715</v>
      </c>
      <c r="C638" s="1" t="n">
        <v>45828</v>
      </c>
      <c r="D638" t="inlineStr">
        <is>
          <t>VÄSTERBOTTENS LÄN</t>
        </is>
      </c>
      <c r="E638" t="inlineStr">
        <is>
          <t>UMEÅ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24586-2022</t>
        </is>
      </c>
      <c r="B639" s="1" t="n">
        <v>44727</v>
      </c>
      <c r="C639" s="1" t="n">
        <v>45828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25068-2022</t>
        </is>
      </c>
      <c r="B640" s="1" t="n">
        <v>44729</v>
      </c>
      <c r="C640" s="1" t="n">
        <v>45828</v>
      </c>
      <c r="D640" t="inlineStr">
        <is>
          <t>VÄSTERBOTTENS LÄN</t>
        </is>
      </c>
      <c r="E640" t="inlineStr">
        <is>
          <t>UMEÅ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25093-2022</t>
        </is>
      </c>
      <c r="B641" s="1" t="n">
        <v>44729</v>
      </c>
      <c r="C641" s="1" t="n">
        <v>45828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25099-2022</t>
        </is>
      </c>
      <c r="B642" s="1" t="n">
        <v>44729</v>
      </c>
      <c r="C642" s="1" t="n">
        <v>45828</v>
      </c>
      <c r="D642" t="inlineStr">
        <is>
          <t>VÄSTERBOTTENS LÄN</t>
        </is>
      </c>
      <c r="E642" t="inlineStr">
        <is>
          <t>UMEÅ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25315-2022</t>
        </is>
      </c>
      <c r="B643" s="1" t="n">
        <v>44731</v>
      </c>
      <c r="C643" s="1" t="n">
        <v>45828</v>
      </c>
      <c r="D643" t="inlineStr">
        <is>
          <t>VÄSTERBOTTENS LÄN</t>
        </is>
      </c>
      <c r="E643" t="inlineStr">
        <is>
          <t>UMEÅ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25966-2022</t>
        </is>
      </c>
      <c r="B644" s="1" t="n">
        <v>44734</v>
      </c>
      <c r="C644" s="1" t="n">
        <v>45828</v>
      </c>
      <c r="D644" t="inlineStr">
        <is>
          <t>VÄSTERBOTTENS LÄN</t>
        </is>
      </c>
      <c r="E644" t="inlineStr">
        <is>
          <t>UMEÅ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26872-2022</t>
        </is>
      </c>
      <c r="B645" s="1" t="n">
        <v>44740</v>
      </c>
      <c r="C645" s="1" t="n">
        <v>45828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26878-2022</t>
        </is>
      </c>
      <c r="B646" s="1" t="n">
        <v>44740</v>
      </c>
      <c r="C646" s="1" t="n">
        <v>45828</v>
      </c>
      <c r="D646" t="inlineStr">
        <is>
          <t>VÄSTERBOTTENS LÄN</t>
        </is>
      </c>
      <c r="E646" t="inlineStr">
        <is>
          <t>UMEÅ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26919-2022</t>
        </is>
      </c>
      <c r="B647" s="1" t="n">
        <v>44740</v>
      </c>
      <c r="C647" s="1" t="n">
        <v>45828</v>
      </c>
      <c r="D647" t="inlineStr">
        <is>
          <t>VÄSTERBOTTENS LÄN</t>
        </is>
      </c>
      <c r="E647" t="inlineStr">
        <is>
          <t>UMEÅ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27104-2022</t>
        </is>
      </c>
      <c r="B648" s="1" t="n">
        <v>44741</v>
      </c>
      <c r="C648" s="1" t="n">
        <v>45828</v>
      </c>
      <c r="D648" t="inlineStr">
        <is>
          <t>VÄSTERBOTTENS LÄN</t>
        </is>
      </c>
      <c r="E648" t="inlineStr">
        <is>
          <t>UMEÅ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27307-2022</t>
        </is>
      </c>
      <c r="B649" s="1" t="n">
        <v>44742</v>
      </c>
      <c r="C649" s="1" t="n">
        <v>45828</v>
      </c>
      <c r="D649" t="inlineStr">
        <is>
          <t>VÄSTERBOTTENS LÄN</t>
        </is>
      </c>
      <c r="E649" t="inlineStr">
        <is>
          <t>UMEÅ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27620-2022</t>
        </is>
      </c>
      <c r="B650" s="1" t="n">
        <v>44742</v>
      </c>
      <c r="C650" s="1" t="n">
        <v>45828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29027-2022</t>
        </is>
      </c>
      <c r="B651" s="1" t="n">
        <v>44750</v>
      </c>
      <c r="C651" s="1" t="n">
        <v>45828</v>
      </c>
      <c r="D651" t="inlineStr">
        <is>
          <t>VÄSTERBOTTENS LÄN</t>
        </is>
      </c>
      <c r="E651" t="inlineStr">
        <is>
          <t>UMEÅ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29969-2022</t>
        </is>
      </c>
      <c r="B652" s="1" t="n">
        <v>44756</v>
      </c>
      <c r="C652" s="1" t="n">
        <v>45828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31296-2022</t>
        </is>
      </c>
      <c r="B653" s="1" t="n">
        <v>44772</v>
      </c>
      <c r="C653" s="1" t="n">
        <v>45828</v>
      </c>
      <c r="D653" t="inlineStr">
        <is>
          <t>VÄSTERBOTTENS LÄN</t>
        </is>
      </c>
      <c r="E653" t="inlineStr">
        <is>
          <t>UMEÅ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31314-2022</t>
        </is>
      </c>
      <c r="B654" s="1" t="n">
        <v>44774</v>
      </c>
      <c r="C654" s="1" t="n">
        <v>45828</v>
      </c>
      <c r="D654" t="inlineStr">
        <is>
          <t>VÄSTERBOTTENS LÄN</t>
        </is>
      </c>
      <c r="E654" t="inlineStr">
        <is>
          <t>UMEÅ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31337-2022</t>
        </is>
      </c>
      <c r="B655" s="1" t="n">
        <v>44774</v>
      </c>
      <c r="C655" s="1" t="n">
        <v>45828</v>
      </c>
      <c r="D655" t="inlineStr">
        <is>
          <t>VÄSTERBOTTENS LÄN</t>
        </is>
      </c>
      <c r="E655" t="inlineStr">
        <is>
          <t>UMEÅ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31421-2022</t>
        </is>
      </c>
      <c r="B656" s="1" t="n">
        <v>44774</v>
      </c>
      <c r="C656" s="1" t="n">
        <v>45828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31920-2022</t>
        </is>
      </c>
      <c r="B657" s="1" t="n">
        <v>44777</v>
      </c>
      <c r="C657" s="1" t="n">
        <v>45828</v>
      </c>
      <c r="D657" t="inlineStr">
        <is>
          <t>VÄSTERBOTTENS LÄN</t>
        </is>
      </c>
      <c r="E657" t="inlineStr">
        <is>
          <t>UMEÅ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45828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45828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45828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45828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45828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45828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45828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45828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45828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45828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45828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45828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45828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45828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45828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45828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45828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45828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45828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45828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45828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45828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45828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45828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45828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45828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45828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45828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45828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45828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45828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45828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45828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45828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45828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45828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45828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45828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45828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45828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45828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45828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45828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45828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45828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45828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45828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45828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45828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45828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45828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45828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45828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45828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45828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45828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45828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45828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45828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45828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45828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45828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45828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45828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45828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45828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45828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45828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45828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45828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45828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45828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45828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48881-2022</t>
        </is>
      </c>
      <c r="B731" s="1" t="n">
        <v>44859</v>
      </c>
      <c r="C731" s="1" t="n">
        <v>45828</v>
      </c>
      <c r="D731" t="inlineStr">
        <is>
          <t>VÄSTERBOTTENS LÄN</t>
        </is>
      </c>
      <c r="E731" t="inlineStr">
        <is>
          <t>UMEÅ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49027-2022</t>
        </is>
      </c>
      <c r="B732" s="1" t="n">
        <v>44860</v>
      </c>
      <c r="C732" s="1" t="n">
        <v>45828</v>
      </c>
      <c r="D732" t="inlineStr">
        <is>
          <t>VÄSTERBOTTENS LÄN</t>
        </is>
      </c>
      <c r="E732" t="inlineStr">
        <is>
          <t>UMEÅ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49248-2022</t>
        </is>
      </c>
      <c r="B733" s="1" t="n">
        <v>44861</v>
      </c>
      <c r="C733" s="1" t="n">
        <v>45828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49296-2022</t>
        </is>
      </c>
      <c r="B734" s="1" t="n">
        <v>44861</v>
      </c>
      <c r="C734" s="1" t="n">
        <v>45828</v>
      </c>
      <c r="D734" t="inlineStr">
        <is>
          <t>VÄSTERBOTTENS LÄN</t>
        </is>
      </c>
      <c r="E734" t="inlineStr">
        <is>
          <t>UMEÅ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45828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45828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45828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45828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45828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45828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45828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45828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45828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45828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45828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45828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45828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45828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45828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45828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45828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45828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45828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45828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45828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45828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45828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45828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45828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45828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45828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45828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45828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45828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45828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45828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45828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45828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45828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45828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45828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45828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45828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45828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45828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45828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45828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45828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45828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45828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45828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45828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45828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45828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45828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45828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45828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45828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45828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45828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45828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45828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45828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45828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45828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45828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45828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45828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45828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45828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45828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45828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45828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45828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45828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45828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45828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45828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45828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45828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45828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45828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45828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45828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45828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45828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45828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45828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45828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45828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45828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45828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45828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45828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45828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45828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45828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45828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45828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45828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45828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45828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45828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45828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45828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45828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45828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45828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45828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45828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45828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45828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45828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45828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45828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45828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45828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45828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45828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45828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45828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45828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45828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45828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45828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45828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45828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45828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45828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45828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45828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45828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45828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45828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45828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45828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45828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45828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45828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45828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45828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45828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45828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25889-2023</t>
        </is>
      </c>
      <c r="B874" s="1" t="n">
        <v>45085</v>
      </c>
      <c r="C874" s="1" t="n">
        <v>45828</v>
      </c>
      <c r="D874" t="inlineStr">
        <is>
          <t>VÄSTERBOTTENS LÄN</t>
        </is>
      </c>
      <c r="E874" t="inlineStr">
        <is>
          <t>UMEÅ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26247-2023</t>
        </is>
      </c>
      <c r="B875" s="1" t="n">
        <v>45086</v>
      </c>
      <c r="C875" s="1" t="n">
        <v>45828</v>
      </c>
      <c r="D875" t="inlineStr">
        <is>
          <t>VÄSTERBOTTENS LÄN</t>
        </is>
      </c>
      <c r="E875" t="inlineStr">
        <is>
          <t>UMEÅ</t>
        </is>
      </c>
      <c r="G875" t="n">
        <v>13.3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26250-2023</t>
        </is>
      </c>
      <c r="B876" s="1" t="n">
        <v>45086</v>
      </c>
      <c r="C876" s="1" t="n">
        <v>45828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25365-2023</t>
        </is>
      </c>
      <c r="B877" s="1" t="n">
        <v>45088</v>
      </c>
      <c r="C877" s="1" t="n">
        <v>45828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25367-2023</t>
        </is>
      </c>
      <c r="B878" s="1" t="n">
        <v>45089</v>
      </c>
      <c r="C878" s="1" t="n">
        <v>45828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25457-2023</t>
        </is>
      </c>
      <c r="B879" s="1" t="n">
        <v>45089</v>
      </c>
      <c r="C879" s="1" t="n">
        <v>45828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25505-2023</t>
        </is>
      </c>
      <c r="B880" s="1" t="n">
        <v>45089</v>
      </c>
      <c r="C880" s="1" t="n">
        <v>45828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26177-2023</t>
        </is>
      </c>
      <c r="B881" s="1" t="n">
        <v>45091</v>
      </c>
      <c r="C881" s="1" t="n">
        <v>45828</v>
      </c>
      <c r="D881" t="inlineStr">
        <is>
          <t>VÄSTERBOTTENS LÄN</t>
        </is>
      </c>
      <c r="E881" t="inlineStr">
        <is>
          <t>UMEÅ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26137-2023</t>
        </is>
      </c>
      <c r="B882" s="1" t="n">
        <v>45091</v>
      </c>
      <c r="C882" s="1" t="n">
        <v>45828</v>
      </c>
      <c r="D882" t="inlineStr">
        <is>
          <t>VÄSTERBOTTENS LÄN</t>
        </is>
      </c>
      <c r="E882" t="inlineStr">
        <is>
          <t>UMEÅ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26970-2023</t>
        </is>
      </c>
      <c r="B883" s="1" t="n">
        <v>45091</v>
      </c>
      <c r="C883" s="1" t="n">
        <v>45828</v>
      </c>
      <c r="D883" t="inlineStr">
        <is>
          <t>VÄSTERBOTTENS LÄN</t>
        </is>
      </c>
      <c r="E883" t="inlineStr">
        <is>
          <t>UMEÅ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26138-2023</t>
        </is>
      </c>
      <c r="B884" s="1" t="n">
        <v>45091</v>
      </c>
      <c r="C884" s="1" t="n">
        <v>45828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26967-2023</t>
        </is>
      </c>
      <c r="B885" s="1" t="n">
        <v>45091</v>
      </c>
      <c r="C885" s="1" t="n">
        <v>45828</v>
      </c>
      <c r="D885" t="inlineStr">
        <is>
          <t>VÄSTERBOTTENS LÄN</t>
        </is>
      </c>
      <c r="E885" t="inlineStr">
        <is>
          <t>UMEÅ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27338-2023</t>
        </is>
      </c>
      <c r="B886" s="1" t="n">
        <v>45096</v>
      </c>
      <c r="C886" s="1" t="n">
        <v>45828</v>
      </c>
      <c r="D886" t="inlineStr">
        <is>
          <t>VÄSTERBOTTENS LÄN</t>
        </is>
      </c>
      <c r="E886" t="inlineStr">
        <is>
          <t>UMEÅ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28970-2023</t>
        </is>
      </c>
      <c r="B887" s="1" t="n">
        <v>45096</v>
      </c>
      <c r="C887" s="1" t="n">
        <v>45828</v>
      </c>
      <c r="D887" t="inlineStr">
        <is>
          <t>VÄSTERBOTTENS LÄN</t>
        </is>
      </c>
      <c r="E887" t="inlineStr">
        <is>
          <t>UMEÅ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28877-2023</t>
        </is>
      </c>
      <c r="B888" s="1" t="n">
        <v>45096</v>
      </c>
      <c r="C888" s="1" t="n">
        <v>45828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29447-2023</t>
        </is>
      </c>
      <c r="B889" s="1" t="n">
        <v>45096</v>
      </c>
      <c r="C889" s="1" t="n">
        <v>45828</v>
      </c>
      <c r="D889" t="inlineStr">
        <is>
          <t>VÄSTERBOTTENS LÄN</t>
        </is>
      </c>
      <c r="E889" t="inlineStr">
        <is>
          <t>UMEÅ</t>
        </is>
      </c>
      <c r="G889" t="n">
        <v>19.7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28679-2023</t>
        </is>
      </c>
      <c r="B890" s="1" t="n">
        <v>45096</v>
      </c>
      <c r="C890" s="1" t="n">
        <v>45828</v>
      </c>
      <c r="D890" t="inlineStr">
        <is>
          <t>VÄSTERBOTTENS LÄN</t>
        </is>
      </c>
      <c r="E890" t="inlineStr">
        <is>
          <t>UMEÅ</t>
        </is>
      </c>
      <c r="G890" t="n">
        <v>13.3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29454-2023</t>
        </is>
      </c>
      <c r="B891" s="1" t="n">
        <v>45098</v>
      </c>
      <c r="C891" s="1" t="n">
        <v>45828</v>
      </c>
      <c r="D891" t="inlineStr">
        <is>
          <t>VÄSTERBOTTENS LÄN</t>
        </is>
      </c>
      <c r="E891" t="inlineStr">
        <is>
          <t>UMEÅ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28099-2023</t>
        </is>
      </c>
      <c r="B892" s="1" t="n">
        <v>45099</v>
      </c>
      <c r="C892" s="1" t="n">
        <v>45828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28164-2023</t>
        </is>
      </c>
      <c r="B893" s="1" t="n">
        <v>45099</v>
      </c>
      <c r="C893" s="1" t="n">
        <v>45828</v>
      </c>
      <c r="D893" t="inlineStr">
        <is>
          <t>VÄSTERBOTTENS LÄN</t>
        </is>
      </c>
      <c r="E893" t="inlineStr">
        <is>
          <t>UMEÅ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28193-2023</t>
        </is>
      </c>
      <c r="B894" s="1" t="n">
        <v>45099</v>
      </c>
      <c r="C894" s="1" t="n">
        <v>45828</v>
      </c>
      <c r="D894" t="inlineStr">
        <is>
          <t>VÄSTERBOTTENS LÄN</t>
        </is>
      </c>
      <c r="E894" t="inlineStr">
        <is>
          <t>UMEÅ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30210-2023</t>
        </is>
      </c>
      <c r="B895" s="1" t="n">
        <v>45099</v>
      </c>
      <c r="C895" s="1" t="n">
        <v>45828</v>
      </c>
      <c r="D895" t="inlineStr">
        <is>
          <t>VÄSTERBOTTENS LÄN</t>
        </is>
      </c>
      <c r="E895" t="inlineStr">
        <is>
          <t>UMEÅ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28628-2023</t>
        </is>
      </c>
      <c r="B896" s="1" t="n">
        <v>45103</v>
      </c>
      <c r="C896" s="1" t="n">
        <v>45828</v>
      </c>
      <c r="D896" t="inlineStr">
        <is>
          <t>VÄSTERBOTTENS LÄN</t>
        </is>
      </c>
      <c r="E896" t="inlineStr">
        <is>
          <t>UMEÅ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29148-2023</t>
        </is>
      </c>
      <c r="B897" s="1" t="n">
        <v>45105</v>
      </c>
      <c r="C897" s="1" t="n">
        <v>45828</v>
      </c>
      <c r="D897" t="inlineStr">
        <is>
          <t>VÄSTERBOTTENS LÄN</t>
        </is>
      </c>
      <c r="E897" t="inlineStr">
        <is>
          <t>UMEÅ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29463-2023</t>
        </is>
      </c>
      <c r="B898" s="1" t="n">
        <v>45106</v>
      </c>
      <c r="C898" s="1" t="n">
        <v>45828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29640-2023</t>
        </is>
      </c>
      <c r="B899" s="1" t="n">
        <v>45106</v>
      </c>
      <c r="C899" s="1" t="n">
        <v>45828</v>
      </c>
      <c r="D899" t="inlineStr">
        <is>
          <t>VÄSTERBOTTENS LÄN</t>
        </is>
      </c>
      <c r="E899" t="inlineStr">
        <is>
          <t>UMEÅ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29827-2023</t>
        </is>
      </c>
      <c r="B900" s="1" t="n">
        <v>45107</v>
      </c>
      <c r="C900" s="1" t="n">
        <v>45828</v>
      </c>
      <c r="D900" t="inlineStr">
        <is>
          <t>VÄSTERBOTTENS LÄN</t>
        </is>
      </c>
      <c r="E900" t="inlineStr">
        <is>
          <t>UMEÅ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29814-2023</t>
        </is>
      </c>
      <c r="B901" s="1" t="n">
        <v>45107</v>
      </c>
      <c r="C901" s="1" t="n">
        <v>45828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30266-2023</t>
        </is>
      </c>
      <c r="B902" s="1" t="n">
        <v>45110</v>
      </c>
      <c r="C902" s="1" t="n">
        <v>45828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30258-2023</t>
        </is>
      </c>
      <c r="B903" s="1" t="n">
        <v>45110</v>
      </c>
      <c r="C903" s="1" t="n">
        <v>45828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30216-2023</t>
        </is>
      </c>
      <c r="B904" s="1" t="n">
        <v>45110</v>
      </c>
      <c r="C904" s="1" t="n">
        <v>45828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30553-2023</t>
        </is>
      </c>
      <c r="B905" s="1" t="n">
        <v>45111</v>
      </c>
      <c r="C905" s="1" t="n">
        <v>45828</v>
      </c>
      <c r="D905" t="inlineStr">
        <is>
          <t>VÄSTERBOTTENS LÄN</t>
        </is>
      </c>
      <c r="E905" t="inlineStr">
        <is>
          <t>UMEÅ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32628-2023</t>
        </is>
      </c>
      <c r="B906" s="1" t="n">
        <v>45112</v>
      </c>
      <c r="C906" s="1" t="n">
        <v>45828</v>
      </c>
      <c r="D906" t="inlineStr">
        <is>
          <t>VÄSTERBOTTENS LÄN</t>
        </is>
      </c>
      <c r="E906" t="inlineStr">
        <is>
          <t>UMEÅ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32626-2023</t>
        </is>
      </c>
      <c r="B907" s="1" t="n">
        <v>45112</v>
      </c>
      <c r="C907" s="1" t="n">
        <v>45828</v>
      </c>
      <c r="D907" t="inlineStr">
        <is>
          <t>VÄSTERBOTTENS LÄN</t>
        </is>
      </c>
      <c r="E907" t="inlineStr">
        <is>
          <t>UMEÅ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31068-2023</t>
        </is>
      </c>
      <c r="B908" s="1" t="n">
        <v>45113</v>
      </c>
      <c r="C908" s="1" t="n">
        <v>45828</v>
      </c>
      <c r="D908" t="inlineStr">
        <is>
          <t>VÄSTERBOTTENS LÄN</t>
        </is>
      </c>
      <c r="E908" t="inlineStr">
        <is>
          <t>UMEÅ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31531-2023</t>
        </is>
      </c>
      <c r="B909" s="1" t="n">
        <v>45116</v>
      </c>
      <c r="C909" s="1" t="n">
        <v>45828</v>
      </c>
      <c r="D909" t="inlineStr">
        <is>
          <t>VÄSTERBOTTENS LÄN</t>
        </is>
      </c>
      <c r="E909" t="inlineStr">
        <is>
          <t>UMEÅ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32464-2023</t>
        </is>
      </c>
      <c r="B910" s="1" t="n">
        <v>45121</v>
      </c>
      <c r="C910" s="1" t="n">
        <v>45828</v>
      </c>
      <c r="D910" t="inlineStr">
        <is>
          <t>VÄSTERBOTTENS LÄN</t>
        </is>
      </c>
      <c r="E910" t="inlineStr">
        <is>
          <t>UMEÅ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32463-2023</t>
        </is>
      </c>
      <c r="B911" s="1" t="n">
        <v>45121</v>
      </c>
      <c r="C911" s="1" t="n">
        <v>45828</v>
      </c>
      <c r="D911" t="inlineStr">
        <is>
          <t>VÄSTERBOTTENS LÄN</t>
        </is>
      </c>
      <c r="E911" t="inlineStr">
        <is>
          <t>UMEÅ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32467-2023</t>
        </is>
      </c>
      <c r="B912" s="1" t="n">
        <v>45121</v>
      </c>
      <c r="C912" s="1" t="n">
        <v>45828</v>
      </c>
      <c r="D912" t="inlineStr">
        <is>
          <t>VÄSTERBOTTENS LÄN</t>
        </is>
      </c>
      <c r="E912" t="inlineStr">
        <is>
          <t>UMEÅ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32462-2023</t>
        </is>
      </c>
      <c r="B913" s="1" t="n">
        <v>45121</v>
      </c>
      <c r="C913" s="1" t="n">
        <v>45828</v>
      </c>
      <c r="D913" t="inlineStr">
        <is>
          <t>VÄSTERBOTTENS LÄN</t>
        </is>
      </c>
      <c r="E913" t="inlineStr">
        <is>
          <t>UMEÅ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33418-2023</t>
        </is>
      </c>
      <c r="B914" s="1" t="n">
        <v>45128</v>
      </c>
      <c r="C914" s="1" t="n">
        <v>45828</v>
      </c>
      <c r="D914" t="inlineStr">
        <is>
          <t>VÄSTERBOTTENS LÄN</t>
        </is>
      </c>
      <c r="E914" t="inlineStr">
        <is>
          <t>UMEÅ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34266-2023</t>
        </is>
      </c>
      <c r="B915" s="1" t="n">
        <v>45138</v>
      </c>
      <c r="C915" s="1" t="n">
        <v>45828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34535-2023</t>
        </is>
      </c>
      <c r="B916" s="1" t="n">
        <v>45140</v>
      </c>
      <c r="C916" s="1" t="n">
        <v>45828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34550-2023</t>
        </is>
      </c>
      <c r="B917" s="1" t="n">
        <v>45140</v>
      </c>
      <c r="C917" s="1" t="n">
        <v>45828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34589-2023</t>
        </is>
      </c>
      <c r="B918" s="1" t="n">
        <v>45140</v>
      </c>
      <c r="C918" s="1" t="n">
        <v>45828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34709-2023</t>
        </is>
      </c>
      <c r="B919" s="1" t="n">
        <v>45141</v>
      </c>
      <c r="C919" s="1" t="n">
        <v>45828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34991-2023</t>
        </is>
      </c>
      <c r="B920" s="1" t="n">
        <v>45142</v>
      </c>
      <c r="C920" s="1" t="n">
        <v>45828</v>
      </c>
      <c r="D920" t="inlineStr">
        <is>
          <t>VÄSTERBOTTENS LÄN</t>
        </is>
      </c>
      <c r="E920" t="inlineStr">
        <is>
          <t>UMEÅ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35096-2023</t>
        </is>
      </c>
      <c r="B921" s="1" t="n">
        <v>45145</v>
      </c>
      <c r="C921" s="1" t="n">
        <v>45828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37443-2023</t>
        </is>
      </c>
      <c r="B922" s="1" t="n">
        <v>45147</v>
      </c>
      <c r="C922" s="1" t="n">
        <v>45828</v>
      </c>
      <c r="D922" t="inlineStr">
        <is>
          <t>VÄSTERBOTTENS LÄN</t>
        </is>
      </c>
      <c r="E922" t="inlineStr">
        <is>
          <t>UMEÅ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36120-2023</t>
        </is>
      </c>
      <c r="B923" s="1" t="n">
        <v>45148</v>
      </c>
      <c r="C923" s="1" t="n">
        <v>45828</v>
      </c>
      <c r="D923" t="inlineStr">
        <is>
          <t>VÄSTERBOTTENS LÄN</t>
        </is>
      </c>
      <c r="E923" t="inlineStr">
        <is>
          <t>UMEÅ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36201-2023</t>
        </is>
      </c>
      <c r="B924" s="1" t="n">
        <v>45149</v>
      </c>
      <c r="C924" s="1" t="n">
        <v>45828</v>
      </c>
      <c r="D924" t="inlineStr">
        <is>
          <t>VÄSTERBOTTENS LÄN</t>
        </is>
      </c>
      <c r="E924" t="inlineStr">
        <is>
          <t>UMEÅ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36955-2023</t>
        </is>
      </c>
      <c r="B925" s="1" t="n">
        <v>45154</v>
      </c>
      <c r="C925" s="1" t="n">
        <v>45828</v>
      </c>
      <c r="D925" t="inlineStr">
        <is>
          <t>VÄSTERBOTTENS LÄN</t>
        </is>
      </c>
      <c r="E925" t="inlineStr">
        <is>
          <t>UMEÅ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38417-2023</t>
        </is>
      </c>
      <c r="B926" s="1" t="n">
        <v>45160</v>
      </c>
      <c r="C926" s="1" t="n">
        <v>45828</v>
      </c>
      <c r="D926" t="inlineStr">
        <is>
          <t>VÄSTERBOTTENS LÄN</t>
        </is>
      </c>
      <c r="E926" t="inlineStr">
        <is>
          <t>UMEÅ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38266-2023</t>
        </is>
      </c>
      <c r="B927" s="1" t="n">
        <v>45160</v>
      </c>
      <c r="C927" s="1" t="n">
        <v>45828</v>
      </c>
      <c r="D927" t="inlineStr">
        <is>
          <t>VÄSTERBOTTENS LÄN</t>
        </is>
      </c>
      <c r="E927" t="inlineStr">
        <is>
          <t>UMEÅ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38289-2023</t>
        </is>
      </c>
      <c r="B928" s="1" t="n">
        <v>45161</v>
      </c>
      <c r="C928" s="1" t="n">
        <v>45828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38412-2023</t>
        </is>
      </c>
      <c r="B929" s="1" t="n">
        <v>45162</v>
      </c>
      <c r="C929" s="1" t="n">
        <v>45828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39607-2023</t>
        </is>
      </c>
      <c r="B930" s="1" t="n">
        <v>45163</v>
      </c>
      <c r="C930" s="1" t="n">
        <v>45828</v>
      </c>
      <c r="D930" t="inlineStr">
        <is>
          <t>VÄSTERBOTTENS LÄN</t>
        </is>
      </c>
      <c r="E930" t="inlineStr">
        <is>
          <t>UMEÅ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39115-2023</t>
        </is>
      </c>
      <c r="B931" s="1" t="n">
        <v>45165</v>
      </c>
      <c r="C931" s="1" t="n">
        <v>45828</v>
      </c>
      <c r="D931" t="inlineStr">
        <is>
          <t>VÄSTERBOTTENS LÄN</t>
        </is>
      </c>
      <c r="E931" t="inlineStr">
        <is>
          <t>UMEÅ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39146-2023</t>
        </is>
      </c>
      <c r="B932" s="1" t="n">
        <v>45166</v>
      </c>
      <c r="C932" s="1" t="n">
        <v>45828</v>
      </c>
      <c r="D932" t="inlineStr">
        <is>
          <t>VÄSTERBOTTENS LÄN</t>
        </is>
      </c>
      <c r="E932" t="inlineStr">
        <is>
          <t>UMEÅ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39244-2023</t>
        </is>
      </c>
      <c r="B933" s="1" t="n">
        <v>45166</v>
      </c>
      <c r="C933" s="1" t="n">
        <v>45828</v>
      </c>
      <c r="D933" t="inlineStr">
        <is>
          <t>VÄSTERBOTTENS LÄN</t>
        </is>
      </c>
      <c r="E933" t="inlineStr">
        <is>
          <t>UMEÅ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39445-2023</t>
        </is>
      </c>
      <c r="B934" s="1" t="n">
        <v>45166</v>
      </c>
      <c r="C934" s="1" t="n">
        <v>45828</v>
      </c>
      <c r="D934" t="inlineStr">
        <is>
          <t>VÄSTERBOTTENS LÄN</t>
        </is>
      </c>
      <c r="E934" t="inlineStr">
        <is>
          <t>UMEÅ</t>
        </is>
      </c>
      <c r="G934" t="n">
        <v>33.4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39913-2023</t>
        </is>
      </c>
      <c r="B935" s="1" t="n">
        <v>45166</v>
      </c>
      <c r="C935" s="1" t="n">
        <v>45828</v>
      </c>
      <c r="D935" t="inlineStr">
        <is>
          <t>VÄSTERBOTTENS LÄN</t>
        </is>
      </c>
      <c r="E935" t="inlineStr">
        <is>
          <t>UMEÅ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39594-2023</t>
        </is>
      </c>
      <c r="B936" s="1" t="n">
        <v>45167</v>
      </c>
      <c r="C936" s="1" t="n">
        <v>45828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39599-2023</t>
        </is>
      </c>
      <c r="B937" s="1" t="n">
        <v>45167</v>
      </c>
      <c r="C937" s="1" t="n">
        <v>45828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25.5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39606-2023</t>
        </is>
      </c>
      <c r="B938" s="1" t="n">
        <v>45167</v>
      </c>
      <c r="C938" s="1" t="n">
        <v>45828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39521-2023</t>
        </is>
      </c>
      <c r="B939" s="1" t="n">
        <v>45167</v>
      </c>
      <c r="C939" s="1" t="n">
        <v>45828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39602-2023</t>
        </is>
      </c>
      <c r="B940" s="1" t="n">
        <v>45167</v>
      </c>
      <c r="C940" s="1" t="n">
        <v>45828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40032-2023</t>
        </is>
      </c>
      <c r="B941" s="1" t="n">
        <v>45167</v>
      </c>
      <c r="C941" s="1" t="n">
        <v>45828</v>
      </c>
      <c r="D941" t="inlineStr">
        <is>
          <t>VÄSTERBOTTENS LÄN</t>
        </is>
      </c>
      <c r="E941" t="inlineStr">
        <is>
          <t>UMEÅ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39661-2023</t>
        </is>
      </c>
      <c r="B942" s="1" t="n">
        <v>45167</v>
      </c>
      <c r="C942" s="1" t="n">
        <v>45828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39724-2023</t>
        </is>
      </c>
      <c r="B943" s="1" t="n">
        <v>45167</v>
      </c>
      <c r="C943" s="1" t="n">
        <v>45828</v>
      </c>
      <c r="D943" t="inlineStr">
        <is>
          <t>VÄSTERBOTTENS LÄN</t>
        </is>
      </c>
      <c r="E943" t="inlineStr">
        <is>
          <t>UMEÅ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39945-2023</t>
        </is>
      </c>
      <c r="B944" s="1" t="n">
        <v>45168</v>
      </c>
      <c r="C944" s="1" t="n">
        <v>45828</v>
      </c>
      <c r="D944" t="inlineStr">
        <is>
          <t>VÄSTERBOTTENS LÄN</t>
        </is>
      </c>
      <c r="E944" t="inlineStr">
        <is>
          <t>UMEÅ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39960-2023</t>
        </is>
      </c>
      <c r="B945" s="1" t="n">
        <v>45168</v>
      </c>
      <c r="C945" s="1" t="n">
        <v>45828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41287-2023</t>
        </is>
      </c>
      <c r="B946" s="1" t="n">
        <v>45170</v>
      </c>
      <c r="C946" s="1" t="n">
        <v>45828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40805-2023</t>
        </is>
      </c>
      <c r="B947" s="1" t="n">
        <v>45171</v>
      </c>
      <c r="C947" s="1" t="n">
        <v>45828</v>
      </c>
      <c r="D947" t="inlineStr">
        <is>
          <t>VÄSTERBOTTENS LÄN</t>
        </is>
      </c>
      <c r="E947" t="inlineStr">
        <is>
          <t>UMEÅ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40855-2023</t>
        </is>
      </c>
      <c r="B948" s="1" t="n">
        <v>45173</v>
      </c>
      <c r="C948" s="1" t="n">
        <v>45828</v>
      </c>
      <c r="D948" t="inlineStr">
        <is>
          <t>VÄSTERBOTTENS LÄN</t>
        </is>
      </c>
      <c r="E948" t="inlineStr">
        <is>
          <t>UMEÅ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41095-2023</t>
        </is>
      </c>
      <c r="B949" s="1" t="n">
        <v>45173</v>
      </c>
      <c r="C949" s="1" t="n">
        <v>45828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41516-2023</t>
        </is>
      </c>
      <c r="B950" s="1" t="n">
        <v>45173</v>
      </c>
      <c r="C950" s="1" t="n">
        <v>45828</v>
      </c>
      <c r="D950" t="inlineStr">
        <is>
          <t>VÄSTERBOTTENS LÄN</t>
        </is>
      </c>
      <c r="E950" t="inlineStr">
        <is>
          <t>UMEÅ</t>
        </is>
      </c>
      <c r="G950" t="n">
        <v>11.6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41501-2023</t>
        </is>
      </c>
      <c r="B951" s="1" t="n">
        <v>45173</v>
      </c>
      <c r="C951" s="1" t="n">
        <v>45828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41525-2023</t>
        </is>
      </c>
      <c r="B952" s="1" t="n">
        <v>45173</v>
      </c>
      <c r="C952" s="1" t="n">
        <v>45828</v>
      </c>
      <c r="D952" t="inlineStr">
        <is>
          <t>VÄSTERBOTTENS LÄN</t>
        </is>
      </c>
      <c r="E952" t="inlineStr">
        <is>
          <t>UMEÅ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41064-2023</t>
        </is>
      </c>
      <c r="B953" s="1" t="n">
        <v>45173</v>
      </c>
      <c r="C953" s="1" t="n">
        <v>45828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41524-2023</t>
        </is>
      </c>
      <c r="B954" s="1" t="n">
        <v>45173</v>
      </c>
      <c r="C954" s="1" t="n">
        <v>45828</v>
      </c>
      <c r="D954" t="inlineStr">
        <is>
          <t>VÄSTERBOTTENS LÄN</t>
        </is>
      </c>
      <c r="E954" t="inlineStr">
        <is>
          <t>UMEÅ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41218-2023</t>
        </is>
      </c>
      <c r="B955" s="1" t="n">
        <v>45174</v>
      </c>
      <c r="C955" s="1" t="n">
        <v>45828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42012-2023</t>
        </is>
      </c>
      <c r="B956" s="1" t="n">
        <v>45174</v>
      </c>
      <c r="C956" s="1" t="n">
        <v>45828</v>
      </c>
      <c r="D956" t="inlineStr">
        <is>
          <t>VÄSTERBOTTENS LÄN</t>
        </is>
      </c>
      <c r="E956" t="inlineStr">
        <is>
          <t>UMEÅ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41594-2023</t>
        </is>
      </c>
      <c r="B957" s="1" t="n">
        <v>45175</v>
      </c>
      <c r="C957" s="1" t="n">
        <v>45828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41732-2023</t>
        </is>
      </c>
      <c r="B958" s="1" t="n">
        <v>45176</v>
      </c>
      <c r="C958" s="1" t="n">
        <v>45828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41714-2023</t>
        </is>
      </c>
      <c r="B959" s="1" t="n">
        <v>45176</v>
      </c>
      <c r="C959" s="1" t="n">
        <v>45828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42105-2023</t>
        </is>
      </c>
      <c r="B960" s="1" t="n">
        <v>45177</v>
      </c>
      <c r="C960" s="1" t="n">
        <v>45828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42463-2023</t>
        </is>
      </c>
      <c r="B961" s="1" t="n">
        <v>45180</v>
      </c>
      <c r="C961" s="1" t="n">
        <v>45828</v>
      </c>
      <c r="D961" t="inlineStr">
        <is>
          <t>VÄSTERBOTTENS LÄN</t>
        </is>
      </c>
      <c r="E961" t="inlineStr">
        <is>
          <t>UMEÅ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42263-2023</t>
        </is>
      </c>
      <c r="B962" s="1" t="n">
        <v>45180</v>
      </c>
      <c r="C962" s="1" t="n">
        <v>45828</v>
      </c>
      <c r="D962" t="inlineStr">
        <is>
          <t>VÄSTERBOTTENS LÄN</t>
        </is>
      </c>
      <c r="E962" t="inlineStr">
        <is>
          <t>UMEÅ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42697-2023</t>
        </is>
      </c>
      <c r="B963" s="1" t="n">
        <v>45181</v>
      </c>
      <c r="C963" s="1" t="n">
        <v>45828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43011-2023</t>
        </is>
      </c>
      <c r="B964" s="1" t="n">
        <v>45182</v>
      </c>
      <c r="C964" s="1" t="n">
        <v>45828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43154-2023</t>
        </is>
      </c>
      <c r="B965" s="1" t="n">
        <v>45183</v>
      </c>
      <c r="C965" s="1" t="n">
        <v>45828</v>
      </c>
      <c r="D965" t="inlineStr">
        <is>
          <t>VÄSTERBOTTENS LÄN</t>
        </is>
      </c>
      <c r="E965" t="inlineStr">
        <is>
          <t>UMEÅ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43163-2023</t>
        </is>
      </c>
      <c r="B966" s="1" t="n">
        <v>45183</v>
      </c>
      <c r="C966" s="1" t="n">
        <v>45828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44008-2023</t>
        </is>
      </c>
      <c r="B967" s="1" t="n">
        <v>45188</v>
      </c>
      <c r="C967" s="1" t="n">
        <v>45828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44279-2023</t>
        </is>
      </c>
      <c r="B968" s="1" t="n">
        <v>45188</v>
      </c>
      <c r="C968" s="1" t="n">
        <v>45828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44207-2023</t>
        </is>
      </c>
      <c r="B969" s="1" t="n">
        <v>45188</v>
      </c>
      <c r="C969" s="1" t="n">
        <v>45828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44563-2023</t>
        </is>
      </c>
      <c r="B970" s="1" t="n">
        <v>45189</v>
      </c>
      <c r="C970" s="1" t="n">
        <v>45828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44459-2023</t>
        </is>
      </c>
      <c r="B971" s="1" t="n">
        <v>45189</v>
      </c>
      <c r="C971" s="1" t="n">
        <v>45828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45603-2023</t>
        </is>
      </c>
      <c r="B972" s="1" t="n">
        <v>45194</v>
      </c>
      <c r="C972" s="1" t="n">
        <v>45828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46372-2023</t>
        </is>
      </c>
      <c r="B973" s="1" t="n">
        <v>45197</v>
      </c>
      <c r="C973" s="1" t="n">
        <v>45828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46320-2023</t>
        </is>
      </c>
      <c r="B974" s="1" t="n">
        <v>45197</v>
      </c>
      <c r="C974" s="1" t="n">
        <v>45828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46356-2023</t>
        </is>
      </c>
      <c r="B975" s="1" t="n">
        <v>45197</v>
      </c>
      <c r="C975" s="1" t="n">
        <v>45828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46649-2023</t>
        </is>
      </c>
      <c r="B976" s="1" t="n">
        <v>45198</v>
      </c>
      <c r="C976" s="1" t="n">
        <v>45828</v>
      </c>
      <c r="D976" t="inlineStr">
        <is>
          <t>VÄSTERBOTTENS LÄN</t>
        </is>
      </c>
      <c r="E976" t="inlineStr">
        <is>
          <t>UMEÅ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46653-2023</t>
        </is>
      </c>
      <c r="B977" s="1" t="n">
        <v>45198</v>
      </c>
      <c r="C977" s="1" t="n">
        <v>45828</v>
      </c>
      <c r="D977" t="inlineStr">
        <is>
          <t>VÄSTERBOTTENS LÄN</t>
        </is>
      </c>
      <c r="E977" t="inlineStr">
        <is>
          <t>UMEÅ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46727-2023</t>
        </is>
      </c>
      <c r="B978" s="1" t="n">
        <v>45198</v>
      </c>
      <c r="C978" s="1" t="n">
        <v>45828</v>
      </c>
      <c r="D978" t="inlineStr">
        <is>
          <t>VÄSTERBOTTENS LÄN</t>
        </is>
      </c>
      <c r="E978" t="inlineStr">
        <is>
          <t>UMEÅ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46746-2023</t>
        </is>
      </c>
      <c r="B979" s="1" t="n">
        <v>45198</v>
      </c>
      <c r="C979" s="1" t="n">
        <v>45828</v>
      </c>
      <c r="D979" t="inlineStr">
        <is>
          <t>VÄSTERBOTTENS LÄN</t>
        </is>
      </c>
      <c r="E979" t="inlineStr">
        <is>
          <t>UMEÅ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46773-2023</t>
        </is>
      </c>
      <c r="B980" s="1" t="n">
        <v>45198</v>
      </c>
      <c r="C980" s="1" t="n">
        <v>45828</v>
      </c>
      <c r="D980" t="inlineStr">
        <is>
          <t>VÄSTERBOTTENS LÄN</t>
        </is>
      </c>
      <c r="E980" t="inlineStr">
        <is>
          <t>UMEÅ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47834-2023</t>
        </is>
      </c>
      <c r="B981" s="1" t="n">
        <v>45198</v>
      </c>
      <c r="C981" s="1" t="n">
        <v>45828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47870-2023</t>
        </is>
      </c>
      <c r="B982" s="1" t="n">
        <v>45198</v>
      </c>
      <c r="C982" s="1" t="n">
        <v>45828</v>
      </c>
      <c r="D982" t="inlineStr">
        <is>
          <t>VÄSTERBOTTENS LÄN</t>
        </is>
      </c>
      <c r="E982" t="inlineStr">
        <is>
          <t>UMEÅ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46849-2023</t>
        </is>
      </c>
      <c r="B983" s="1" t="n">
        <v>45199</v>
      </c>
      <c r="C983" s="1" t="n">
        <v>45828</v>
      </c>
      <c r="D983" t="inlineStr">
        <is>
          <t>VÄSTERBOTTENS LÄN</t>
        </is>
      </c>
      <c r="E983" t="inlineStr">
        <is>
          <t>UMEÅ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48656-2023</t>
        </is>
      </c>
      <c r="B984" s="1" t="n">
        <v>45202</v>
      </c>
      <c r="C984" s="1" t="n">
        <v>45828</v>
      </c>
      <c r="D984" t="inlineStr">
        <is>
          <t>VÄSTERBOTTENS LÄN</t>
        </is>
      </c>
      <c r="E984" t="inlineStr">
        <is>
          <t>UMEÅ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48667-2023</t>
        </is>
      </c>
      <c r="B985" s="1" t="n">
        <v>45202</v>
      </c>
      <c r="C985" s="1" t="n">
        <v>45828</v>
      </c>
      <c r="D985" t="inlineStr">
        <is>
          <t>VÄSTERBOTTENS LÄN</t>
        </is>
      </c>
      <c r="E985" t="inlineStr">
        <is>
          <t>UMEÅ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48618-2023</t>
        </is>
      </c>
      <c r="B986" s="1" t="n">
        <v>45202</v>
      </c>
      <c r="C986" s="1" t="n">
        <v>45828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48631-2023</t>
        </is>
      </c>
      <c r="B987" s="1" t="n">
        <v>45202</v>
      </c>
      <c r="C987" s="1" t="n">
        <v>45828</v>
      </c>
      <c r="D987" t="inlineStr">
        <is>
          <t>VÄSTERBOTTENS LÄN</t>
        </is>
      </c>
      <c r="E987" t="inlineStr">
        <is>
          <t>UMEÅ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48661-2023</t>
        </is>
      </c>
      <c r="B988" s="1" t="n">
        <v>45202</v>
      </c>
      <c r="C988" s="1" t="n">
        <v>45828</v>
      </c>
      <c r="D988" t="inlineStr">
        <is>
          <t>VÄSTERBOTTENS LÄN</t>
        </is>
      </c>
      <c r="E988" t="inlineStr">
        <is>
          <t>UMEÅ</t>
        </is>
      </c>
      <c r="G988" t="n">
        <v>9.5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48659-2023</t>
        </is>
      </c>
      <c r="B989" s="1" t="n">
        <v>45202</v>
      </c>
      <c r="C989" s="1" t="n">
        <v>45828</v>
      </c>
      <c r="D989" t="inlineStr">
        <is>
          <t>VÄSTERBOTTENS LÄN</t>
        </is>
      </c>
      <c r="E989" t="inlineStr">
        <is>
          <t>UMEÅ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47816-2023</t>
        </is>
      </c>
      <c r="B990" s="1" t="n">
        <v>45204</v>
      </c>
      <c r="C990" s="1" t="n">
        <v>45828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47813-2023</t>
        </is>
      </c>
      <c r="B991" s="1" t="n">
        <v>45204</v>
      </c>
      <c r="C991" s="1" t="n">
        <v>45828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49525-2023</t>
        </is>
      </c>
      <c r="B992" s="1" t="n">
        <v>45205</v>
      </c>
      <c r="C992" s="1" t="n">
        <v>45828</v>
      </c>
      <c r="D992" t="inlineStr">
        <is>
          <t>VÄSTERBOTTENS LÄN</t>
        </is>
      </c>
      <c r="E992" t="inlineStr">
        <is>
          <t>UMEÅ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48751-2023</t>
        </is>
      </c>
      <c r="B993" s="1" t="n">
        <v>45208</v>
      </c>
      <c r="C993" s="1" t="n">
        <v>45828</v>
      </c>
      <c r="D993" t="inlineStr">
        <is>
          <t>VÄSTERBOTTENS LÄN</t>
        </is>
      </c>
      <c r="E993" t="inlineStr">
        <is>
          <t>UMEÅ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48748-2023</t>
        </is>
      </c>
      <c r="B994" s="1" t="n">
        <v>45208</v>
      </c>
      <c r="C994" s="1" t="n">
        <v>45828</v>
      </c>
      <c r="D994" t="inlineStr">
        <is>
          <t>VÄSTERBOTTENS LÄN</t>
        </is>
      </c>
      <c r="E994" t="inlineStr">
        <is>
          <t>UMEÅ</t>
        </is>
      </c>
      <c r="G994" t="n">
        <v>14.7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48816-2023</t>
        </is>
      </c>
      <c r="B995" s="1" t="n">
        <v>45209</v>
      </c>
      <c r="C995" s="1" t="n">
        <v>45828</v>
      </c>
      <c r="D995" t="inlineStr">
        <is>
          <t>VÄSTERBOTTENS LÄN</t>
        </is>
      </c>
      <c r="E995" t="inlineStr">
        <is>
          <t>UMEÅ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49192-2023</t>
        </is>
      </c>
      <c r="B996" s="1" t="n">
        <v>45210</v>
      </c>
      <c r="C996" s="1" t="n">
        <v>45828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49359-2023</t>
        </is>
      </c>
      <c r="B997" s="1" t="n">
        <v>45211</v>
      </c>
      <c r="C997" s="1" t="n">
        <v>45828</v>
      </c>
      <c r="D997" t="inlineStr">
        <is>
          <t>VÄSTERBOTTENS LÄN</t>
        </is>
      </c>
      <c r="E997" t="inlineStr">
        <is>
          <t>UMEÅ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49383-2023</t>
        </is>
      </c>
      <c r="B998" s="1" t="n">
        <v>45211</v>
      </c>
      <c r="C998" s="1" t="n">
        <v>45828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50879-2023</t>
        </is>
      </c>
      <c r="B999" s="1" t="n">
        <v>45211</v>
      </c>
      <c r="C999" s="1" t="n">
        <v>45828</v>
      </c>
      <c r="D999" t="inlineStr">
        <is>
          <t>VÄSTERBOTTENS LÄN</t>
        </is>
      </c>
      <c r="E999" t="inlineStr">
        <is>
          <t>UMEÅ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51589-2023</t>
        </is>
      </c>
      <c r="B1000" s="1" t="n">
        <v>45215</v>
      </c>
      <c r="C1000" s="1" t="n">
        <v>45828</v>
      </c>
      <c r="D1000" t="inlineStr">
        <is>
          <t>VÄSTERBOTTENS LÄN</t>
        </is>
      </c>
      <c r="E1000" t="inlineStr">
        <is>
          <t>UMEÅ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49989-2023</t>
        </is>
      </c>
      <c r="B1001" s="1" t="n">
        <v>45215</v>
      </c>
      <c r="C1001" s="1" t="n">
        <v>45828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51585-2023</t>
        </is>
      </c>
      <c r="B1002" s="1" t="n">
        <v>45215</v>
      </c>
      <c r="C1002" s="1" t="n">
        <v>45828</v>
      </c>
      <c r="D1002" t="inlineStr">
        <is>
          <t>VÄSTERBOTTENS LÄN</t>
        </is>
      </c>
      <c r="E1002" t="inlineStr">
        <is>
          <t>UMEÅ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51649-2023</t>
        </is>
      </c>
      <c r="B1003" s="1" t="n">
        <v>45215</v>
      </c>
      <c r="C1003" s="1" t="n">
        <v>45828</v>
      </c>
      <c r="D1003" t="inlineStr">
        <is>
          <t>VÄSTERBOTTENS LÄN</t>
        </is>
      </c>
      <c r="E1003" t="inlineStr">
        <is>
          <t>UMEÅ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51870-2023</t>
        </is>
      </c>
      <c r="B1004" s="1" t="n">
        <v>45215</v>
      </c>
      <c r="C1004" s="1" t="n">
        <v>45828</v>
      </c>
      <c r="D1004" t="inlineStr">
        <is>
          <t>VÄSTERBOTTENS LÄN</t>
        </is>
      </c>
      <c r="E1004" t="inlineStr">
        <is>
          <t>UMEÅ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51554-2023</t>
        </is>
      </c>
      <c r="B1005" s="1" t="n">
        <v>45215</v>
      </c>
      <c r="C1005" s="1" t="n">
        <v>45828</v>
      </c>
      <c r="D1005" t="inlineStr">
        <is>
          <t>VÄSTERBOTTENS LÄN</t>
        </is>
      </c>
      <c r="E1005" t="inlineStr">
        <is>
          <t>UMEÅ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51709-2023</t>
        </is>
      </c>
      <c r="B1006" s="1" t="n">
        <v>45215</v>
      </c>
      <c r="C1006" s="1" t="n">
        <v>45828</v>
      </c>
      <c r="D1006" t="inlineStr">
        <is>
          <t>VÄSTERBOTTENS LÄN</t>
        </is>
      </c>
      <c r="E1006" t="inlineStr">
        <is>
          <t>UMEÅ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51855-2023</t>
        </is>
      </c>
      <c r="B1007" s="1" t="n">
        <v>45215</v>
      </c>
      <c r="C1007" s="1" t="n">
        <v>45828</v>
      </c>
      <c r="D1007" t="inlineStr">
        <is>
          <t>VÄSTERBOTTENS LÄN</t>
        </is>
      </c>
      <c r="E1007" t="inlineStr">
        <is>
          <t>UMEÅ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50266-2023</t>
        </is>
      </c>
      <c r="B1008" s="1" t="n">
        <v>45216</v>
      </c>
      <c r="C1008" s="1" t="n">
        <v>45828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50465-2023</t>
        </is>
      </c>
      <c r="B1009" s="1" t="n">
        <v>45216</v>
      </c>
      <c r="C1009" s="1" t="n">
        <v>45828</v>
      </c>
      <c r="D1009" t="inlineStr">
        <is>
          <t>VÄSTERBOTTENS LÄN</t>
        </is>
      </c>
      <c r="E1009" t="inlineStr">
        <is>
          <t>UMEÅ</t>
        </is>
      </c>
      <c r="G1009" t="n">
        <v>12.9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52022-2023</t>
        </is>
      </c>
      <c r="B1010" s="1" t="n">
        <v>45216</v>
      </c>
      <c r="C1010" s="1" t="n">
        <v>45828</v>
      </c>
      <c r="D1010" t="inlineStr">
        <is>
          <t>VÄSTERBOTTENS LÄN</t>
        </is>
      </c>
      <c r="E1010" t="inlineStr">
        <is>
          <t>UMEÅ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50463-2023</t>
        </is>
      </c>
      <c r="B1011" s="1" t="n">
        <v>45216</v>
      </c>
      <c r="C1011" s="1" t="n">
        <v>45828</v>
      </c>
      <c r="D1011" t="inlineStr">
        <is>
          <t>VÄSTERBOTTENS LÄN</t>
        </is>
      </c>
      <c r="E1011" t="inlineStr">
        <is>
          <t>UMEÅ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51983-2023</t>
        </is>
      </c>
      <c r="B1012" s="1" t="n">
        <v>45216</v>
      </c>
      <c r="C1012" s="1" t="n">
        <v>45828</v>
      </c>
      <c r="D1012" t="inlineStr">
        <is>
          <t>VÄSTERBOTTENS LÄN</t>
        </is>
      </c>
      <c r="E1012" t="inlineStr">
        <is>
          <t>UMEÅ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50287-2023</t>
        </is>
      </c>
      <c r="B1013" s="1" t="n">
        <v>45216</v>
      </c>
      <c r="C1013" s="1" t="n">
        <v>45828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50263-2023</t>
        </is>
      </c>
      <c r="B1014" s="1" t="n">
        <v>45216</v>
      </c>
      <c r="C1014" s="1" t="n">
        <v>45828</v>
      </c>
      <c r="D1014" t="inlineStr">
        <is>
          <t>VÄSTERBOTTENS LÄN</t>
        </is>
      </c>
      <c r="E1014" t="inlineStr">
        <is>
          <t>UMEÅ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51990-2023</t>
        </is>
      </c>
      <c r="B1015" s="1" t="n">
        <v>45216</v>
      </c>
      <c r="C1015" s="1" t="n">
        <v>45828</v>
      </c>
      <c r="D1015" t="inlineStr">
        <is>
          <t>VÄSTERBOTTENS LÄN</t>
        </is>
      </c>
      <c r="E1015" t="inlineStr">
        <is>
          <t>UMEÅ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50468-2023</t>
        </is>
      </c>
      <c r="B1016" s="1" t="n">
        <v>45216</v>
      </c>
      <c r="C1016" s="1" t="n">
        <v>45828</v>
      </c>
      <c r="D1016" t="inlineStr">
        <is>
          <t>VÄSTERBOTTENS LÄN</t>
        </is>
      </c>
      <c r="E1016" t="inlineStr">
        <is>
          <t>UMEÅ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50260-2023</t>
        </is>
      </c>
      <c r="B1017" s="1" t="n">
        <v>45216</v>
      </c>
      <c r="C1017" s="1" t="n">
        <v>45828</v>
      </c>
      <c r="D1017" t="inlineStr">
        <is>
          <t>VÄSTERBOTTENS LÄN</t>
        </is>
      </c>
      <c r="E1017" t="inlineStr">
        <is>
          <t>UMEÅ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50726-2023</t>
        </is>
      </c>
      <c r="B1018" s="1" t="n">
        <v>45217</v>
      </c>
      <c r="C1018" s="1" t="n">
        <v>45828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50725-2023</t>
        </is>
      </c>
      <c r="B1019" s="1" t="n">
        <v>45217</v>
      </c>
      <c r="C1019" s="1" t="n">
        <v>45828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50676-2023</t>
        </is>
      </c>
      <c r="B1020" s="1" t="n">
        <v>45217</v>
      </c>
      <c r="C1020" s="1" t="n">
        <v>45828</v>
      </c>
      <c r="D1020" t="inlineStr">
        <is>
          <t>VÄSTERBOTTENS LÄN</t>
        </is>
      </c>
      <c r="E1020" t="inlineStr">
        <is>
          <t>UMEÅ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52229-2023</t>
        </is>
      </c>
      <c r="B1021" s="1" t="n">
        <v>45217</v>
      </c>
      <c r="C1021" s="1" t="n">
        <v>45828</v>
      </c>
      <c r="D1021" t="inlineStr">
        <is>
          <t>VÄSTERBOTTENS LÄN</t>
        </is>
      </c>
      <c r="E1021" t="inlineStr">
        <is>
          <t>UMEÅ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51544-2023</t>
        </is>
      </c>
      <c r="B1022" s="1" t="n">
        <v>45222</v>
      </c>
      <c r="C1022" s="1" t="n">
        <v>45828</v>
      </c>
      <c r="D1022" t="inlineStr">
        <is>
          <t>VÄSTERBOTTENS LÄN</t>
        </is>
      </c>
      <c r="E1022" t="inlineStr">
        <is>
          <t>UMEÅ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51693-2023</t>
        </is>
      </c>
      <c r="B1023" s="1" t="n">
        <v>45222</v>
      </c>
      <c r="C1023" s="1" t="n">
        <v>45828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52530-2023</t>
        </is>
      </c>
      <c r="B1024" s="1" t="n">
        <v>45225</v>
      </c>
      <c r="C1024" s="1" t="n">
        <v>45828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52529-2023</t>
        </is>
      </c>
      <c r="B1025" s="1" t="n">
        <v>45225</v>
      </c>
      <c r="C1025" s="1" t="n">
        <v>45828</v>
      </c>
      <c r="D1025" t="inlineStr">
        <is>
          <t>VÄSTERBOTTENS LÄN</t>
        </is>
      </c>
      <c r="E1025" t="inlineStr">
        <is>
          <t>UMEÅ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52900-2023</t>
        </is>
      </c>
      <c r="B1026" s="1" t="n">
        <v>45226</v>
      </c>
      <c r="C1026" s="1" t="n">
        <v>45828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Holmen skog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53481-2023</t>
        </is>
      </c>
      <c r="B1027" s="1" t="n">
        <v>45230</v>
      </c>
      <c r="C1027" s="1" t="n">
        <v>45828</v>
      </c>
      <c r="D1027" t="inlineStr">
        <is>
          <t>VÄSTERBOTTENS LÄN</t>
        </is>
      </c>
      <c r="E1027" t="inlineStr">
        <is>
          <t>UMEÅ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55082-2023</t>
        </is>
      </c>
      <c r="B1028" s="1" t="n">
        <v>45230</v>
      </c>
      <c r="C1028" s="1" t="n">
        <v>45828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54718-2023</t>
        </is>
      </c>
      <c r="B1029" s="1" t="n">
        <v>45236</v>
      </c>
      <c r="C1029" s="1" t="n">
        <v>45828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55053-2023</t>
        </is>
      </c>
      <c r="B1030" s="1" t="n">
        <v>45237</v>
      </c>
      <c r="C1030" s="1" t="n">
        <v>45828</v>
      </c>
      <c r="D1030" t="inlineStr">
        <is>
          <t>VÄSTERBOTTENS LÄN</t>
        </is>
      </c>
      <c r="E1030" t="inlineStr">
        <is>
          <t>UMEÅ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55406-2023</t>
        </is>
      </c>
      <c r="B1031" s="1" t="n">
        <v>45238</v>
      </c>
      <c r="C1031" s="1" t="n">
        <v>45828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Holmen skog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55909-2023</t>
        </is>
      </c>
      <c r="B1032" s="1" t="n">
        <v>45239</v>
      </c>
      <c r="C1032" s="1" t="n">
        <v>45828</v>
      </c>
      <c r="D1032" t="inlineStr">
        <is>
          <t>VÄSTERBOTTENS LÄN</t>
        </is>
      </c>
      <c r="E1032" t="inlineStr">
        <is>
          <t>UMEÅ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55790-2023</t>
        </is>
      </c>
      <c r="B1033" s="1" t="n">
        <v>45239</v>
      </c>
      <c r="C1033" s="1" t="n">
        <v>45828</v>
      </c>
      <c r="D1033" t="inlineStr">
        <is>
          <t>VÄSTERBOTTENS LÄN</t>
        </is>
      </c>
      <c r="E1033" t="inlineStr">
        <is>
          <t>UMEÅ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55911-2023</t>
        </is>
      </c>
      <c r="B1034" s="1" t="n">
        <v>45239</v>
      </c>
      <c r="C1034" s="1" t="n">
        <v>45828</v>
      </c>
      <c r="D1034" t="inlineStr">
        <is>
          <t>VÄSTERBOTTENS LÄN</t>
        </is>
      </c>
      <c r="E1034" t="inlineStr">
        <is>
          <t>UMEÅ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56302-2023</t>
        </is>
      </c>
      <c r="B1035" s="1" t="n">
        <v>45242</v>
      </c>
      <c r="C1035" s="1" t="n">
        <v>45828</v>
      </c>
      <c r="D1035" t="inlineStr">
        <is>
          <t>VÄSTERBOTTENS LÄN</t>
        </is>
      </c>
      <c r="E1035" t="inlineStr">
        <is>
          <t>UMEÅ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56332-2023</t>
        </is>
      </c>
      <c r="B1036" s="1" t="n">
        <v>45243</v>
      </c>
      <c r="C1036" s="1" t="n">
        <v>45828</v>
      </c>
      <c r="D1036" t="inlineStr">
        <is>
          <t>VÄSTERBOTTENS LÄN</t>
        </is>
      </c>
      <c r="E1036" t="inlineStr">
        <is>
          <t>UMEÅ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56743-2023</t>
        </is>
      </c>
      <c r="B1037" s="1" t="n">
        <v>45244</v>
      </c>
      <c r="C1037" s="1" t="n">
        <v>45828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56749-2023</t>
        </is>
      </c>
      <c r="B1038" s="1" t="n">
        <v>45244</v>
      </c>
      <c r="C1038" s="1" t="n">
        <v>45828</v>
      </c>
      <c r="D1038" t="inlineStr">
        <is>
          <t>VÄSTERBOTTENS LÄN</t>
        </is>
      </c>
      <c r="E1038" t="inlineStr">
        <is>
          <t>UMEÅ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57883-2023</t>
        </is>
      </c>
      <c r="B1039" s="1" t="n">
        <v>45247</v>
      </c>
      <c r="C1039" s="1" t="n">
        <v>45828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58130-2023</t>
        </is>
      </c>
      <c r="B1040" s="1" t="n">
        <v>45249</v>
      </c>
      <c r="C1040" s="1" t="n">
        <v>45828</v>
      </c>
      <c r="D1040" t="inlineStr">
        <is>
          <t>VÄSTERBOTTENS LÄN</t>
        </is>
      </c>
      <c r="E1040" t="inlineStr">
        <is>
          <t>UMEÅ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58262-2023</t>
        </is>
      </c>
      <c r="B1041" s="1" t="n">
        <v>45250</v>
      </c>
      <c r="C1041" s="1" t="n">
        <v>45828</v>
      </c>
      <c r="D1041" t="inlineStr">
        <is>
          <t>VÄSTERBOTTENS LÄN</t>
        </is>
      </c>
      <c r="E1041" t="inlineStr">
        <is>
          <t>UMEÅ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58256-2023</t>
        </is>
      </c>
      <c r="B1042" s="1" t="n">
        <v>45250</v>
      </c>
      <c r="C1042" s="1" t="n">
        <v>45828</v>
      </c>
      <c r="D1042" t="inlineStr">
        <is>
          <t>VÄSTERBOTTENS LÄN</t>
        </is>
      </c>
      <c r="E1042" t="inlineStr">
        <is>
          <t>UMEÅ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58245-2023</t>
        </is>
      </c>
      <c r="B1043" s="1" t="n">
        <v>45250</v>
      </c>
      <c r="C1043" s="1" t="n">
        <v>45828</v>
      </c>
      <c r="D1043" t="inlineStr">
        <is>
          <t>VÄSTERBOTTENS LÄN</t>
        </is>
      </c>
      <c r="E1043" t="inlineStr">
        <is>
          <t>UMEÅ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59157-2023</t>
        </is>
      </c>
      <c r="B1044" s="1" t="n">
        <v>45251</v>
      </c>
      <c r="C1044" s="1" t="n">
        <v>45828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59220-2023</t>
        </is>
      </c>
      <c r="B1045" s="1" t="n">
        <v>45252</v>
      </c>
      <c r="C1045" s="1" t="n">
        <v>45828</v>
      </c>
      <c r="D1045" t="inlineStr">
        <is>
          <t>VÄSTERBOTTENS LÄN</t>
        </is>
      </c>
      <c r="E1045" t="inlineStr">
        <is>
          <t>UMEÅ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59289-2023</t>
        </is>
      </c>
      <c r="B1046" s="1" t="n">
        <v>45252</v>
      </c>
      <c r="C1046" s="1" t="n">
        <v>45828</v>
      </c>
      <c r="D1046" t="inlineStr">
        <is>
          <t>VÄSTERBOTTENS LÄN</t>
        </is>
      </c>
      <c r="E1046" t="inlineStr">
        <is>
          <t>UMEÅ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59333-2023</t>
        </is>
      </c>
      <c r="B1047" s="1" t="n">
        <v>45252</v>
      </c>
      <c r="C1047" s="1" t="n">
        <v>45828</v>
      </c>
      <c r="D1047" t="inlineStr">
        <is>
          <t>VÄSTERBOTTENS LÄN</t>
        </is>
      </c>
      <c r="E1047" t="inlineStr">
        <is>
          <t>UMEÅ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59343-2023</t>
        </is>
      </c>
      <c r="B1048" s="1" t="n">
        <v>45253</v>
      </c>
      <c r="C1048" s="1" t="n">
        <v>45828</v>
      </c>
      <c r="D1048" t="inlineStr">
        <is>
          <t>VÄSTERBOTTENS LÄN</t>
        </is>
      </c>
      <c r="E1048" t="inlineStr">
        <is>
          <t>UMEÅ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59963-2023</t>
        </is>
      </c>
      <c r="B1049" s="1" t="n">
        <v>45257</v>
      </c>
      <c r="C1049" s="1" t="n">
        <v>45828</v>
      </c>
      <c r="D1049" t="inlineStr">
        <is>
          <t>VÄSTERBOTTENS LÄN</t>
        </is>
      </c>
      <c r="E1049" t="inlineStr">
        <is>
          <t>UMEÅ</t>
        </is>
      </c>
      <c r="G1049" t="n">
        <v>25.3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59818-2023</t>
        </is>
      </c>
      <c r="B1050" s="1" t="n">
        <v>45257</v>
      </c>
      <c r="C1050" s="1" t="n">
        <v>45828</v>
      </c>
      <c r="D1050" t="inlineStr">
        <is>
          <t>VÄSTERBOTTENS LÄN</t>
        </is>
      </c>
      <c r="E1050" t="inlineStr">
        <is>
          <t>UMEÅ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28-2024</t>
        </is>
      </c>
      <c r="B1051" s="1" t="n">
        <v>45259</v>
      </c>
      <c r="C1051" s="1" t="n">
        <v>45828</v>
      </c>
      <c r="D1051" t="inlineStr">
        <is>
          <t>VÄSTERBOTTENS LÄN</t>
        </is>
      </c>
      <c r="E1051" t="inlineStr">
        <is>
          <t>UMEÅ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60645-2023</t>
        </is>
      </c>
      <c r="B1052" s="1" t="n">
        <v>45260</v>
      </c>
      <c r="C1052" s="1" t="n">
        <v>45828</v>
      </c>
      <c r="D1052" t="inlineStr">
        <is>
          <t>VÄSTERBOTTENS LÄN</t>
        </is>
      </c>
      <c r="E1052" t="inlineStr">
        <is>
          <t>UMEÅ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61280-2023</t>
        </is>
      </c>
      <c r="B1053" s="1" t="n">
        <v>45260</v>
      </c>
      <c r="C1053" s="1" t="n">
        <v>45828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61204-2023</t>
        </is>
      </c>
      <c r="B1054" s="1" t="n">
        <v>45260</v>
      </c>
      <c r="C1054" s="1" t="n">
        <v>45828</v>
      </c>
      <c r="D1054" t="inlineStr">
        <is>
          <t>VÄSTERBOTTENS LÄN</t>
        </is>
      </c>
      <c r="E1054" t="inlineStr">
        <is>
          <t>UMEÅ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61275-2023</t>
        </is>
      </c>
      <c r="B1055" s="1" t="n">
        <v>45260</v>
      </c>
      <c r="C1055" s="1" t="n">
        <v>45828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60959-2023</t>
        </is>
      </c>
      <c r="B1056" s="1" t="n">
        <v>45261</v>
      </c>
      <c r="C1056" s="1" t="n">
        <v>45828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61101-2023</t>
        </is>
      </c>
      <c r="B1057" s="1" t="n">
        <v>45261</v>
      </c>
      <c r="C1057" s="1" t="n">
        <v>45828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61105-2023</t>
        </is>
      </c>
      <c r="B1058" s="1" t="n">
        <v>45261</v>
      </c>
      <c r="C1058" s="1" t="n">
        <v>45828</v>
      </c>
      <c r="D1058" t="inlineStr">
        <is>
          <t>VÄSTERBOTTENS LÄN</t>
        </is>
      </c>
      <c r="E1058" t="inlineStr">
        <is>
          <t>UMEÅ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61563-2023</t>
        </is>
      </c>
      <c r="B1059" s="1" t="n">
        <v>45261</v>
      </c>
      <c r="C1059" s="1" t="n">
        <v>45828</v>
      </c>
      <c r="D1059" t="inlineStr">
        <is>
          <t>VÄSTERBOTTENS LÄN</t>
        </is>
      </c>
      <c r="E1059" t="inlineStr">
        <is>
          <t>UMEÅ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61703-2023</t>
        </is>
      </c>
      <c r="B1060" s="1" t="n">
        <v>45264</v>
      </c>
      <c r="C1060" s="1" t="n">
        <v>45828</v>
      </c>
      <c r="D1060" t="inlineStr">
        <is>
          <t>VÄSTERBOTTENS LÄN</t>
        </is>
      </c>
      <c r="E1060" t="inlineStr">
        <is>
          <t>UMEÅ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61749-2023</t>
        </is>
      </c>
      <c r="B1061" s="1" t="n">
        <v>45264</v>
      </c>
      <c r="C1061" s="1" t="n">
        <v>45828</v>
      </c>
      <c r="D1061" t="inlineStr">
        <is>
          <t>VÄSTERBOTTENS LÄN</t>
        </is>
      </c>
      <c r="E1061" t="inlineStr">
        <is>
          <t>UMEÅ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62538-2023</t>
        </is>
      </c>
      <c r="B1062" s="1" t="n">
        <v>45267</v>
      </c>
      <c r="C1062" s="1" t="n">
        <v>45828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62520-2023</t>
        </is>
      </c>
      <c r="B1063" s="1" t="n">
        <v>45268</v>
      </c>
      <c r="C1063" s="1" t="n">
        <v>45828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62721-2023</t>
        </is>
      </c>
      <c r="B1064" s="1" t="n">
        <v>45271</v>
      </c>
      <c r="C1064" s="1" t="n">
        <v>45828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62726-2023</t>
        </is>
      </c>
      <c r="B1065" s="1" t="n">
        <v>45271</v>
      </c>
      <c r="C1065" s="1" t="n">
        <v>45828</v>
      </c>
      <c r="D1065" t="inlineStr">
        <is>
          <t>VÄSTERBOTTENS LÄN</t>
        </is>
      </c>
      <c r="E1065" t="inlineStr">
        <is>
          <t>UMEÅ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63188-2023</t>
        </is>
      </c>
      <c r="B1066" s="1" t="n">
        <v>45272</v>
      </c>
      <c r="C1066" s="1" t="n">
        <v>45828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63135-2023</t>
        </is>
      </c>
      <c r="B1067" s="1" t="n">
        <v>45273</v>
      </c>
      <c r="C1067" s="1" t="n">
        <v>45828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63136-2023</t>
        </is>
      </c>
      <c r="B1068" s="1" t="n">
        <v>45273</v>
      </c>
      <c r="C1068" s="1" t="n">
        <v>45828</v>
      </c>
      <c r="D1068" t="inlineStr">
        <is>
          <t>VÄSTERBOTTENS LÄN</t>
        </is>
      </c>
      <c r="E1068" t="inlineStr">
        <is>
          <t>UMEÅ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63151-2023</t>
        </is>
      </c>
      <c r="B1069" s="1" t="n">
        <v>45273</v>
      </c>
      <c r="C1069" s="1" t="n">
        <v>45828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63787-2023</t>
        </is>
      </c>
      <c r="B1070" s="1" t="n">
        <v>45275</v>
      </c>
      <c r="C1070" s="1" t="n">
        <v>45828</v>
      </c>
      <c r="D1070" t="inlineStr">
        <is>
          <t>VÄSTERBOTTENS LÄN</t>
        </is>
      </c>
      <c r="E1070" t="inlineStr">
        <is>
          <t>UMEÅ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63809-2023</t>
        </is>
      </c>
      <c r="B1071" s="1" t="n">
        <v>45278</v>
      </c>
      <c r="C1071" s="1" t="n">
        <v>45828</v>
      </c>
      <c r="D1071" t="inlineStr">
        <is>
          <t>VÄSTERBOTTENS LÄN</t>
        </is>
      </c>
      <c r="E1071" t="inlineStr">
        <is>
          <t>UMEÅ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64655-2023</t>
        </is>
      </c>
      <c r="B1072" s="1" t="n">
        <v>45281</v>
      </c>
      <c r="C1072" s="1" t="n">
        <v>45828</v>
      </c>
      <c r="D1072" t="inlineStr">
        <is>
          <t>VÄSTERBOTTENS LÄN</t>
        </is>
      </c>
      <c r="E1072" t="inlineStr">
        <is>
          <t>UMEÅ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64895-2023</t>
        </is>
      </c>
      <c r="B1073" s="1" t="n">
        <v>45282</v>
      </c>
      <c r="C1073" s="1" t="n">
        <v>45828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489-2024</t>
        </is>
      </c>
      <c r="B1074" s="1" t="n">
        <v>45298</v>
      </c>
      <c r="C1074" s="1" t="n">
        <v>45828</v>
      </c>
      <c r="D1074" t="inlineStr">
        <is>
          <t>VÄSTERBOTTENS LÄN</t>
        </is>
      </c>
      <c r="E1074" t="inlineStr">
        <is>
          <t>UMEÅ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611-2024</t>
        </is>
      </c>
      <c r="B1075" s="1" t="n">
        <v>45299</v>
      </c>
      <c r="C1075" s="1" t="n">
        <v>45828</v>
      </c>
      <c r="D1075" t="inlineStr">
        <is>
          <t>VÄSTERBOTTENS LÄN</t>
        </is>
      </c>
      <c r="E1075" t="inlineStr">
        <is>
          <t>UMEÅ</t>
        </is>
      </c>
      <c r="G1075" t="n">
        <v>10.5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590-2024</t>
        </is>
      </c>
      <c r="B1076" s="1" t="n">
        <v>45299</v>
      </c>
      <c r="C1076" s="1" t="n">
        <v>45828</v>
      </c>
      <c r="D1076" t="inlineStr">
        <is>
          <t>VÄSTERBOTTENS LÄN</t>
        </is>
      </c>
      <c r="E1076" t="inlineStr">
        <is>
          <t>UMEÅ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598-2024</t>
        </is>
      </c>
      <c r="B1077" s="1" t="n">
        <v>45299</v>
      </c>
      <c r="C1077" s="1" t="n">
        <v>45828</v>
      </c>
      <c r="D1077" t="inlineStr">
        <is>
          <t>VÄSTERBOTTENS LÄN</t>
        </is>
      </c>
      <c r="E1077" t="inlineStr">
        <is>
          <t>UMEÅ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634-2024</t>
        </is>
      </c>
      <c r="B1078" s="1" t="n">
        <v>45299</v>
      </c>
      <c r="C1078" s="1" t="n">
        <v>45828</v>
      </c>
      <c r="D1078" t="inlineStr">
        <is>
          <t>VÄSTERBOTTENS LÄN</t>
        </is>
      </c>
      <c r="E1078" t="inlineStr">
        <is>
          <t>UMEÅ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628-2024</t>
        </is>
      </c>
      <c r="B1079" s="1" t="n">
        <v>45299</v>
      </c>
      <c r="C1079" s="1" t="n">
        <v>45828</v>
      </c>
      <c r="D1079" t="inlineStr">
        <is>
          <t>VÄSTERBOTTENS LÄN</t>
        </is>
      </c>
      <c r="E1079" t="inlineStr">
        <is>
          <t>UMEÅ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964-2024</t>
        </is>
      </c>
      <c r="B1080" s="1" t="n">
        <v>45301</v>
      </c>
      <c r="C1080" s="1" t="n">
        <v>45828</v>
      </c>
      <c r="D1080" t="inlineStr">
        <is>
          <t>VÄSTERBOTTENS LÄN</t>
        </is>
      </c>
      <c r="E1080" t="inlineStr">
        <is>
          <t>UMEÅ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955-2024</t>
        </is>
      </c>
      <c r="B1081" s="1" t="n">
        <v>45301</v>
      </c>
      <c r="C1081" s="1" t="n">
        <v>45828</v>
      </c>
      <c r="D1081" t="inlineStr">
        <is>
          <t>VÄSTERBOTTENS LÄN</t>
        </is>
      </c>
      <c r="E1081" t="inlineStr">
        <is>
          <t>UMEÅ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959-2024</t>
        </is>
      </c>
      <c r="B1082" s="1" t="n">
        <v>45301</v>
      </c>
      <c r="C1082" s="1" t="n">
        <v>45828</v>
      </c>
      <c r="D1082" t="inlineStr">
        <is>
          <t>VÄSTERBOTTENS LÄN</t>
        </is>
      </c>
      <c r="E1082" t="inlineStr">
        <is>
          <t>UMEÅ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1089-2024</t>
        </is>
      </c>
      <c r="B1083" s="1" t="n">
        <v>45301</v>
      </c>
      <c r="C1083" s="1" t="n">
        <v>45828</v>
      </c>
      <c r="D1083" t="inlineStr">
        <is>
          <t>VÄSTERBOTTENS LÄN</t>
        </is>
      </c>
      <c r="E1083" t="inlineStr">
        <is>
          <t>UMEÅ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1876-2024</t>
        </is>
      </c>
      <c r="B1084" s="1" t="n">
        <v>45307</v>
      </c>
      <c r="C1084" s="1" t="n">
        <v>45828</v>
      </c>
      <c r="D1084" t="inlineStr">
        <is>
          <t>VÄSTERBOTTENS LÄN</t>
        </is>
      </c>
      <c r="E1084" t="inlineStr">
        <is>
          <t>UMEÅ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2146-2024</t>
        </is>
      </c>
      <c r="B1085" s="1" t="n">
        <v>45309</v>
      </c>
      <c r="C1085" s="1" t="n">
        <v>45828</v>
      </c>
      <c r="D1085" t="inlineStr">
        <is>
          <t>VÄSTERBOTTENS LÄN</t>
        </is>
      </c>
      <c r="E1085" t="inlineStr">
        <is>
          <t>UMEÅ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2075-2024</t>
        </is>
      </c>
      <c r="B1086" s="1" t="n">
        <v>45309</v>
      </c>
      <c r="C1086" s="1" t="n">
        <v>45828</v>
      </c>
      <c r="D1086" t="inlineStr">
        <is>
          <t>VÄSTERBOTTENS LÄN</t>
        </is>
      </c>
      <c r="E1086" t="inlineStr">
        <is>
          <t>UMEÅ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2148-2024</t>
        </is>
      </c>
      <c r="B1087" s="1" t="n">
        <v>45309</v>
      </c>
      <c r="C1087" s="1" t="n">
        <v>45828</v>
      </c>
      <c r="D1087" t="inlineStr">
        <is>
          <t>VÄSTERBOTTENS LÄN</t>
        </is>
      </c>
      <c r="E1087" t="inlineStr">
        <is>
          <t>UMEÅ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2073-2024</t>
        </is>
      </c>
      <c r="B1088" s="1" t="n">
        <v>45309</v>
      </c>
      <c r="C1088" s="1" t="n">
        <v>45828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2617-2024</t>
        </is>
      </c>
      <c r="B1089" s="1" t="n">
        <v>45313</v>
      </c>
      <c r="C1089" s="1" t="n">
        <v>45828</v>
      </c>
      <c r="D1089" t="inlineStr">
        <is>
          <t>VÄSTERBOTTENS LÄN</t>
        </is>
      </c>
      <c r="E1089" t="inlineStr">
        <is>
          <t>UMEÅ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2616-2024</t>
        </is>
      </c>
      <c r="B1090" s="1" t="n">
        <v>45313</v>
      </c>
      <c r="C1090" s="1" t="n">
        <v>45828</v>
      </c>
      <c r="D1090" t="inlineStr">
        <is>
          <t>VÄSTERBOTTENS LÄN</t>
        </is>
      </c>
      <c r="E1090" t="inlineStr">
        <is>
          <t>UMEÅ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2906-2024</t>
        </is>
      </c>
      <c r="B1091" s="1" t="n">
        <v>45315</v>
      </c>
      <c r="C1091" s="1" t="n">
        <v>45828</v>
      </c>
      <c r="D1091" t="inlineStr">
        <is>
          <t>VÄSTERBOTTENS LÄN</t>
        </is>
      </c>
      <c r="E1091" t="inlineStr">
        <is>
          <t>UMEÅ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2910-2024</t>
        </is>
      </c>
      <c r="B1092" s="1" t="n">
        <v>45315</v>
      </c>
      <c r="C1092" s="1" t="n">
        <v>45828</v>
      </c>
      <c r="D1092" t="inlineStr">
        <is>
          <t>VÄSTERBOTTENS LÄN</t>
        </is>
      </c>
      <c r="E1092" t="inlineStr">
        <is>
          <t>UMEÅ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2972-2024</t>
        </is>
      </c>
      <c r="B1093" s="1" t="n">
        <v>45315</v>
      </c>
      <c r="C1093" s="1" t="n">
        <v>45828</v>
      </c>
      <c r="D1093" t="inlineStr">
        <is>
          <t>VÄSTERBOTTENS LÄN</t>
        </is>
      </c>
      <c r="E1093" t="inlineStr">
        <is>
          <t>UMEÅ</t>
        </is>
      </c>
      <c r="G1093" t="n">
        <v>13.4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3227-2024</t>
        </is>
      </c>
      <c r="B1094" s="1" t="n">
        <v>45316</v>
      </c>
      <c r="C1094" s="1" t="n">
        <v>45828</v>
      </c>
      <c r="D1094" t="inlineStr">
        <is>
          <t>VÄSTERBOTTENS LÄN</t>
        </is>
      </c>
      <c r="E1094" t="inlineStr">
        <is>
          <t>UMEÅ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3254-2024</t>
        </is>
      </c>
      <c r="B1095" s="1" t="n">
        <v>45316</v>
      </c>
      <c r="C1095" s="1" t="n">
        <v>45828</v>
      </c>
      <c r="D1095" t="inlineStr">
        <is>
          <t>VÄSTERBOTTENS LÄN</t>
        </is>
      </c>
      <c r="E1095" t="inlineStr">
        <is>
          <t>UMEÅ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3251-2024</t>
        </is>
      </c>
      <c r="B1096" s="1" t="n">
        <v>45316</v>
      </c>
      <c r="C1096" s="1" t="n">
        <v>45828</v>
      </c>
      <c r="D1096" t="inlineStr">
        <is>
          <t>VÄSTERBOTTENS LÄN</t>
        </is>
      </c>
      <c r="E1096" t="inlineStr">
        <is>
          <t>UMEÅ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3366-2024</t>
        </is>
      </c>
      <c r="B1097" s="1" t="n">
        <v>45317</v>
      </c>
      <c r="C1097" s="1" t="n">
        <v>45828</v>
      </c>
      <c r="D1097" t="inlineStr">
        <is>
          <t>VÄSTERBOTTENS LÄN</t>
        </is>
      </c>
      <c r="E1097" t="inlineStr">
        <is>
          <t>UMEÅ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3518-2024</t>
        </is>
      </c>
      <c r="B1098" s="1" t="n">
        <v>45320</v>
      </c>
      <c r="C1098" s="1" t="n">
        <v>45828</v>
      </c>
      <c r="D1098" t="inlineStr">
        <is>
          <t>VÄSTERBOTTENS LÄN</t>
        </is>
      </c>
      <c r="E1098" t="inlineStr">
        <is>
          <t>UMEÅ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3693-2024</t>
        </is>
      </c>
      <c r="B1099" s="1" t="n">
        <v>45321</v>
      </c>
      <c r="C1099" s="1" t="n">
        <v>45828</v>
      </c>
      <c r="D1099" t="inlineStr">
        <is>
          <t>VÄSTERBOTTENS LÄN</t>
        </is>
      </c>
      <c r="E1099" t="inlineStr">
        <is>
          <t>UMEÅ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4131-2024</t>
        </is>
      </c>
      <c r="B1100" s="1" t="n">
        <v>45323</v>
      </c>
      <c r="C1100" s="1" t="n">
        <v>45828</v>
      </c>
      <c r="D1100" t="inlineStr">
        <is>
          <t>VÄSTERBOTTENS LÄN</t>
        </is>
      </c>
      <c r="E1100" t="inlineStr">
        <is>
          <t>UMEÅ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4338-2024</t>
        </is>
      </c>
      <c r="B1101" s="1" t="n">
        <v>45324</v>
      </c>
      <c r="C1101" s="1" t="n">
        <v>45828</v>
      </c>
      <c r="D1101" t="inlineStr">
        <is>
          <t>VÄSTERBOTTENS LÄN</t>
        </is>
      </c>
      <c r="E1101" t="inlineStr">
        <is>
          <t>UMEÅ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5610-2024</t>
        </is>
      </c>
      <c r="B1102" s="1" t="n">
        <v>45334</v>
      </c>
      <c r="C1102" s="1" t="n">
        <v>45828</v>
      </c>
      <c r="D1102" t="inlineStr">
        <is>
          <t>VÄSTERBOTTENS LÄN</t>
        </is>
      </c>
      <c r="E1102" t="inlineStr">
        <is>
          <t>UMEÅ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6361-2024</t>
        </is>
      </c>
      <c r="B1103" s="1" t="n">
        <v>45338</v>
      </c>
      <c r="C1103" s="1" t="n">
        <v>45828</v>
      </c>
      <c r="D1103" t="inlineStr">
        <is>
          <t>VÄSTERBOTTENS LÄN</t>
        </is>
      </c>
      <c r="E1103" t="inlineStr">
        <is>
          <t>UMEÅ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6610-2024</t>
        </is>
      </c>
      <c r="B1104" s="1" t="n">
        <v>45341</v>
      </c>
      <c r="C1104" s="1" t="n">
        <v>45828</v>
      </c>
      <c r="D1104" t="inlineStr">
        <is>
          <t>VÄSTERBOTTENS LÄN</t>
        </is>
      </c>
      <c r="E1104" t="inlineStr">
        <is>
          <t>UMEÅ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7028-2024</t>
        </is>
      </c>
      <c r="B1105" s="1" t="n">
        <v>45343</v>
      </c>
      <c r="C1105" s="1" t="n">
        <v>45828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6998-2024</t>
        </is>
      </c>
      <c r="B1106" s="1" t="n">
        <v>45343</v>
      </c>
      <c r="C1106" s="1" t="n">
        <v>45828</v>
      </c>
      <c r="D1106" t="inlineStr">
        <is>
          <t>VÄSTERBOTTENS LÄN</t>
        </is>
      </c>
      <c r="E1106" t="inlineStr">
        <is>
          <t>UMEÅ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6987-2024</t>
        </is>
      </c>
      <c r="B1107" s="1" t="n">
        <v>45343</v>
      </c>
      <c r="C1107" s="1" t="n">
        <v>45828</v>
      </c>
      <c r="D1107" t="inlineStr">
        <is>
          <t>VÄSTERBOTTENS LÄN</t>
        </is>
      </c>
      <c r="E1107" t="inlineStr">
        <is>
          <t>UMEÅ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7003-2024</t>
        </is>
      </c>
      <c r="B1108" s="1" t="n">
        <v>45343</v>
      </c>
      <c r="C1108" s="1" t="n">
        <v>45828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7439-2024</t>
        </is>
      </c>
      <c r="B1109" s="1" t="n">
        <v>45345</v>
      </c>
      <c r="C1109" s="1" t="n">
        <v>45828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7437-2024</t>
        </is>
      </c>
      <c r="B1110" s="1" t="n">
        <v>45345</v>
      </c>
      <c r="C1110" s="1" t="n">
        <v>45828</v>
      </c>
      <c r="D1110" t="inlineStr">
        <is>
          <t>VÄSTERBOTTENS LÄN</t>
        </is>
      </c>
      <c r="E1110" t="inlineStr">
        <is>
          <t>UMEÅ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7440-2024</t>
        </is>
      </c>
      <c r="B1111" s="1" t="n">
        <v>45345</v>
      </c>
      <c r="C1111" s="1" t="n">
        <v>45828</v>
      </c>
      <c r="D1111" t="inlineStr">
        <is>
          <t>VÄSTERBOTTENS LÄN</t>
        </is>
      </c>
      <c r="E1111" t="inlineStr">
        <is>
          <t>UMEÅ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7373-2024</t>
        </is>
      </c>
      <c r="B1112" s="1" t="n">
        <v>45345</v>
      </c>
      <c r="C1112" s="1" t="n">
        <v>45828</v>
      </c>
      <c r="D1112" t="inlineStr">
        <is>
          <t>VÄSTERBOTTENS LÄN</t>
        </is>
      </c>
      <c r="E1112" t="inlineStr">
        <is>
          <t>UMEÅ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7635-2024</t>
        </is>
      </c>
      <c r="B1113" s="1" t="n">
        <v>45348</v>
      </c>
      <c r="C1113" s="1" t="n">
        <v>45828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7699-2024</t>
        </is>
      </c>
      <c r="B1114" s="1" t="n">
        <v>45349</v>
      </c>
      <c r="C1114" s="1" t="n">
        <v>45828</v>
      </c>
      <c r="D1114" t="inlineStr">
        <is>
          <t>VÄSTERBOTTENS LÄN</t>
        </is>
      </c>
      <c r="E1114" t="inlineStr">
        <is>
          <t>UMEÅ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7789-2024</t>
        </is>
      </c>
      <c r="B1115" s="1" t="n">
        <v>45349</v>
      </c>
      <c r="C1115" s="1" t="n">
        <v>45828</v>
      </c>
      <c r="D1115" t="inlineStr">
        <is>
          <t>VÄSTERBOTTENS LÄN</t>
        </is>
      </c>
      <c r="E1115" t="inlineStr">
        <is>
          <t>UMEÅ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7910-2024</t>
        </is>
      </c>
      <c r="B1116" s="1" t="n">
        <v>45349</v>
      </c>
      <c r="C1116" s="1" t="n">
        <v>45828</v>
      </c>
      <c r="D1116" t="inlineStr">
        <is>
          <t>VÄSTERBOTTENS LÄN</t>
        </is>
      </c>
      <c r="E1116" t="inlineStr">
        <is>
          <t>UMEÅ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8479-2024</t>
        </is>
      </c>
      <c r="B1117" s="1" t="n">
        <v>45351</v>
      </c>
      <c r="C1117" s="1" t="n">
        <v>45828</v>
      </c>
      <c r="D1117" t="inlineStr">
        <is>
          <t>VÄSTERBOTTENS LÄN</t>
        </is>
      </c>
      <c r="E1117" t="inlineStr">
        <is>
          <t>UMEÅ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8716-2024</t>
        </is>
      </c>
      <c r="B1118" s="1" t="n">
        <v>45356</v>
      </c>
      <c r="C1118" s="1" t="n">
        <v>45828</v>
      </c>
      <c r="D1118" t="inlineStr">
        <is>
          <t>VÄSTERBOTTENS LÄN</t>
        </is>
      </c>
      <c r="E1118" t="inlineStr">
        <is>
          <t>UMEÅ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8717-2024</t>
        </is>
      </c>
      <c r="B1119" s="1" t="n">
        <v>45356</v>
      </c>
      <c r="C1119" s="1" t="n">
        <v>45828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9012-2024</t>
        </is>
      </c>
      <c r="B1120" s="1" t="n">
        <v>45357</v>
      </c>
      <c r="C1120" s="1" t="n">
        <v>45828</v>
      </c>
      <c r="D1120" t="inlineStr">
        <is>
          <t>VÄSTERBOTTENS LÄN</t>
        </is>
      </c>
      <c r="E1120" t="inlineStr">
        <is>
          <t>UMEÅ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9139-2024</t>
        </is>
      </c>
      <c r="B1121" s="1" t="n">
        <v>45358</v>
      </c>
      <c r="C1121" s="1" t="n">
        <v>45828</v>
      </c>
      <c r="D1121" t="inlineStr">
        <is>
          <t>VÄSTERBOTTENS LÄN</t>
        </is>
      </c>
      <c r="E1121" t="inlineStr">
        <is>
          <t>UMEÅ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9654-2024</t>
        </is>
      </c>
      <c r="B1122" s="1" t="n">
        <v>45362</v>
      </c>
      <c r="C1122" s="1" t="n">
        <v>45828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9671-2024</t>
        </is>
      </c>
      <c r="B1123" s="1" t="n">
        <v>45362</v>
      </c>
      <c r="C1123" s="1" t="n">
        <v>45828</v>
      </c>
      <c r="D1123" t="inlineStr">
        <is>
          <t>VÄSTERBOTTENS LÄN</t>
        </is>
      </c>
      <c r="E1123" t="inlineStr">
        <is>
          <t>UMEÅ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9703-2024</t>
        </is>
      </c>
      <c r="B1124" s="1" t="n">
        <v>45362</v>
      </c>
      <c r="C1124" s="1" t="n">
        <v>45828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10568-2024</t>
        </is>
      </c>
      <c r="B1125" s="1" t="n">
        <v>45366</v>
      </c>
      <c r="C1125" s="1" t="n">
        <v>45828</v>
      </c>
      <c r="D1125" t="inlineStr">
        <is>
          <t>VÄSTERBOTTENS LÄN</t>
        </is>
      </c>
      <c r="E1125" t="inlineStr">
        <is>
          <t>UMEÅ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11184-2024</t>
        </is>
      </c>
      <c r="B1126" s="1" t="n">
        <v>45371</v>
      </c>
      <c r="C1126" s="1" t="n">
        <v>45828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Övriga statliga verk och myndigheter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11264-2024</t>
        </is>
      </c>
      <c r="B1127" s="1" t="n">
        <v>45371</v>
      </c>
      <c r="C1127" s="1" t="n">
        <v>45828</v>
      </c>
      <c r="D1127" t="inlineStr">
        <is>
          <t>VÄSTERBOTTENS LÄN</t>
        </is>
      </c>
      <c r="E1127" t="inlineStr">
        <is>
          <t>UMEÅ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11610-2024</t>
        </is>
      </c>
      <c r="B1128" s="1" t="n">
        <v>45373</v>
      </c>
      <c r="C1128" s="1" t="n">
        <v>45828</v>
      </c>
      <c r="D1128" t="inlineStr">
        <is>
          <t>VÄSTERBOTTENS LÄN</t>
        </is>
      </c>
      <c r="E1128" t="inlineStr">
        <is>
          <t>UMEÅ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11954-2024</t>
        </is>
      </c>
      <c r="B1129" s="1" t="n">
        <v>45376</v>
      </c>
      <c r="C1129" s="1" t="n">
        <v>45828</v>
      </c>
      <c r="D1129" t="inlineStr">
        <is>
          <t>VÄSTERBOTTENS LÄN</t>
        </is>
      </c>
      <c r="E1129" t="inlineStr">
        <is>
          <t>UMEÅ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13090-2024</t>
        </is>
      </c>
      <c r="B1130" s="1" t="n">
        <v>45385</v>
      </c>
      <c r="C1130" s="1" t="n">
        <v>45828</v>
      </c>
      <c r="D1130" t="inlineStr">
        <is>
          <t>VÄSTERBOTTENS LÄN</t>
        </is>
      </c>
      <c r="E1130" t="inlineStr">
        <is>
          <t>UMEÅ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14039-2024</t>
        </is>
      </c>
      <c r="B1131" s="1" t="n">
        <v>45392</v>
      </c>
      <c r="C1131" s="1" t="n">
        <v>45828</v>
      </c>
      <c r="D1131" t="inlineStr">
        <is>
          <t>VÄSTERBOTTENS LÄN</t>
        </is>
      </c>
      <c r="E1131" t="inlineStr">
        <is>
          <t>UMEÅ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14043-2024</t>
        </is>
      </c>
      <c r="B1132" s="1" t="n">
        <v>45392</v>
      </c>
      <c r="C1132" s="1" t="n">
        <v>45828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14845-2024</t>
        </is>
      </c>
      <c r="B1133" s="1" t="n">
        <v>45398</v>
      </c>
      <c r="C1133" s="1" t="n">
        <v>45828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15105-2024</t>
        </is>
      </c>
      <c r="B1134" s="1" t="n">
        <v>45399</v>
      </c>
      <c r="C1134" s="1" t="n">
        <v>45828</v>
      </c>
      <c r="D1134" t="inlineStr">
        <is>
          <t>VÄSTERBOTTENS LÄN</t>
        </is>
      </c>
      <c r="E1134" t="inlineStr">
        <is>
          <t>UMEÅ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15430-2024</t>
        </is>
      </c>
      <c r="B1135" s="1" t="n">
        <v>45401</v>
      </c>
      <c r="C1135" s="1" t="n">
        <v>45828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37.4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15433-2024</t>
        </is>
      </c>
      <c r="B1136" s="1" t="n">
        <v>45401</v>
      </c>
      <c r="C1136" s="1" t="n">
        <v>45828</v>
      </c>
      <c r="D1136" t="inlineStr">
        <is>
          <t>VÄSTERBOTTENS LÄN</t>
        </is>
      </c>
      <c r="E1136" t="inlineStr">
        <is>
          <t>UMEÅ</t>
        </is>
      </c>
      <c r="G1136" t="n">
        <v>12.7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15762-2024</t>
        </is>
      </c>
      <c r="B1137" s="1" t="n">
        <v>45404</v>
      </c>
      <c r="C1137" s="1" t="n">
        <v>45828</v>
      </c>
      <c r="D1137" t="inlineStr">
        <is>
          <t>VÄSTERBOTTENS LÄN</t>
        </is>
      </c>
      <c r="E1137" t="inlineStr">
        <is>
          <t>UMEÅ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15739-2024</t>
        </is>
      </c>
      <c r="B1138" s="1" t="n">
        <v>45404</v>
      </c>
      <c r="C1138" s="1" t="n">
        <v>45828</v>
      </c>
      <c r="D1138" t="inlineStr">
        <is>
          <t>VÄSTERBOTTENS LÄN</t>
        </is>
      </c>
      <c r="E1138" t="inlineStr">
        <is>
          <t>UMEÅ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15767-2024</t>
        </is>
      </c>
      <c r="B1139" s="1" t="n">
        <v>45404</v>
      </c>
      <c r="C1139" s="1" t="n">
        <v>45828</v>
      </c>
      <c r="D1139" t="inlineStr">
        <is>
          <t>VÄSTERBOTTENS LÄN</t>
        </is>
      </c>
      <c r="E1139" t="inlineStr">
        <is>
          <t>UMEÅ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15980-2024</t>
        </is>
      </c>
      <c r="B1140" s="1" t="n">
        <v>45405</v>
      </c>
      <c r="C1140" s="1" t="n">
        <v>45828</v>
      </c>
      <c r="D1140" t="inlineStr">
        <is>
          <t>VÄSTERBOTTENS LÄN</t>
        </is>
      </c>
      <c r="E1140" t="inlineStr">
        <is>
          <t>UMEÅ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15985-2024</t>
        </is>
      </c>
      <c r="B1141" s="1" t="n">
        <v>45405</v>
      </c>
      <c r="C1141" s="1" t="n">
        <v>45828</v>
      </c>
      <c r="D1141" t="inlineStr">
        <is>
          <t>VÄSTERBOTTENS LÄN</t>
        </is>
      </c>
      <c r="E1141" t="inlineStr">
        <is>
          <t>UMEÅ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16003-2024</t>
        </is>
      </c>
      <c r="B1142" s="1" t="n">
        <v>45405</v>
      </c>
      <c r="C1142" s="1" t="n">
        <v>45828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15979-2024</t>
        </is>
      </c>
      <c r="B1143" s="1" t="n">
        <v>45405</v>
      </c>
      <c r="C1143" s="1" t="n">
        <v>45828</v>
      </c>
      <c r="D1143" t="inlineStr">
        <is>
          <t>VÄSTERBOTTENS LÄN</t>
        </is>
      </c>
      <c r="E1143" t="inlineStr">
        <is>
          <t>UMEÅ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16453-2024</t>
        </is>
      </c>
      <c r="B1144" s="1" t="n">
        <v>45407</v>
      </c>
      <c r="C1144" s="1" t="n">
        <v>45828</v>
      </c>
      <c r="D1144" t="inlineStr">
        <is>
          <t>VÄSTERBOTTENS LÄN</t>
        </is>
      </c>
      <c r="E1144" t="inlineStr">
        <is>
          <t>UMEÅ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16962-2024</t>
        </is>
      </c>
      <c r="B1145" s="1" t="n">
        <v>45411</v>
      </c>
      <c r="C1145" s="1" t="n">
        <v>45828</v>
      </c>
      <c r="D1145" t="inlineStr">
        <is>
          <t>VÄSTERBOTTENS LÄN</t>
        </is>
      </c>
      <c r="E1145" t="inlineStr">
        <is>
          <t>UMEÅ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16960-2024</t>
        </is>
      </c>
      <c r="B1146" s="1" t="n">
        <v>45411</v>
      </c>
      <c r="C1146" s="1" t="n">
        <v>45828</v>
      </c>
      <c r="D1146" t="inlineStr">
        <is>
          <t>VÄSTERBOTTENS LÄN</t>
        </is>
      </c>
      <c r="E1146" t="inlineStr">
        <is>
          <t>UMEÅ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17632-2024</t>
        </is>
      </c>
      <c r="B1147" s="1" t="n">
        <v>45418</v>
      </c>
      <c r="C1147" s="1" t="n">
        <v>45828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18070-2024</t>
        </is>
      </c>
      <c r="B1148" s="1" t="n">
        <v>45420</v>
      </c>
      <c r="C1148" s="1" t="n">
        <v>45828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18601-2024</t>
        </is>
      </c>
      <c r="B1149" s="1" t="n">
        <v>45425</v>
      </c>
      <c r="C1149" s="1" t="n">
        <v>45828</v>
      </c>
      <c r="D1149" t="inlineStr">
        <is>
          <t>VÄSTERBOTTENS LÄN</t>
        </is>
      </c>
      <c r="E1149" t="inlineStr">
        <is>
          <t>UMEÅ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18703-2024</t>
        </is>
      </c>
      <c r="B1150" s="1" t="n">
        <v>45426</v>
      </c>
      <c r="C1150" s="1" t="n">
        <v>45828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18725-2024</t>
        </is>
      </c>
      <c r="B1151" s="1" t="n">
        <v>45426</v>
      </c>
      <c r="C1151" s="1" t="n">
        <v>45828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18861-2024</t>
        </is>
      </c>
      <c r="B1152" s="1" t="n">
        <v>45426</v>
      </c>
      <c r="C1152" s="1" t="n">
        <v>45828</v>
      </c>
      <c r="D1152" t="inlineStr">
        <is>
          <t>VÄSTERBOTTENS LÄN</t>
        </is>
      </c>
      <c r="E1152" t="inlineStr">
        <is>
          <t>UMEÅ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19011-2024</t>
        </is>
      </c>
      <c r="B1153" s="1" t="n">
        <v>45427</v>
      </c>
      <c r="C1153" s="1" t="n">
        <v>45828</v>
      </c>
      <c r="D1153" t="inlineStr">
        <is>
          <t>VÄSTERBOTTENS LÄN</t>
        </is>
      </c>
      <c r="E1153" t="inlineStr">
        <is>
          <t>UMEÅ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19061-2024</t>
        </is>
      </c>
      <c r="B1154" s="1" t="n">
        <v>45428</v>
      </c>
      <c r="C1154" s="1" t="n">
        <v>45828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19025-2024</t>
        </is>
      </c>
      <c r="B1155" s="1" t="n">
        <v>45427</v>
      </c>
      <c r="C1155" s="1" t="n">
        <v>45828</v>
      </c>
      <c r="D1155" t="inlineStr">
        <is>
          <t>VÄSTERBOTTENS LÄN</t>
        </is>
      </c>
      <c r="E1155" t="inlineStr">
        <is>
          <t>UMEÅ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19293-2024</t>
        </is>
      </c>
      <c r="B1156" s="1" t="n">
        <v>45428</v>
      </c>
      <c r="C1156" s="1" t="n">
        <v>45828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19124-2024</t>
        </is>
      </c>
      <c r="B1157" s="1" t="n">
        <v>45428</v>
      </c>
      <c r="C1157" s="1" t="n">
        <v>45828</v>
      </c>
      <c r="D1157" t="inlineStr">
        <is>
          <t>VÄSTERBOTTENS LÄN</t>
        </is>
      </c>
      <c r="E1157" t="inlineStr">
        <is>
          <t>UMEÅ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19189-2024</t>
        </is>
      </c>
      <c r="B1158" s="1" t="n">
        <v>45428</v>
      </c>
      <c r="C1158" s="1" t="n">
        <v>45828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19327-2024</t>
        </is>
      </c>
      <c r="B1159" s="1" t="n">
        <v>45428</v>
      </c>
      <c r="C1159" s="1" t="n">
        <v>45828</v>
      </c>
      <c r="D1159" t="inlineStr">
        <is>
          <t>VÄSTERBOTTENS LÄN</t>
        </is>
      </c>
      <c r="E1159" t="inlineStr">
        <is>
          <t>UMEÅ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19521-2024</t>
        </is>
      </c>
      <c r="B1160" s="1" t="n">
        <v>45429</v>
      </c>
      <c r="C1160" s="1" t="n">
        <v>45828</v>
      </c>
      <c r="D1160" t="inlineStr">
        <is>
          <t>VÄSTERBOTTENS LÄN</t>
        </is>
      </c>
      <c r="E1160" t="inlineStr">
        <is>
          <t>UMEÅ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19579-2024</t>
        </is>
      </c>
      <c r="B1161" s="1" t="n">
        <v>45430</v>
      </c>
      <c r="C1161" s="1" t="n">
        <v>45828</v>
      </c>
      <c r="D1161" t="inlineStr">
        <is>
          <t>VÄSTERBOTTENS LÄN</t>
        </is>
      </c>
      <c r="E1161" t="inlineStr">
        <is>
          <t>UMEÅ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19678-2024</t>
        </is>
      </c>
      <c r="B1162" s="1" t="n">
        <v>45432</v>
      </c>
      <c r="C1162" s="1" t="n">
        <v>45828</v>
      </c>
      <c r="D1162" t="inlineStr">
        <is>
          <t>VÄSTERBOTTENS LÄN</t>
        </is>
      </c>
      <c r="E1162" t="inlineStr">
        <is>
          <t>UMEÅ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20208-2024</t>
        </is>
      </c>
      <c r="B1163" s="1" t="n">
        <v>45434</v>
      </c>
      <c r="C1163" s="1" t="n">
        <v>45828</v>
      </c>
      <c r="D1163" t="inlineStr">
        <is>
          <t>VÄSTERBOTTENS LÄN</t>
        </is>
      </c>
      <c r="E1163" t="inlineStr">
        <is>
          <t>UMEÅ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20748-2024</t>
        </is>
      </c>
      <c r="B1164" s="1" t="n">
        <v>45436</v>
      </c>
      <c r="C1164" s="1" t="n">
        <v>45828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20753-2024</t>
        </is>
      </c>
      <c r="B1165" s="1" t="n">
        <v>45436</v>
      </c>
      <c r="C1165" s="1" t="n">
        <v>45828</v>
      </c>
      <c r="D1165" t="inlineStr">
        <is>
          <t>VÄSTERBOTTENS LÄN</t>
        </is>
      </c>
      <c r="E1165" t="inlineStr">
        <is>
          <t>UMEÅ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20749-2024</t>
        </is>
      </c>
      <c r="B1166" s="1" t="n">
        <v>45436</v>
      </c>
      <c r="C1166" s="1" t="n">
        <v>45828</v>
      </c>
      <c r="D1166" t="inlineStr">
        <is>
          <t>VÄSTERBOTTENS LÄN</t>
        </is>
      </c>
      <c r="E1166" t="inlineStr">
        <is>
          <t>UMEÅ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20752-2024</t>
        </is>
      </c>
      <c r="B1167" s="1" t="n">
        <v>45437</v>
      </c>
      <c r="C1167" s="1" t="n">
        <v>45828</v>
      </c>
      <c r="D1167" t="inlineStr">
        <is>
          <t>VÄSTERBOTTENS LÄN</t>
        </is>
      </c>
      <c r="E1167" t="inlineStr">
        <is>
          <t>UMEÅ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21080-2024</t>
        </is>
      </c>
      <c r="B1168" s="1" t="n">
        <v>45439</v>
      </c>
      <c r="C1168" s="1" t="n">
        <v>45828</v>
      </c>
      <c r="D1168" t="inlineStr">
        <is>
          <t>VÄSTERBOTTENS LÄN</t>
        </is>
      </c>
      <c r="E1168" t="inlineStr">
        <is>
          <t>UMEÅ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21084-2024</t>
        </is>
      </c>
      <c r="B1169" s="1" t="n">
        <v>45439</v>
      </c>
      <c r="C1169" s="1" t="n">
        <v>45828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21081-2024</t>
        </is>
      </c>
      <c r="B1170" s="1" t="n">
        <v>45439</v>
      </c>
      <c r="C1170" s="1" t="n">
        <v>45828</v>
      </c>
      <c r="D1170" t="inlineStr">
        <is>
          <t>VÄSTERBOTTENS LÄN</t>
        </is>
      </c>
      <c r="E1170" t="inlineStr">
        <is>
          <t>UMEÅ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21159-2024</t>
        </is>
      </c>
      <c r="B1171" s="1" t="n">
        <v>45440</v>
      </c>
      <c r="C1171" s="1" t="n">
        <v>45828</v>
      </c>
      <c r="D1171" t="inlineStr">
        <is>
          <t>VÄSTERBOTTENS LÄN</t>
        </is>
      </c>
      <c r="E1171" t="inlineStr">
        <is>
          <t>UMEÅ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21440-2024</t>
        </is>
      </c>
      <c r="B1172" s="1" t="n">
        <v>45441</v>
      </c>
      <c r="C1172" s="1" t="n">
        <v>45828</v>
      </c>
      <c r="D1172" t="inlineStr">
        <is>
          <t>VÄSTERBOTTENS LÄN</t>
        </is>
      </c>
      <c r="E1172" t="inlineStr">
        <is>
          <t>UMEÅ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21712-2024</t>
        </is>
      </c>
      <c r="B1173" s="1" t="n">
        <v>45442</v>
      </c>
      <c r="C1173" s="1" t="n">
        <v>45828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21778-2024</t>
        </is>
      </c>
      <c r="B1174" s="1" t="n">
        <v>45442</v>
      </c>
      <c r="C1174" s="1" t="n">
        <v>45828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21860-2024</t>
        </is>
      </c>
      <c r="B1175" s="1" t="n">
        <v>45443</v>
      </c>
      <c r="C1175" s="1" t="n">
        <v>45828</v>
      </c>
      <c r="D1175" t="inlineStr">
        <is>
          <t>VÄSTERBOTTENS LÄN</t>
        </is>
      </c>
      <c r="E1175" t="inlineStr">
        <is>
          <t>UMEÅ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21939-2024</t>
        </is>
      </c>
      <c r="B1176" s="1" t="n">
        <v>45443</v>
      </c>
      <c r="C1176" s="1" t="n">
        <v>45828</v>
      </c>
      <c r="D1176" t="inlineStr">
        <is>
          <t>VÄSTERBOTTENS LÄN</t>
        </is>
      </c>
      <c r="E1176" t="inlineStr">
        <is>
          <t>UMEÅ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22366-2024</t>
        </is>
      </c>
      <c r="B1177" s="1" t="n">
        <v>45446</v>
      </c>
      <c r="C1177" s="1" t="n">
        <v>45828</v>
      </c>
      <c r="D1177" t="inlineStr">
        <is>
          <t>VÄSTERBOTTENS LÄN</t>
        </is>
      </c>
      <c r="E1177" t="inlineStr">
        <is>
          <t>UMEÅ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22370-2024</t>
        </is>
      </c>
      <c r="B1178" s="1" t="n">
        <v>45446</v>
      </c>
      <c r="C1178" s="1" t="n">
        <v>45828</v>
      </c>
      <c r="D1178" t="inlineStr">
        <is>
          <t>VÄSTERBOTTENS LÄN</t>
        </is>
      </c>
      <c r="E1178" t="inlineStr">
        <is>
          <t>UMEÅ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22392-2024</t>
        </is>
      </c>
      <c r="B1179" s="1" t="n">
        <v>45446</v>
      </c>
      <c r="C1179" s="1" t="n">
        <v>45828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22365-2024</t>
        </is>
      </c>
      <c r="B1180" s="1" t="n">
        <v>45446</v>
      </c>
      <c r="C1180" s="1" t="n">
        <v>45828</v>
      </c>
      <c r="D1180" t="inlineStr">
        <is>
          <t>VÄSTERBOTTENS LÄN</t>
        </is>
      </c>
      <c r="E1180" t="inlineStr">
        <is>
          <t>UMEÅ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22632-2024</t>
        </is>
      </c>
      <c r="B1181" s="1" t="n">
        <v>45447</v>
      </c>
      <c r="C1181" s="1" t="n">
        <v>45828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22542-2024</t>
        </is>
      </c>
      <c r="B1182" s="1" t="n">
        <v>45447</v>
      </c>
      <c r="C1182" s="1" t="n">
        <v>45828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22538-2024</t>
        </is>
      </c>
      <c r="B1183" s="1" t="n">
        <v>45447</v>
      </c>
      <c r="C1183" s="1" t="n">
        <v>45828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22619-2024</t>
        </is>
      </c>
      <c r="B1184" s="1" t="n">
        <v>45447</v>
      </c>
      <c r="C1184" s="1" t="n">
        <v>45828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39.7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22544-2024</t>
        </is>
      </c>
      <c r="B1185" s="1" t="n">
        <v>45447</v>
      </c>
      <c r="C1185" s="1" t="n">
        <v>45828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22755-2024</t>
        </is>
      </c>
      <c r="B1186" s="1" t="n">
        <v>45448</v>
      </c>
      <c r="C1186" s="1" t="n">
        <v>45828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22879-2024</t>
        </is>
      </c>
      <c r="B1187" s="1" t="n">
        <v>45448</v>
      </c>
      <c r="C1187" s="1" t="n">
        <v>45828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23107-2024</t>
        </is>
      </c>
      <c r="B1188" s="1" t="n">
        <v>45450</v>
      </c>
      <c r="C1188" s="1" t="n">
        <v>45828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23285-2024</t>
        </is>
      </c>
      <c r="B1189" s="1" t="n">
        <v>45453</v>
      </c>
      <c r="C1189" s="1" t="n">
        <v>45828</v>
      </c>
      <c r="D1189" t="inlineStr">
        <is>
          <t>VÄSTERBOTTENS LÄN</t>
        </is>
      </c>
      <c r="E1189" t="inlineStr">
        <is>
          <t>UMEÅ</t>
        </is>
      </c>
      <c r="G1189" t="n">
        <v>13.4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23718-2024</t>
        </is>
      </c>
      <c r="B1190" s="1" t="n">
        <v>45454</v>
      </c>
      <c r="C1190" s="1" t="n">
        <v>45828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23842-2024</t>
        </is>
      </c>
      <c r="B1191" s="1" t="n">
        <v>45455</v>
      </c>
      <c r="C1191" s="1" t="n">
        <v>45828</v>
      </c>
      <c r="D1191" t="inlineStr">
        <is>
          <t>VÄSTERBOTTENS LÄN</t>
        </is>
      </c>
      <c r="E1191" t="inlineStr">
        <is>
          <t>UMEÅ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23841-2024</t>
        </is>
      </c>
      <c r="B1192" s="1" t="n">
        <v>45455</v>
      </c>
      <c r="C1192" s="1" t="n">
        <v>45828</v>
      </c>
      <c r="D1192" t="inlineStr">
        <is>
          <t>VÄSTERBOTTENS LÄN</t>
        </is>
      </c>
      <c r="E1192" t="inlineStr">
        <is>
          <t>UMEÅ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23840-2024</t>
        </is>
      </c>
      <c r="B1193" s="1" t="n">
        <v>45455</v>
      </c>
      <c r="C1193" s="1" t="n">
        <v>45828</v>
      </c>
      <c r="D1193" t="inlineStr">
        <is>
          <t>VÄSTERBOTTENS LÄN</t>
        </is>
      </c>
      <c r="E1193" t="inlineStr">
        <is>
          <t>UMEÅ</t>
        </is>
      </c>
      <c r="G1193" t="n">
        <v>10.8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23751-2024</t>
        </is>
      </c>
      <c r="B1194" s="1" t="n">
        <v>45455</v>
      </c>
      <c r="C1194" s="1" t="n">
        <v>45828</v>
      </c>
      <c r="D1194" t="inlineStr">
        <is>
          <t>VÄSTERBOTTENS LÄN</t>
        </is>
      </c>
      <c r="E1194" t="inlineStr">
        <is>
          <t>UMEÅ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23927-2024</t>
        </is>
      </c>
      <c r="B1195" s="1" t="n">
        <v>45456</v>
      </c>
      <c r="C1195" s="1" t="n">
        <v>45828</v>
      </c>
      <c r="D1195" t="inlineStr">
        <is>
          <t>VÄSTERBOTTENS LÄN</t>
        </is>
      </c>
      <c r="E1195" t="inlineStr">
        <is>
          <t>UMEÅ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24401-2024</t>
        </is>
      </c>
      <c r="B1196" s="1" t="n">
        <v>45457</v>
      </c>
      <c r="C1196" s="1" t="n">
        <v>45828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Kommuner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24400-2024</t>
        </is>
      </c>
      <c r="B1197" s="1" t="n">
        <v>45457</v>
      </c>
      <c r="C1197" s="1" t="n">
        <v>45828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24404-2024</t>
        </is>
      </c>
      <c r="B1198" s="1" t="n">
        <v>45457</v>
      </c>
      <c r="C1198" s="1" t="n">
        <v>45828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24752-2024</t>
        </is>
      </c>
      <c r="B1199" s="1" t="n">
        <v>45460</v>
      </c>
      <c r="C1199" s="1" t="n">
        <v>45828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24553-2024</t>
        </is>
      </c>
      <c r="B1200" s="1" t="n">
        <v>45460</v>
      </c>
      <c r="C1200" s="1" t="n">
        <v>45828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24718-2024</t>
        </is>
      </c>
      <c r="B1201" s="1" t="n">
        <v>45460</v>
      </c>
      <c r="C1201" s="1" t="n">
        <v>45828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25346-2024</t>
        </is>
      </c>
      <c r="B1202" s="1" t="n">
        <v>45462</v>
      </c>
      <c r="C1202" s="1" t="n">
        <v>45828</v>
      </c>
      <c r="D1202" t="inlineStr">
        <is>
          <t>VÄSTERBOTTENS LÄN</t>
        </is>
      </c>
      <c r="E1202" t="inlineStr">
        <is>
          <t>UMEÅ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25687-2024</t>
        </is>
      </c>
      <c r="B1203" s="1" t="n">
        <v>45463</v>
      </c>
      <c r="C1203" s="1" t="n">
        <v>45828</v>
      </c>
      <c r="D1203" t="inlineStr">
        <is>
          <t>VÄSTERBOTTENS LÄN</t>
        </is>
      </c>
      <c r="E1203" t="inlineStr">
        <is>
          <t>UMEÅ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25631-2024</t>
        </is>
      </c>
      <c r="B1204" s="1" t="n">
        <v>45463</v>
      </c>
      <c r="C1204" s="1" t="n">
        <v>45828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25456-2024</t>
        </is>
      </c>
      <c r="B1205" s="1" t="n">
        <v>45463</v>
      </c>
      <c r="C1205" s="1" t="n">
        <v>45828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25437-2024</t>
        </is>
      </c>
      <c r="B1206" s="1" t="n">
        <v>45463</v>
      </c>
      <c r="C1206" s="1" t="n">
        <v>45828</v>
      </c>
      <c r="D1206" t="inlineStr">
        <is>
          <t>VÄSTERBOTTENS LÄN</t>
        </is>
      </c>
      <c r="E1206" t="inlineStr">
        <is>
          <t>UMEÅ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25903-2024</t>
        </is>
      </c>
      <c r="B1207" s="1" t="n">
        <v>45467</v>
      </c>
      <c r="C1207" s="1" t="n">
        <v>45828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26004-2024</t>
        </is>
      </c>
      <c r="B1208" s="1" t="n">
        <v>45468</v>
      </c>
      <c r="C1208" s="1" t="n">
        <v>45828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26351-2024</t>
        </is>
      </c>
      <c r="B1209" s="1" t="n">
        <v>45469</v>
      </c>
      <c r="C1209" s="1" t="n">
        <v>45828</v>
      </c>
      <c r="D1209" t="inlineStr">
        <is>
          <t>VÄSTERBOTTENS LÄN</t>
        </is>
      </c>
      <c r="E1209" t="inlineStr">
        <is>
          <t>UMEÅ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26417-2024</t>
        </is>
      </c>
      <c r="B1210" s="1" t="n">
        <v>45469</v>
      </c>
      <c r="C1210" s="1" t="n">
        <v>45828</v>
      </c>
      <c r="D1210" t="inlineStr">
        <is>
          <t>VÄSTERBOTTENS LÄN</t>
        </is>
      </c>
      <c r="E1210" t="inlineStr">
        <is>
          <t>UMEÅ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26352-2024</t>
        </is>
      </c>
      <c r="B1211" s="1" t="n">
        <v>45469</v>
      </c>
      <c r="C1211" s="1" t="n">
        <v>45828</v>
      </c>
      <c r="D1211" t="inlineStr">
        <is>
          <t>VÄSTERBOTTENS LÄN</t>
        </is>
      </c>
      <c r="E1211" t="inlineStr">
        <is>
          <t>UMEÅ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26617-2024</t>
        </is>
      </c>
      <c r="B1212" s="1" t="n">
        <v>45469</v>
      </c>
      <c r="C1212" s="1" t="n">
        <v>45828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26924-2024</t>
        </is>
      </c>
      <c r="B1213" s="1" t="n">
        <v>45471</v>
      </c>
      <c r="C1213" s="1" t="n">
        <v>45828</v>
      </c>
      <c r="D1213" t="inlineStr">
        <is>
          <t>VÄSTERBOTTENS LÄN</t>
        </is>
      </c>
      <c r="E1213" t="inlineStr">
        <is>
          <t>UMEÅ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26738-2024</t>
        </is>
      </c>
      <c r="B1214" s="1" t="n">
        <v>45470</v>
      </c>
      <c r="C1214" s="1" t="n">
        <v>45828</v>
      </c>
      <c r="D1214" t="inlineStr">
        <is>
          <t>VÄSTERBOTTENS LÄN</t>
        </is>
      </c>
      <c r="E1214" t="inlineStr">
        <is>
          <t>UMEÅ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26933-2024</t>
        </is>
      </c>
      <c r="B1215" s="1" t="n">
        <v>45470</v>
      </c>
      <c r="C1215" s="1" t="n">
        <v>45828</v>
      </c>
      <c r="D1215" t="inlineStr">
        <is>
          <t>VÄSTERBOTTENS LÄN</t>
        </is>
      </c>
      <c r="E1215" t="inlineStr">
        <is>
          <t>UMEÅ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26861-2024</t>
        </is>
      </c>
      <c r="B1216" s="1" t="n">
        <v>45470</v>
      </c>
      <c r="C1216" s="1" t="n">
        <v>45828</v>
      </c>
      <c r="D1216" t="inlineStr">
        <is>
          <t>VÄSTERBOTTENS LÄN</t>
        </is>
      </c>
      <c r="E1216" t="inlineStr">
        <is>
          <t>UMEÅ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27052-2024</t>
        </is>
      </c>
      <c r="B1217" s="1" t="n">
        <v>45471</v>
      </c>
      <c r="C1217" s="1" t="n">
        <v>45828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27088-2024</t>
        </is>
      </c>
      <c r="B1218" s="1" t="n">
        <v>45471</v>
      </c>
      <c r="C1218" s="1" t="n">
        <v>45828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27154-2024</t>
        </is>
      </c>
      <c r="B1219" s="1" t="n">
        <v>45471</v>
      </c>
      <c r="C1219" s="1" t="n">
        <v>45828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27229-2024</t>
        </is>
      </c>
      <c r="B1220" s="1" t="n">
        <v>45471</v>
      </c>
      <c r="C1220" s="1" t="n">
        <v>45828</v>
      </c>
      <c r="D1220" t="inlineStr">
        <is>
          <t>VÄSTERBOTTENS LÄN</t>
        </is>
      </c>
      <c r="E1220" t="inlineStr">
        <is>
          <t>UMEÅ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27941-2024</t>
        </is>
      </c>
      <c r="B1221" s="1" t="n">
        <v>45475</v>
      </c>
      <c r="C1221" s="1" t="n">
        <v>45828</v>
      </c>
      <c r="D1221" t="inlineStr">
        <is>
          <t>VÄSTERBOTTENS LÄN</t>
        </is>
      </c>
      <c r="E1221" t="inlineStr">
        <is>
          <t>UMEÅ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28138-2024</t>
        </is>
      </c>
      <c r="B1222" s="1" t="n">
        <v>45476</v>
      </c>
      <c r="C1222" s="1" t="n">
        <v>45828</v>
      </c>
      <c r="D1222" t="inlineStr">
        <is>
          <t>VÄSTERBOTTENS LÄN</t>
        </is>
      </c>
      <c r="E1222" t="inlineStr">
        <is>
          <t>UMEÅ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28855-2024</t>
        </is>
      </c>
      <c r="B1223" s="1" t="n">
        <v>45478</v>
      </c>
      <c r="C1223" s="1" t="n">
        <v>45828</v>
      </c>
      <c r="D1223" t="inlineStr">
        <is>
          <t>VÄSTERBOTTENS LÄN</t>
        </is>
      </c>
      <c r="E1223" t="inlineStr">
        <is>
          <t>UMEÅ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28860-2024</t>
        </is>
      </c>
      <c r="B1224" s="1" t="n">
        <v>45479</v>
      </c>
      <c r="C1224" s="1" t="n">
        <v>45828</v>
      </c>
      <c r="D1224" t="inlineStr">
        <is>
          <t>VÄSTERBOTTENS LÄN</t>
        </is>
      </c>
      <c r="E1224" t="inlineStr">
        <is>
          <t>UMEÅ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28880-2024</t>
        </is>
      </c>
      <c r="B1225" s="1" t="n">
        <v>45479</v>
      </c>
      <c r="C1225" s="1" t="n">
        <v>45828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29002-2024</t>
        </is>
      </c>
      <c r="B1226" s="1" t="n">
        <v>45481</v>
      </c>
      <c r="C1226" s="1" t="n">
        <v>45828</v>
      </c>
      <c r="D1226" t="inlineStr">
        <is>
          <t>VÄSTERBOTTENS LÄN</t>
        </is>
      </c>
      <c r="E1226" t="inlineStr">
        <is>
          <t>UMEÅ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28997-2024</t>
        </is>
      </c>
      <c r="B1227" s="1" t="n">
        <v>45481</v>
      </c>
      <c r="C1227" s="1" t="n">
        <v>45828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29000-2024</t>
        </is>
      </c>
      <c r="B1228" s="1" t="n">
        <v>45481</v>
      </c>
      <c r="C1228" s="1" t="n">
        <v>45828</v>
      </c>
      <c r="D1228" t="inlineStr">
        <is>
          <t>VÄSTERBOTTENS LÄN</t>
        </is>
      </c>
      <c r="E1228" t="inlineStr">
        <is>
          <t>UMEÅ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29653-2024</t>
        </is>
      </c>
      <c r="B1229" s="1" t="n">
        <v>45485</v>
      </c>
      <c r="C1229" s="1" t="n">
        <v>45828</v>
      </c>
      <c r="D1229" t="inlineStr">
        <is>
          <t>VÄSTERBOTTENS LÄN</t>
        </is>
      </c>
      <c r="E1229" t="inlineStr">
        <is>
          <t>UMEÅ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29652-2024</t>
        </is>
      </c>
      <c r="B1230" s="1" t="n">
        <v>45485</v>
      </c>
      <c r="C1230" s="1" t="n">
        <v>45828</v>
      </c>
      <c r="D1230" t="inlineStr">
        <is>
          <t>VÄSTERBOTTENS LÄN</t>
        </is>
      </c>
      <c r="E1230" t="inlineStr">
        <is>
          <t>UMEÅ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29655-2024</t>
        </is>
      </c>
      <c r="B1231" s="1" t="n">
        <v>45484</v>
      </c>
      <c r="C1231" s="1" t="n">
        <v>45828</v>
      </c>
      <c r="D1231" t="inlineStr">
        <is>
          <t>VÄSTERBOTTENS LÄN</t>
        </is>
      </c>
      <c r="E1231" t="inlineStr">
        <is>
          <t>UMEÅ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29656-2024</t>
        </is>
      </c>
      <c r="B1232" s="1" t="n">
        <v>45485</v>
      </c>
      <c r="C1232" s="1" t="n">
        <v>45828</v>
      </c>
      <c r="D1232" t="inlineStr">
        <is>
          <t>VÄSTERBOTTENS LÄN</t>
        </is>
      </c>
      <c r="E1232" t="inlineStr">
        <is>
          <t>UMEÅ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29658-2024</t>
        </is>
      </c>
      <c r="B1233" s="1" t="n">
        <v>45485</v>
      </c>
      <c r="C1233" s="1" t="n">
        <v>45828</v>
      </c>
      <c r="D1233" t="inlineStr">
        <is>
          <t>VÄSTERBOTTENS LÄN</t>
        </is>
      </c>
      <c r="E1233" t="inlineStr">
        <is>
          <t>UMEÅ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30050-2024</t>
        </is>
      </c>
      <c r="B1234" s="1" t="n">
        <v>45488</v>
      </c>
      <c r="C1234" s="1" t="n">
        <v>45828</v>
      </c>
      <c r="D1234" t="inlineStr">
        <is>
          <t>VÄSTERBOTTENS LÄN</t>
        </is>
      </c>
      <c r="E1234" t="inlineStr">
        <is>
          <t>UMEÅ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30021-2024</t>
        </is>
      </c>
      <c r="B1235" s="1" t="n">
        <v>45488</v>
      </c>
      <c r="C1235" s="1" t="n">
        <v>45828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30020-2024</t>
        </is>
      </c>
      <c r="B1236" s="1" t="n">
        <v>45488</v>
      </c>
      <c r="C1236" s="1" t="n">
        <v>45828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31031-2024</t>
        </is>
      </c>
      <c r="B1237" s="1" t="n">
        <v>45501</v>
      </c>
      <c r="C1237" s="1" t="n">
        <v>45828</v>
      </c>
      <c r="D1237" t="inlineStr">
        <is>
          <t>VÄSTERBOTTENS LÄN</t>
        </is>
      </c>
      <c r="E1237" t="inlineStr">
        <is>
          <t>UMEÅ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31030-2024</t>
        </is>
      </c>
      <c r="B1238" s="1" t="n">
        <v>45501</v>
      </c>
      <c r="C1238" s="1" t="n">
        <v>45828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31200-2024</t>
        </is>
      </c>
      <c r="B1239" s="1" t="n">
        <v>45503</v>
      </c>
      <c r="C1239" s="1" t="n">
        <v>45828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31442-2024</t>
        </is>
      </c>
      <c r="B1240" s="1" t="n">
        <v>45505</v>
      </c>
      <c r="C1240" s="1" t="n">
        <v>45828</v>
      </c>
      <c r="D1240" t="inlineStr">
        <is>
          <t>VÄSTERBOTTENS LÄN</t>
        </is>
      </c>
      <c r="E1240" t="inlineStr">
        <is>
          <t>UMEÅ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31441-2024</t>
        </is>
      </c>
      <c r="B1241" s="1" t="n">
        <v>45505</v>
      </c>
      <c r="C1241" s="1" t="n">
        <v>45828</v>
      </c>
      <c r="D1241" t="inlineStr">
        <is>
          <t>VÄSTERBOTTENS LÄN</t>
        </is>
      </c>
      <c r="E1241" t="inlineStr">
        <is>
          <t>UMEÅ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31928-2024</t>
        </is>
      </c>
      <c r="B1242" s="1" t="n">
        <v>45510</v>
      </c>
      <c r="C1242" s="1" t="n">
        <v>45828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31903-2024</t>
        </is>
      </c>
      <c r="B1243" s="1" t="n">
        <v>45510</v>
      </c>
      <c r="C1243" s="1" t="n">
        <v>45828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32221-2024</t>
        </is>
      </c>
      <c r="B1244" s="1" t="n">
        <v>45511</v>
      </c>
      <c r="C1244" s="1" t="n">
        <v>45828</v>
      </c>
      <c r="D1244" t="inlineStr">
        <is>
          <t>VÄSTERBOTTENS LÄN</t>
        </is>
      </c>
      <c r="E1244" t="inlineStr">
        <is>
          <t>UMEÅ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32282-2024</t>
        </is>
      </c>
      <c r="B1245" s="1" t="n">
        <v>45512</v>
      </c>
      <c r="C1245" s="1" t="n">
        <v>45828</v>
      </c>
      <c r="D1245" t="inlineStr">
        <is>
          <t>VÄSTERBOTTENS LÄN</t>
        </is>
      </c>
      <c r="E1245" t="inlineStr">
        <is>
          <t>UMEÅ</t>
        </is>
      </c>
      <c r="G1245" t="n">
        <v>9.5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32662-2024</t>
        </is>
      </c>
      <c r="B1246" s="1" t="n">
        <v>45514</v>
      </c>
      <c r="C1246" s="1" t="n">
        <v>45828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32813-2024</t>
        </is>
      </c>
      <c r="B1247" s="1" t="n">
        <v>45516</v>
      </c>
      <c r="C1247" s="1" t="n">
        <v>45828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32805-2024</t>
        </is>
      </c>
      <c r="B1248" s="1" t="n">
        <v>45516</v>
      </c>
      <c r="C1248" s="1" t="n">
        <v>45828</v>
      </c>
      <c r="D1248" t="inlineStr">
        <is>
          <t>VÄSTERBOTTENS LÄN</t>
        </is>
      </c>
      <c r="E1248" t="inlineStr">
        <is>
          <t>UMEÅ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32788-2024</t>
        </is>
      </c>
      <c r="B1249" s="1" t="n">
        <v>45516</v>
      </c>
      <c r="C1249" s="1" t="n">
        <v>45828</v>
      </c>
      <c r="D1249" t="inlineStr">
        <is>
          <t>VÄSTERBOTTENS LÄN</t>
        </is>
      </c>
      <c r="E1249" t="inlineStr">
        <is>
          <t>UMEÅ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32791-2024</t>
        </is>
      </c>
      <c r="B1250" s="1" t="n">
        <v>45516</v>
      </c>
      <c r="C1250" s="1" t="n">
        <v>45828</v>
      </c>
      <c r="D1250" t="inlineStr">
        <is>
          <t>VÄSTERBOTTENS LÄN</t>
        </is>
      </c>
      <c r="E1250" t="inlineStr">
        <is>
          <t>UMEÅ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33471-2024</t>
        </is>
      </c>
      <c r="B1251" s="1" t="n">
        <v>45519</v>
      </c>
      <c r="C1251" s="1" t="n">
        <v>45828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33883-2024</t>
        </is>
      </c>
      <c r="B1252" s="1" t="n">
        <v>45522</v>
      </c>
      <c r="C1252" s="1" t="n">
        <v>45828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34016-2024</t>
        </is>
      </c>
      <c r="B1253" s="1" t="n">
        <v>45523</v>
      </c>
      <c r="C1253" s="1" t="n">
        <v>45828</v>
      </c>
      <c r="D1253" t="inlineStr">
        <is>
          <t>VÄSTERBOTTENS LÄN</t>
        </is>
      </c>
      <c r="E1253" t="inlineStr">
        <is>
          <t>UMEÅ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34323-2024</t>
        </is>
      </c>
      <c r="B1254" s="1" t="n">
        <v>45524</v>
      </c>
      <c r="C1254" s="1" t="n">
        <v>45828</v>
      </c>
      <c r="D1254" t="inlineStr">
        <is>
          <t>VÄSTERBOTTENS LÄN</t>
        </is>
      </c>
      <c r="E1254" t="inlineStr">
        <is>
          <t>UMEÅ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34331-2024</t>
        </is>
      </c>
      <c r="B1255" s="1" t="n">
        <v>45524</v>
      </c>
      <c r="C1255" s="1" t="n">
        <v>45828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34320-2024</t>
        </is>
      </c>
      <c r="B1256" s="1" t="n">
        <v>45524</v>
      </c>
      <c r="C1256" s="1" t="n">
        <v>45828</v>
      </c>
      <c r="D1256" t="inlineStr">
        <is>
          <t>VÄSTERBOTTENS LÄN</t>
        </is>
      </c>
      <c r="E1256" t="inlineStr">
        <is>
          <t>UMEÅ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34411-2024</t>
        </is>
      </c>
      <c r="B1257" s="1" t="n">
        <v>45525</v>
      </c>
      <c r="C1257" s="1" t="n">
        <v>45828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34428-2024</t>
        </is>
      </c>
      <c r="B1258" s="1" t="n">
        <v>45525</v>
      </c>
      <c r="C1258" s="1" t="n">
        <v>45828</v>
      </c>
      <c r="D1258" t="inlineStr">
        <is>
          <t>VÄSTERBOTTENS LÄN</t>
        </is>
      </c>
      <c r="E1258" t="inlineStr">
        <is>
          <t>UMEÅ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35104-2024</t>
        </is>
      </c>
      <c r="B1259" s="1" t="n">
        <v>45529</v>
      </c>
      <c r="C1259" s="1" t="n">
        <v>45828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35209-2024</t>
        </is>
      </c>
      <c r="B1260" s="1" t="n">
        <v>45530</v>
      </c>
      <c r="C1260" s="1" t="n">
        <v>45828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35228-2024</t>
        </is>
      </c>
      <c r="B1261" s="1" t="n">
        <v>45530</v>
      </c>
      <c r="C1261" s="1" t="n">
        <v>45828</v>
      </c>
      <c r="D1261" t="inlineStr">
        <is>
          <t>VÄSTERBOTTENS LÄN</t>
        </is>
      </c>
      <c r="E1261" t="inlineStr">
        <is>
          <t>UMEÅ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35220-2024</t>
        </is>
      </c>
      <c r="B1262" s="1" t="n">
        <v>45530</v>
      </c>
      <c r="C1262" s="1" t="n">
        <v>45828</v>
      </c>
      <c r="D1262" t="inlineStr">
        <is>
          <t>VÄSTERBOTTENS LÄN</t>
        </is>
      </c>
      <c r="E1262" t="inlineStr">
        <is>
          <t>UMEÅ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35226-2024</t>
        </is>
      </c>
      <c r="B1263" s="1" t="n">
        <v>45530</v>
      </c>
      <c r="C1263" s="1" t="n">
        <v>45828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35434-2024</t>
        </is>
      </c>
      <c r="B1264" s="1" t="n">
        <v>45531</v>
      </c>
      <c r="C1264" s="1" t="n">
        <v>45828</v>
      </c>
      <c r="D1264" t="inlineStr">
        <is>
          <t>VÄSTERBOTTENS LÄN</t>
        </is>
      </c>
      <c r="E1264" t="inlineStr">
        <is>
          <t>UMEÅ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35621-2024</t>
        </is>
      </c>
      <c r="B1265" s="1" t="n">
        <v>45531</v>
      </c>
      <c r="C1265" s="1" t="n">
        <v>45828</v>
      </c>
      <c r="D1265" t="inlineStr">
        <is>
          <t>VÄSTERBOTTENS LÄN</t>
        </is>
      </c>
      <c r="E1265" t="inlineStr">
        <is>
          <t>UMEÅ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35625-2024</t>
        </is>
      </c>
      <c r="B1266" s="1" t="n">
        <v>45531</v>
      </c>
      <c r="C1266" s="1" t="n">
        <v>45828</v>
      </c>
      <c r="D1266" t="inlineStr">
        <is>
          <t>VÄSTERBOTTENS LÄN</t>
        </is>
      </c>
      <c r="E1266" t="inlineStr">
        <is>
          <t>UMEÅ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35631-2024</t>
        </is>
      </c>
      <c r="B1267" s="1" t="n">
        <v>45531</v>
      </c>
      <c r="C1267" s="1" t="n">
        <v>45828</v>
      </c>
      <c r="D1267" t="inlineStr">
        <is>
          <t>VÄSTERBOTTENS LÄN</t>
        </is>
      </c>
      <c r="E1267" t="inlineStr">
        <is>
          <t>UMEÅ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35626-2024</t>
        </is>
      </c>
      <c r="B1268" s="1" t="n">
        <v>45531</v>
      </c>
      <c r="C1268" s="1" t="n">
        <v>45828</v>
      </c>
      <c r="D1268" t="inlineStr">
        <is>
          <t>VÄSTERBOTTENS LÄN</t>
        </is>
      </c>
      <c r="E1268" t="inlineStr">
        <is>
          <t>UMEÅ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35630-2024</t>
        </is>
      </c>
      <c r="B1269" s="1" t="n">
        <v>45531</v>
      </c>
      <c r="C1269" s="1" t="n">
        <v>45828</v>
      </c>
      <c r="D1269" t="inlineStr">
        <is>
          <t>VÄSTERBOTTENS LÄN</t>
        </is>
      </c>
      <c r="E1269" t="inlineStr">
        <is>
          <t>UMEÅ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35822-2024</t>
        </is>
      </c>
      <c r="B1270" s="1" t="n">
        <v>45532</v>
      </c>
      <c r="C1270" s="1" t="n">
        <v>45828</v>
      </c>
      <c r="D1270" t="inlineStr">
        <is>
          <t>VÄSTERBOTTENS LÄN</t>
        </is>
      </c>
      <c r="E1270" t="inlineStr">
        <is>
          <t>UMEÅ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35858-2024</t>
        </is>
      </c>
      <c r="B1271" s="1" t="n">
        <v>45533</v>
      </c>
      <c r="C1271" s="1" t="n">
        <v>45828</v>
      </c>
      <c r="D1271" t="inlineStr">
        <is>
          <t>VÄSTERBOTTENS LÄN</t>
        </is>
      </c>
      <c r="E1271" t="inlineStr">
        <is>
          <t>UMEÅ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36695-2024</t>
        </is>
      </c>
      <c r="B1272" s="1" t="n">
        <v>45537</v>
      </c>
      <c r="C1272" s="1" t="n">
        <v>45828</v>
      </c>
      <c r="D1272" t="inlineStr">
        <is>
          <t>VÄSTERBOTTENS LÄN</t>
        </is>
      </c>
      <c r="E1272" t="inlineStr">
        <is>
          <t>UMEÅ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36901-2024</t>
        </is>
      </c>
      <c r="B1273" s="1" t="n">
        <v>45538</v>
      </c>
      <c r="C1273" s="1" t="n">
        <v>45828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36932-2024</t>
        </is>
      </c>
      <c r="B1274" s="1" t="n">
        <v>45538</v>
      </c>
      <c r="C1274" s="1" t="n">
        <v>45828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37014-2024</t>
        </is>
      </c>
      <c r="B1275" s="1" t="n">
        <v>45539</v>
      </c>
      <c r="C1275" s="1" t="n">
        <v>45828</v>
      </c>
      <c r="D1275" t="inlineStr">
        <is>
          <t>VÄSTERBOTTENS LÄN</t>
        </is>
      </c>
      <c r="E1275" t="inlineStr">
        <is>
          <t>UMEÅ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37023-2024</t>
        </is>
      </c>
      <c r="B1276" s="1" t="n">
        <v>45539</v>
      </c>
      <c r="C1276" s="1" t="n">
        <v>45828</v>
      </c>
      <c r="D1276" t="inlineStr">
        <is>
          <t>VÄSTERBOTTENS LÄN</t>
        </is>
      </c>
      <c r="E1276" t="inlineStr">
        <is>
          <t>UMEÅ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37007-2024</t>
        </is>
      </c>
      <c r="B1277" s="1" t="n">
        <v>45539</v>
      </c>
      <c r="C1277" s="1" t="n">
        <v>45828</v>
      </c>
      <c r="D1277" t="inlineStr">
        <is>
          <t>VÄSTERBOTTENS LÄN</t>
        </is>
      </c>
      <c r="E1277" t="inlineStr">
        <is>
          <t>UMEÅ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37260-2024</t>
        </is>
      </c>
      <c r="B1278" s="1" t="n">
        <v>45540</v>
      </c>
      <c r="C1278" s="1" t="n">
        <v>45828</v>
      </c>
      <c r="D1278" t="inlineStr">
        <is>
          <t>VÄSTERBOTTENS LÄN</t>
        </is>
      </c>
      <c r="E1278" t="inlineStr">
        <is>
          <t>UMEÅ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37264-2024</t>
        </is>
      </c>
      <c r="B1279" s="1" t="n">
        <v>45540</v>
      </c>
      <c r="C1279" s="1" t="n">
        <v>45828</v>
      </c>
      <c r="D1279" t="inlineStr">
        <is>
          <t>VÄSTERBOTTENS LÄN</t>
        </is>
      </c>
      <c r="E1279" t="inlineStr">
        <is>
          <t>UMEÅ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37275-2024</t>
        </is>
      </c>
      <c r="B1280" s="1" t="n">
        <v>45540</v>
      </c>
      <c r="C1280" s="1" t="n">
        <v>45828</v>
      </c>
      <c r="D1280" t="inlineStr">
        <is>
          <t>VÄSTERBOTTENS LÄN</t>
        </is>
      </c>
      <c r="E1280" t="inlineStr">
        <is>
          <t>UMEÅ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37565-2024</t>
        </is>
      </c>
      <c r="B1281" s="1" t="n">
        <v>45541</v>
      </c>
      <c r="C1281" s="1" t="n">
        <v>45828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37629-2024</t>
        </is>
      </c>
      <c r="B1282" s="1" t="n">
        <v>45541</v>
      </c>
      <c r="C1282" s="1" t="n">
        <v>45828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37856-2024</t>
        </is>
      </c>
      <c r="B1283" s="1" t="n">
        <v>45544</v>
      </c>
      <c r="C1283" s="1" t="n">
        <v>45828</v>
      </c>
      <c r="D1283" t="inlineStr">
        <is>
          <t>VÄSTERBOTTENS LÄN</t>
        </is>
      </c>
      <c r="E1283" t="inlineStr">
        <is>
          <t>UMEÅ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37870-2024</t>
        </is>
      </c>
      <c r="B1284" s="1" t="n">
        <v>45544</v>
      </c>
      <c r="C1284" s="1" t="n">
        <v>45828</v>
      </c>
      <c r="D1284" t="inlineStr">
        <is>
          <t>VÄSTERBOTTENS LÄN</t>
        </is>
      </c>
      <c r="E1284" t="inlineStr">
        <is>
          <t>UMEÅ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38042-2024</t>
        </is>
      </c>
      <c r="B1285" s="1" t="n">
        <v>45544</v>
      </c>
      <c r="C1285" s="1" t="n">
        <v>45828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38150-2024</t>
        </is>
      </c>
      <c r="B1286" s="1" t="n">
        <v>45545</v>
      </c>
      <c r="C1286" s="1" t="n">
        <v>45828</v>
      </c>
      <c r="D1286" t="inlineStr">
        <is>
          <t>VÄSTERBOTTENS LÄN</t>
        </is>
      </c>
      <c r="E1286" t="inlineStr">
        <is>
          <t>UMEÅ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38135-2024</t>
        </is>
      </c>
      <c r="B1287" s="1" t="n">
        <v>45545</v>
      </c>
      <c r="C1287" s="1" t="n">
        <v>45828</v>
      </c>
      <c r="D1287" t="inlineStr">
        <is>
          <t>VÄSTERBOTTENS LÄN</t>
        </is>
      </c>
      <c r="E1287" t="inlineStr">
        <is>
          <t>UMEÅ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38144-2024</t>
        </is>
      </c>
      <c r="B1288" s="1" t="n">
        <v>45545</v>
      </c>
      <c r="C1288" s="1" t="n">
        <v>45828</v>
      </c>
      <c r="D1288" t="inlineStr">
        <is>
          <t>VÄSTERBOTTENS LÄN</t>
        </is>
      </c>
      <c r="E1288" t="inlineStr">
        <is>
          <t>UMEÅ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38669-2024</t>
        </is>
      </c>
      <c r="B1289" s="1" t="n">
        <v>45547</v>
      </c>
      <c r="C1289" s="1" t="n">
        <v>45828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39314-2024</t>
        </is>
      </c>
      <c r="B1290" s="1" t="n">
        <v>45551</v>
      </c>
      <c r="C1290" s="1" t="n">
        <v>45828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39615-2024</t>
        </is>
      </c>
      <c r="B1291" s="1" t="n">
        <v>45552</v>
      </c>
      <c r="C1291" s="1" t="n">
        <v>45828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40043-2024</t>
        </is>
      </c>
      <c r="B1292" s="1" t="n">
        <v>45553</v>
      </c>
      <c r="C1292" s="1" t="n">
        <v>45828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40639-2024</t>
        </is>
      </c>
      <c r="B1293" s="1" t="n">
        <v>45558</v>
      </c>
      <c r="C1293" s="1" t="n">
        <v>45828</v>
      </c>
      <c r="D1293" t="inlineStr">
        <is>
          <t>VÄSTERBOTTENS LÄN</t>
        </is>
      </c>
      <c r="E1293" t="inlineStr">
        <is>
          <t>UMEÅ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40957-2024</t>
        </is>
      </c>
      <c r="B1294" s="1" t="n">
        <v>45558</v>
      </c>
      <c r="C1294" s="1" t="n">
        <v>45828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Sveaskog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41076-2024</t>
        </is>
      </c>
      <c r="B1295" s="1" t="n">
        <v>45559</v>
      </c>
      <c r="C1295" s="1" t="n">
        <v>45828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41177-2024</t>
        </is>
      </c>
      <c r="B1296" s="1" t="n">
        <v>45559</v>
      </c>
      <c r="C1296" s="1" t="n">
        <v>45828</v>
      </c>
      <c r="D1296" t="inlineStr">
        <is>
          <t>VÄSTERBOTTENS LÄN</t>
        </is>
      </c>
      <c r="E1296" t="inlineStr">
        <is>
          <t>UMEÅ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41301-2024</t>
        </is>
      </c>
      <c r="B1297" s="1" t="n">
        <v>45559</v>
      </c>
      <c r="C1297" s="1" t="n">
        <v>45828</v>
      </c>
      <c r="D1297" t="inlineStr">
        <is>
          <t>VÄSTERBOTTENS LÄN</t>
        </is>
      </c>
      <c r="E1297" t="inlineStr">
        <is>
          <t>UMEÅ</t>
        </is>
      </c>
      <c r="G1297" t="n">
        <v>7.6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41404-2024</t>
        </is>
      </c>
      <c r="B1298" s="1" t="n">
        <v>45560</v>
      </c>
      <c r="C1298" s="1" t="n">
        <v>45828</v>
      </c>
      <c r="D1298" t="inlineStr">
        <is>
          <t>VÄSTERBOTTENS LÄN</t>
        </is>
      </c>
      <c r="E1298" t="inlineStr">
        <is>
          <t>UMEÅ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41431-2024</t>
        </is>
      </c>
      <c r="B1299" s="1" t="n">
        <v>45560</v>
      </c>
      <c r="C1299" s="1" t="n">
        <v>45828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41461-2024</t>
        </is>
      </c>
      <c r="B1300" s="1" t="n">
        <v>45560</v>
      </c>
      <c r="C1300" s="1" t="n">
        <v>45828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41438-2024</t>
        </is>
      </c>
      <c r="B1301" s="1" t="n">
        <v>45560</v>
      </c>
      <c r="C1301" s="1" t="n">
        <v>45828</v>
      </c>
      <c r="D1301" t="inlineStr">
        <is>
          <t>VÄSTERBOTTENS LÄN</t>
        </is>
      </c>
      <c r="E1301" t="inlineStr">
        <is>
          <t>UMEÅ</t>
        </is>
      </c>
      <c r="G1301" t="n">
        <v>28.4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41403-2024</t>
        </is>
      </c>
      <c r="B1302" s="1" t="n">
        <v>45560</v>
      </c>
      <c r="C1302" s="1" t="n">
        <v>45828</v>
      </c>
      <c r="D1302" t="inlineStr">
        <is>
          <t>VÄSTERBOTTENS LÄN</t>
        </is>
      </c>
      <c r="E1302" t="inlineStr">
        <is>
          <t>UMEÅ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41811-2024</t>
        </is>
      </c>
      <c r="B1303" s="1" t="n">
        <v>45561</v>
      </c>
      <c r="C1303" s="1" t="n">
        <v>45828</v>
      </c>
      <c r="D1303" t="inlineStr">
        <is>
          <t>VÄSTERBOTTENS LÄN</t>
        </is>
      </c>
      <c r="E1303" t="inlineStr">
        <is>
          <t>UMEÅ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42010-2024</t>
        </is>
      </c>
      <c r="B1304" s="1" t="n">
        <v>45561</v>
      </c>
      <c r="C1304" s="1" t="n">
        <v>45828</v>
      </c>
      <c r="D1304" t="inlineStr">
        <is>
          <t>VÄSTERBOTTENS LÄN</t>
        </is>
      </c>
      <c r="E1304" t="inlineStr">
        <is>
          <t>UMEÅ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42014-2024</t>
        </is>
      </c>
      <c r="B1305" s="1" t="n">
        <v>45561</v>
      </c>
      <c r="C1305" s="1" t="n">
        <v>45828</v>
      </c>
      <c r="D1305" t="inlineStr">
        <is>
          <t>VÄSTERBOTTENS LÄN</t>
        </is>
      </c>
      <c r="E1305" t="inlineStr">
        <is>
          <t>UMEÅ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41984-2024</t>
        </is>
      </c>
      <c r="B1306" s="1" t="n">
        <v>45561</v>
      </c>
      <c r="C1306" s="1" t="n">
        <v>45828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42000-2024</t>
        </is>
      </c>
      <c r="B1307" s="1" t="n">
        <v>45561</v>
      </c>
      <c r="C1307" s="1" t="n">
        <v>45828</v>
      </c>
      <c r="D1307" t="inlineStr">
        <is>
          <t>VÄSTERBOTTENS LÄN</t>
        </is>
      </c>
      <c r="E1307" t="inlineStr">
        <is>
          <t>UMEÅ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42160-2024</t>
        </is>
      </c>
      <c r="B1308" s="1" t="n">
        <v>45562</v>
      </c>
      <c r="C1308" s="1" t="n">
        <v>45828</v>
      </c>
      <c r="D1308" t="inlineStr">
        <is>
          <t>VÄSTERBOTTENS LÄN</t>
        </is>
      </c>
      <c r="E1308" t="inlineStr">
        <is>
          <t>UMEÅ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42182-2024</t>
        </is>
      </c>
      <c r="B1309" s="1" t="n">
        <v>45562</v>
      </c>
      <c r="C1309" s="1" t="n">
        <v>45828</v>
      </c>
      <c r="D1309" t="inlineStr">
        <is>
          <t>VÄSTERBOTTENS LÄN</t>
        </is>
      </c>
      <c r="E1309" t="inlineStr">
        <is>
          <t>UMEÅ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42193-2024</t>
        </is>
      </c>
      <c r="B1310" s="1" t="n">
        <v>45562</v>
      </c>
      <c r="C1310" s="1" t="n">
        <v>45828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Kommuner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42257-2024</t>
        </is>
      </c>
      <c r="B1311" s="1" t="n">
        <v>45562</v>
      </c>
      <c r="C1311" s="1" t="n">
        <v>45828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42195-2024</t>
        </is>
      </c>
      <c r="B1312" s="1" t="n">
        <v>45562</v>
      </c>
      <c r="C1312" s="1" t="n">
        <v>45828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42577-2024</t>
        </is>
      </c>
      <c r="B1313" s="1" t="n">
        <v>45565</v>
      </c>
      <c r="C1313" s="1" t="n">
        <v>45828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42845-2024</t>
        </is>
      </c>
      <c r="B1314" s="1" t="n">
        <v>45566</v>
      </c>
      <c r="C1314" s="1" t="n">
        <v>45828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42800-2024</t>
        </is>
      </c>
      <c r="B1315" s="1" t="n">
        <v>45566</v>
      </c>
      <c r="C1315" s="1" t="n">
        <v>45828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42831-2024</t>
        </is>
      </c>
      <c r="B1316" s="1" t="n">
        <v>45566</v>
      </c>
      <c r="C1316" s="1" t="n">
        <v>45828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42649-2024</t>
        </is>
      </c>
      <c r="B1317" s="1" t="n">
        <v>45566</v>
      </c>
      <c r="C1317" s="1" t="n">
        <v>45828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8.300000000000001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43109-2024</t>
        </is>
      </c>
      <c r="B1318" s="1" t="n">
        <v>45567</v>
      </c>
      <c r="C1318" s="1" t="n">
        <v>45828</v>
      </c>
      <c r="D1318" t="inlineStr">
        <is>
          <t>VÄSTERBOTTENS LÄN</t>
        </is>
      </c>
      <c r="E1318" t="inlineStr">
        <is>
          <t>UMEÅ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43124-2024</t>
        </is>
      </c>
      <c r="B1319" s="1" t="n">
        <v>45567</v>
      </c>
      <c r="C1319" s="1" t="n">
        <v>45828</v>
      </c>
      <c r="D1319" t="inlineStr">
        <is>
          <t>VÄSTERBOTTENS LÄN</t>
        </is>
      </c>
      <c r="E1319" t="inlineStr">
        <is>
          <t>UMEÅ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42982-2024</t>
        </is>
      </c>
      <c r="B1320" s="1" t="n">
        <v>45567</v>
      </c>
      <c r="C1320" s="1" t="n">
        <v>45828</v>
      </c>
      <c r="D1320" t="inlineStr">
        <is>
          <t>VÄSTERBOTTENS LÄN</t>
        </is>
      </c>
      <c r="E1320" t="inlineStr">
        <is>
          <t>UMEÅ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43649-2024</t>
        </is>
      </c>
      <c r="B1321" s="1" t="n">
        <v>45569</v>
      </c>
      <c r="C1321" s="1" t="n">
        <v>45828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43975-2024</t>
        </is>
      </c>
      <c r="B1322" s="1" t="n">
        <v>45572</v>
      </c>
      <c r="C1322" s="1" t="n">
        <v>45828</v>
      </c>
      <c r="D1322" t="inlineStr">
        <is>
          <t>VÄSTERBOTTENS LÄN</t>
        </is>
      </c>
      <c r="E1322" t="inlineStr">
        <is>
          <t>UMEÅ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43945-2024</t>
        </is>
      </c>
      <c r="B1323" s="1" t="n">
        <v>45572</v>
      </c>
      <c r="C1323" s="1" t="n">
        <v>45828</v>
      </c>
      <c r="D1323" t="inlineStr">
        <is>
          <t>VÄSTERBOTTENS LÄN</t>
        </is>
      </c>
      <c r="E1323" t="inlineStr">
        <is>
          <t>UMEÅ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43972-2024</t>
        </is>
      </c>
      <c r="B1324" s="1" t="n">
        <v>45572</v>
      </c>
      <c r="C1324" s="1" t="n">
        <v>45828</v>
      </c>
      <c r="D1324" t="inlineStr">
        <is>
          <t>VÄSTERBOTTENS LÄN</t>
        </is>
      </c>
      <c r="E1324" t="inlineStr">
        <is>
          <t>UMEÅ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43976-2024</t>
        </is>
      </c>
      <c r="B1325" s="1" t="n">
        <v>45572</v>
      </c>
      <c r="C1325" s="1" t="n">
        <v>45828</v>
      </c>
      <c r="D1325" t="inlineStr">
        <is>
          <t>VÄSTERBOTTENS LÄN</t>
        </is>
      </c>
      <c r="E1325" t="inlineStr">
        <is>
          <t>UMEÅ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44046-2024</t>
        </is>
      </c>
      <c r="B1326" s="1" t="n">
        <v>45572</v>
      </c>
      <c r="C1326" s="1" t="n">
        <v>45828</v>
      </c>
      <c r="D1326" t="inlineStr">
        <is>
          <t>VÄSTERBOTTENS LÄN</t>
        </is>
      </c>
      <c r="E1326" t="inlineStr">
        <is>
          <t>UMEÅ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43977-2024</t>
        </is>
      </c>
      <c r="B1327" s="1" t="n">
        <v>45572</v>
      </c>
      <c r="C1327" s="1" t="n">
        <v>45828</v>
      </c>
      <c r="D1327" t="inlineStr">
        <is>
          <t>VÄSTERBOTTENS LÄN</t>
        </is>
      </c>
      <c r="E1327" t="inlineStr">
        <is>
          <t>UMEÅ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43973-2024</t>
        </is>
      </c>
      <c r="B1328" s="1" t="n">
        <v>45572</v>
      </c>
      <c r="C1328" s="1" t="n">
        <v>45828</v>
      </c>
      <c r="D1328" t="inlineStr">
        <is>
          <t>VÄSTERBOTTENS LÄN</t>
        </is>
      </c>
      <c r="E1328" t="inlineStr">
        <is>
          <t>UMEÅ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43974-2024</t>
        </is>
      </c>
      <c r="B1329" s="1" t="n">
        <v>45572</v>
      </c>
      <c r="C1329" s="1" t="n">
        <v>45828</v>
      </c>
      <c r="D1329" t="inlineStr">
        <is>
          <t>VÄSTERBOTTENS LÄN</t>
        </is>
      </c>
      <c r="E1329" t="inlineStr">
        <is>
          <t>UMEÅ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44042-2024</t>
        </is>
      </c>
      <c r="B1330" s="1" t="n">
        <v>45572</v>
      </c>
      <c r="C1330" s="1" t="n">
        <v>45828</v>
      </c>
      <c r="D1330" t="inlineStr">
        <is>
          <t>VÄSTERBOTTENS LÄN</t>
        </is>
      </c>
      <c r="E1330" t="inlineStr">
        <is>
          <t>UMEÅ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44144-2024</t>
        </is>
      </c>
      <c r="B1331" s="1" t="n">
        <v>45572</v>
      </c>
      <c r="C1331" s="1" t="n">
        <v>45828</v>
      </c>
      <c r="D1331" t="inlineStr">
        <is>
          <t>VÄSTERBOTTENS LÄN</t>
        </is>
      </c>
      <c r="E1331" t="inlineStr">
        <is>
          <t>UMEÅ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44166-2024</t>
        </is>
      </c>
      <c r="B1332" s="1" t="n">
        <v>45572</v>
      </c>
      <c r="C1332" s="1" t="n">
        <v>45828</v>
      </c>
      <c r="D1332" t="inlineStr">
        <is>
          <t>VÄSTERBOTTENS LÄN</t>
        </is>
      </c>
      <c r="E1332" t="inlineStr">
        <is>
          <t>UMEÅ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44263-2024</t>
        </is>
      </c>
      <c r="B1333" s="1" t="n">
        <v>45573</v>
      </c>
      <c r="C1333" s="1" t="n">
        <v>45828</v>
      </c>
      <c r="D1333" t="inlineStr">
        <is>
          <t>VÄSTERBOTTENS LÄN</t>
        </is>
      </c>
      <c r="E1333" t="inlineStr">
        <is>
          <t>UMEÅ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44341-2024</t>
        </is>
      </c>
      <c r="B1334" s="1" t="n">
        <v>45573</v>
      </c>
      <c r="C1334" s="1" t="n">
        <v>45828</v>
      </c>
      <c r="D1334" t="inlineStr">
        <is>
          <t>VÄSTERBOTTENS LÄN</t>
        </is>
      </c>
      <c r="E1334" t="inlineStr">
        <is>
          <t>UMEÅ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44266-2024</t>
        </is>
      </c>
      <c r="B1335" s="1" t="n">
        <v>45573</v>
      </c>
      <c r="C1335" s="1" t="n">
        <v>45828</v>
      </c>
      <c r="D1335" t="inlineStr">
        <is>
          <t>VÄSTERBOTTENS LÄN</t>
        </is>
      </c>
      <c r="E1335" t="inlineStr">
        <is>
          <t>UMEÅ</t>
        </is>
      </c>
      <c r="G1335" t="n">
        <v>20.4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44244-2024</t>
        </is>
      </c>
      <c r="B1336" s="1" t="n">
        <v>45573</v>
      </c>
      <c r="C1336" s="1" t="n">
        <v>45828</v>
      </c>
      <c r="D1336" t="inlineStr">
        <is>
          <t>VÄSTERBOTTENS LÄN</t>
        </is>
      </c>
      <c r="E1336" t="inlineStr">
        <is>
          <t>UMEÅ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44845-2024</t>
        </is>
      </c>
      <c r="B1337" s="1" t="n">
        <v>45574</v>
      </c>
      <c r="C1337" s="1" t="n">
        <v>45828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44836-2024</t>
        </is>
      </c>
      <c r="B1338" s="1" t="n">
        <v>45574</v>
      </c>
      <c r="C1338" s="1" t="n">
        <v>45828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44814-2024</t>
        </is>
      </c>
      <c r="B1339" s="1" t="n">
        <v>45574</v>
      </c>
      <c r="C1339" s="1" t="n">
        <v>45828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44752-2024</t>
        </is>
      </c>
      <c r="B1340" s="1" t="n">
        <v>45574</v>
      </c>
      <c r="C1340" s="1" t="n">
        <v>45828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9.5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45325-2024</t>
        </is>
      </c>
      <c r="B1341" s="1" t="n">
        <v>45576</v>
      </c>
      <c r="C1341" s="1" t="n">
        <v>45828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45359-2024</t>
        </is>
      </c>
      <c r="B1342" s="1" t="n">
        <v>45576</v>
      </c>
      <c r="C1342" s="1" t="n">
        <v>45828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45343-2024</t>
        </is>
      </c>
      <c r="B1343" s="1" t="n">
        <v>45576</v>
      </c>
      <c r="C1343" s="1" t="n">
        <v>45828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45259-2024</t>
        </is>
      </c>
      <c r="B1344" s="1" t="n">
        <v>45576</v>
      </c>
      <c r="C1344" s="1" t="n">
        <v>45828</v>
      </c>
      <c r="D1344" t="inlineStr">
        <is>
          <t>VÄSTERBOTTENS LÄN</t>
        </is>
      </c>
      <c r="E1344" t="inlineStr">
        <is>
          <t>UMEÅ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45657-2024</t>
        </is>
      </c>
      <c r="B1345" s="1" t="n">
        <v>45579</v>
      </c>
      <c r="C1345" s="1" t="n">
        <v>45828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Kommuner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45770-2024</t>
        </is>
      </c>
      <c r="B1346" s="1" t="n">
        <v>45579</v>
      </c>
      <c r="C1346" s="1" t="n">
        <v>45828</v>
      </c>
      <c r="D1346" t="inlineStr">
        <is>
          <t>VÄSTERBOTTENS LÄN</t>
        </is>
      </c>
      <c r="E1346" t="inlineStr">
        <is>
          <t>UMEÅ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45797-2024</t>
        </is>
      </c>
      <c r="B1347" s="1" t="n">
        <v>45579</v>
      </c>
      <c r="C1347" s="1" t="n">
        <v>45828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45790-2024</t>
        </is>
      </c>
      <c r="B1348" s="1" t="n">
        <v>45579</v>
      </c>
      <c r="C1348" s="1" t="n">
        <v>45828</v>
      </c>
      <c r="D1348" t="inlineStr">
        <is>
          <t>VÄSTERBOTTENS LÄN</t>
        </is>
      </c>
      <c r="E1348" t="inlineStr">
        <is>
          <t>UMEÅ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45704-2024</t>
        </is>
      </c>
      <c r="B1349" s="1" t="n">
        <v>45579</v>
      </c>
      <c r="C1349" s="1" t="n">
        <v>45828</v>
      </c>
      <c r="D1349" t="inlineStr">
        <is>
          <t>VÄSTERBOTTENS LÄN</t>
        </is>
      </c>
      <c r="E1349" t="inlineStr">
        <is>
          <t>UMEÅ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45872-2024</t>
        </is>
      </c>
      <c r="B1350" s="1" t="n">
        <v>45580</v>
      </c>
      <c r="C1350" s="1" t="n">
        <v>45828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46028-2024</t>
        </is>
      </c>
      <c r="B1351" s="1" t="n">
        <v>45580</v>
      </c>
      <c r="C1351" s="1" t="n">
        <v>45828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45941-2024</t>
        </is>
      </c>
      <c r="B1352" s="1" t="n">
        <v>45580</v>
      </c>
      <c r="C1352" s="1" t="n">
        <v>45828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Kommuner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46122-2024</t>
        </is>
      </c>
      <c r="B1353" s="1" t="n">
        <v>45581</v>
      </c>
      <c r="C1353" s="1" t="n">
        <v>45828</v>
      </c>
      <c r="D1353" t="inlineStr">
        <is>
          <t>VÄSTERBOTTENS LÄN</t>
        </is>
      </c>
      <c r="E1353" t="inlineStr">
        <is>
          <t>UMEÅ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46232-2024</t>
        </is>
      </c>
      <c r="B1354" s="1" t="n">
        <v>45581</v>
      </c>
      <c r="C1354" s="1" t="n">
        <v>45828</v>
      </c>
      <c r="D1354" t="inlineStr">
        <is>
          <t>VÄSTERBOTTENS LÄN</t>
        </is>
      </c>
      <c r="E1354" t="inlineStr">
        <is>
          <t>UMEÅ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46509-2024</t>
        </is>
      </c>
      <c r="B1355" s="1" t="n">
        <v>45582</v>
      </c>
      <c r="C1355" s="1" t="n">
        <v>45828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47171-2024</t>
        </is>
      </c>
      <c r="B1356" s="1" t="n">
        <v>45586</v>
      </c>
      <c r="C1356" s="1" t="n">
        <v>45828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47615-2024</t>
        </is>
      </c>
      <c r="B1357" s="1" t="n">
        <v>45588</v>
      </c>
      <c r="C1357" s="1" t="n">
        <v>45828</v>
      </c>
      <c r="D1357" t="inlineStr">
        <is>
          <t>VÄSTERBOTTENS LÄN</t>
        </is>
      </c>
      <c r="E1357" t="inlineStr">
        <is>
          <t>UMEÅ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47858-2024</t>
        </is>
      </c>
      <c r="B1358" s="1" t="n">
        <v>45588</v>
      </c>
      <c r="C1358" s="1" t="n">
        <v>45828</v>
      </c>
      <c r="D1358" t="inlineStr">
        <is>
          <t>VÄSTERBOTTENS LÄN</t>
        </is>
      </c>
      <c r="E1358" t="inlineStr">
        <is>
          <t>UMEÅ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47618-2024</t>
        </is>
      </c>
      <c r="B1359" s="1" t="n">
        <v>45588</v>
      </c>
      <c r="C1359" s="1" t="n">
        <v>45828</v>
      </c>
      <c r="D1359" t="inlineStr">
        <is>
          <t>VÄSTERBOTTENS LÄN</t>
        </is>
      </c>
      <c r="E1359" t="inlineStr">
        <is>
          <t>UMEÅ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47614-2024</t>
        </is>
      </c>
      <c r="B1360" s="1" t="n">
        <v>45588</v>
      </c>
      <c r="C1360" s="1" t="n">
        <v>45828</v>
      </c>
      <c r="D1360" t="inlineStr">
        <is>
          <t>VÄSTERBOTTENS LÄN</t>
        </is>
      </c>
      <c r="E1360" t="inlineStr">
        <is>
          <t>UMEÅ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48385-2024</t>
        </is>
      </c>
      <c r="B1361" s="1" t="n">
        <v>45590</v>
      </c>
      <c r="C1361" s="1" t="n">
        <v>45828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48382-2024</t>
        </is>
      </c>
      <c r="B1362" s="1" t="n">
        <v>45590</v>
      </c>
      <c r="C1362" s="1" t="n">
        <v>45828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48448-2024</t>
        </is>
      </c>
      <c r="B1363" s="1" t="n">
        <v>45590</v>
      </c>
      <c r="C1363" s="1" t="n">
        <v>45828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48219-2024</t>
        </is>
      </c>
      <c r="B1364" s="1" t="n">
        <v>45590</v>
      </c>
      <c r="C1364" s="1" t="n">
        <v>45828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48709-2024</t>
        </is>
      </c>
      <c r="B1365" s="1" t="n">
        <v>45593</v>
      </c>
      <c r="C1365" s="1" t="n">
        <v>45828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48586-2024</t>
        </is>
      </c>
      <c r="B1366" s="1" t="n">
        <v>45593</v>
      </c>
      <c r="C1366" s="1" t="n">
        <v>45828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48714-2024</t>
        </is>
      </c>
      <c r="B1367" s="1" t="n">
        <v>45593</v>
      </c>
      <c r="C1367" s="1" t="n">
        <v>45828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48635-2024</t>
        </is>
      </c>
      <c r="B1368" s="1" t="n">
        <v>45593</v>
      </c>
      <c r="C1368" s="1" t="n">
        <v>45828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49055-2024</t>
        </is>
      </c>
      <c r="B1369" s="1" t="n">
        <v>45594</v>
      </c>
      <c r="C1369" s="1" t="n">
        <v>45828</v>
      </c>
      <c r="D1369" t="inlineStr">
        <is>
          <t>VÄSTERBOTTENS LÄN</t>
        </is>
      </c>
      <c r="E1369" t="inlineStr">
        <is>
          <t>UMEÅ</t>
        </is>
      </c>
      <c r="G1369" t="n">
        <v>11.4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48944-2024</t>
        </is>
      </c>
      <c r="B1370" s="1" t="n">
        <v>45594</v>
      </c>
      <c r="C1370" s="1" t="n">
        <v>45828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49129-2024</t>
        </is>
      </c>
      <c r="B1371" s="1" t="n">
        <v>45594</v>
      </c>
      <c r="C1371" s="1" t="n">
        <v>45828</v>
      </c>
      <c r="D1371" t="inlineStr">
        <is>
          <t>VÄSTERBOTTENS LÄN</t>
        </is>
      </c>
      <c r="E1371" t="inlineStr">
        <is>
          <t>UMEÅ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49793-2024</t>
        </is>
      </c>
      <c r="B1372" s="1" t="n">
        <v>45597</v>
      </c>
      <c r="C1372" s="1" t="n">
        <v>45828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50884-2024</t>
        </is>
      </c>
      <c r="B1373" s="1" t="n">
        <v>45602</v>
      </c>
      <c r="C1373" s="1" t="n">
        <v>45828</v>
      </c>
      <c r="D1373" t="inlineStr">
        <is>
          <t>VÄSTERBOTTENS LÄN</t>
        </is>
      </c>
      <c r="E1373" t="inlineStr">
        <is>
          <t>UMEÅ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50874-2024</t>
        </is>
      </c>
      <c r="B1374" s="1" t="n">
        <v>45602</v>
      </c>
      <c r="C1374" s="1" t="n">
        <v>45828</v>
      </c>
      <c r="D1374" t="inlineStr">
        <is>
          <t>VÄSTERBOTTENS LÄN</t>
        </is>
      </c>
      <c r="E1374" t="inlineStr">
        <is>
          <t>UMEÅ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51390-2024</t>
        </is>
      </c>
      <c r="B1375" s="1" t="n">
        <v>45604</v>
      </c>
      <c r="C1375" s="1" t="n">
        <v>45828</v>
      </c>
      <c r="D1375" t="inlineStr">
        <is>
          <t>VÄSTERBOTTENS LÄN</t>
        </is>
      </c>
      <c r="E1375" t="inlineStr">
        <is>
          <t>UMEÅ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51394-2024</t>
        </is>
      </c>
      <c r="B1376" s="1" t="n">
        <v>45604</v>
      </c>
      <c r="C1376" s="1" t="n">
        <v>45828</v>
      </c>
      <c r="D1376" t="inlineStr">
        <is>
          <t>VÄSTERBOTTENS LÄN</t>
        </is>
      </c>
      <c r="E1376" t="inlineStr">
        <is>
          <t>UMEÅ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51325-2024</t>
        </is>
      </c>
      <c r="B1377" s="1" t="n">
        <v>45604</v>
      </c>
      <c r="C1377" s="1" t="n">
        <v>45828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51494-2024</t>
        </is>
      </c>
      <c r="B1378" s="1" t="n">
        <v>45604</v>
      </c>
      <c r="C1378" s="1" t="n">
        <v>45828</v>
      </c>
      <c r="D1378" t="inlineStr">
        <is>
          <t>VÄSTERBOTTENS LÄN</t>
        </is>
      </c>
      <c r="E1378" t="inlineStr">
        <is>
          <t>UMEÅ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51415-2024</t>
        </is>
      </c>
      <c r="B1379" s="1" t="n">
        <v>45604</v>
      </c>
      <c r="C1379" s="1" t="n">
        <v>45828</v>
      </c>
      <c r="D1379" t="inlineStr">
        <is>
          <t>VÄSTERBOTTENS LÄN</t>
        </is>
      </c>
      <c r="E1379" t="inlineStr">
        <is>
          <t>UMEÅ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51921-2024</t>
        </is>
      </c>
      <c r="B1380" s="1" t="n">
        <v>45607</v>
      </c>
      <c r="C1380" s="1" t="n">
        <v>45828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Sveaskog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52071-2024</t>
        </is>
      </c>
      <c r="B1381" s="1" t="n">
        <v>45608</v>
      </c>
      <c r="C1381" s="1" t="n">
        <v>45828</v>
      </c>
      <c r="D1381" t="inlineStr">
        <is>
          <t>VÄSTERBOTTENS LÄN</t>
        </is>
      </c>
      <c r="E1381" t="inlineStr">
        <is>
          <t>UMEÅ</t>
        </is>
      </c>
      <c r="G1381" t="n">
        <v>17.3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52089-2024</t>
        </is>
      </c>
      <c r="B1382" s="1" t="n">
        <v>45608</v>
      </c>
      <c r="C1382" s="1" t="n">
        <v>45828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52364-2024</t>
        </is>
      </c>
      <c r="B1383" s="1" t="n">
        <v>45609</v>
      </c>
      <c r="C1383" s="1" t="n">
        <v>45828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52355-2024</t>
        </is>
      </c>
      <c r="B1384" s="1" t="n">
        <v>45609</v>
      </c>
      <c r="C1384" s="1" t="n">
        <v>45828</v>
      </c>
      <c r="D1384" t="inlineStr">
        <is>
          <t>VÄSTERBOTTENS LÄN</t>
        </is>
      </c>
      <c r="E1384" t="inlineStr">
        <is>
          <t>UMEÅ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52635-2024</t>
        </is>
      </c>
      <c r="B1385" s="1" t="n">
        <v>45610</v>
      </c>
      <c r="C1385" s="1" t="n">
        <v>45828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52946-2024</t>
        </is>
      </c>
      <c r="B1386" s="1" t="n">
        <v>45610</v>
      </c>
      <c r="C1386" s="1" t="n">
        <v>45828</v>
      </c>
      <c r="D1386" t="inlineStr">
        <is>
          <t>VÄSTERBOTTENS LÄN</t>
        </is>
      </c>
      <c r="E1386" t="inlineStr">
        <is>
          <t>UMEÅ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53626-2024</t>
        </is>
      </c>
      <c r="B1387" s="1" t="n">
        <v>45614</v>
      </c>
      <c r="C1387" s="1" t="n">
        <v>45828</v>
      </c>
      <c r="D1387" t="inlineStr">
        <is>
          <t>VÄSTERBOTTENS LÄN</t>
        </is>
      </c>
      <c r="E1387" t="inlineStr">
        <is>
          <t>UMEÅ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53787-2024</t>
        </is>
      </c>
      <c r="B1388" s="1" t="n">
        <v>45615</v>
      </c>
      <c r="C1388" s="1" t="n">
        <v>45828</v>
      </c>
      <c r="D1388" t="inlineStr">
        <is>
          <t>VÄSTERBOTTENS LÄN</t>
        </is>
      </c>
      <c r="E1388" t="inlineStr">
        <is>
          <t>UMEÅ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53664-2024</t>
        </is>
      </c>
      <c r="B1389" s="1" t="n">
        <v>45615</v>
      </c>
      <c r="C1389" s="1" t="n">
        <v>45828</v>
      </c>
      <c r="D1389" t="inlineStr">
        <is>
          <t>VÄSTERBOTTENS LÄN</t>
        </is>
      </c>
      <c r="E1389" t="inlineStr">
        <is>
          <t>UMEÅ</t>
        </is>
      </c>
      <c r="G1389" t="n">
        <v>9.6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53731-2024</t>
        </is>
      </c>
      <c r="B1390" s="1" t="n">
        <v>45615</v>
      </c>
      <c r="C1390" s="1" t="n">
        <v>45828</v>
      </c>
      <c r="D1390" t="inlineStr">
        <is>
          <t>VÄSTERBOTTENS LÄN</t>
        </is>
      </c>
      <c r="E1390" t="inlineStr">
        <is>
          <t>UMEÅ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54143-2024</t>
        </is>
      </c>
      <c r="B1391" s="1" t="n">
        <v>45616</v>
      </c>
      <c r="C1391" s="1" t="n">
        <v>45828</v>
      </c>
      <c r="D1391" t="inlineStr">
        <is>
          <t>VÄSTERBOTTENS LÄN</t>
        </is>
      </c>
      <c r="E1391" t="inlineStr">
        <is>
          <t>UMEÅ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54150-2024</t>
        </is>
      </c>
      <c r="B1392" s="1" t="n">
        <v>45616</v>
      </c>
      <c r="C1392" s="1" t="n">
        <v>45828</v>
      </c>
      <c r="D1392" t="inlineStr">
        <is>
          <t>VÄSTERBOTTENS LÄN</t>
        </is>
      </c>
      <c r="E1392" t="inlineStr">
        <is>
          <t>UMEÅ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54152-2024</t>
        </is>
      </c>
      <c r="B1393" s="1" t="n">
        <v>45616</v>
      </c>
      <c r="C1393" s="1" t="n">
        <v>45828</v>
      </c>
      <c r="D1393" t="inlineStr">
        <is>
          <t>VÄSTERBOTTENS LÄN</t>
        </is>
      </c>
      <c r="E1393" t="inlineStr">
        <is>
          <t>UMEÅ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54371-2024</t>
        </is>
      </c>
      <c r="B1394" s="1" t="n">
        <v>45617</v>
      </c>
      <c r="C1394" s="1" t="n">
        <v>45828</v>
      </c>
      <c r="D1394" t="inlineStr">
        <is>
          <t>VÄSTERBOTTENS LÄN</t>
        </is>
      </c>
      <c r="E1394" t="inlineStr">
        <is>
          <t>UMEÅ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54499-2024</t>
        </is>
      </c>
      <c r="B1395" s="1" t="n">
        <v>45617</v>
      </c>
      <c r="C1395" s="1" t="n">
        <v>45828</v>
      </c>
      <c r="D1395" t="inlineStr">
        <is>
          <t>VÄSTERBOTTENS LÄN</t>
        </is>
      </c>
      <c r="E1395" t="inlineStr">
        <is>
          <t>UMEÅ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54509-2024</t>
        </is>
      </c>
      <c r="B1396" s="1" t="n">
        <v>45617</v>
      </c>
      <c r="C1396" s="1" t="n">
        <v>45828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54565-2024</t>
        </is>
      </c>
      <c r="B1397" s="1" t="n">
        <v>45617</v>
      </c>
      <c r="C1397" s="1" t="n">
        <v>45828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54912-2024</t>
        </is>
      </c>
      <c r="B1398" s="1" t="n">
        <v>45618</v>
      </c>
      <c r="C1398" s="1" t="n">
        <v>45828</v>
      </c>
      <c r="D1398" t="inlineStr">
        <is>
          <t>VÄSTERBOTTENS LÄN</t>
        </is>
      </c>
      <c r="E1398" t="inlineStr">
        <is>
          <t>UMEÅ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54849-2024</t>
        </is>
      </c>
      <c r="B1399" s="1" t="n">
        <v>45618</v>
      </c>
      <c r="C1399" s="1" t="n">
        <v>45828</v>
      </c>
      <c r="D1399" t="inlineStr">
        <is>
          <t>VÄSTERBOTTENS LÄN</t>
        </is>
      </c>
      <c r="E1399" t="inlineStr">
        <is>
          <t>UMEÅ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55322-2024</t>
        </is>
      </c>
      <c r="B1400" s="1" t="n">
        <v>45621</v>
      </c>
      <c r="C1400" s="1" t="n">
        <v>45828</v>
      </c>
      <c r="D1400" t="inlineStr">
        <is>
          <t>VÄSTERBOTTENS LÄN</t>
        </is>
      </c>
      <c r="E1400" t="inlineStr">
        <is>
          <t>UMEÅ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55682-2024</t>
        </is>
      </c>
      <c r="B1401" s="1" t="n">
        <v>45622</v>
      </c>
      <c r="C1401" s="1" t="n">
        <v>45828</v>
      </c>
      <c r="D1401" t="inlineStr">
        <is>
          <t>VÄSTERBOTTENS LÄN</t>
        </is>
      </c>
      <c r="E1401" t="inlineStr">
        <is>
          <t>UMEÅ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55677-2024</t>
        </is>
      </c>
      <c r="B1402" s="1" t="n">
        <v>45622</v>
      </c>
      <c r="C1402" s="1" t="n">
        <v>45828</v>
      </c>
      <c r="D1402" t="inlineStr">
        <is>
          <t>VÄSTERBOTTENS LÄN</t>
        </is>
      </c>
      <c r="E1402" t="inlineStr">
        <is>
          <t>UMEÅ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55856-2024</t>
        </is>
      </c>
      <c r="B1403" s="1" t="n">
        <v>45623</v>
      </c>
      <c r="C1403" s="1" t="n">
        <v>45828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56051-2024</t>
        </is>
      </c>
      <c r="B1404" s="1" t="n">
        <v>45623</v>
      </c>
      <c r="C1404" s="1" t="n">
        <v>45828</v>
      </c>
      <c r="D1404" t="inlineStr">
        <is>
          <t>VÄSTERBOTTENS LÄN</t>
        </is>
      </c>
      <c r="E1404" t="inlineStr">
        <is>
          <t>UMEÅ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56083-2024</t>
        </is>
      </c>
      <c r="B1405" s="1" t="n">
        <v>45623</v>
      </c>
      <c r="C1405" s="1" t="n">
        <v>45828</v>
      </c>
      <c r="D1405" t="inlineStr">
        <is>
          <t>VÄSTERBOTTENS LÄN</t>
        </is>
      </c>
      <c r="E1405" t="inlineStr">
        <is>
          <t>UMEÅ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56085-2024</t>
        </is>
      </c>
      <c r="B1406" s="1" t="n">
        <v>45623</v>
      </c>
      <c r="C1406" s="1" t="n">
        <v>45828</v>
      </c>
      <c r="D1406" t="inlineStr">
        <is>
          <t>VÄSTERBOTTENS LÄN</t>
        </is>
      </c>
      <c r="E1406" t="inlineStr">
        <is>
          <t>UMEÅ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56301-2024</t>
        </is>
      </c>
      <c r="B1407" s="1" t="n">
        <v>45624</v>
      </c>
      <c r="C1407" s="1" t="n">
        <v>45828</v>
      </c>
      <c r="D1407" t="inlineStr">
        <is>
          <t>VÄSTERBOTTENS LÄN</t>
        </is>
      </c>
      <c r="E1407" t="inlineStr">
        <is>
          <t>UMEÅ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56143-2024</t>
        </is>
      </c>
      <c r="B1408" s="1" t="n">
        <v>45624</v>
      </c>
      <c r="C1408" s="1" t="n">
        <v>45828</v>
      </c>
      <c r="D1408" t="inlineStr">
        <is>
          <t>VÄSTERBOTTENS LÄN</t>
        </is>
      </c>
      <c r="E1408" t="inlineStr">
        <is>
          <t>UMEÅ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56482-2024</t>
        </is>
      </c>
      <c r="B1409" s="1" t="n">
        <v>45625</v>
      </c>
      <c r="C1409" s="1" t="n">
        <v>45828</v>
      </c>
      <c r="D1409" t="inlineStr">
        <is>
          <t>VÄSTERBOTTENS LÄN</t>
        </is>
      </c>
      <c r="E1409" t="inlineStr">
        <is>
          <t>UMEÅ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56484-2024</t>
        </is>
      </c>
      <c r="B1410" s="1" t="n">
        <v>45625</v>
      </c>
      <c r="C1410" s="1" t="n">
        <v>45828</v>
      </c>
      <c r="D1410" t="inlineStr">
        <is>
          <t>VÄSTERBOTTENS LÄN</t>
        </is>
      </c>
      <c r="E1410" t="inlineStr">
        <is>
          <t>UMEÅ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57410-2024</t>
        </is>
      </c>
      <c r="B1411" s="1" t="n">
        <v>45629</v>
      </c>
      <c r="C1411" s="1" t="n">
        <v>45828</v>
      </c>
      <c r="D1411" t="inlineStr">
        <is>
          <t>VÄSTERBOTTENS LÄN</t>
        </is>
      </c>
      <c r="E1411" t="inlineStr">
        <is>
          <t>UMEÅ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57409-2024</t>
        </is>
      </c>
      <c r="B1412" s="1" t="n">
        <v>45629</v>
      </c>
      <c r="C1412" s="1" t="n">
        <v>45828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57497-2024</t>
        </is>
      </c>
      <c r="B1413" s="1" t="n">
        <v>45630</v>
      </c>
      <c r="C1413" s="1" t="n">
        <v>45828</v>
      </c>
      <c r="D1413" t="inlineStr">
        <is>
          <t>VÄSTERBOTTENS LÄN</t>
        </is>
      </c>
      <c r="E1413" t="inlineStr">
        <is>
          <t>UMEÅ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57510-2024</t>
        </is>
      </c>
      <c r="B1414" s="1" t="n">
        <v>45630</v>
      </c>
      <c r="C1414" s="1" t="n">
        <v>45828</v>
      </c>
      <c r="D1414" t="inlineStr">
        <is>
          <t>VÄSTERBOTTENS LÄN</t>
        </is>
      </c>
      <c r="E1414" t="inlineStr">
        <is>
          <t>UMEÅ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57534-2024</t>
        </is>
      </c>
      <c r="B1415" s="1" t="n">
        <v>45630</v>
      </c>
      <c r="C1415" s="1" t="n">
        <v>45828</v>
      </c>
      <c r="D1415" t="inlineStr">
        <is>
          <t>VÄSTERBOTTENS LÄN</t>
        </is>
      </c>
      <c r="E1415" t="inlineStr">
        <is>
          <t>UMEÅ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58249-2024</t>
        </is>
      </c>
      <c r="B1416" s="1" t="n">
        <v>45632</v>
      </c>
      <c r="C1416" s="1" t="n">
        <v>45828</v>
      </c>
      <c r="D1416" t="inlineStr">
        <is>
          <t>VÄSTERBOTTENS LÄN</t>
        </is>
      </c>
      <c r="E1416" t="inlineStr">
        <is>
          <t>UMEÅ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58278-2024</t>
        </is>
      </c>
      <c r="B1417" s="1" t="n">
        <v>45632</v>
      </c>
      <c r="C1417" s="1" t="n">
        <v>45828</v>
      </c>
      <c r="D1417" t="inlineStr">
        <is>
          <t>VÄSTERBOTTENS LÄN</t>
        </is>
      </c>
      <c r="E1417" t="inlineStr">
        <is>
          <t>UMEÅ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58440-2024</t>
        </is>
      </c>
      <c r="B1418" s="1" t="n">
        <v>45635</v>
      </c>
      <c r="C1418" s="1" t="n">
        <v>45828</v>
      </c>
      <c r="D1418" t="inlineStr">
        <is>
          <t>VÄSTERBOTTENS LÄN</t>
        </is>
      </c>
      <c r="E1418" t="inlineStr">
        <is>
          <t>UMEÅ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58680-2024</t>
        </is>
      </c>
      <c r="B1419" s="1" t="n">
        <v>45635</v>
      </c>
      <c r="C1419" s="1" t="n">
        <v>45828</v>
      </c>
      <c r="D1419" t="inlineStr">
        <is>
          <t>VÄSTERBOTTENS LÄN</t>
        </is>
      </c>
      <c r="E1419" t="inlineStr">
        <is>
          <t>UMEÅ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58708-2024</t>
        </is>
      </c>
      <c r="B1420" s="1" t="n">
        <v>45635</v>
      </c>
      <c r="C1420" s="1" t="n">
        <v>45828</v>
      </c>
      <c r="D1420" t="inlineStr">
        <is>
          <t>VÄSTERBOTTENS LÄN</t>
        </is>
      </c>
      <c r="E1420" t="inlineStr">
        <is>
          <t>UMEÅ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58687-2024</t>
        </is>
      </c>
      <c r="B1421" s="1" t="n">
        <v>45635</v>
      </c>
      <c r="C1421" s="1" t="n">
        <v>45828</v>
      </c>
      <c r="D1421" t="inlineStr">
        <is>
          <t>VÄSTERBOTTENS LÄN</t>
        </is>
      </c>
      <c r="E1421" t="inlineStr">
        <is>
          <t>UMEÅ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58954-2024</t>
        </is>
      </c>
      <c r="B1422" s="1" t="n">
        <v>45636</v>
      </c>
      <c r="C1422" s="1" t="n">
        <v>45828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58899-2024</t>
        </is>
      </c>
      <c r="B1423" s="1" t="n">
        <v>45636</v>
      </c>
      <c r="C1423" s="1" t="n">
        <v>45828</v>
      </c>
      <c r="D1423" t="inlineStr">
        <is>
          <t>VÄSTERBOTTENS LÄN</t>
        </is>
      </c>
      <c r="E1423" t="inlineStr">
        <is>
          <t>UMEÅ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59029-2024</t>
        </is>
      </c>
      <c r="B1424" s="1" t="n">
        <v>45636</v>
      </c>
      <c r="C1424" s="1" t="n">
        <v>45828</v>
      </c>
      <c r="D1424" t="inlineStr">
        <is>
          <t>VÄSTERBOTTENS LÄN</t>
        </is>
      </c>
      <c r="E1424" t="inlineStr">
        <is>
          <t>UMEÅ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59327-2024</t>
        </is>
      </c>
      <c r="B1425" s="1" t="n">
        <v>45637</v>
      </c>
      <c r="C1425" s="1" t="n">
        <v>45828</v>
      </c>
      <c r="D1425" t="inlineStr">
        <is>
          <t>VÄSTERBOTTENS LÄN</t>
        </is>
      </c>
      <c r="E1425" t="inlineStr">
        <is>
          <t>UMEÅ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59735-2024</t>
        </is>
      </c>
      <c r="B1426" s="1" t="n">
        <v>45639</v>
      </c>
      <c r="C1426" s="1" t="n">
        <v>45828</v>
      </c>
      <c r="D1426" t="inlineStr">
        <is>
          <t>VÄSTERBOTTENS LÄN</t>
        </is>
      </c>
      <c r="E1426" t="inlineStr">
        <is>
          <t>UMEÅ</t>
        </is>
      </c>
      <c r="G1426" t="n">
        <v>10.7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59738-2024</t>
        </is>
      </c>
      <c r="B1427" s="1" t="n">
        <v>45639</v>
      </c>
      <c r="C1427" s="1" t="n">
        <v>45828</v>
      </c>
      <c r="D1427" t="inlineStr">
        <is>
          <t>VÄSTERBOTTENS LÄN</t>
        </is>
      </c>
      <c r="E1427" t="inlineStr">
        <is>
          <t>UMEÅ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60322-2024</t>
        </is>
      </c>
      <c r="B1428" s="1" t="n">
        <v>45641</v>
      </c>
      <c r="C1428" s="1" t="n">
        <v>45828</v>
      </c>
      <c r="D1428" t="inlineStr">
        <is>
          <t>VÄSTERBOTTENS LÄN</t>
        </is>
      </c>
      <c r="E1428" t="inlineStr">
        <is>
          <t>UMEÅ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60323-2024</t>
        </is>
      </c>
      <c r="B1429" s="1" t="n">
        <v>45641</v>
      </c>
      <c r="C1429" s="1" t="n">
        <v>45828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60315-2024</t>
        </is>
      </c>
      <c r="B1430" s="1" t="n">
        <v>45641</v>
      </c>
      <c r="C1430" s="1" t="n">
        <v>45828</v>
      </c>
      <c r="D1430" t="inlineStr">
        <is>
          <t>VÄSTERBOTTENS LÄN</t>
        </is>
      </c>
      <c r="E1430" t="inlineStr">
        <is>
          <t>UMEÅ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60179-2024</t>
        </is>
      </c>
      <c r="B1431" s="1" t="n">
        <v>45642</v>
      </c>
      <c r="C1431" s="1" t="n">
        <v>45828</v>
      </c>
      <c r="D1431" t="inlineStr">
        <is>
          <t>VÄSTERBOTTENS LÄN</t>
        </is>
      </c>
      <c r="E1431" t="inlineStr">
        <is>
          <t>UMEÅ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60056-2024</t>
        </is>
      </c>
      <c r="B1432" s="1" t="n">
        <v>45642</v>
      </c>
      <c r="C1432" s="1" t="n">
        <v>45828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59942-2024</t>
        </is>
      </c>
      <c r="B1433" s="1" t="n">
        <v>45642</v>
      </c>
      <c r="C1433" s="1" t="n">
        <v>45828</v>
      </c>
      <c r="D1433" t="inlineStr">
        <is>
          <t>VÄSTERBOTTENS LÄN</t>
        </is>
      </c>
      <c r="E1433" t="inlineStr">
        <is>
          <t>UMEÅ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60517-2024</t>
        </is>
      </c>
      <c r="B1434" s="1" t="n">
        <v>45643</v>
      </c>
      <c r="C1434" s="1" t="n">
        <v>45828</v>
      </c>
      <c r="D1434" t="inlineStr">
        <is>
          <t>VÄSTERBOTTENS LÄN</t>
        </is>
      </c>
      <c r="E1434" t="inlineStr">
        <is>
          <t>UMEÅ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61225-2024</t>
        </is>
      </c>
      <c r="B1435" s="1" t="n">
        <v>45645</v>
      </c>
      <c r="C1435" s="1" t="n">
        <v>45828</v>
      </c>
      <c r="D1435" t="inlineStr">
        <is>
          <t>VÄSTERBOTTENS LÄN</t>
        </is>
      </c>
      <c r="E1435" t="inlineStr">
        <is>
          <t>UMEÅ</t>
        </is>
      </c>
      <c r="F1435" t="inlineStr">
        <is>
          <t>Holmen skog AB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61532-2024</t>
        </is>
      </c>
      <c r="B1436" s="1" t="n">
        <v>45646</v>
      </c>
      <c r="C1436" s="1" t="n">
        <v>45828</v>
      </c>
      <c r="D1436" t="inlineStr">
        <is>
          <t>VÄSTERBOTTENS LÄN</t>
        </is>
      </c>
      <c r="E1436" t="inlineStr">
        <is>
          <t>UMEÅ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61604-2024</t>
        </is>
      </c>
      <c r="B1437" s="1" t="n">
        <v>45646</v>
      </c>
      <c r="C1437" s="1" t="n">
        <v>45828</v>
      </c>
      <c r="D1437" t="inlineStr">
        <is>
          <t>VÄSTERBOTTENS LÄN</t>
        </is>
      </c>
      <c r="E1437" t="inlineStr">
        <is>
          <t>UMEÅ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61621-2024</t>
        </is>
      </c>
      <c r="B1438" s="1" t="n">
        <v>45646</v>
      </c>
      <c r="C1438" s="1" t="n">
        <v>45828</v>
      </c>
      <c r="D1438" t="inlineStr">
        <is>
          <t>VÄSTERBOTTENS LÄN</t>
        </is>
      </c>
      <c r="E1438" t="inlineStr">
        <is>
          <t>UMEÅ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111-2025</t>
        </is>
      </c>
      <c r="B1439" s="1" t="n">
        <v>45659</v>
      </c>
      <c r="C1439" s="1" t="n">
        <v>45828</v>
      </c>
      <c r="D1439" t="inlineStr">
        <is>
          <t>VÄSTERBOTTENS LÄN</t>
        </is>
      </c>
      <c r="E1439" t="inlineStr">
        <is>
          <t>UMEÅ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360-2025</t>
        </is>
      </c>
      <c r="B1440" s="1" t="n">
        <v>45659</v>
      </c>
      <c r="C1440" s="1" t="n">
        <v>45828</v>
      </c>
      <c r="D1440" t="inlineStr">
        <is>
          <t>VÄSTERBOTTENS LÄN</t>
        </is>
      </c>
      <c r="E1440" t="inlineStr">
        <is>
          <t>UMEÅ</t>
        </is>
      </c>
      <c r="G1440" t="n">
        <v>33.4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851-2025</t>
        </is>
      </c>
      <c r="B1441" s="1" t="n">
        <v>45665</v>
      </c>
      <c r="C1441" s="1" t="n">
        <v>45828</v>
      </c>
      <c r="D1441" t="inlineStr">
        <is>
          <t>VÄSTERBOTTENS LÄN</t>
        </is>
      </c>
      <c r="E1441" t="inlineStr">
        <is>
          <t>UMEÅ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1003-2025</t>
        </is>
      </c>
      <c r="B1442" s="1" t="n">
        <v>45666</v>
      </c>
      <c r="C1442" s="1" t="n">
        <v>45828</v>
      </c>
      <c r="D1442" t="inlineStr">
        <is>
          <t>VÄSTERBOTTENS LÄN</t>
        </is>
      </c>
      <c r="E1442" t="inlineStr">
        <is>
          <t>UMEÅ</t>
        </is>
      </c>
      <c r="G1442" t="n">
        <v>13.5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1508-2025</t>
        </is>
      </c>
      <c r="B1443" s="1" t="n">
        <v>45670</v>
      </c>
      <c r="C1443" s="1" t="n">
        <v>45828</v>
      </c>
      <c r="D1443" t="inlineStr">
        <is>
          <t>VÄSTERBOTTENS LÄN</t>
        </is>
      </c>
      <c r="E1443" t="inlineStr">
        <is>
          <t>UMEÅ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1502-2025</t>
        </is>
      </c>
      <c r="B1444" s="1" t="n">
        <v>45670</v>
      </c>
      <c r="C1444" s="1" t="n">
        <v>45828</v>
      </c>
      <c r="D1444" t="inlineStr">
        <is>
          <t>VÄSTERBOTTENS LÄN</t>
        </is>
      </c>
      <c r="E1444" t="inlineStr">
        <is>
          <t>UMEÅ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2258-2025</t>
        </is>
      </c>
      <c r="B1445" s="1" t="n">
        <v>45673</v>
      </c>
      <c r="C1445" s="1" t="n">
        <v>45828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2767-2025</t>
        </is>
      </c>
      <c r="B1446" s="1" t="n">
        <v>45677</v>
      </c>
      <c r="C1446" s="1" t="n">
        <v>45828</v>
      </c>
      <c r="D1446" t="inlineStr">
        <is>
          <t>VÄSTERBOTTENS LÄN</t>
        </is>
      </c>
      <c r="E1446" t="inlineStr">
        <is>
          <t>UMEÅ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2766-2025</t>
        </is>
      </c>
      <c r="B1447" s="1" t="n">
        <v>45677</v>
      </c>
      <c r="C1447" s="1" t="n">
        <v>45828</v>
      </c>
      <c r="D1447" t="inlineStr">
        <is>
          <t>VÄSTERBOTTENS LÄN</t>
        </is>
      </c>
      <c r="E1447" t="inlineStr">
        <is>
          <t>UMEÅ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2672-2025</t>
        </is>
      </c>
      <c r="B1448" s="1" t="n">
        <v>45677</v>
      </c>
      <c r="C1448" s="1" t="n">
        <v>45828</v>
      </c>
      <c r="D1448" t="inlineStr">
        <is>
          <t>VÄSTERBOTTENS LÄN</t>
        </is>
      </c>
      <c r="E1448" t="inlineStr">
        <is>
          <t>UMEÅ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3305-2025</t>
        </is>
      </c>
      <c r="B1449" s="1" t="n">
        <v>45679</v>
      </c>
      <c r="C1449" s="1" t="n">
        <v>45828</v>
      </c>
      <c r="D1449" t="inlineStr">
        <is>
          <t>VÄSTERBOTTENS LÄN</t>
        </is>
      </c>
      <c r="E1449" t="inlineStr">
        <is>
          <t>UMEÅ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3165-2025</t>
        </is>
      </c>
      <c r="B1450" s="1" t="n">
        <v>45679</v>
      </c>
      <c r="C1450" s="1" t="n">
        <v>45828</v>
      </c>
      <c r="D1450" t="inlineStr">
        <is>
          <t>VÄSTERBOTTENS LÄN</t>
        </is>
      </c>
      <c r="E1450" t="inlineStr">
        <is>
          <t>UMEÅ</t>
        </is>
      </c>
      <c r="G1450" t="n">
        <v>8.1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3536-2025</t>
        </is>
      </c>
      <c r="B1451" s="1" t="n">
        <v>45680</v>
      </c>
      <c r="C1451" s="1" t="n">
        <v>45828</v>
      </c>
      <c r="D1451" t="inlineStr">
        <is>
          <t>VÄSTERBOTTENS LÄN</t>
        </is>
      </c>
      <c r="E1451" t="inlineStr">
        <is>
          <t>UMEÅ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3589-2025</t>
        </is>
      </c>
      <c r="B1452" s="1" t="n">
        <v>45680</v>
      </c>
      <c r="C1452" s="1" t="n">
        <v>45828</v>
      </c>
      <c r="D1452" t="inlineStr">
        <is>
          <t>VÄSTERBOTTENS LÄN</t>
        </is>
      </c>
      <c r="E1452" t="inlineStr">
        <is>
          <t>UMEÅ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3828-2025</t>
        </is>
      </c>
      <c r="B1453" s="1" t="n">
        <v>45681</v>
      </c>
      <c r="C1453" s="1" t="n">
        <v>45828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3830-2025</t>
        </is>
      </c>
      <c r="B1454" s="1" t="n">
        <v>45681</v>
      </c>
      <c r="C1454" s="1" t="n">
        <v>45828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3829-2025</t>
        </is>
      </c>
      <c r="B1455" s="1" t="n">
        <v>45681</v>
      </c>
      <c r="C1455" s="1" t="n">
        <v>45828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3644-2025</t>
        </is>
      </c>
      <c r="B1456" s="1" t="n">
        <v>45681</v>
      </c>
      <c r="C1456" s="1" t="n">
        <v>45828</v>
      </c>
      <c r="D1456" t="inlineStr">
        <is>
          <t>VÄSTERBOTTENS LÄN</t>
        </is>
      </c>
      <c r="E1456" t="inlineStr">
        <is>
          <t>UMEÅ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4251-2025</t>
        </is>
      </c>
      <c r="B1457" s="1" t="n">
        <v>45685</v>
      </c>
      <c r="C1457" s="1" t="n">
        <v>45828</v>
      </c>
      <c r="D1457" t="inlineStr">
        <is>
          <t>VÄSTERBOTTENS LÄN</t>
        </is>
      </c>
      <c r="E1457" t="inlineStr">
        <is>
          <t>UMEÅ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4406-2025</t>
        </is>
      </c>
      <c r="B1458" s="1" t="n">
        <v>45686</v>
      </c>
      <c r="C1458" s="1" t="n">
        <v>45828</v>
      </c>
      <c r="D1458" t="inlineStr">
        <is>
          <t>VÄSTERBOTTENS LÄN</t>
        </is>
      </c>
      <c r="E1458" t="inlineStr">
        <is>
          <t>UMEÅ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4448-2025</t>
        </is>
      </c>
      <c r="B1459" s="1" t="n">
        <v>45686</v>
      </c>
      <c r="C1459" s="1" t="n">
        <v>45828</v>
      </c>
      <c r="D1459" t="inlineStr">
        <is>
          <t>VÄSTERBOTTENS LÄN</t>
        </is>
      </c>
      <c r="E1459" t="inlineStr">
        <is>
          <t>UMEÅ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4650-2025</t>
        </is>
      </c>
      <c r="B1460" s="1" t="n">
        <v>45687</v>
      </c>
      <c r="C1460" s="1" t="n">
        <v>45828</v>
      </c>
      <c r="D1460" t="inlineStr">
        <is>
          <t>VÄSTERBOTTENS LÄN</t>
        </is>
      </c>
      <c r="E1460" t="inlineStr">
        <is>
          <t>UMEÅ</t>
        </is>
      </c>
      <c r="F1460" t="inlineStr">
        <is>
          <t>Holmen skog AB</t>
        </is>
      </c>
      <c r="G1460" t="n">
        <v>20.8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5078-2025</t>
        </is>
      </c>
      <c r="B1461" s="1" t="n">
        <v>45691</v>
      </c>
      <c r="C1461" s="1" t="n">
        <v>45828</v>
      </c>
      <c r="D1461" t="inlineStr">
        <is>
          <t>VÄSTERBOTTENS LÄN</t>
        </is>
      </c>
      <c r="E1461" t="inlineStr">
        <is>
          <t>UMEÅ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5082-2025</t>
        </is>
      </c>
      <c r="B1462" s="1" t="n">
        <v>45691</v>
      </c>
      <c r="C1462" s="1" t="n">
        <v>45828</v>
      </c>
      <c r="D1462" t="inlineStr">
        <is>
          <t>VÄSTERBOTTENS LÄN</t>
        </is>
      </c>
      <c r="E1462" t="inlineStr">
        <is>
          <t>UMEÅ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5232-2025</t>
        </is>
      </c>
      <c r="B1463" s="1" t="n">
        <v>45691</v>
      </c>
      <c r="C1463" s="1" t="n">
        <v>45828</v>
      </c>
      <c r="D1463" t="inlineStr">
        <is>
          <t>VÄSTERBOTTENS LÄN</t>
        </is>
      </c>
      <c r="E1463" t="inlineStr">
        <is>
          <t>UMEÅ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5029-2025</t>
        </is>
      </c>
      <c r="B1464" s="1" t="n">
        <v>45691</v>
      </c>
      <c r="C1464" s="1" t="n">
        <v>45828</v>
      </c>
      <c r="D1464" t="inlineStr">
        <is>
          <t>VÄSTERBOTTENS LÄN</t>
        </is>
      </c>
      <c r="E1464" t="inlineStr">
        <is>
          <t>UMEÅ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5302-2025</t>
        </is>
      </c>
      <c r="B1465" s="1" t="n">
        <v>45692</v>
      </c>
      <c r="C1465" s="1" t="n">
        <v>45828</v>
      </c>
      <c r="D1465" t="inlineStr">
        <is>
          <t>VÄSTERBOTTENS LÄN</t>
        </is>
      </c>
      <c r="E1465" t="inlineStr">
        <is>
          <t>UMEÅ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5446-2025</t>
        </is>
      </c>
      <c r="B1466" s="1" t="n">
        <v>45692</v>
      </c>
      <c r="C1466" s="1" t="n">
        <v>45828</v>
      </c>
      <c r="D1466" t="inlineStr">
        <is>
          <t>VÄSTERBOTTENS LÄN</t>
        </is>
      </c>
      <c r="E1466" t="inlineStr">
        <is>
          <t>UMEÅ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5280-2025</t>
        </is>
      </c>
      <c r="B1467" s="1" t="n">
        <v>45692</v>
      </c>
      <c r="C1467" s="1" t="n">
        <v>45828</v>
      </c>
      <c r="D1467" t="inlineStr">
        <is>
          <t>VÄSTERBOTTENS LÄN</t>
        </is>
      </c>
      <c r="E1467" t="inlineStr">
        <is>
          <t>UMEÅ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5678-2025</t>
        </is>
      </c>
      <c r="B1468" s="1" t="n">
        <v>45694</v>
      </c>
      <c r="C1468" s="1" t="n">
        <v>45828</v>
      </c>
      <c r="D1468" t="inlineStr">
        <is>
          <t>VÄSTERBOTTENS LÄN</t>
        </is>
      </c>
      <c r="E1468" t="inlineStr">
        <is>
          <t>UMEÅ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5994-2025</t>
        </is>
      </c>
      <c r="B1469" s="1" t="n">
        <v>45695</v>
      </c>
      <c r="C1469" s="1" t="n">
        <v>45828</v>
      </c>
      <c r="D1469" t="inlineStr">
        <is>
          <t>VÄSTERBOTTENS LÄN</t>
        </is>
      </c>
      <c r="E1469" t="inlineStr">
        <is>
          <t>UMEÅ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6130-2025</t>
        </is>
      </c>
      <c r="B1470" s="1" t="n">
        <v>45698</v>
      </c>
      <c r="C1470" s="1" t="n">
        <v>45828</v>
      </c>
      <c r="D1470" t="inlineStr">
        <is>
          <t>VÄSTERBOTTENS LÄN</t>
        </is>
      </c>
      <c r="E1470" t="inlineStr">
        <is>
          <t>UMEÅ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6120-2025</t>
        </is>
      </c>
      <c r="B1471" s="1" t="n">
        <v>45698</v>
      </c>
      <c r="C1471" s="1" t="n">
        <v>45828</v>
      </c>
      <c r="D1471" t="inlineStr">
        <is>
          <t>VÄSTERBOTTENS LÄN</t>
        </is>
      </c>
      <c r="E1471" t="inlineStr">
        <is>
          <t>UMEÅ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6279-2025</t>
        </is>
      </c>
      <c r="B1472" s="1" t="n">
        <v>45698</v>
      </c>
      <c r="C1472" s="1" t="n">
        <v>45828</v>
      </c>
      <c r="D1472" t="inlineStr">
        <is>
          <t>VÄSTERBOTTENS LÄN</t>
        </is>
      </c>
      <c r="E1472" t="inlineStr">
        <is>
          <t>UMEÅ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6632-2025</t>
        </is>
      </c>
      <c r="B1473" s="1" t="n">
        <v>45700</v>
      </c>
      <c r="C1473" s="1" t="n">
        <v>45828</v>
      </c>
      <c r="D1473" t="inlineStr">
        <is>
          <t>VÄSTERBOTTENS LÄN</t>
        </is>
      </c>
      <c r="E1473" t="inlineStr">
        <is>
          <t>UMEÅ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6771-2025</t>
        </is>
      </c>
      <c r="B1474" s="1" t="n">
        <v>45700</v>
      </c>
      <c r="C1474" s="1" t="n">
        <v>45828</v>
      </c>
      <c r="D1474" t="inlineStr">
        <is>
          <t>VÄSTERBOTTENS LÄN</t>
        </is>
      </c>
      <c r="E1474" t="inlineStr">
        <is>
          <t>UMEÅ</t>
        </is>
      </c>
      <c r="G1474" t="n">
        <v>9.5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7205-2025</t>
        </is>
      </c>
      <c r="B1475" s="1" t="n">
        <v>45702</v>
      </c>
      <c r="C1475" s="1" t="n">
        <v>45828</v>
      </c>
      <c r="D1475" t="inlineStr">
        <is>
          <t>VÄSTERBOTTENS LÄN</t>
        </is>
      </c>
      <c r="E1475" t="inlineStr">
        <is>
          <t>UMEÅ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7213-2025</t>
        </is>
      </c>
      <c r="B1476" s="1" t="n">
        <v>45702</v>
      </c>
      <c r="C1476" s="1" t="n">
        <v>45828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7853-2025</t>
        </is>
      </c>
      <c r="B1477" s="1" t="n">
        <v>45706</v>
      </c>
      <c r="C1477" s="1" t="n">
        <v>45828</v>
      </c>
      <c r="D1477" t="inlineStr">
        <is>
          <t>VÄSTERBOTTENS LÄN</t>
        </is>
      </c>
      <c r="E1477" t="inlineStr">
        <is>
          <t>UMEÅ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7693-2025</t>
        </is>
      </c>
      <c r="B1478" s="1" t="n">
        <v>45706</v>
      </c>
      <c r="C1478" s="1" t="n">
        <v>45828</v>
      </c>
      <c r="D1478" t="inlineStr">
        <is>
          <t>VÄSTERBOTTENS LÄN</t>
        </is>
      </c>
      <c r="E1478" t="inlineStr">
        <is>
          <t>UMEÅ</t>
        </is>
      </c>
      <c r="G1478" t="n">
        <v>19.7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7774-2025</t>
        </is>
      </c>
      <c r="B1479" s="1" t="n">
        <v>45706</v>
      </c>
      <c r="C1479" s="1" t="n">
        <v>45828</v>
      </c>
      <c r="D1479" t="inlineStr">
        <is>
          <t>VÄSTERBOTTENS LÄN</t>
        </is>
      </c>
      <c r="E1479" t="inlineStr">
        <is>
          <t>UMEÅ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7696-2025</t>
        </is>
      </c>
      <c r="B1480" s="1" t="n">
        <v>45706</v>
      </c>
      <c r="C1480" s="1" t="n">
        <v>45828</v>
      </c>
      <c r="D1480" t="inlineStr">
        <is>
          <t>VÄSTERBOTTENS LÄN</t>
        </is>
      </c>
      <c r="E1480" t="inlineStr">
        <is>
          <t>UMEÅ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8184-2025</t>
        </is>
      </c>
      <c r="B1481" s="1" t="n">
        <v>45708</v>
      </c>
      <c r="C1481" s="1" t="n">
        <v>45828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8317-2025</t>
        </is>
      </c>
      <c r="B1482" s="1" t="n">
        <v>45708</v>
      </c>
      <c r="C1482" s="1" t="n">
        <v>45828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8539-2025</t>
        </is>
      </c>
      <c r="B1483" s="1" t="n">
        <v>45709</v>
      </c>
      <c r="C1483" s="1" t="n">
        <v>45828</v>
      </c>
      <c r="D1483" t="inlineStr">
        <is>
          <t>VÄSTERBOTTENS LÄN</t>
        </is>
      </c>
      <c r="E1483" t="inlineStr">
        <is>
          <t>UMEÅ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8581-2025</t>
        </is>
      </c>
      <c r="B1484" s="1" t="n">
        <v>45709</v>
      </c>
      <c r="C1484" s="1" t="n">
        <v>45828</v>
      </c>
      <c r="D1484" t="inlineStr">
        <is>
          <t>VÄSTERBOTTENS LÄN</t>
        </is>
      </c>
      <c r="E1484" t="inlineStr">
        <is>
          <t>UMEÅ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8584-2025</t>
        </is>
      </c>
      <c r="B1485" s="1" t="n">
        <v>45709</v>
      </c>
      <c r="C1485" s="1" t="n">
        <v>45828</v>
      </c>
      <c r="D1485" t="inlineStr">
        <is>
          <t>VÄSTERBOTTENS LÄN</t>
        </is>
      </c>
      <c r="E1485" t="inlineStr">
        <is>
          <t>UMEÅ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8586-2025</t>
        </is>
      </c>
      <c r="B1486" s="1" t="n">
        <v>45709</v>
      </c>
      <c r="C1486" s="1" t="n">
        <v>45828</v>
      </c>
      <c r="D1486" t="inlineStr">
        <is>
          <t>VÄSTERBOTTENS LÄN</t>
        </is>
      </c>
      <c r="E1486" t="inlineStr">
        <is>
          <t>UMEÅ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8575-2025</t>
        </is>
      </c>
      <c r="B1487" s="1" t="n">
        <v>45709</v>
      </c>
      <c r="C1487" s="1" t="n">
        <v>45828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8583-2025</t>
        </is>
      </c>
      <c r="B1488" s="1" t="n">
        <v>45709</v>
      </c>
      <c r="C1488" s="1" t="n">
        <v>45828</v>
      </c>
      <c r="D1488" t="inlineStr">
        <is>
          <t>VÄSTERBOTTENS LÄN</t>
        </is>
      </c>
      <c r="E1488" t="inlineStr">
        <is>
          <t>UMEÅ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8618-2025</t>
        </is>
      </c>
      <c r="B1489" s="1" t="n">
        <v>45711</v>
      </c>
      <c r="C1489" s="1" t="n">
        <v>45828</v>
      </c>
      <c r="D1489" t="inlineStr">
        <is>
          <t>VÄSTERBOTTENS LÄN</t>
        </is>
      </c>
      <c r="E1489" t="inlineStr">
        <is>
          <t>UMEÅ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8771-2025</t>
        </is>
      </c>
      <c r="B1490" s="1" t="n">
        <v>45712</v>
      </c>
      <c r="C1490" s="1" t="n">
        <v>45828</v>
      </c>
      <c r="D1490" t="inlineStr">
        <is>
          <t>VÄSTERBOTTENS LÄN</t>
        </is>
      </c>
      <c r="E1490" t="inlineStr">
        <is>
          <t>UMEÅ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8921-2025</t>
        </is>
      </c>
      <c r="B1491" s="1" t="n">
        <v>45713</v>
      </c>
      <c r="C1491" s="1" t="n">
        <v>45828</v>
      </c>
      <c r="D1491" t="inlineStr">
        <is>
          <t>VÄSTERBOTTENS LÄN</t>
        </is>
      </c>
      <c r="E1491" t="inlineStr">
        <is>
          <t>UMEÅ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9169-2025</t>
        </is>
      </c>
      <c r="B1492" s="1" t="n">
        <v>45714</v>
      </c>
      <c r="C1492" s="1" t="n">
        <v>45828</v>
      </c>
      <c r="D1492" t="inlineStr">
        <is>
          <t>VÄSTERBOTTENS LÄN</t>
        </is>
      </c>
      <c r="E1492" t="inlineStr">
        <is>
          <t>UMEÅ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9147-2025</t>
        </is>
      </c>
      <c r="B1493" s="1" t="n">
        <v>45714</v>
      </c>
      <c r="C1493" s="1" t="n">
        <v>45828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9159-2025</t>
        </is>
      </c>
      <c r="B1494" s="1" t="n">
        <v>45714</v>
      </c>
      <c r="C1494" s="1" t="n">
        <v>45828</v>
      </c>
      <c r="D1494" t="inlineStr">
        <is>
          <t>VÄSTERBOTTENS LÄN</t>
        </is>
      </c>
      <c r="E1494" t="inlineStr">
        <is>
          <t>UMEÅ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9272-2025</t>
        </is>
      </c>
      <c r="B1495" s="1" t="n">
        <v>45714</v>
      </c>
      <c r="C1495" s="1" t="n">
        <v>45828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Holmen skog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10265-2025</t>
        </is>
      </c>
      <c r="B1496" s="1" t="n">
        <v>45720</v>
      </c>
      <c r="C1496" s="1" t="n">
        <v>45828</v>
      </c>
      <c r="D1496" t="inlineStr">
        <is>
          <t>VÄSTERBOTTENS LÄN</t>
        </is>
      </c>
      <c r="E1496" t="inlineStr">
        <is>
          <t>UMEÅ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10422-2025</t>
        </is>
      </c>
      <c r="B1497" s="1" t="n">
        <v>45720</v>
      </c>
      <c r="C1497" s="1" t="n">
        <v>45828</v>
      </c>
      <c r="D1497" t="inlineStr">
        <is>
          <t>VÄSTERBOTTENS LÄN</t>
        </is>
      </c>
      <c r="E1497" t="inlineStr">
        <is>
          <t>UMEÅ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10271-2025</t>
        </is>
      </c>
      <c r="B1498" s="1" t="n">
        <v>45720</v>
      </c>
      <c r="C1498" s="1" t="n">
        <v>45828</v>
      </c>
      <c r="D1498" t="inlineStr">
        <is>
          <t>VÄSTERBOTTENS LÄN</t>
        </is>
      </c>
      <c r="E1498" t="inlineStr">
        <is>
          <t>UMEÅ</t>
        </is>
      </c>
      <c r="G1498" t="n">
        <v>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10899-2025</t>
        </is>
      </c>
      <c r="B1499" s="1" t="n">
        <v>45722</v>
      </c>
      <c r="C1499" s="1" t="n">
        <v>45828</v>
      </c>
      <c r="D1499" t="inlineStr">
        <is>
          <t>VÄSTERBOTTENS LÄN</t>
        </is>
      </c>
      <c r="E1499" t="inlineStr">
        <is>
          <t>UMEÅ</t>
        </is>
      </c>
      <c r="G1499" t="n">
        <v>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10708-2025</t>
        </is>
      </c>
      <c r="B1500" s="1" t="n">
        <v>45722</v>
      </c>
      <c r="C1500" s="1" t="n">
        <v>45828</v>
      </c>
      <c r="D1500" t="inlineStr">
        <is>
          <t>VÄSTERBOTTENS LÄN</t>
        </is>
      </c>
      <c r="E1500" t="inlineStr">
        <is>
          <t>UMEÅ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10729-2025</t>
        </is>
      </c>
      <c r="B1501" s="1" t="n">
        <v>45722</v>
      </c>
      <c r="C1501" s="1" t="n">
        <v>45828</v>
      </c>
      <c r="D1501" t="inlineStr">
        <is>
          <t>VÄSTERBOTTENS LÄN</t>
        </is>
      </c>
      <c r="E1501" t="inlineStr">
        <is>
          <t>UMEÅ</t>
        </is>
      </c>
      <c r="G1501" t="n">
        <v>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10718-2025</t>
        </is>
      </c>
      <c r="B1502" s="1" t="n">
        <v>45722</v>
      </c>
      <c r="C1502" s="1" t="n">
        <v>45828</v>
      </c>
      <c r="D1502" t="inlineStr">
        <is>
          <t>VÄSTERBOTTENS LÄN</t>
        </is>
      </c>
      <c r="E1502" t="inlineStr">
        <is>
          <t>UMEÅ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10898-2025</t>
        </is>
      </c>
      <c r="B1503" s="1" t="n">
        <v>45722</v>
      </c>
      <c r="C1503" s="1" t="n">
        <v>45828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11061-2025</t>
        </is>
      </c>
      <c r="B1504" s="1" t="n">
        <v>45723</v>
      </c>
      <c r="C1504" s="1" t="n">
        <v>45828</v>
      </c>
      <c r="D1504" t="inlineStr">
        <is>
          <t>VÄSTERBOTTENS LÄN</t>
        </is>
      </c>
      <c r="E1504" t="inlineStr">
        <is>
          <t>UMEÅ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11063-2025</t>
        </is>
      </c>
      <c r="B1505" s="1" t="n">
        <v>45723</v>
      </c>
      <c r="C1505" s="1" t="n">
        <v>45828</v>
      </c>
      <c r="D1505" t="inlineStr">
        <is>
          <t>VÄSTERBOTTENS LÄN</t>
        </is>
      </c>
      <c r="E1505" t="inlineStr">
        <is>
          <t>UMEÅ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11101-2025</t>
        </is>
      </c>
      <c r="B1506" s="1" t="n">
        <v>45723</v>
      </c>
      <c r="C1506" s="1" t="n">
        <v>45828</v>
      </c>
      <c r="D1506" t="inlineStr">
        <is>
          <t>VÄSTERBOTTENS LÄN</t>
        </is>
      </c>
      <c r="E1506" t="inlineStr">
        <is>
          <t>UMEÅ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11798-2025</t>
        </is>
      </c>
      <c r="B1507" s="1" t="n">
        <v>45727</v>
      </c>
      <c r="C1507" s="1" t="n">
        <v>45828</v>
      </c>
      <c r="D1507" t="inlineStr">
        <is>
          <t>VÄSTERBOTTENS LÄN</t>
        </is>
      </c>
      <c r="E1507" t="inlineStr">
        <is>
          <t>UMEÅ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12134-2025</t>
        </is>
      </c>
      <c r="B1508" s="1" t="n">
        <v>45729</v>
      </c>
      <c r="C1508" s="1" t="n">
        <v>45828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12124-2025</t>
        </is>
      </c>
      <c r="B1509" s="1" t="n">
        <v>45729</v>
      </c>
      <c r="C1509" s="1" t="n">
        <v>45828</v>
      </c>
      <c r="D1509" t="inlineStr">
        <is>
          <t>VÄSTERBOTTENS LÄN</t>
        </is>
      </c>
      <c r="E1509" t="inlineStr">
        <is>
          <t>UMEÅ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12141-2025</t>
        </is>
      </c>
      <c r="B1510" s="1" t="n">
        <v>45729</v>
      </c>
      <c r="C1510" s="1" t="n">
        <v>45828</v>
      </c>
      <c r="D1510" t="inlineStr">
        <is>
          <t>VÄSTERBOTTENS LÄN</t>
        </is>
      </c>
      <c r="E1510" t="inlineStr">
        <is>
          <t>UMEÅ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12160-2025</t>
        </is>
      </c>
      <c r="B1511" s="1" t="n">
        <v>45729</v>
      </c>
      <c r="C1511" s="1" t="n">
        <v>45828</v>
      </c>
      <c r="D1511" t="inlineStr">
        <is>
          <t>VÄSTERBOTTENS LÄN</t>
        </is>
      </c>
      <c r="E1511" t="inlineStr">
        <is>
          <t>UMEÅ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12226-2025</t>
        </is>
      </c>
      <c r="B1512" s="1" t="n">
        <v>45729</v>
      </c>
      <c r="C1512" s="1" t="n">
        <v>45828</v>
      </c>
      <c r="D1512" t="inlineStr">
        <is>
          <t>VÄSTERBOTTENS LÄN</t>
        </is>
      </c>
      <c r="E1512" t="inlineStr">
        <is>
          <t>UMEÅ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12356-2025</t>
        </is>
      </c>
      <c r="B1513" s="1" t="n">
        <v>45730</v>
      </c>
      <c r="C1513" s="1" t="n">
        <v>45828</v>
      </c>
      <c r="D1513" t="inlineStr">
        <is>
          <t>VÄSTERBOTTENS LÄN</t>
        </is>
      </c>
      <c r="E1513" t="inlineStr">
        <is>
          <t>UMEÅ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12723-2025</t>
        </is>
      </c>
      <c r="B1514" s="1" t="n">
        <v>45733</v>
      </c>
      <c r="C1514" s="1" t="n">
        <v>45828</v>
      </c>
      <c r="D1514" t="inlineStr">
        <is>
          <t>VÄSTERBOTTENS LÄN</t>
        </is>
      </c>
      <c r="E1514" t="inlineStr">
        <is>
          <t>UMEÅ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12780-2025</t>
        </is>
      </c>
      <c r="B1515" s="1" t="n">
        <v>45733</v>
      </c>
      <c r="C1515" s="1" t="n">
        <v>45828</v>
      </c>
      <c r="D1515" t="inlineStr">
        <is>
          <t>VÄSTERBOTTENS LÄN</t>
        </is>
      </c>
      <c r="E1515" t="inlineStr">
        <is>
          <t>UMEÅ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12971-2025</t>
        </is>
      </c>
      <c r="B1516" s="1" t="n">
        <v>45734</v>
      </c>
      <c r="C1516" s="1" t="n">
        <v>45828</v>
      </c>
      <c r="D1516" t="inlineStr">
        <is>
          <t>VÄSTERBOTTENS LÄN</t>
        </is>
      </c>
      <c r="E1516" t="inlineStr">
        <is>
          <t>UMEÅ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13195-2025</t>
        </is>
      </c>
      <c r="B1517" s="1" t="n">
        <v>45735</v>
      </c>
      <c r="C1517" s="1" t="n">
        <v>45828</v>
      </c>
      <c r="D1517" t="inlineStr">
        <is>
          <t>VÄSTERBOTTENS LÄN</t>
        </is>
      </c>
      <c r="E1517" t="inlineStr">
        <is>
          <t>UMEÅ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13197-2025</t>
        </is>
      </c>
      <c r="B1518" s="1" t="n">
        <v>45735</v>
      </c>
      <c r="C1518" s="1" t="n">
        <v>45828</v>
      </c>
      <c r="D1518" t="inlineStr">
        <is>
          <t>VÄSTERBOTTENS LÄN</t>
        </is>
      </c>
      <c r="E1518" t="inlineStr">
        <is>
          <t>UMEÅ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13190-2025</t>
        </is>
      </c>
      <c r="B1519" s="1" t="n">
        <v>45735</v>
      </c>
      <c r="C1519" s="1" t="n">
        <v>45828</v>
      </c>
      <c r="D1519" t="inlineStr">
        <is>
          <t>VÄSTERBOTTENS LÄN</t>
        </is>
      </c>
      <c r="E1519" t="inlineStr">
        <is>
          <t>UMEÅ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13821-2025</t>
        </is>
      </c>
      <c r="B1520" s="1" t="n">
        <v>45737</v>
      </c>
      <c r="C1520" s="1" t="n">
        <v>45828</v>
      </c>
      <c r="D1520" t="inlineStr">
        <is>
          <t>VÄSTERBOTTENS LÄN</t>
        </is>
      </c>
      <c r="E1520" t="inlineStr">
        <is>
          <t>UMEÅ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13766-2025</t>
        </is>
      </c>
      <c r="B1521" s="1" t="n">
        <v>45737</v>
      </c>
      <c r="C1521" s="1" t="n">
        <v>45828</v>
      </c>
      <c r="D1521" t="inlineStr">
        <is>
          <t>VÄSTERBOTTENS LÄN</t>
        </is>
      </c>
      <c r="E1521" t="inlineStr">
        <is>
          <t>UMEÅ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13820-2025</t>
        </is>
      </c>
      <c r="B1522" s="1" t="n">
        <v>45737</v>
      </c>
      <c r="C1522" s="1" t="n">
        <v>45828</v>
      </c>
      <c r="D1522" t="inlineStr">
        <is>
          <t>VÄSTERBOTTENS LÄN</t>
        </is>
      </c>
      <c r="E1522" t="inlineStr">
        <is>
          <t>UMEÅ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13822-2025</t>
        </is>
      </c>
      <c r="B1523" s="1" t="n">
        <v>45737</v>
      </c>
      <c r="C1523" s="1" t="n">
        <v>45828</v>
      </c>
      <c r="D1523" t="inlineStr">
        <is>
          <t>VÄSTERBOTTENS LÄN</t>
        </is>
      </c>
      <c r="E1523" t="inlineStr">
        <is>
          <t>UMEÅ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13716-2025</t>
        </is>
      </c>
      <c r="B1524" s="1" t="n">
        <v>45737</v>
      </c>
      <c r="C1524" s="1" t="n">
        <v>45828</v>
      </c>
      <c r="D1524" t="inlineStr">
        <is>
          <t>VÄSTERBOTTENS LÄN</t>
        </is>
      </c>
      <c r="E1524" t="inlineStr">
        <is>
          <t>UMEÅ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14286-2025</t>
        </is>
      </c>
      <c r="B1525" s="1" t="n">
        <v>45740</v>
      </c>
      <c r="C1525" s="1" t="n">
        <v>45828</v>
      </c>
      <c r="D1525" t="inlineStr">
        <is>
          <t>VÄSTERBOTTENS LÄN</t>
        </is>
      </c>
      <c r="E1525" t="inlineStr">
        <is>
          <t>UMEÅ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14316-2025</t>
        </is>
      </c>
      <c r="B1526" s="1" t="n">
        <v>45740</v>
      </c>
      <c r="C1526" s="1" t="n">
        <v>45828</v>
      </c>
      <c r="D1526" t="inlineStr">
        <is>
          <t>VÄSTERBOTTENS LÄN</t>
        </is>
      </c>
      <c r="E1526" t="inlineStr">
        <is>
          <t>UMEÅ</t>
        </is>
      </c>
      <c r="G1526" t="n">
        <v>10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14380-2025</t>
        </is>
      </c>
      <c r="B1527" s="1" t="n">
        <v>45741</v>
      </c>
      <c r="C1527" s="1" t="n">
        <v>45828</v>
      </c>
      <c r="D1527" t="inlineStr">
        <is>
          <t>VÄSTERBOTTENS LÄN</t>
        </is>
      </c>
      <c r="E1527" t="inlineStr">
        <is>
          <t>UMEÅ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14403-2025</t>
        </is>
      </c>
      <c r="B1528" s="1" t="n">
        <v>45741</v>
      </c>
      <c r="C1528" s="1" t="n">
        <v>45828</v>
      </c>
      <c r="D1528" t="inlineStr">
        <is>
          <t>VÄSTERBOTTENS LÄN</t>
        </is>
      </c>
      <c r="E1528" t="inlineStr">
        <is>
          <t>UMEÅ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15161-2025</t>
        </is>
      </c>
      <c r="B1529" s="1" t="n">
        <v>45744</v>
      </c>
      <c r="C1529" s="1" t="n">
        <v>45828</v>
      </c>
      <c r="D1529" t="inlineStr">
        <is>
          <t>VÄSTERBOTTENS LÄN</t>
        </is>
      </c>
      <c r="E1529" t="inlineStr">
        <is>
          <t>UMEÅ</t>
        </is>
      </c>
      <c r="F1529" t="inlineStr">
        <is>
          <t>Kommuner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15160-2025</t>
        </is>
      </c>
      <c r="B1530" s="1" t="n">
        <v>45744</v>
      </c>
      <c r="C1530" s="1" t="n">
        <v>45828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15459-2025</t>
        </is>
      </c>
      <c r="B1531" s="1" t="n">
        <v>45747</v>
      </c>
      <c r="C1531" s="1" t="n">
        <v>45828</v>
      </c>
      <c r="D1531" t="inlineStr">
        <is>
          <t>VÄSTERBOTTENS LÄN</t>
        </is>
      </c>
      <c r="E1531" t="inlineStr">
        <is>
          <t>UMEÅ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15457-2025</t>
        </is>
      </c>
      <c r="B1532" s="1" t="n">
        <v>45747</v>
      </c>
      <c r="C1532" s="1" t="n">
        <v>45828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15337-2025</t>
        </is>
      </c>
      <c r="B1533" s="1" t="n">
        <v>45747</v>
      </c>
      <c r="C1533" s="1" t="n">
        <v>45828</v>
      </c>
      <c r="D1533" t="inlineStr">
        <is>
          <t>VÄSTERBOTTENS LÄN</t>
        </is>
      </c>
      <c r="E1533" t="inlineStr">
        <is>
          <t>UMEÅ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15375-2025</t>
        </is>
      </c>
      <c r="B1534" s="1" t="n">
        <v>45747</v>
      </c>
      <c r="C1534" s="1" t="n">
        <v>45828</v>
      </c>
      <c r="D1534" t="inlineStr">
        <is>
          <t>VÄSTERBOTTENS LÄN</t>
        </is>
      </c>
      <c r="E1534" t="inlineStr">
        <is>
          <t>UMEÅ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15376-2025</t>
        </is>
      </c>
      <c r="B1535" s="1" t="n">
        <v>45747</v>
      </c>
      <c r="C1535" s="1" t="n">
        <v>45828</v>
      </c>
      <c r="D1535" t="inlineStr">
        <is>
          <t>VÄSTERBOTTENS LÄN</t>
        </is>
      </c>
      <c r="E1535" t="inlineStr">
        <is>
          <t>UMEÅ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15701-2025</t>
        </is>
      </c>
      <c r="B1536" s="1" t="n">
        <v>45748</v>
      </c>
      <c r="C1536" s="1" t="n">
        <v>45828</v>
      </c>
      <c r="D1536" t="inlineStr">
        <is>
          <t>VÄSTERBOTTENS LÄN</t>
        </is>
      </c>
      <c r="E1536" t="inlineStr">
        <is>
          <t>UMEÅ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15689-2025</t>
        </is>
      </c>
      <c r="B1537" s="1" t="n">
        <v>45748</v>
      </c>
      <c r="C1537" s="1" t="n">
        <v>45828</v>
      </c>
      <c r="D1537" t="inlineStr">
        <is>
          <t>VÄSTERBOTTENS LÄN</t>
        </is>
      </c>
      <c r="E1537" t="inlineStr">
        <is>
          <t>UMEÅ</t>
        </is>
      </c>
      <c r="G1537" t="n">
        <v>16.2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15705-2025</t>
        </is>
      </c>
      <c r="B1538" s="1" t="n">
        <v>45748</v>
      </c>
      <c r="C1538" s="1" t="n">
        <v>45828</v>
      </c>
      <c r="D1538" t="inlineStr">
        <is>
          <t>VÄSTERBOTTENS LÄN</t>
        </is>
      </c>
      <c r="E1538" t="inlineStr">
        <is>
          <t>UMEÅ</t>
        </is>
      </c>
      <c r="G1538" t="n">
        <v>8.9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15664-2025</t>
        </is>
      </c>
      <c r="B1539" s="1" t="n">
        <v>45748</v>
      </c>
      <c r="C1539" s="1" t="n">
        <v>45828</v>
      </c>
      <c r="D1539" t="inlineStr">
        <is>
          <t>VÄSTERBOTTENS LÄN</t>
        </is>
      </c>
      <c r="E1539" t="inlineStr">
        <is>
          <t>UMEÅ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16023-2025</t>
        </is>
      </c>
      <c r="B1540" s="1" t="n">
        <v>45749</v>
      </c>
      <c r="C1540" s="1" t="n">
        <v>45828</v>
      </c>
      <c r="D1540" t="inlineStr">
        <is>
          <t>VÄSTERBOTTENS LÄN</t>
        </is>
      </c>
      <c r="E1540" t="inlineStr">
        <is>
          <t>UMEÅ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15904-2025</t>
        </is>
      </c>
      <c r="B1541" s="1" t="n">
        <v>45749</v>
      </c>
      <c r="C1541" s="1" t="n">
        <v>45828</v>
      </c>
      <c r="D1541" t="inlineStr">
        <is>
          <t>VÄSTERBOTTENS LÄN</t>
        </is>
      </c>
      <c r="E1541" t="inlineStr">
        <is>
          <t>UMEÅ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16021-2025</t>
        </is>
      </c>
      <c r="B1542" s="1" t="n">
        <v>45749</v>
      </c>
      <c r="C1542" s="1" t="n">
        <v>45828</v>
      </c>
      <c r="D1542" t="inlineStr">
        <is>
          <t>VÄSTERBOTTENS LÄN</t>
        </is>
      </c>
      <c r="E1542" t="inlineStr">
        <is>
          <t>UMEÅ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16339-2025</t>
        </is>
      </c>
      <c r="B1543" s="1" t="n">
        <v>45751</v>
      </c>
      <c r="C1543" s="1" t="n">
        <v>45828</v>
      </c>
      <c r="D1543" t="inlineStr">
        <is>
          <t>VÄSTERBOTTENS LÄN</t>
        </is>
      </c>
      <c r="E1543" t="inlineStr">
        <is>
          <t>UMEÅ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16903-2025</t>
        </is>
      </c>
      <c r="B1544" s="1" t="n">
        <v>45755</v>
      </c>
      <c r="C1544" s="1" t="n">
        <v>45828</v>
      </c>
      <c r="D1544" t="inlineStr">
        <is>
          <t>VÄSTERBOTTENS LÄN</t>
        </is>
      </c>
      <c r="E1544" t="inlineStr">
        <is>
          <t>UMEÅ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16945-2025</t>
        </is>
      </c>
      <c r="B1545" s="1" t="n">
        <v>45755</v>
      </c>
      <c r="C1545" s="1" t="n">
        <v>45828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17081-2025</t>
        </is>
      </c>
      <c r="B1546" s="1" t="n">
        <v>45755</v>
      </c>
      <c r="C1546" s="1" t="n">
        <v>45828</v>
      </c>
      <c r="D1546" t="inlineStr">
        <is>
          <t>VÄSTERBOTTENS LÄN</t>
        </is>
      </c>
      <c r="E1546" t="inlineStr">
        <is>
          <t>UMEÅ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16907-2025</t>
        </is>
      </c>
      <c r="B1547" s="1" t="n">
        <v>45755</v>
      </c>
      <c r="C1547" s="1" t="n">
        <v>45828</v>
      </c>
      <c r="D1547" t="inlineStr">
        <is>
          <t>VÄSTERBOTTENS LÄN</t>
        </is>
      </c>
      <c r="E1547" t="inlineStr">
        <is>
          <t>UMEÅ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17344-2025</t>
        </is>
      </c>
      <c r="B1548" s="1" t="n">
        <v>45756</v>
      </c>
      <c r="C1548" s="1" t="n">
        <v>45828</v>
      </c>
      <c r="D1548" t="inlineStr">
        <is>
          <t>VÄSTERBOTTENS LÄN</t>
        </is>
      </c>
      <c r="E1548" t="inlineStr">
        <is>
          <t>UMEÅ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17254-2025</t>
        </is>
      </c>
      <c r="B1549" s="1" t="n">
        <v>45756</v>
      </c>
      <c r="C1549" s="1" t="n">
        <v>45828</v>
      </c>
      <c r="D1549" t="inlineStr">
        <is>
          <t>VÄSTERBOTTENS LÄN</t>
        </is>
      </c>
      <c r="E1549" t="inlineStr">
        <is>
          <t>UMEÅ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17345-2025</t>
        </is>
      </c>
      <c r="B1550" s="1" t="n">
        <v>45756</v>
      </c>
      <c r="C1550" s="1" t="n">
        <v>45828</v>
      </c>
      <c r="D1550" t="inlineStr">
        <is>
          <t>VÄSTERBOTTENS LÄN</t>
        </is>
      </c>
      <c r="E1550" t="inlineStr">
        <is>
          <t>UMEÅ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17493-2025</t>
        </is>
      </c>
      <c r="B1551" s="1" t="n">
        <v>45757</v>
      </c>
      <c r="C1551" s="1" t="n">
        <v>45828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18010-2025</t>
        </is>
      </c>
      <c r="B1552" s="1" t="n">
        <v>45761</v>
      </c>
      <c r="C1552" s="1" t="n">
        <v>45828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18026-2025</t>
        </is>
      </c>
      <c r="B1553" s="1" t="n">
        <v>45761</v>
      </c>
      <c r="C1553" s="1" t="n">
        <v>45828</v>
      </c>
      <c r="D1553" t="inlineStr">
        <is>
          <t>VÄSTERBOTTENS LÄN</t>
        </is>
      </c>
      <c r="E1553" t="inlineStr">
        <is>
          <t>UMEÅ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18108-2025</t>
        </is>
      </c>
      <c r="B1554" s="1" t="n">
        <v>45761</v>
      </c>
      <c r="C1554" s="1" t="n">
        <v>45828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18720-2025</t>
        </is>
      </c>
      <c r="B1555" s="1" t="n">
        <v>45763</v>
      </c>
      <c r="C1555" s="1" t="n">
        <v>45828</v>
      </c>
      <c r="D1555" t="inlineStr">
        <is>
          <t>VÄSTERBOTTENS LÄN</t>
        </is>
      </c>
      <c r="E1555" t="inlineStr">
        <is>
          <t>UMEÅ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18889-2025</t>
        </is>
      </c>
      <c r="B1556" s="1" t="n">
        <v>45764</v>
      </c>
      <c r="C1556" s="1" t="n">
        <v>45828</v>
      </c>
      <c r="D1556" t="inlineStr">
        <is>
          <t>VÄSTERBOTTENS LÄN</t>
        </is>
      </c>
      <c r="E1556" t="inlineStr">
        <is>
          <t>UMEÅ</t>
        </is>
      </c>
      <c r="F1556" t="inlineStr">
        <is>
          <t>Holmen skog AB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19195-2025</t>
        </is>
      </c>
      <c r="B1557" s="1" t="n">
        <v>45769</v>
      </c>
      <c r="C1557" s="1" t="n">
        <v>45828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19219-2025</t>
        </is>
      </c>
      <c r="B1558" s="1" t="n">
        <v>45769</v>
      </c>
      <c r="C1558" s="1" t="n">
        <v>45828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19272-2025</t>
        </is>
      </c>
      <c r="B1559" s="1" t="n">
        <v>45769</v>
      </c>
      <c r="C1559" s="1" t="n">
        <v>45828</v>
      </c>
      <c r="D1559" t="inlineStr">
        <is>
          <t>VÄSTERBOTTENS LÄN</t>
        </is>
      </c>
      <c r="E1559" t="inlineStr">
        <is>
          <t>UMEÅ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19972-2025</t>
        </is>
      </c>
      <c r="B1560" s="1" t="n">
        <v>45771</v>
      </c>
      <c r="C1560" s="1" t="n">
        <v>45828</v>
      </c>
      <c r="D1560" t="inlineStr">
        <is>
          <t>VÄSTERBOTTENS LÄN</t>
        </is>
      </c>
      <c r="E1560" t="inlineStr">
        <is>
          <t>UMEÅ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19831-2025</t>
        </is>
      </c>
      <c r="B1561" s="1" t="n">
        <v>45771</v>
      </c>
      <c r="C1561" s="1" t="n">
        <v>45828</v>
      </c>
      <c r="D1561" t="inlineStr">
        <is>
          <t>VÄSTERBOTTENS LÄN</t>
        </is>
      </c>
      <c r="E1561" t="inlineStr">
        <is>
          <t>UMEÅ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20113-2025</t>
        </is>
      </c>
      <c r="B1562" s="1" t="n">
        <v>45772</v>
      </c>
      <c r="C1562" s="1" t="n">
        <v>45828</v>
      </c>
      <c r="D1562" t="inlineStr">
        <is>
          <t>VÄSTERBOTTENS LÄN</t>
        </is>
      </c>
      <c r="E1562" t="inlineStr">
        <is>
          <t>UMEÅ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20143-2025</t>
        </is>
      </c>
      <c r="B1563" s="1" t="n">
        <v>45772</v>
      </c>
      <c r="C1563" s="1" t="n">
        <v>45828</v>
      </c>
      <c r="D1563" t="inlineStr">
        <is>
          <t>VÄSTERBOTTENS LÄN</t>
        </is>
      </c>
      <c r="E1563" t="inlineStr">
        <is>
          <t>UMEÅ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20142-2025</t>
        </is>
      </c>
      <c r="B1564" s="1" t="n">
        <v>45772</v>
      </c>
      <c r="C1564" s="1" t="n">
        <v>45828</v>
      </c>
      <c r="D1564" t="inlineStr">
        <is>
          <t>VÄSTERBOTTENS LÄN</t>
        </is>
      </c>
      <c r="E1564" t="inlineStr">
        <is>
          <t>UMEÅ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20425-2025</t>
        </is>
      </c>
      <c r="B1565" s="1" t="n">
        <v>45775</v>
      </c>
      <c r="C1565" s="1" t="n">
        <v>45828</v>
      </c>
      <c r="D1565" t="inlineStr">
        <is>
          <t>VÄSTERBOTTENS LÄN</t>
        </is>
      </c>
      <c r="E1565" t="inlineStr">
        <is>
          <t>UMEÅ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20467-2025</t>
        </is>
      </c>
      <c r="B1566" s="1" t="n">
        <v>45775</v>
      </c>
      <c r="C1566" s="1" t="n">
        <v>45828</v>
      </c>
      <c r="D1566" t="inlineStr">
        <is>
          <t>VÄSTERBOTTENS LÄN</t>
        </is>
      </c>
      <c r="E1566" t="inlineStr">
        <is>
          <t>UMEÅ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20981-2025</t>
        </is>
      </c>
      <c r="B1567" s="1" t="n">
        <v>45777</v>
      </c>
      <c r="C1567" s="1" t="n">
        <v>45828</v>
      </c>
      <c r="D1567" t="inlineStr">
        <is>
          <t>VÄSTERBOTTENS LÄN</t>
        </is>
      </c>
      <c r="E1567" t="inlineStr">
        <is>
          <t>UMEÅ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21228-2025</t>
        </is>
      </c>
      <c r="B1568" s="1" t="n">
        <v>45779</v>
      </c>
      <c r="C1568" s="1" t="n">
        <v>45828</v>
      </c>
      <c r="D1568" t="inlineStr">
        <is>
          <t>VÄSTERBOTTENS LÄN</t>
        </is>
      </c>
      <c r="E1568" t="inlineStr">
        <is>
          <t>UMEÅ</t>
        </is>
      </c>
      <c r="F1568" t="inlineStr">
        <is>
          <t>Holmen skog AB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21514-2025</t>
        </is>
      </c>
      <c r="B1569" s="1" t="n">
        <v>45782</v>
      </c>
      <c r="C1569" s="1" t="n">
        <v>45828</v>
      </c>
      <c r="D1569" t="inlineStr">
        <is>
          <t>VÄSTERBOTTENS LÄN</t>
        </is>
      </c>
      <c r="E1569" t="inlineStr">
        <is>
          <t>UMEÅ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21794-2025</t>
        </is>
      </c>
      <c r="B1570" s="1" t="n">
        <v>45783</v>
      </c>
      <c r="C1570" s="1" t="n">
        <v>45828</v>
      </c>
      <c r="D1570" t="inlineStr">
        <is>
          <t>VÄSTERBOTTENS LÄN</t>
        </is>
      </c>
      <c r="E1570" t="inlineStr">
        <is>
          <t>UMEÅ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21800-2025</t>
        </is>
      </c>
      <c r="B1571" s="1" t="n">
        <v>45783</v>
      </c>
      <c r="C1571" s="1" t="n">
        <v>45828</v>
      </c>
      <c r="D1571" t="inlineStr">
        <is>
          <t>VÄSTERBOTTENS LÄN</t>
        </is>
      </c>
      <c r="E1571" t="inlineStr">
        <is>
          <t>UMEÅ</t>
        </is>
      </c>
      <c r="F1571" t="inlineStr">
        <is>
          <t>Kyrkan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21631-2025</t>
        </is>
      </c>
      <c r="B1572" s="1" t="n">
        <v>45783</v>
      </c>
      <c r="C1572" s="1" t="n">
        <v>45828</v>
      </c>
      <c r="D1572" t="inlineStr">
        <is>
          <t>VÄSTERBOTTENS LÄN</t>
        </is>
      </c>
      <c r="E1572" t="inlineStr">
        <is>
          <t>UMEÅ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21795-2025</t>
        </is>
      </c>
      <c r="B1573" s="1" t="n">
        <v>45783</v>
      </c>
      <c r="C1573" s="1" t="n">
        <v>45828</v>
      </c>
      <c r="D1573" t="inlineStr">
        <is>
          <t>VÄSTERBOTTENS LÄN</t>
        </is>
      </c>
      <c r="E1573" t="inlineStr">
        <is>
          <t>UMEÅ</t>
        </is>
      </c>
      <c r="F1573" t="inlineStr">
        <is>
          <t>Kyrkan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21610-2025</t>
        </is>
      </c>
      <c r="B1574" s="1" t="n">
        <v>45783</v>
      </c>
      <c r="C1574" s="1" t="n">
        <v>45828</v>
      </c>
      <c r="D1574" t="inlineStr">
        <is>
          <t>VÄSTERBOTTENS LÄN</t>
        </is>
      </c>
      <c r="E1574" t="inlineStr">
        <is>
          <t>UMEÅ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21608-2025</t>
        </is>
      </c>
      <c r="B1575" s="1" t="n">
        <v>45783</v>
      </c>
      <c r="C1575" s="1" t="n">
        <v>45828</v>
      </c>
      <c r="D1575" t="inlineStr">
        <is>
          <t>VÄSTERBOTTENS LÄN</t>
        </is>
      </c>
      <c r="E1575" t="inlineStr">
        <is>
          <t>UMEÅ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21612-2025</t>
        </is>
      </c>
      <c r="B1576" s="1" t="n">
        <v>45783</v>
      </c>
      <c r="C1576" s="1" t="n">
        <v>45828</v>
      </c>
      <c r="D1576" t="inlineStr">
        <is>
          <t>VÄSTERBOTTENS LÄN</t>
        </is>
      </c>
      <c r="E1576" t="inlineStr">
        <is>
          <t>UMEÅ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22004-2025</t>
        </is>
      </c>
      <c r="B1577" s="1" t="n">
        <v>45784</v>
      </c>
      <c r="C1577" s="1" t="n">
        <v>45828</v>
      </c>
      <c r="D1577" t="inlineStr">
        <is>
          <t>VÄSTERBOTTENS LÄN</t>
        </is>
      </c>
      <c r="E1577" t="inlineStr">
        <is>
          <t>UMEÅ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22007-2025</t>
        </is>
      </c>
      <c r="B1578" s="1" t="n">
        <v>45784</v>
      </c>
      <c r="C1578" s="1" t="n">
        <v>45828</v>
      </c>
      <c r="D1578" t="inlineStr">
        <is>
          <t>VÄSTERBOTTENS LÄN</t>
        </is>
      </c>
      <c r="E1578" t="inlineStr">
        <is>
          <t>UMEÅ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22145-2025</t>
        </is>
      </c>
      <c r="B1579" s="1" t="n">
        <v>45785</v>
      </c>
      <c r="C1579" s="1" t="n">
        <v>45828</v>
      </c>
      <c r="D1579" t="inlineStr">
        <is>
          <t>VÄSTERBOTTENS LÄN</t>
        </is>
      </c>
      <c r="E1579" t="inlineStr">
        <is>
          <t>UMEÅ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22146-2025</t>
        </is>
      </c>
      <c r="B1580" s="1" t="n">
        <v>45785</v>
      </c>
      <c r="C1580" s="1" t="n">
        <v>45828</v>
      </c>
      <c r="D1580" t="inlineStr">
        <is>
          <t>VÄSTERBOTTENS LÄN</t>
        </is>
      </c>
      <c r="E1580" t="inlineStr">
        <is>
          <t>UMEÅ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22159-2025</t>
        </is>
      </c>
      <c r="B1581" s="1" t="n">
        <v>45785</v>
      </c>
      <c r="C1581" s="1" t="n">
        <v>45828</v>
      </c>
      <c r="D1581" t="inlineStr">
        <is>
          <t>VÄSTERBOTTENS LÄN</t>
        </is>
      </c>
      <c r="E1581" t="inlineStr">
        <is>
          <t>UMEÅ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22161-2025</t>
        </is>
      </c>
      <c r="B1582" s="1" t="n">
        <v>45785</v>
      </c>
      <c r="C1582" s="1" t="n">
        <v>45828</v>
      </c>
      <c r="D1582" t="inlineStr">
        <is>
          <t>VÄSTERBOTTENS LÄN</t>
        </is>
      </c>
      <c r="E1582" t="inlineStr">
        <is>
          <t>UMEÅ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22477-2025</t>
        </is>
      </c>
      <c r="B1583" s="1" t="n">
        <v>45786</v>
      </c>
      <c r="C1583" s="1" t="n">
        <v>45828</v>
      </c>
      <c r="D1583" t="inlineStr">
        <is>
          <t>VÄSTERBOTTENS LÄN</t>
        </is>
      </c>
      <c r="E1583" t="inlineStr">
        <is>
          <t>UMEÅ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22657-2025</t>
        </is>
      </c>
      <c r="B1584" s="1" t="n">
        <v>45789</v>
      </c>
      <c r="C1584" s="1" t="n">
        <v>45828</v>
      </c>
      <c r="D1584" t="inlineStr">
        <is>
          <t>VÄSTERBOTTENS LÄN</t>
        </is>
      </c>
      <c r="E1584" t="inlineStr">
        <is>
          <t>UMEÅ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22674-2025</t>
        </is>
      </c>
      <c r="B1585" s="1" t="n">
        <v>45789</v>
      </c>
      <c r="C1585" s="1" t="n">
        <v>45828</v>
      </c>
      <c r="D1585" t="inlineStr">
        <is>
          <t>VÄSTERBOTTENS LÄN</t>
        </is>
      </c>
      <c r="E1585" t="inlineStr">
        <is>
          <t>UMEÅ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22851-2025</t>
        </is>
      </c>
      <c r="B1586" s="1" t="n">
        <v>45790</v>
      </c>
      <c r="C1586" s="1" t="n">
        <v>45828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20.6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22912-2025</t>
        </is>
      </c>
      <c r="B1587" s="1" t="n">
        <v>45790</v>
      </c>
      <c r="C1587" s="1" t="n">
        <v>45828</v>
      </c>
      <c r="D1587" t="inlineStr">
        <is>
          <t>VÄSTERBOTTENS LÄN</t>
        </is>
      </c>
      <c r="E1587" t="inlineStr">
        <is>
          <t>UMEÅ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23271-2025</t>
        </is>
      </c>
      <c r="B1588" s="1" t="n">
        <v>45791</v>
      </c>
      <c r="C1588" s="1" t="n">
        <v>45828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23474-2025</t>
        </is>
      </c>
      <c r="B1589" s="1" t="n">
        <v>45792</v>
      </c>
      <c r="C1589" s="1" t="n">
        <v>45828</v>
      </c>
      <c r="D1589" t="inlineStr">
        <is>
          <t>VÄSTERBOTTENS LÄN</t>
        </is>
      </c>
      <c r="E1589" t="inlineStr">
        <is>
          <t>UMEÅ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23563-2025</t>
        </is>
      </c>
      <c r="B1590" s="1" t="n">
        <v>45792</v>
      </c>
      <c r="C1590" s="1" t="n">
        <v>45828</v>
      </c>
      <c r="D1590" t="inlineStr">
        <is>
          <t>VÄSTERBOTTENS LÄN</t>
        </is>
      </c>
      <c r="E1590" t="inlineStr">
        <is>
          <t>UMEÅ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23472-2025</t>
        </is>
      </c>
      <c r="B1591" s="1" t="n">
        <v>45792</v>
      </c>
      <c r="C1591" s="1" t="n">
        <v>45828</v>
      </c>
      <c r="D1591" t="inlineStr">
        <is>
          <t>VÄSTERBOTTENS LÄN</t>
        </is>
      </c>
      <c r="E1591" t="inlineStr">
        <is>
          <t>UMEÅ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23500-2025</t>
        </is>
      </c>
      <c r="B1592" s="1" t="n">
        <v>45792</v>
      </c>
      <c r="C1592" s="1" t="n">
        <v>45828</v>
      </c>
      <c r="D1592" t="inlineStr">
        <is>
          <t>VÄSTERBOTTENS LÄN</t>
        </is>
      </c>
      <c r="E1592" t="inlineStr">
        <is>
          <t>UMEÅ</t>
        </is>
      </c>
      <c r="F1592" t="inlineStr">
        <is>
          <t>Holmen skog AB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23442-2025</t>
        </is>
      </c>
      <c r="B1593" s="1" t="n">
        <v>45792</v>
      </c>
      <c r="C1593" s="1" t="n">
        <v>45828</v>
      </c>
      <c r="D1593" t="inlineStr">
        <is>
          <t>VÄSTERBOTTENS LÄN</t>
        </is>
      </c>
      <c r="E1593" t="inlineStr">
        <is>
          <t>UMEÅ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24540-2025</t>
        </is>
      </c>
      <c r="B1594" s="1" t="n">
        <v>45798</v>
      </c>
      <c r="C1594" s="1" t="n">
        <v>45828</v>
      </c>
      <c r="D1594" t="inlineStr">
        <is>
          <t>VÄSTERBOTTENS LÄN</t>
        </is>
      </c>
      <c r="E1594" t="inlineStr">
        <is>
          <t>UMEÅ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24595-2025</t>
        </is>
      </c>
      <c r="B1595" s="1" t="n">
        <v>45798</v>
      </c>
      <c r="C1595" s="1" t="n">
        <v>45828</v>
      </c>
      <c r="D1595" t="inlineStr">
        <is>
          <t>VÄSTERBOTTENS LÄN</t>
        </is>
      </c>
      <c r="E1595" t="inlineStr">
        <is>
          <t>UMEÅ</t>
        </is>
      </c>
      <c r="F1595" t="inlineStr">
        <is>
          <t>Holmen skog AB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24780-2025</t>
        </is>
      </c>
      <c r="B1596" s="1" t="n">
        <v>45799</v>
      </c>
      <c r="C1596" s="1" t="n">
        <v>45828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25533-2025</t>
        </is>
      </c>
      <c r="B1597" s="1" t="n">
        <v>45803</v>
      </c>
      <c r="C1597" s="1" t="n">
        <v>45828</v>
      </c>
      <c r="D1597" t="inlineStr">
        <is>
          <t>VÄSTERBOTTENS LÄN</t>
        </is>
      </c>
      <c r="E1597" t="inlineStr">
        <is>
          <t>UMEÅ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25534-2025</t>
        </is>
      </c>
      <c r="B1598" s="1" t="n">
        <v>45803</v>
      </c>
      <c r="C1598" s="1" t="n">
        <v>45828</v>
      </c>
      <c r="D1598" t="inlineStr">
        <is>
          <t>VÄSTERBOTTENS LÄN</t>
        </is>
      </c>
      <c r="E1598" t="inlineStr">
        <is>
          <t>UMEÅ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25683-2025</t>
        </is>
      </c>
      <c r="B1599" s="1" t="n">
        <v>45803</v>
      </c>
      <c r="C1599" s="1" t="n">
        <v>45828</v>
      </c>
      <c r="D1599" t="inlineStr">
        <is>
          <t>VÄSTERBOTTENS LÄN</t>
        </is>
      </c>
      <c r="E1599" t="inlineStr">
        <is>
          <t>UMEÅ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25689-2025</t>
        </is>
      </c>
      <c r="B1600" s="1" t="n">
        <v>45803</v>
      </c>
      <c r="C1600" s="1" t="n">
        <v>45828</v>
      </c>
      <c r="D1600" t="inlineStr">
        <is>
          <t>VÄSTERBOTTENS LÄN</t>
        </is>
      </c>
      <c r="E1600" t="inlineStr">
        <is>
          <t>UMEÅ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25690-2025</t>
        </is>
      </c>
      <c r="B1601" s="1" t="n">
        <v>45803</v>
      </c>
      <c r="C1601" s="1" t="n">
        <v>45828</v>
      </c>
      <c r="D1601" t="inlineStr">
        <is>
          <t>VÄSTERBOTTENS LÄN</t>
        </is>
      </c>
      <c r="E1601" t="inlineStr">
        <is>
          <t>UMEÅ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25691-2025</t>
        </is>
      </c>
      <c r="B1602" s="1" t="n">
        <v>45803</v>
      </c>
      <c r="C1602" s="1" t="n">
        <v>45828</v>
      </c>
      <c r="D1602" t="inlineStr">
        <is>
          <t>VÄSTERBOTTENS LÄN</t>
        </is>
      </c>
      <c r="E1602" t="inlineStr">
        <is>
          <t>UMEÅ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25699-2025</t>
        </is>
      </c>
      <c r="B1603" s="1" t="n">
        <v>45803</v>
      </c>
      <c r="C1603" s="1" t="n">
        <v>45828</v>
      </c>
      <c r="D1603" t="inlineStr">
        <is>
          <t>VÄSTERBOTTENS LÄN</t>
        </is>
      </c>
      <c r="E1603" t="inlineStr">
        <is>
          <t>UMEÅ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25838-2025</t>
        </is>
      </c>
      <c r="B1604" s="1" t="n">
        <v>45804</v>
      </c>
      <c r="C1604" s="1" t="n">
        <v>45828</v>
      </c>
      <c r="D1604" t="inlineStr">
        <is>
          <t>VÄSTERBOTTENS LÄN</t>
        </is>
      </c>
      <c r="E1604" t="inlineStr">
        <is>
          <t>UMEÅ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25762-2025</t>
        </is>
      </c>
      <c r="B1605" s="1" t="n">
        <v>45804</v>
      </c>
      <c r="C1605" s="1" t="n">
        <v>45828</v>
      </c>
      <c r="D1605" t="inlineStr">
        <is>
          <t>VÄSTERBOTTENS LÄN</t>
        </is>
      </c>
      <c r="E1605" t="inlineStr">
        <is>
          <t>UMEÅ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26183-2025</t>
        </is>
      </c>
      <c r="B1606" s="1" t="n">
        <v>45805</v>
      </c>
      <c r="C1606" s="1" t="n">
        <v>45828</v>
      </c>
      <c r="D1606" t="inlineStr">
        <is>
          <t>VÄSTERBOTTENS LÄN</t>
        </is>
      </c>
      <c r="E1606" t="inlineStr">
        <is>
          <t>UMEÅ</t>
        </is>
      </c>
      <c r="F1606" t="inlineStr">
        <is>
          <t>Holmen skog AB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26310-2025</t>
        </is>
      </c>
      <c r="B1607" s="1" t="n">
        <v>45805</v>
      </c>
      <c r="C1607" s="1" t="n">
        <v>45828</v>
      </c>
      <c r="D1607" t="inlineStr">
        <is>
          <t>VÄSTERBOTTENS LÄN</t>
        </is>
      </c>
      <c r="E1607" t="inlineStr">
        <is>
          <t>UMEÅ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26930-2025</t>
        </is>
      </c>
      <c r="B1608" s="1" t="n">
        <v>45811</v>
      </c>
      <c r="C1608" s="1" t="n">
        <v>45828</v>
      </c>
      <c r="D1608" t="inlineStr">
        <is>
          <t>VÄSTERBOTTENS LÄN</t>
        </is>
      </c>
      <c r="E1608" t="inlineStr">
        <is>
          <t>UMEÅ</t>
        </is>
      </c>
      <c r="F1608" t="inlineStr">
        <is>
          <t>Sveaskog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27172-2025</t>
        </is>
      </c>
      <c r="B1609" s="1" t="n">
        <v>45812</v>
      </c>
      <c r="C1609" s="1" t="n">
        <v>45828</v>
      </c>
      <c r="D1609" t="inlineStr">
        <is>
          <t>VÄSTERBOTTENS LÄN</t>
        </is>
      </c>
      <c r="E1609" t="inlineStr">
        <is>
          <t>UMEÅ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27173-2025</t>
        </is>
      </c>
      <c r="B1610" s="1" t="n">
        <v>45812</v>
      </c>
      <c r="C1610" s="1" t="n">
        <v>45828</v>
      </c>
      <c r="D1610" t="inlineStr">
        <is>
          <t>VÄSTERBOTTENS LÄN</t>
        </is>
      </c>
      <c r="E1610" t="inlineStr">
        <is>
          <t>UMEÅ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27246-2025</t>
        </is>
      </c>
      <c r="B1611" s="1" t="n">
        <v>45812</v>
      </c>
      <c r="C1611" s="1" t="n">
        <v>45828</v>
      </c>
      <c r="D1611" t="inlineStr">
        <is>
          <t>VÄSTERBOTTENS LÄN</t>
        </is>
      </c>
      <c r="E1611" t="inlineStr">
        <is>
          <t>UMEÅ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27681-2025</t>
        </is>
      </c>
      <c r="B1612" s="1" t="n">
        <v>45813</v>
      </c>
      <c r="C1612" s="1" t="n">
        <v>45828</v>
      </c>
      <c r="D1612" t="inlineStr">
        <is>
          <t>VÄSTERBOTTENS LÄN</t>
        </is>
      </c>
      <c r="E1612" t="inlineStr">
        <is>
          <t>UMEÅ</t>
        </is>
      </c>
      <c r="G1612" t="n">
        <v>6.9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27689-2025</t>
        </is>
      </c>
      <c r="B1613" s="1" t="n">
        <v>45813</v>
      </c>
      <c r="C1613" s="1" t="n">
        <v>45828</v>
      </c>
      <c r="D1613" t="inlineStr">
        <is>
          <t>VÄSTERBOTTENS LÄN</t>
        </is>
      </c>
      <c r="E1613" t="inlineStr">
        <is>
          <t>UMEÅ</t>
        </is>
      </c>
      <c r="F1613" t="inlineStr">
        <is>
          <t>Holmen skog AB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28436-2025</t>
        </is>
      </c>
      <c r="B1614" s="1" t="n">
        <v>45819</v>
      </c>
      <c r="C1614" s="1" t="n">
        <v>45828</v>
      </c>
      <c r="D1614" t="inlineStr">
        <is>
          <t>VÄSTERBOTTENS LÄN</t>
        </is>
      </c>
      <c r="E1614" t="inlineStr">
        <is>
          <t>UMEÅ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28836-2025</t>
        </is>
      </c>
      <c r="B1615" s="1" t="n">
        <v>45820</v>
      </c>
      <c r="C1615" s="1" t="n">
        <v>45828</v>
      </c>
      <c r="D1615" t="inlineStr">
        <is>
          <t>VÄSTERBOTTENS LÄN</t>
        </is>
      </c>
      <c r="E1615" t="inlineStr">
        <is>
          <t>UMEÅ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28832-2025</t>
        </is>
      </c>
      <c r="B1616" s="1" t="n">
        <v>45820</v>
      </c>
      <c r="C1616" s="1" t="n">
        <v>45828</v>
      </c>
      <c r="D1616" t="inlineStr">
        <is>
          <t>VÄSTERBOTTENS LÄN</t>
        </is>
      </c>
      <c r="E1616" t="inlineStr">
        <is>
          <t>UMEÅ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28827-2025</t>
        </is>
      </c>
      <c r="B1617" s="1" t="n">
        <v>45820</v>
      </c>
      <c r="C1617" s="1" t="n">
        <v>45828</v>
      </c>
      <c r="D1617" t="inlineStr">
        <is>
          <t>VÄSTERBOTTENS LÄN</t>
        </is>
      </c>
      <c r="E1617" t="inlineStr">
        <is>
          <t>UMEÅ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29096-2025</t>
        </is>
      </c>
      <c r="B1618" s="1" t="n">
        <v>45821</v>
      </c>
      <c r="C1618" s="1" t="n">
        <v>45828</v>
      </c>
      <c r="D1618" t="inlineStr">
        <is>
          <t>VÄSTERBOTTENS LÄN</t>
        </is>
      </c>
      <c r="E1618" t="inlineStr">
        <is>
          <t>UMEÅ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29352-2025</t>
        </is>
      </c>
      <c r="B1619" s="1" t="n">
        <v>45824</v>
      </c>
      <c r="C1619" s="1" t="n">
        <v>45828</v>
      </c>
      <c r="D1619" t="inlineStr">
        <is>
          <t>VÄSTERBOTTENS LÄN</t>
        </is>
      </c>
      <c r="E1619" t="inlineStr">
        <is>
          <t>UMEÅ</t>
        </is>
      </c>
      <c r="F1619" t="inlineStr">
        <is>
          <t>Holmen skog AB</t>
        </is>
      </c>
      <c r="G1619" t="n">
        <v>10.8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29327-2025</t>
        </is>
      </c>
      <c r="B1620" s="1" t="n">
        <v>45824</v>
      </c>
      <c r="C1620" s="1" t="n">
        <v>45828</v>
      </c>
      <c r="D1620" t="inlineStr">
        <is>
          <t>VÄSTERBOTTENS LÄN</t>
        </is>
      </c>
      <c r="E1620" t="inlineStr">
        <is>
          <t>UMEÅ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29219-2025</t>
        </is>
      </c>
      <c r="B1621" s="1" t="n">
        <v>45824</v>
      </c>
      <c r="C1621" s="1" t="n">
        <v>45828</v>
      </c>
      <c r="D1621" t="inlineStr">
        <is>
          <t>VÄSTERBOTTENS LÄN</t>
        </is>
      </c>
      <c r="E1621" t="inlineStr">
        <is>
          <t>UMEÅ</t>
        </is>
      </c>
      <c r="F1621" t="inlineStr">
        <is>
          <t>Holmen skog AB</t>
        </is>
      </c>
      <c r="G1621" t="n">
        <v>12.1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29283-2025</t>
        </is>
      </c>
      <c r="B1622" s="1" t="n">
        <v>45824</v>
      </c>
      <c r="C1622" s="1" t="n">
        <v>45828</v>
      </c>
      <c r="D1622" t="inlineStr">
        <is>
          <t>VÄSTERBOTTENS LÄN</t>
        </is>
      </c>
      <c r="E1622" t="inlineStr">
        <is>
          <t>UMEÅ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29344-2025</t>
        </is>
      </c>
      <c r="B1623" s="1" t="n">
        <v>45824</v>
      </c>
      <c r="C1623" s="1" t="n">
        <v>45828</v>
      </c>
      <c r="D1623" t="inlineStr">
        <is>
          <t>VÄSTERBOTTENS LÄN</t>
        </is>
      </c>
      <c r="E1623" t="inlineStr">
        <is>
          <t>UMEÅ</t>
        </is>
      </c>
      <c r="G1623" t="n">
        <v>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29330-2025</t>
        </is>
      </c>
      <c r="B1624" s="1" t="n">
        <v>45824</v>
      </c>
      <c r="C1624" s="1" t="n">
        <v>45828</v>
      </c>
      <c r="D1624" t="inlineStr">
        <is>
          <t>VÄSTERBOTTENS LÄN</t>
        </is>
      </c>
      <c r="E1624" t="inlineStr">
        <is>
          <t>UMEÅ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29704-2025</t>
        </is>
      </c>
      <c r="B1625" s="1" t="n">
        <v>45825</v>
      </c>
      <c r="C1625" s="1" t="n">
        <v>45828</v>
      </c>
      <c r="D1625" t="inlineStr">
        <is>
          <t>VÄSTERBOTTENS LÄN</t>
        </is>
      </c>
      <c r="E1625" t="inlineStr">
        <is>
          <t>UMEÅ</t>
        </is>
      </c>
      <c r="F1625" t="inlineStr">
        <is>
          <t>Holmen skog AB</t>
        </is>
      </c>
      <c r="G1625" t="n">
        <v>35.1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29774-2025</t>
        </is>
      </c>
      <c r="B1626" s="1" t="n">
        <v>45825</v>
      </c>
      <c r="C1626" s="1" t="n">
        <v>45828</v>
      </c>
      <c r="D1626" t="inlineStr">
        <is>
          <t>VÄSTERBOTTENS LÄN</t>
        </is>
      </c>
      <c r="E1626" t="inlineStr">
        <is>
          <t>UMEÅ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29583-2025</t>
        </is>
      </c>
      <c r="B1627" s="1" t="n">
        <v>45825</v>
      </c>
      <c r="C1627" s="1" t="n">
        <v>45828</v>
      </c>
      <c r="D1627" t="inlineStr">
        <is>
          <t>VÄSTERBOTTENS LÄN</t>
        </is>
      </c>
      <c r="E1627" t="inlineStr">
        <is>
          <t>UMEÅ</t>
        </is>
      </c>
      <c r="F1627" t="inlineStr">
        <is>
          <t>Holmen skog AB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29502-2025</t>
        </is>
      </c>
      <c r="B1628" s="1" t="n">
        <v>45825</v>
      </c>
      <c r="C1628" s="1" t="n">
        <v>45828</v>
      </c>
      <c r="D1628" t="inlineStr">
        <is>
          <t>VÄSTERBOTTENS LÄN</t>
        </is>
      </c>
      <c r="E1628" t="inlineStr">
        <is>
          <t>UMEÅ</t>
        </is>
      </c>
      <c r="F1628" t="inlineStr">
        <is>
          <t>Holmen skog AB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29925-2025</t>
        </is>
      </c>
      <c r="B1629" s="1" t="n">
        <v>45826</v>
      </c>
      <c r="C1629" s="1" t="n">
        <v>45828</v>
      </c>
      <c r="D1629" t="inlineStr">
        <is>
          <t>VÄSTERBOTTENS LÄN</t>
        </is>
      </c>
      <c r="E1629" t="inlineStr">
        <is>
          <t>UMEÅ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30053-2025</t>
        </is>
      </c>
      <c r="B1630" s="1" t="n">
        <v>45826</v>
      </c>
      <c r="C1630" s="1" t="n">
        <v>45828</v>
      </c>
      <c r="D1630" t="inlineStr">
        <is>
          <t>VÄSTERBOTTENS LÄN</t>
        </is>
      </c>
      <c r="E1630" t="inlineStr">
        <is>
          <t>UMEÅ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29932-2025</t>
        </is>
      </c>
      <c r="B1631" s="1" t="n">
        <v>45826</v>
      </c>
      <c r="C1631" s="1" t="n">
        <v>45828</v>
      </c>
      <c r="D1631" t="inlineStr">
        <is>
          <t>VÄSTERBOTTENS LÄN</t>
        </is>
      </c>
      <c r="E1631" t="inlineStr">
        <is>
          <t>UMEÅ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30215-2025</t>
        </is>
      </c>
      <c r="B1632" s="1" t="n">
        <v>45827</v>
      </c>
      <c r="C1632" s="1" t="n">
        <v>45828</v>
      </c>
      <c r="D1632" t="inlineStr">
        <is>
          <t>VÄSTERBOTTENS LÄN</t>
        </is>
      </c>
      <c r="E1632" t="inlineStr">
        <is>
          <t>UMEÅ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>
      <c r="A1633" t="inlineStr">
        <is>
          <t>A 30263-2025</t>
        </is>
      </c>
      <c r="B1633" s="1" t="n">
        <v>45827</v>
      </c>
      <c r="C1633" s="1" t="n">
        <v>45828</v>
      </c>
      <c r="D1633" t="inlineStr">
        <is>
          <t>VÄSTERBOTTENS LÄN</t>
        </is>
      </c>
      <c r="E1633" t="inlineStr">
        <is>
          <t>UMEÅ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2025-06-20T19:22:30Z</dcterms:created>
  <dcterms:modified xmlns:dcterms="http://purl.org/dc/terms/" xmlns:xsi="http://www.w3.org/2001/XMLSchema-instance" xsi:type="dcterms:W3CDTF">2025-06-20T19:22:31Z</dcterms:modified>
</cp:coreProperties>
</file>