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45643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45643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45643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45643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45643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45643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45643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21628-2021</t>
        </is>
      </c>
      <c r="B47" s="1" t="n">
        <v>44322</v>
      </c>
      <c r="C47" s="1" t="n">
        <v>45643</v>
      </c>
      <c r="D47" t="inlineStr">
        <is>
          <t>VÄSTERBOTTENS LÄN</t>
        </is>
      </c>
      <c r="E47" t="inlineStr">
        <is>
          <t>UMEÅ</t>
        </is>
      </c>
      <c r="G47" t="n">
        <v>4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Revlummer</t>
        </is>
      </c>
      <c r="S47">
        <f>HYPERLINK("https://klasma.github.io/Logging_2480/artfynd/A 21628-2021 artfynd.xlsx", "A 21628-2021")</f>
        <v/>
      </c>
      <c r="T47">
        <f>HYPERLINK("https://klasma.github.io/Logging_2480/kartor/A 21628-2021 karta.png", "A 21628-2021")</f>
        <v/>
      </c>
      <c r="V47">
        <f>HYPERLINK("https://klasma.github.io/Logging_2480/klagomål/A 21628-2021 FSC-klagomål.docx", "A 21628-2021")</f>
        <v/>
      </c>
      <c r="W47">
        <f>HYPERLINK("https://klasma.github.io/Logging_2480/klagomålsmail/A 21628-2021 FSC-klagomål mail.docx", "A 21628-2021")</f>
        <v/>
      </c>
      <c r="X47">
        <f>HYPERLINK("https://klasma.github.io/Logging_2480/tillsyn/A 21628-2021 tillsynsbegäran.docx", "A 21628-2021")</f>
        <v/>
      </c>
      <c r="Y47">
        <f>HYPERLINK("https://klasma.github.io/Logging_2480/tillsynsmail/A 21628-2021 tillsynsbegäran mail.docx", "A 21628-2021")</f>
        <v/>
      </c>
      <c r="Z47">
        <f>HYPERLINK("https://klasma.github.io/Logging_2480/fåglar/A 21628-2021 prioriterade fågelarter.docx", "A 21628-2021")</f>
        <v/>
      </c>
    </row>
    <row r="48" ht="15" customHeight="1">
      <c r="A48" t="inlineStr">
        <is>
          <t>A 38686-2021</t>
        </is>
      </c>
      <c r="B48" s="1" t="n">
        <v>44407</v>
      </c>
      <c r="C48" s="1" t="n">
        <v>45643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1.1</v>
      </c>
      <c r="H48" t="n">
        <v>3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Björktrast
Gullgröppa
Skogsödla
Vanlig padda</t>
        </is>
      </c>
      <c r="S48">
        <f>HYPERLINK("https://klasma.github.io/Logging_2480/artfynd/A 38686-2021 artfynd.xlsx", "A 38686-2021")</f>
        <v/>
      </c>
      <c r="T48">
        <f>HYPERLINK("https://klasma.github.io/Logging_2480/kartor/A 38686-2021 karta.png", "A 38686-2021")</f>
        <v/>
      </c>
      <c r="V48">
        <f>HYPERLINK("https://klasma.github.io/Logging_2480/klagomål/A 38686-2021 FSC-klagomål.docx", "A 38686-2021")</f>
        <v/>
      </c>
      <c r="W48">
        <f>HYPERLINK("https://klasma.github.io/Logging_2480/klagomålsmail/A 38686-2021 FSC-klagomål mail.docx", "A 38686-2021")</f>
        <v/>
      </c>
      <c r="X48">
        <f>HYPERLINK("https://klasma.github.io/Logging_2480/tillsyn/A 38686-2021 tillsynsbegäran.docx", "A 38686-2021")</f>
        <v/>
      </c>
      <c r="Y48">
        <f>HYPERLINK("https://klasma.github.io/Logging_2480/tillsynsmail/A 38686-2021 tillsynsbegäran mail.docx", "A 38686-2021")</f>
        <v/>
      </c>
      <c r="Z48">
        <f>HYPERLINK("https://klasma.github.io/Logging_2480/fåglar/A 38686-2021 prioriterade fågelarter.docx", "A 38686-2021")</f>
        <v/>
      </c>
    </row>
    <row r="49" ht="15" customHeight="1">
      <c r="A49" t="inlineStr">
        <is>
          <t>A 38688-2021</t>
        </is>
      </c>
      <c r="B49" s="1" t="n">
        <v>44407</v>
      </c>
      <c r="C49" s="1" t="n">
        <v>45643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1.6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Älvstarr
Köseven
Strutbräken
Blåsippa</t>
        </is>
      </c>
      <c r="S49">
        <f>HYPERLINK("https://klasma.github.io/Logging_2480/artfynd/A 38688-2021 artfynd.xlsx", "A 38688-2021")</f>
        <v/>
      </c>
      <c r="T49">
        <f>HYPERLINK("https://klasma.github.io/Logging_2480/kartor/A 38688-2021 karta.png", "A 38688-2021")</f>
        <v/>
      </c>
      <c r="V49">
        <f>HYPERLINK("https://klasma.github.io/Logging_2480/klagomål/A 38688-2021 FSC-klagomål.docx", "A 38688-2021")</f>
        <v/>
      </c>
      <c r="W49">
        <f>HYPERLINK("https://klasma.github.io/Logging_2480/klagomålsmail/A 38688-2021 FSC-klagomål mail.docx", "A 38688-2021")</f>
        <v/>
      </c>
      <c r="X49">
        <f>HYPERLINK("https://klasma.github.io/Logging_2480/tillsyn/A 38688-2021 tillsynsbegäran.docx", "A 38688-2021")</f>
        <v/>
      </c>
      <c r="Y49">
        <f>HYPERLINK("https://klasma.github.io/Logging_2480/tillsynsmail/A 38688-2021 tillsynsbegäran mail.docx", "A 38688-2021")</f>
        <v/>
      </c>
    </row>
    <row r="50" ht="15" customHeight="1">
      <c r="A50" t="inlineStr">
        <is>
          <t>A 16206-2022</t>
        </is>
      </c>
      <c r="B50" s="1" t="n">
        <v>44670</v>
      </c>
      <c r="C50" s="1" t="n">
        <v>45643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4.2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Spillkråka
Ullticka
Vedticka</t>
        </is>
      </c>
      <c r="S50">
        <f>HYPERLINK("https://klasma.github.io/Logging_2480/artfynd/A 16206-2022 artfynd.xlsx", "A 16206-2022")</f>
        <v/>
      </c>
      <c r="T50">
        <f>HYPERLINK("https://klasma.github.io/Logging_2480/kartor/A 16206-2022 karta.png", "A 16206-2022")</f>
        <v/>
      </c>
      <c r="V50">
        <f>HYPERLINK("https://klasma.github.io/Logging_2480/klagomål/A 16206-2022 FSC-klagomål.docx", "A 16206-2022")</f>
        <v/>
      </c>
      <c r="W50">
        <f>HYPERLINK("https://klasma.github.io/Logging_2480/klagomålsmail/A 16206-2022 FSC-klagomål mail.docx", "A 16206-2022")</f>
        <v/>
      </c>
      <c r="X50">
        <f>HYPERLINK("https://klasma.github.io/Logging_2480/tillsyn/A 16206-2022 tillsynsbegäran.docx", "A 16206-2022")</f>
        <v/>
      </c>
      <c r="Y50">
        <f>HYPERLINK("https://klasma.github.io/Logging_2480/tillsynsmail/A 16206-2022 tillsynsbegäran mail.docx", "A 16206-2022")</f>
        <v/>
      </c>
      <c r="Z50">
        <f>HYPERLINK("https://klasma.github.io/Logging_2480/fåglar/A 16206-2022 prioriterade fågelarter.docx", "A 16206-2022")</f>
        <v/>
      </c>
    </row>
    <row r="51" ht="15" customHeight="1">
      <c r="A51" t="inlineStr">
        <is>
          <t>A 33008-2022</t>
        </is>
      </c>
      <c r="B51" s="1" t="n">
        <v>44785</v>
      </c>
      <c r="C51" s="1" t="n">
        <v>45643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1.6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Leptoporus mollis
Spillkråka
Trådticka
Vedticka</t>
        </is>
      </c>
      <c r="S51">
        <f>HYPERLINK("https://klasma.github.io/Logging_2480/artfynd/A 33008-2022 artfynd.xlsx", "A 33008-2022")</f>
        <v/>
      </c>
      <c r="T51">
        <f>HYPERLINK("https://klasma.github.io/Logging_2480/kartor/A 33008-2022 karta.png", "A 33008-2022")</f>
        <v/>
      </c>
      <c r="V51">
        <f>HYPERLINK("https://klasma.github.io/Logging_2480/klagomål/A 33008-2022 FSC-klagomål.docx", "A 33008-2022")</f>
        <v/>
      </c>
      <c r="W51">
        <f>HYPERLINK("https://klasma.github.io/Logging_2480/klagomålsmail/A 33008-2022 FSC-klagomål mail.docx", "A 33008-2022")</f>
        <v/>
      </c>
      <c r="X51">
        <f>HYPERLINK("https://klasma.github.io/Logging_2480/tillsyn/A 33008-2022 tillsynsbegäran.docx", "A 33008-2022")</f>
        <v/>
      </c>
      <c r="Y51">
        <f>HYPERLINK("https://klasma.github.io/Logging_2480/tillsynsmail/A 33008-2022 tillsynsbegäran mail.docx", "A 33008-2022")</f>
        <v/>
      </c>
      <c r="Z51">
        <f>HYPERLINK("https://klasma.github.io/Logging_2480/fåglar/A 33008-2022 prioriterade fågelarter.docx", "A 33008-2022")</f>
        <v/>
      </c>
    </row>
    <row r="52" ht="15" customHeight="1">
      <c r="A52" t="inlineStr">
        <is>
          <t>A 61036-2022</t>
        </is>
      </c>
      <c r="B52" s="1" t="n">
        <v>44914</v>
      </c>
      <c r="C52" s="1" t="n">
        <v>45643</v>
      </c>
      <c r="D52" t="inlineStr">
        <is>
          <t>VÄSTERBOTTENS LÄN</t>
        </is>
      </c>
      <c r="E52" t="inlineStr">
        <is>
          <t>UMEÅ</t>
        </is>
      </c>
      <c r="G52" t="n">
        <v>6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Granticka
Järpe
Vedticka</t>
        </is>
      </c>
      <c r="S52">
        <f>HYPERLINK("https://klasma.github.io/Logging_2480/artfynd/A 61036-2022 artfynd.xlsx", "A 61036-2022")</f>
        <v/>
      </c>
      <c r="T52">
        <f>HYPERLINK("https://klasma.github.io/Logging_2480/kartor/A 61036-2022 karta.png", "A 61036-2022")</f>
        <v/>
      </c>
      <c r="V52">
        <f>HYPERLINK("https://klasma.github.io/Logging_2480/klagomål/A 61036-2022 FSC-klagomål.docx", "A 61036-2022")</f>
        <v/>
      </c>
      <c r="W52">
        <f>HYPERLINK("https://klasma.github.io/Logging_2480/klagomålsmail/A 61036-2022 FSC-klagomål mail.docx", "A 61036-2022")</f>
        <v/>
      </c>
      <c r="X52">
        <f>HYPERLINK("https://klasma.github.io/Logging_2480/tillsyn/A 61036-2022 tillsynsbegäran.docx", "A 61036-2022")</f>
        <v/>
      </c>
      <c r="Y52">
        <f>HYPERLINK("https://klasma.github.io/Logging_2480/tillsynsmail/A 61036-2022 tillsynsbegäran mail.docx", "A 61036-2022")</f>
        <v/>
      </c>
      <c r="Z52">
        <f>HYPERLINK("https://klasma.github.io/Logging_2480/fåglar/A 61036-2022 prioriterade fågelarter.docx", "A 61036-2022")</f>
        <v/>
      </c>
    </row>
    <row r="53" ht="15" customHeight="1">
      <c r="A53" t="inlineStr">
        <is>
          <t>A 684-2023</t>
        </is>
      </c>
      <c r="B53" s="1" t="n">
        <v>44925</v>
      </c>
      <c r="C53" s="1" t="n">
        <v>45643</v>
      </c>
      <c r="D53" t="inlineStr">
        <is>
          <t>VÄSTERBOTTENS LÄN</t>
        </is>
      </c>
      <c r="E53" t="inlineStr">
        <is>
          <t>UMEÅ</t>
        </is>
      </c>
      <c r="G53" t="n">
        <v>22.6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Spillkråka
Talltita
Tretåig hackspett</t>
        </is>
      </c>
      <c r="S53">
        <f>HYPERLINK("https://klasma.github.io/Logging_2480/artfynd/A 684-2023 artfynd.xlsx", "A 684-2023")</f>
        <v/>
      </c>
      <c r="T53">
        <f>HYPERLINK("https://klasma.github.io/Logging_2480/kartor/A 684-2023 karta.png", "A 684-2023")</f>
        <v/>
      </c>
      <c r="V53">
        <f>HYPERLINK("https://klasma.github.io/Logging_2480/klagomål/A 684-2023 FSC-klagomål.docx", "A 684-2023")</f>
        <v/>
      </c>
      <c r="W53">
        <f>HYPERLINK("https://klasma.github.io/Logging_2480/klagomålsmail/A 684-2023 FSC-klagomål mail.docx", "A 684-2023")</f>
        <v/>
      </c>
      <c r="X53">
        <f>HYPERLINK("https://klasma.github.io/Logging_2480/tillsyn/A 684-2023 tillsynsbegäran.docx", "A 684-2023")</f>
        <v/>
      </c>
      <c r="Y53">
        <f>HYPERLINK("https://klasma.github.io/Logging_2480/tillsynsmail/A 684-2023 tillsynsbegäran mail.docx", "A 684-2023")</f>
        <v/>
      </c>
      <c r="Z53">
        <f>HYPERLINK("https://klasma.github.io/Logging_2480/fåglar/A 684-2023 prioriterade fågelarter.docx", "A 684-2023")</f>
        <v/>
      </c>
    </row>
    <row r="54" ht="15" customHeight="1">
      <c r="A54" t="inlineStr">
        <is>
          <t>A 45691-2023</t>
        </is>
      </c>
      <c r="B54" s="1" t="n">
        <v>45195</v>
      </c>
      <c r="C54" s="1" t="n">
        <v>45643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5.1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Tretåig hackspett
Vaddporing
Stuplav</t>
        </is>
      </c>
      <c r="S54">
        <f>HYPERLINK("https://klasma.github.io/Logging_2480/artfynd/A 45691-2023 artfynd.xlsx", "A 45691-2023")</f>
        <v/>
      </c>
      <c r="T54">
        <f>HYPERLINK("https://klasma.github.io/Logging_2480/kartor/A 45691-2023 karta.png", "A 45691-2023")</f>
        <v/>
      </c>
      <c r="V54">
        <f>HYPERLINK("https://klasma.github.io/Logging_2480/klagomål/A 45691-2023 FSC-klagomål.docx", "A 45691-2023")</f>
        <v/>
      </c>
      <c r="W54">
        <f>HYPERLINK("https://klasma.github.io/Logging_2480/klagomålsmail/A 45691-2023 FSC-klagomål mail.docx", "A 45691-2023")</f>
        <v/>
      </c>
      <c r="X54">
        <f>HYPERLINK("https://klasma.github.io/Logging_2480/tillsyn/A 45691-2023 tillsynsbegäran.docx", "A 45691-2023")</f>
        <v/>
      </c>
      <c r="Y54">
        <f>HYPERLINK("https://klasma.github.io/Logging_2480/tillsynsmail/A 45691-2023 tillsynsbegäran mail.docx", "A 45691-2023")</f>
        <v/>
      </c>
      <c r="Z54">
        <f>HYPERLINK("https://klasma.github.io/Logging_2480/fåglar/A 45691-2023 prioriterade fågelarter.docx", "A 45691-2023")</f>
        <v/>
      </c>
    </row>
    <row r="55" ht="15" customHeight="1">
      <c r="A55" t="inlineStr">
        <is>
          <t>A 49026-2023</t>
        </is>
      </c>
      <c r="B55" s="1" t="n">
        <v>45209</v>
      </c>
      <c r="C55" s="1" t="n">
        <v>45643</v>
      </c>
      <c r="D55" t="inlineStr">
        <is>
          <t>VÄSTERBOTTENS LÄN</t>
        </is>
      </c>
      <c r="E55" t="inlineStr">
        <is>
          <t>UMEÅ</t>
        </is>
      </c>
      <c r="G55" t="n">
        <v>3.7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Granticka
Spillkråka
Talltita
Ullticka</t>
        </is>
      </c>
      <c r="S55">
        <f>HYPERLINK("https://klasma.github.io/Logging_2480/artfynd/A 49026-2023 artfynd.xlsx", "A 49026-2023")</f>
        <v/>
      </c>
      <c r="T55">
        <f>HYPERLINK("https://klasma.github.io/Logging_2480/kartor/A 49026-2023 karta.png", "A 49026-2023")</f>
        <v/>
      </c>
      <c r="V55">
        <f>HYPERLINK("https://klasma.github.io/Logging_2480/klagomål/A 49026-2023 FSC-klagomål.docx", "A 49026-2023")</f>
        <v/>
      </c>
      <c r="W55">
        <f>HYPERLINK("https://klasma.github.io/Logging_2480/klagomålsmail/A 49026-2023 FSC-klagomål mail.docx", "A 49026-2023")</f>
        <v/>
      </c>
      <c r="X55">
        <f>HYPERLINK("https://klasma.github.io/Logging_2480/tillsyn/A 49026-2023 tillsynsbegäran.docx", "A 49026-2023")</f>
        <v/>
      </c>
      <c r="Y55">
        <f>HYPERLINK("https://klasma.github.io/Logging_2480/tillsynsmail/A 49026-2023 tillsynsbegäran mail.docx", "A 49026-2023")</f>
        <v/>
      </c>
      <c r="Z55">
        <f>HYPERLINK("https://klasma.github.io/Logging_2480/fåglar/A 49026-2023 prioriterade fågelarter.docx", "A 49026-2023")</f>
        <v/>
      </c>
    </row>
    <row r="56" ht="15" customHeight="1">
      <c r="A56" t="inlineStr">
        <is>
          <t>A 4458-2024</t>
        </is>
      </c>
      <c r="B56" s="1" t="n">
        <v>45324</v>
      </c>
      <c r="C56" s="1" t="n">
        <v>45643</v>
      </c>
      <c r="D56" t="inlineStr">
        <is>
          <t>VÄSTERBOTTENS LÄN</t>
        </is>
      </c>
      <c r="E56" t="inlineStr">
        <is>
          <t>UMEÅ</t>
        </is>
      </c>
      <c r="G56" t="n">
        <v>16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Spillkråka
Vedticka</t>
        </is>
      </c>
      <c r="S56">
        <f>HYPERLINK("https://klasma.github.io/Logging_2480/artfynd/A 4458-2024 artfynd.xlsx", "A 4458-2024")</f>
        <v/>
      </c>
      <c r="T56">
        <f>HYPERLINK("https://klasma.github.io/Logging_2480/kartor/A 4458-2024 karta.png", "A 4458-2024")</f>
        <v/>
      </c>
      <c r="V56">
        <f>HYPERLINK("https://klasma.github.io/Logging_2480/klagomål/A 4458-2024 FSC-klagomål.docx", "A 4458-2024")</f>
        <v/>
      </c>
      <c r="W56">
        <f>HYPERLINK("https://klasma.github.io/Logging_2480/klagomålsmail/A 4458-2024 FSC-klagomål mail.docx", "A 4458-2024")</f>
        <v/>
      </c>
      <c r="X56">
        <f>HYPERLINK("https://klasma.github.io/Logging_2480/tillsyn/A 4458-2024 tillsynsbegäran.docx", "A 4458-2024")</f>
        <v/>
      </c>
      <c r="Y56">
        <f>HYPERLINK("https://klasma.github.io/Logging_2480/tillsynsmail/A 4458-2024 tillsynsbegäran mail.docx", "A 4458-2024")</f>
        <v/>
      </c>
      <c r="Z56">
        <f>HYPERLINK("https://klasma.github.io/Logging_2480/fåglar/A 4458-2024 prioriterade fågelarter.docx", "A 4458-2024")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45643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45643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45643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45643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45643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45643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45643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45643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45643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45643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45643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45643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45643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45643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45643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45643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45643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45643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45643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45643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45643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45643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45643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45643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45643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45643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45643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45643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45643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45643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45643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45643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45643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45643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45643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45643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45643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45643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45643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45643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45643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45643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45643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45643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45643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45643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45643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45643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45643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45643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45643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45643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45643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45643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45643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45643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45643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45643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45643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45643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45643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45643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45643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45643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45643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45643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45643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45643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45643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45643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45643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45643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45643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45643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45643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45643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45643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45643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45643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45643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45643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45643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45643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45643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45643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45643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45643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45643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45643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45643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45643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45643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45643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45643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45643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45643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45643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45643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45643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45643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45643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45643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45643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45643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45643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45643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45643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45643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45643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45643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45643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45643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45643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45643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45643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45643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45643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45643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45643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45643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45643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45643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45643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45643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45643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45643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45643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45643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45643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45643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45643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45643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45643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45643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45643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45643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45643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45643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45643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45643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45643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45643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45643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45643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45643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45643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45643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45643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45643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45643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45643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45643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45643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45643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45643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45643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45643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45643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45643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45643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45643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45643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45643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45643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45643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45643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45643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45643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45643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45643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45643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45643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45643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45643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45643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45643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45643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45643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45643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45643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45643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45643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45643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45643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45643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45643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45643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45643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45643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45643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45643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45643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45643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45643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45643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45643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45643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45643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45643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45643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45643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45643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45643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45643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45643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45643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45643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45643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45643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45643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45643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45643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45643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45643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45643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45643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45643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45643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45643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45643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45643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45643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45643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45643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45643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45643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45643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45643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45643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45643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45643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45643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45643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45643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45643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45643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45643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45643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45643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45643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45643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45643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45643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45643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45643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45643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45643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45643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45643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45643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45643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45643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45643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45643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45643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45643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45643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45643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45643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45643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45643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45643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45643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45643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45643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45643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45643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45643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45643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45643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45643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45643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45643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45643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45643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45643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45643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45643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45643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45643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45643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45643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45643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45643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45643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45643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45643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45643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45643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45643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45643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45643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45643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45643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45643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45643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45643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45643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45643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45643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45643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45643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45643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45643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45643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45643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45643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45643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45643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45643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45643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45643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45643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45643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45643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45643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45643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45643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45643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45643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45643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45643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45643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45643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45643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45643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45643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45643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45643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45643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45643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45643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45643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45643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45643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45643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45643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45643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45643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45643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45643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45643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45643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45643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45643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45643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45643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45643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45643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45643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45643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45643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45643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45643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45643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45643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45643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45643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45643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45643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45643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45643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45643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45643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45643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45643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45643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45643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45643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45643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45643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45643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45643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45643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45643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45643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45643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45643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45643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45643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45643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45643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45643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45643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45643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45643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45643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45643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45643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45643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45643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45643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45643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45643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45643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45643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45643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45643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45643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45643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45643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45643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45643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45643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45643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45643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45643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45643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45643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45643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45643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45643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45643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45643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45643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45643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45643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45643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45643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45643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45643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45643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45643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45643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45643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45643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45643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45643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45643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45643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45643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45643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45643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45643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45643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45643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45643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45643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45643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45643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45643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45643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45643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45643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45643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45643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45643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45643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45643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45643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45643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45643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45643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45643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45643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45643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45643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45643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45643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45643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45643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45643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45643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45643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45643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45643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45643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45643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45643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45643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45643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45643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45643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45643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45643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45643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45643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45643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45643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45643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45643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45643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45643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45643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45643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45643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45643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45643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45643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45643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45643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45643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45643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45643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45643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45643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45643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45643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45643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45643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45643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45643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45643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45643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45643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45643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45643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45643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45643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45643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45643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45643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45643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45643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45643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45643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45643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45643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45643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45643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45643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45643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45643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45643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45643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45643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45643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45643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45643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45643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45643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45643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45643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45643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45643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45643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45643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45643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45643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45643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45643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45643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45643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45643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45643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45643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45643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45643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45643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45643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45643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45643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45643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45643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45643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45643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45643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45643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45643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45643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45643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45643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45643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45643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45643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45643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45643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45643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45643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45643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45643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45643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45643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45643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45643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45643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45643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45643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45643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45643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45643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45643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45643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45643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45643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45643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45643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45643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45643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45643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45643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45643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45643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45643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45643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45643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45643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45643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45643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45643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45643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45643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45643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45643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45643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45643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45643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45643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45643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45643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45643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45643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45643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45643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45643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45643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45643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45643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45643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45643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45643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45643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45643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45643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45643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45643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45643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45643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45643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45643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45643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45643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45643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45643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45643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45643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45643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45643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45643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45643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45643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45643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45643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45643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45643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45643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45643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45643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45643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45643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45643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45643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45643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45643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45643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45643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45643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45643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45643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45643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45643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45643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45643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45643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45643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45643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45643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45643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45643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45643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45643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45643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45643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45643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45643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45643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45643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45643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45643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45643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45643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45643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45643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45643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45643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45643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45643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45643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45643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45643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45643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45643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45643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45643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45643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45643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45643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45643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45643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45643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45643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45643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45643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45643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45643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45643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45643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45643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45643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45643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45643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45643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45643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45643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45643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45643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45643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45643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45643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45643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45643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45643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45643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45643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45643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45643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45643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45643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45643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45643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45643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45643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45643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45643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45643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45643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45643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45643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45643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45643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45643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45643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45643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45643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45643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45643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45643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45643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45643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45643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45643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45643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45643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45643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45643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45643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45643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45643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45643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45643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45643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45643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45643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45643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45643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45643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45643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45643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45643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45643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45643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45643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45643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45643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45643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45643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45643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45643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45643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45643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45643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45643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45643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45643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45643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45643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45643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45643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45643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45643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45643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45643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45643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45643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45643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45643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45643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45643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45643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45643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45643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45643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45643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45643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45643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45643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45643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45643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45643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45643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45643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45643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45643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45643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45643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45643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45643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45643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45643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45643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45643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45643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45643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45643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45643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45643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45643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45643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45643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45643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45643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45643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45643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45643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45643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45643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45643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45643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45643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45643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45643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45643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45643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45643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45643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45643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45643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45643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45643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45643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45643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45643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45643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45643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45643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45643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45643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45643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45643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45643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45643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45643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45643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45643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45643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45643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45643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45643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45643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45643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45643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45643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45643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45643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45643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45643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45643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45643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45643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45643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45643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45643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45643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45643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45643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45643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45643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45643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45643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45643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45643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45643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45643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45643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45643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45643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45643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45643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45643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45643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45643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45643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45643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45643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45643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45643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45643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45643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45643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45643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45643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45643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45643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45643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45643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45643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45643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45643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45643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45643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45643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45643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45643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45643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45643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45643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45643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45643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45643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45643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45643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45643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45643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45643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45643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45643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45643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45643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45643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45643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45643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45643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45643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45643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45643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45643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45643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45643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45643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45643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45643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45643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45643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45643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45643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45643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45643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45643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45643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45643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45643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45643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45643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45643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45643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45643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45643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45643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45643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45643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45643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45643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45643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45643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45643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45643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45643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45643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45643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45643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45643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45643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45643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45643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45643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45643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45643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45643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45643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45643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45643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45643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45643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45643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45643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45643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45643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45643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45643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45643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45643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45643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45643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45643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45643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45643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45643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45643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45643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45643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45643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45643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45643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45643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45643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45643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45643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45643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45643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45643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45643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45643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45643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45643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45643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45643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45643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45643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45643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45643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45643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45643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45643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45643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45643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45643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45643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45643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45643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45643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45643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45643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45643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45643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45643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45643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45643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45643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45643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45643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45643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45643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45643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45643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45643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45643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45643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45643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45643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45643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45643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45643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45643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45643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45643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45643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45643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45643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45643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45643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45643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45643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45643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45643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45643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45643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45643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45643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45643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45643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45643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45643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45643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45643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45643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45643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45643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45643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45643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45643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45643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45643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45643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45643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45643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45643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45643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45643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45643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45643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45643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45643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45643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45643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45643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45643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45643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45643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45643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45643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45643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45643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45643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45643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45643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45643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45643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45643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45643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45643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45643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45643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45643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45643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45643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45643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45643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45643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45643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59942-2024</t>
        </is>
      </c>
      <c r="B1400" s="1" t="n">
        <v>45642</v>
      </c>
      <c r="C1400" s="1" t="n">
        <v>45643</v>
      </c>
      <c r="D1400" t="inlineStr">
        <is>
          <t>VÄSTERBOTTENS LÄN</t>
        </is>
      </c>
      <c r="E1400" t="inlineStr">
        <is>
          <t>UMEÅ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60056-2024</t>
        </is>
      </c>
      <c r="B1401" s="1" t="n">
        <v>45642</v>
      </c>
      <c r="C1401" s="1" t="n">
        <v>45643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60179-2024</t>
        </is>
      </c>
      <c r="B1402" s="1" t="n">
        <v>45642</v>
      </c>
      <c r="C1402" s="1" t="n">
        <v>45643</v>
      </c>
      <c r="D1402" t="inlineStr">
        <is>
          <t>VÄSTERBOTTENS LÄN</t>
        </is>
      </c>
      <c r="E1402" t="inlineStr">
        <is>
          <t>UMEÅ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2024-12-17T15:19:37Z</dcterms:created>
  <dcterms:modified xmlns:dcterms="http://purl.org/dc/terms/" xmlns:xsi="http://www.w3.org/2001/XMLSchema-instance" xsi:type="dcterms:W3CDTF">2024-12-17T15:19:38Z</dcterms:modified>
</cp:coreProperties>
</file>