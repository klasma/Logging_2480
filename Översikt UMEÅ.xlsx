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46087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46087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46087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46087</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46087</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46087</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46087</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49000-2025</t>
        </is>
      </c>
      <c r="B15" s="1" t="n">
        <v>45937.5946412037</v>
      </c>
      <c r="C15" s="1" t="n">
        <v>46087</v>
      </c>
      <c r="D15" t="inlineStr">
        <is>
          <t>VÄSTERBOTTENS LÄN</t>
        </is>
      </c>
      <c r="E15" t="inlineStr">
        <is>
          <t>UMEÅ</t>
        </is>
      </c>
      <c r="G15" t="n">
        <v>12.2</v>
      </c>
      <c r="H15" t="n">
        <v>2</v>
      </c>
      <c r="I15" t="n">
        <v>3</v>
      </c>
      <c r="J15" t="n">
        <v>4</v>
      </c>
      <c r="K15" t="n">
        <v>1</v>
      </c>
      <c r="L15" t="n">
        <v>0</v>
      </c>
      <c r="M15" t="n">
        <v>0</v>
      </c>
      <c r="N15" t="n">
        <v>0</v>
      </c>
      <c r="O15" t="n">
        <v>5</v>
      </c>
      <c r="P15" t="n">
        <v>1</v>
      </c>
      <c r="Q15" t="n">
        <v>9</v>
      </c>
      <c r="R15" s="2" t="inlineStr">
        <is>
          <t>Knärot
Blanksvart spiklav
Garnlav
Kolflarnlav
Motaggsvamp
Björksplintborre
Dropptaggsvamp
Skarp dropptaggsvamp
Tjäder</t>
        </is>
      </c>
      <c r="S15">
        <f>HYPERLINK("https://klasma.github.io/Logging_2480/artfynd/A 49000-2025 artfynd.xlsx", "A 49000-2025")</f>
        <v/>
      </c>
      <c r="T15">
        <f>HYPERLINK("https://klasma.github.io/Logging_2480/kartor/A 49000-2025 karta.png", "A 49000-2025")</f>
        <v/>
      </c>
      <c r="U15">
        <f>HYPERLINK("https://klasma.github.io/Logging_2480/knärot/A 49000-2025 karta knärot.png", "A 49000-2025")</f>
        <v/>
      </c>
      <c r="V15">
        <f>HYPERLINK("https://klasma.github.io/Logging_2480/klagomål/A 49000-2025 FSC-klagomål.docx", "A 49000-2025")</f>
        <v/>
      </c>
      <c r="W15">
        <f>HYPERLINK("https://klasma.github.io/Logging_2480/klagomålsmail/A 49000-2025 FSC-klagomål mail.docx", "A 49000-2025")</f>
        <v/>
      </c>
      <c r="X15">
        <f>HYPERLINK("https://klasma.github.io/Logging_2480/tillsyn/A 49000-2025 tillsynsbegäran.docx", "A 49000-2025")</f>
        <v/>
      </c>
      <c r="Y15">
        <f>HYPERLINK("https://klasma.github.io/Logging_2480/tillsynsmail/A 49000-2025 tillsynsbegäran mail.docx", "A 49000-2025")</f>
        <v/>
      </c>
      <c r="Z15">
        <f>HYPERLINK("https://klasma.github.io/Logging_2480/fåglar/A 49000-2025 prioriterade fågelarter.docx", "A 49000-2025")</f>
        <v/>
      </c>
    </row>
    <row r="16" ht="15" customHeight="1">
      <c r="A16" t="inlineStr">
        <is>
          <t>A 41407-2022</t>
        </is>
      </c>
      <c r="B16" s="1" t="n">
        <v>44826</v>
      </c>
      <c r="C16" s="1" t="n">
        <v>46087</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51198-2022</t>
        </is>
      </c>
      <c r="B17" s="1" t="n">
        <v>44868</v>
      </c>
      <c r="C17" s="1" t="n">
        <v>46087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45987.35112268518</v>
      </c>
      <c r="C18" s="1" t="n">
        <v>46087</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46087</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46087</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46087</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46087</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46087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46087</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46087</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46087</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46087</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46087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46087</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46087</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15591-2023</t>
        </is>
      </c>
      <c r="B31" s="1" t="n">
        <v>45019</v>
      </c>
      <c r="C31" s="1" t="n">
        <v>46087</v>
      </c>
      <c r="D31" t="inlineStr">
        <is>
          <t>VÄSTERBOTTENS LÄN</t>
        </is>
      </c>
      <c r="E31" t="inlineStr">
        <is>
          <t>UMEÅ</t>
        </is>
      </c>
      <c r="F31" t="inlineStr">
        <is>
          <t>Kommuner</t>
        </is>
      </c>
      <c r="G31" t="n">
        <v>1.4</v>
      </c>
      <c r="H31" t="n">
        <v>3</v>
      </c>
      <c r="I31" t="n">
        <v>1</v>
      </c>
      <c r="J31" t="n">
        <v>5</v>
      </c>
      <c r="K31" t="n">
        <v>0</v>
      </c>
      <c r="L31" t="n">
        <v>0</v>
      </c>
      <c r="M31" t="n">
        <v>0</v>
      </c>
      <c r="N31" t="n">
        <v>0</v>
      </c>
      <c r="O31" t="n">
        <v>5</v>
      </c>
      <c r="P31" t="n">
        <v>0</v>
      </c>
      <c r="Q31" t="n">
        <v>6</v>
      </c>
      <c r="R31" s="2" t="inlineStr">
        <is>
          <t>Garnlav
Granticka
Spillkråka
Talltita
Tretåig hackspett
Vedticka</t>
        </is>
      </c>
      <c r="S31">
        <f>HYPERLINK("https://klasma.github.io/Logging_2480/artfynd/A 15591-2023 artfynd.xlsx", "A 15591-2023")</f>
        <v/>
      </c>
      <c r="T31">
        <f>HYPERLINK("https://klasma.github.io/Logging_2480/kartor/A 15591-2023 karta.png", "A 15591-2023")</f>
        <v/>
      </c>
      <c r="V31">
        <f>HYPERLINK("https://klasma.github.io/Logging_2480/klagomål/A 15591-2023 FSC-klagomål.docx", "A 15591-2023")</f>
        <v/>
      </c>
      <c r="W31">
        <f>HYPERLINK("https://klasma.github.io/Logging_2480/klagomålsmail/A 15591-2023 FSC-klagomål mail.docx", "A 15591-2023")</f>
        <v/>
      </c>
      <c r="X31">
        <f>HYPERLINK("https://klasma.github.io/Logging_2480/tillsyn/A 15591-2023 tillsynsbegäran.docx", "A 15591-2023")</f>
        <v/>
      </c>
      <c r="Y31">
        <f>HYPERLINK("https://klasma.github.io/Logging_2480/tillsynsmail/A 15591-2023 tillsynsbegäran mail.docx", "A 15591-2023")</f>
        <v/>
      </c>
      <c r="Z31">
        <f>HYPERLINK("https://klasma.github.io/Logging_2480/fåglar/A 15591-2023 prioriterade fågelarter.docx", "A 15591-2023")</f>
        <v/>
      </c>
    </row>
    <row r="32" ht="15" customHeight="1">
      <c r="A32" t="inlineStr">
        <is>
          <t>A 15648-2023</t>
        </is>
      </c>
      <c r="B32" s="1" t="n">
        <v>45019</v>
      </c>
      <c r="C32" s="1" t="n">
        <v>46087</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46087</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36893-2025</t>
        </is>
      </c>
      <c r="B34" s="1" t="n">
        <v>45874.46988425926</v>
      </c>
      <c r="C34" s="1" t="n">
        <v>46087</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46087</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46087</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33008-2022</t>
        </is>
      </c>
      <c r="B37" s="1" t="n">
        <v>44785.31300925926</v>
      </c>
      <c r="C37" s="1" t="n">
        <v>46087</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Kötticka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46087</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46087</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46087</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21628-2021</t>
        </is>
      </c>
      <c r="B41" s="1" t="n">
        <v>44321.91877314815</v>
      </c>
      <c r="C41" s="1" t="n">
        <v>46087</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46087</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26484-2025</t>
        </is>
      </c>
      <c r="B43" s="1" t="n">
        <v>45807.47395833334</v>
      </c>
      <c r="C43" s="1" t="n">
        <v>46087</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52764-2024</t>
        </is>
      </c>
      <c r="B44" s="1" t="n">
        <v>45610.51162037037</v>
      </c>
      <c r="C44" s="1" t="n">
        <v>46087</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11826-2026</t>
        </is>
      </c>
      <c r="B45" s="1" t="n">
        <v>46085.41011574074</v>
      </c>
      <c r="C45" s="1" t="n">
        <v>46087</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61036-2022</t>
        </is>
      </c>
      <c r="B46" s="1" t="n">
        <v>44914.92446759259</v>
      </c>
      <c r="C46" s="1" t="n">
        <v>46087</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535-2025</t>
        </is>
      </c>
      <c r="B47" s="1" t="n">
        <v>45664.51217592593</v>
      </c>
      <c r="C47" s="1" t="n">
        <v>46087</v>
      </c>
      <c r="D47" t="inlineStr">
        <is>
          <t>VÄSTERBOTTENS LÄN</t>
        </is>
      </c>
      <c r="E47" t="inlineStr">
        <is>
          <t>UMEÅ</t>
        </is>
      </c>
      <c r="G47" t="n">
        <v>2.7</v>
      </c>
      <c r="H47" t="n">
        <v>4</v>
      </c>
      <c r="I47" t="n">
        <v>0</v>
      </c>
      <c r="J47" t="n">
        <v>2</v>
      </c>
      <c r="K47" t="n">
        <v>0</v>
      </c>
      <c r="L47" t="n">
        <v>0</v>
      </c>
      <c r="M47" t="n">
        <v>0</v>
      </c>
      <c r="N47" t="n">
        <v>0</v>
      </c>
      <c r="O47" t="n">
        <v>2</v>
      </c>
      <c r="P47" t="n">
        <v>0</v>
      </c>
      <c r="Q47" t="n">
        <v>4</v>
      </c>
      <c r="R47" s="2" t="inlineStr">
        <is>
          <t>Järpe
Talltita
Järnsparv
Kungsfågel</t>
        </is>
      </c>
      <c r="S47">
        <f>HYPERLINK("https://klasma.github.io/Logging_2480/artfynd/A 535-2025 artfynd.xlsx", "A 535-2025")</f>
        <v/>
      </c>
      <c r="T47">
        <f>HYPERLINK("https://klasma.github.io/Logging_2480/kartor/A 535-2025 karta.png", "A 535-2025")</f>
        <v/>
      </c>
      <c r="V47">
        <f>HYPERLINK("https://klasma.github.io/Logging_2480/klagomål/A 535-2025 FSC-klagomål.docx", "A 535-2025")</f>
        <v/>
      </c>
      <c r="W47">
        <f>HYPERLINK("https://klasma.github.io/Logging_2480/klagomålsmail/A 535-2025 FSC-klagomål mail.docx", "A 535-2025")</f>
        <v/>
      </c>
      <c r="X47">
        <f>HYPERLINK("https://klasma.github.io/Logging_2480/tillsyn/A 535-2025 tillsynsbegäran.docx", "A 535-2025")</f>
        <v/>
      </c>
      <c r="Y47">
        <f>HYPERLINK("https://klasma.github.io/Logging_2480/tillsynsmail/A 535-2025 tillsynsbegäran mail.docx", "A 535-2025")</f>
        <v/>
      </c>
      <c r="Z47">
        <f>HYPERLINK("https://klasma.github.io/Logging_2480/fåglar/A 535-2025 prioriterade fågelarter.docx", "A 535-2025")</f>
        <v/>
      </c>
    </row>
    <row r="48" ht="15" customHeight="1">
      <c r="A48" t="inlineStr">
        <is>
          <t>A 33974-2024</t>
        </is>
      </c>
      <c r="B48" s="1" t="n">
        <v>45523.49939814815</v>
      </c>
      <c r="C48" s="1" t="n">
        <v>46087</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46087</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46087</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46087</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46087</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46087</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Apelsinticka
Garnlav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12971-2025</t>
        </is>
      </c>
      <c r="B54" s="1" t="n">
        <v>45734</v>
      </c>
      <c r="C54" s="1" t="n">
        <v>46087</v>
      </c>
      <c r="D54" t="inlineStr">
        <is>
          <t>VÄSTERBOTTENS LÄN</t>
        </is>
      </c>
      <c r="E54" t="inlineStr">
        <is>
          <t>UMEÅ</t>
        </is>
      </c>
      <c r="G54" t="n">
        <v>4.1</v>
      </c>
      <c r="H54" t="n">
        <v>0</v>
      </c>
      <c r="I54" t="n">
        <v>1</v>
      </c>
      <c r="J54" t="n">
        <v>3</v>
      </c>
      <c r="K54" t="n">
        <v>0</v>
      </c>
      <c r="L54" t="n">
        <v>0</v>
      </c>
      <c r="M54" t="n">
        <v>0</v>
      </c>
      <c r="N54" t="n">
        <v>0</v>
      </c>
      <c r="O54" t="n">
        <v>3</v>
      </c>
      <c r="P54" t="n">
        <v>0</v>
      </c>
      <c r="Q54" t="n">
        <v>4</v>
      </c>
      <c r="R54" s="2" t="inlineStr">
        <is>
          <t>Granticka
Ullticka
Violmussling
Jättesvampmal</t>
        </is>
      </c>
      <c r="S54">
        <f>HYPERLINK("https://klasma.github.io/Logging_2480/artfynd/A 12971-2025 artfynd.xlsx", "A 12971-2025")</f>
        <v/>
      </c>
      <c r="T54">
        <f>HYPERLINK("https://klasma.github.io/Logging_2480/kartor/A 12971-2025 karta.png", "A 12971-2025")</f>
        <v/>
      </c>
      <c r="V54">
        <f>HYPERLINK("https://klasma.github.io/Logging_2480/klagomål/A 12971-2025 FSC-klagomål.docx", "A 12971-2025")</f>
        <v/>
      </c>
      <c r="W54">
        <f>HYPERLINK("https://klasma.github.io/Logging_2480/klagomålsmail/A 12971-2025 FSC-klagomål mail.docx", "A 12971-2025")</f>
        <v/>
      </c>
      <c r="X54">
        <f>HYPERLINK("https://klasma.github.io/Logging_2480/tillsyn/A 12971-2025 tillsynsbegäran.docx", "A 12971-2025")</f>
        <v/>
      </c>
      <c r="Y54">
        <f>HYPERLINK("https://klasma.github.io/Logging_2480/tillsynsmail/A 12971-2025 tillsynsbegäran mail.docx", "A 12971-2025")</f>
        <v/>
      </c>
    </row>
    <row r="55" ht="15" customHeight="1">
      <c r="A55" t="inlineStr">
        <is>
          <t>A 38400-2021</t>
        </is>
      </c>
      <c r="B55" s="1" t="n">
        <v>44406</v>
      </c>
      <c r="C55" s="1" t="n">
        <v>46087</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46087</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6054-2025</t>
        </is>
      </c>
      <c r="B57" s="1" t="n">
        <v>45695</v>
      </c>
      <c r="C57" s="1" t="n">
        <v>46087</v>
      </c>
      <c r="D57" t="inlineStr">
        <is>
          <t>VÄSTERBOTTENS LÄN</t>
        </is>
      </c>
      <c r="E57" t="inlineStr">
        <is>
          <t>UMEÅ</t>
        </is>
      </c>
      <c r="G57" t="n">
        <v>5.4</v>
      </c>
      <c r="H57" t="n">
        <v>1</v>
      </c>
      <c r="I57" t="n">
        <v>0</v>
      </c>
      <c r="J57" t="n">
        <v>3</v>
      </c>
      <c r="K57" t="n">
        <v>0</v>
      </c>
      <c r="L57" t="n">
        <v>0</v>
      </c>
      <c r="M57" t="n">
        <v>0</v>
      </c>
      <c r="N57" t="n">
        <v>0</v>
      </c>
      <c r="O57" t="n">
        <v>3</v>
      </c>
      <c r="P57" t="n">
        <v>0</v>
      </c>
      <c r="Q57" t="n">
        <v>3</v>
      </c>
      <c r="R57" s="2" t="inlineStr">
        <is>
          <t>Harticka
Lundsångare
Svart taggsvamp agg.</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54319-2025</t>
        </is>
      </c>
      <c r="B58" s="1" t="n">
        <v>45965.34184027778</v>
      </c>
      <c r="C58" s="1" t="n">
        <v>46087</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46087</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46087</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37889-2023</t>
        </is>
      </c>
      <c r="B61" s="1" t="n">
        <v>45160</v>
      </c>
      <c r="C61" s="1" t="n">
        <v>46087</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46087</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46087</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46087</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46087</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46087</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46087</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46087</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42195-2024</t>
        </is>
      </c>
      <c r="B69" s="1" t="n">
        <v>45562.50609953704</v>
      </c>
      <c r="C69" s="1" t="n">
        <v>46087</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46087</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47276-2025</t>
        </is>
      </c>
      <c r="B71" s="1" t="n">
        <v>45930.46909722222</v>
      </c>
      <c r="C71" s="1" t="n">
        <v>46087</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60047-2025</t>
        </is>
      </c>
      <c r="B72" s="1" t="n">
        <v>45993.6286574074</v>
      </c>
      <c r="C72" s="1" t="n">
        <v>46087</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7050-2024</t>
        </is>
      </c>
      <c r="B73" s="1" t="n">
        <v>45343</v>
      </c>
      <c r="C73" s="1" t="n">
        <v>46087</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33206-2025</t>
        </is>
      </c>
      <c r="B74" s="1" t="n">
        <v>45840.61583333334</v>
      </c>
      <c r="C74" s="1" t="n">
        <v>46087</v>
      </c>
      <c r="D74" t="inlineStr">
        <is>
          <t>VÄSTERBOTTENS LÄN</t>
        </is>
      </c>
      <c r="E74" t="inlineStr">
        <is>
          <t>UMEÅ</t>
        </is>
      </c>
      <c r="G74" t="n">
        <v>3</v>
      </c>
      <c r="H74" t="n">
        <v>0</v>
      </c>
      <c r="I74" t="n">
        <v>0</v>
      </c>
      <c r="J74" t="n">
        <v>2</v>
      </c>
      <c r="K74" t="n">
        <v>0</v>
      </c>
      <c r="L74" t="n">
        <v>0</v>
      </c>
      <c r="M74" t="n">
        <v>0</v>
      </c>
      <c r="N74" t="n">
        <v>0</v>
      </c>
      <c r="O74" t="n">
        <v>2</v>
      </c>
      <c r="P74" t="n">
        <v>0</v>
      </c>
      <c r="Q74" t="n">
        <v>2</v>
      </c>
      <c r="R74" s="2" t="inlineStr">
        <is>
          <t>Granticka
Rosenticka</t>
        </is>
      </c>
      <c r="S74">
        <f>HYPERLINK("https://klasma.github.io/Logging_2480/artfynd/A 33206-2025 artfynd.xlsx", "A 33206-2025")</f>
        <v/>
      </c>
      <c r="T74">
        <f>HYPERLINK("https://klasma.github.io/Logging_2480/kartor/A 33206-2025 karta.png", "A 33206-2025")</f>
        <v/>
      </c>
      <c r="V74">
        <f>HYPERLINK("https://klasma.github.io/Logging_2480/klagomål/A 33206-2025 FSC-klagomål.docx", "A 33206-2025")</f>
        <v/>
      </c>
      <c r="W74">
        <f>HYPERLINK("https://klasma.github.io/Logging_2480/klagomålsmail/A 33206-2025 FSC-klagomål mail.docx", "A 33206-2025")</f>
        <v/>
      </c>
      <c r="X74">
        <f>HYPERLINK("https://klasma.github.io/Logging_2480/tillsyn/A 33206-2025 tillsynsbegäran.docx", "A 33206-2025")</f>
        <v/>
      </c>
      <c r="Y74">
        <f>HYPERLINK("https://klasma.github.io/Logging_2480/tillsynsmail/A 33206-2025 tillsynsbegäran mail.docx", "A 33206-2025")</f>
        <v/>
      </c>
    </row>
    <row r="75" ht="15" customHeight="1">
      <c r="A75" t="inlineStr">
        <is>
          <t>A 33215-2025</t>
        </is>
      </c>
      <c r="B75" s="1" t="n">
        <v>45840.63028935185</v>
      </c>
      <c r="C75" s="1" t="n">
        <v>46087</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36794-2025</t>
        </is>
      </c>
      <c r="B76" s="1" t="n">
        <v>45873.64189814815</v>
      </c>
      <c r="C76" s="1" t="n">
        <v>46087</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8715-2024</t>
        </is>
      </c>
      <c r="B77" s="1" t="n">
        <v>45356</v>
      </c>
      <c r="C77" s="1" t="n">
        <v>46087</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18922-2023</t>
        </is>
      </c>
      <c r="B78" s="1" t="n">
        <v>45043</v>
      </c>
      <c r="C78" s="1" t="n">
        <v>46087</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46087</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38393-2021</t>
        </is>
      </c>
      <c r="B80" s="1" t="n">
        <v>44406</v>
      </c>
      <c r="C80" s="1" t="n">
        <v>46087</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46087</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46087</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46087</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46087</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46087</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46087</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46087</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46087</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46087</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46087</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46087</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46087</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46087</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46087</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42835-2025</t>
        </is>
      </c>
      <c r="B95" s="1" t="n">
        <v>45908</v>
      </c>
      <c r="C95" s="1" t="n">
        <v>46087</v>
      </c>
      <c r="D95" t="inlineStr">
        <is>
          <t>VÄSTERBOTTENS LÄN</t>
        </is>
      </c>
      <c r="E95" t="inlineStr">
        <is>
          <t>UMEÅ</t>
        </is>
      </c>
      <c r="F95" t="inlineStr">
        <is>
          <t>Övriga statliga verk och myndigheter</t>
        </is>
      </c>
      <c r="G95" t="n">
        <v>1.1</v>
      </c>
      <c r="H95" t="n">
        <v>0</v>
      </c>
      <c r="I95" t="n">
        <v>0</v>
      </c>
      <c r="J95" t="n">
        <v>1</v>
      </c>
      <c r="K95" t="n">
        <v>0</v>
      </c>
      <c r="L95" t="n">
        <v>0</v>
      </c>
      <c r="M95" t="n">
        <v>0</v>
      </c>
      <c r="N95" t="n">
        <v>0</v>
      </c>
      <c r="O95" t="n">
        <v>1</v>
      </c>
      <c r="P95" t="n">
        <v>0</v>
      </c>
      <c r="Q95" t="n">
        <v>1</v>
      </c>
      <c r="R95" s="2" t="inlineStr">
        <is>
          <t>Klofibbla</t>
        </is>
      </c>
      <c r="S95">
        <f>HYPERLINK("https://klasma.github.io/Logging_2480/artfynd/A 42835-2025 artfynd.xlsx", "A 42835-2025")</f>
        <v/>
      </c>
      <c r="T95">
        <f>HYPERLINK("https://klasma.github.io/Logging_2480/kartor/A 42835-2025 karta.png", "A 42835-2025")</f>
        <v/>
      </c>
      <c r="V95">
        <f>HYPERLINK("https://klasma.github.io/Logging_2480/klagomål/A 42835-2025 FSC-klagomål.docx", "A 42835-2025")</f>
        <v/>
      </c>
      <c r="W95">
        <f>HYPERLINK("https://klasma.github.io/Logging_2480/klagomålsmail/A 42835-2025 FSC-klagomål mail.docx", "A 42835-2025")</f>
        <v/>
      </c>
      <c r="X95">
        <f>HYPERLINK("https://klasma.github.io/Logging_2480/tillsyn/A 42835-2025 tillsynsbegäran.docx", "A 42835-2025")</f>
        <v/>
      </c>
      <c r="Y95">
        <f>HYPERLINK("https://klasma.github.io/Logging_2480/tillsynsmail/A 42835-2025 tillsynsbegäran mail.docx", "A 42835-2025")</f>
        <v/>
      </c>
    </row>
    <row r="96" ht="15" customHeight="1">
      <c r="A96" t="inlineStr">
        <is>
          <t>A 18248-2021</t>
        </is>
      </c>
      <c r="B96" s="1" t="n">
        <v>44305</v>
      </c>
      <c r="C96" s="1" t="n">
        <v>46087</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18703-2024</t>
        </is>
      </c>
      <c r="B97" s="1" t="n">
        <v>45426</v>
      </c>
      <c r="C97" s="1" t="n">
        <v>46087</v>
      </c>
      <c r="D97" t="inlineStr">
        <is>
          <t>VÄSTERBOTTENS LÄN</t>
        </is>
      </c>
      <c r="E97" t="inlineStr">
        <is>
          <t>UMEÅ</t>
        </is>
      </c>
      <c r="F97" t="inlineStr">
        <is>
          <t>Holmen skog AB</t>
        </is>
      </c>
      <c r="G97" t="n">
        <v>2</v>
      </c>
      <c r="H97" t="n">
        <v>1</v>
      </c>
      <c r="I97" t="n">
        <v>0</v>
      </c>
      <c r="J97" t="n">
        <v>1</v>
      </c>
      <c r="K97" t="n">
        <v>0</v>
      </c>
      <c r="L97" t="n">
        <v>0</v>
      </c>
      <c r="M97" t="n">
        <v>0</v>
      </c>
      <c r="N97" t="n">
        <v>0</v>
      </c>
      <c r="O97" t="n">
        <v>1</v>
      </c>
      <c r="P97" t="n">
        <v>0</v>
      </c>
      <c r="Q97" t="n">
        <v>1</v>
      </c>
      <c r="R97" s="2" t="inlineStr">
        <is>
          <t>Spillkråka</t>
        </is>
      </c>
      <c r="S97">
        <f>HYPERLINK("https://klasma.github.io/Logging_2480/artfynd/A 18703-2024 artfynd.xlsx", "A 18703-2024")</f>
        <v/>
      </c>
      <c r="T97">
        <f>HYPERLINK("https://klasma.github.io/Logging_2480/kartor/A 18703-2024 karta.png", "A 18703-2024")</f>
        <v/>
      </c>
      <c r="V97">
        <f>HYPERLINK("https://klasma.github.io/Logging_2480/klagomål/A 18703-2024 FSC-klagomål.docx", "A 18703-2024")</f>
        <v/>
      </c>
      <c r="W97">
        <f>HYPERLINK("https://klasma.github.io/Logging_2480/klagomålsmail/A 18703-2024 FSC-klagomål mail.docx", "A 18703-2024")</f>
        <v/>
      </c>
      <c r="X97">
        <f>HYPERLINK("https://klasma.github.io/Logging_2480/tillsyn/A 18703-2024 tillsynsbegäran.docx", "A 18703-2024")</f>
        <v/>
      </c>
      <c r="Y97">
        <f>HYPERLINK("https://klasma.github.io/Logging_2480/tillsynsmail/A 18703-2024 tillsynsbegäran mail.docx", "A 18703-2024")</f>
        <v/>
      </c>
      <c r="Z97">
        <f>HYPERLINK("https://klasma.github.io/Logging_2480/fåglar/A 18703-2024 prioriterade fågelarter.docx", "A 18703-2024")</f>
        <v/>
      </c>
    </row>
    <row r="98" ht="15" customHeight="1">
      <c r="A98" t="inlineStr">
        <is>
          <t>A 56135-2024</t>
        </is>
      </c>
      <c r="B98" s="1" t="n">
        <v>45624</v>
      </c>
      <c r="C98" s="1" t="n">
        <v>46087</v>
      </c>
      <c r="D98" t="inlineStr">
        <is>
          <t>VÄSTERBOTTENS LÄN</t>
        </is>
      </c>
      <c r="E98" t="inlineStr">
        <is>
          <t>UMEÅ</t>
        </is>
      </c>
      <c r="G98" t="n">
        <v>19.9</v>
      </c>
      <c r="H98" t="n">
        <v>0</v>
      </c>
      <c r="I98" t="n">
        <v>0</v>
      </c>
      <c r="J98" t="n">
        <v>1</v>
      </c>
      <c r="K98" t="n">
        <v>0</v>
      </c>
      <c r="L98" t="n">
        <v>0</v>
      </c>
      <c r="M98" t="n">
        <v>0</v>
      </c>
      <c r="N98" t="n">
        <v>0</v>
      </c>
      <c r="O98" t="n">
        <v>1</v>
      </c>
      <c r="P98" t="n">
        <v>0</v>
      </c>
      <c r="Q98" t="n">
        <v>1</v>
      </c>
      <c r="R98" s="2" t="inlineStr">
        <is>
          <t>Violettgrå tagellav</t>
        </is>
      </c>
      <c r="S98">
        <f>HYPERLINK("https://klasma.github.io/Logging_2480/artfynd/A 56135-2024 artfynd.xlsx", "A 56135-2024")</f>
        <v/>
      </c>
      <c r="T98">
        <f>HYPERLINK("https://klasma.github.io/Logging_2480/kartor/A 56135-2024 karta.png", "A 56135-2024")</f>
        <v/>
      </c>
      <c r="V98">
        <f>HYPERLINK("https://klasma.github.io/Logging_2480/klagomål/A 56135-2024 FSC-klagomål.docx", "A 56135-2024")</f>
        <v/>
      </c>
      <c r="W98">
        <f>HYPERLINK("https://klasma.github.io/Logging_2480/klagomålsmail/A 56135-2024 FSC-klagomål mail.docx", "A 56135-2024")</f>
        <v/>
      </c>
      <c r="X98">
        <f>HYPERLINK("https://klasma.github.io/Logging_2480/tillsyn/A 56135-2024 tillsynsbegäran.docx", "A 56135-2024")</f>
        <v/>
      </c>
      <c r="Y98">
        <f>HYPERLINK("https://klasma.github.io/Logging_2480/tillsynsmail/A 56135-2024 tillsynsbegäran mail.docx", "A 56135-2024")</f>
        <v/>
      </c>
    </row>
    <row r="99" ht="15" customHeight="1">
      <c r="A99" t="inlineStr">
        <is>
          <t>A 49497-2025</t>
        </is>
      </c>
      <c r="B99" s="1" t="n">
        <v>45939.36646990741</v>
      </c>
      <c r="C99" s="1" t="n">
        <v>46087</v>
      </c>
      <c r="D99" t="inlineStr">
        <is>
          <t>VÄSTERBOTTENS LÄN</t>
        </is>
      </c>
      <c r="E99" t="inlineStr">
        <is>
          <t>UMEÅ</t>
        </is>
      </c>
      <c r="G99" t="n">
        <v>17.2</v>
      </c>
      <c r="H99" t="n">
        <v>0</v>
      </c>
      <c r="I99" t="n">
        <v>1</v>
      </c>
      <c r="J99" t="n">
        <v>0</v>
      </c>
      <c r="K99" t="n">
        <v>0</v>
      </c>
      <c r="L99" t="n">
        <v>0</v>
      </c>
      <c r="M99" t="n">
        <v>0</v>
      </c>
      <c r="N99" t="n">
        <v>0</v>
      </c>
      <c r="O99" t="n">
        <v>0</v>
      </c>
      <c r="P99" t="n">
        <v>0</v>
      </c>
      <c r="Q99" t="n">
        <v>1</v>
      </c>
      <c r="R99" s="2" t="inlineStr">
        <is>
          <t>Trådticka</t>
        </is>
      </c>
      <c r="S99">
        <f>HYPERLINK("https://klasma.github.io/Logging_2480/artfynd/A 49497-2025 artfynd.xlsx", "A 49497-2025")</f>
        <v/>
      </c>
      <c r="T99">
        <f>HYPERLINK("https://klasma.github.io/Logging_2480/kartor/A 49497-2025 karta.png", "A 49497-2025")</f>
        <v/>
      </c>
      <c r="V99">
        <f>HYPERLINK("https://klasma.github.io/Logging_2480/klagomål/A 49497-2025 FSC-klagomål.docx", "A 49497-2025")</f>
        <v/>
      </c>
      <c r="W99">
        <f>HYPERLINK("https://klasma.github.io/Logging_2480/klagomålsmail/A 49497-2025 FSC-klagomål mail.docx", "A 49497-2025")</f>
        <v/>
      </c>
      <c r="X99">
        <f>HYPERLINK("https://klasma.github.io/Logging_2480/tillsyn/A 49497-2025 tillsynsbegäran.docx", "A 49497-2025")</f>
        <v/>
      </c>
      <c r="Y99">
        <f>HYPERLINK("https://klasma.github.io/Logging_2480/tillsynsmail/A 49497-2025 tillsynsbegäran mail.docx", "A 49497-2025")</f>
        <v/>
      </c>
    </row>
    <row r="100" ht="15" customHeight="1">
      <c r="A100" t="inlineStr">
        <is>
          <t>A 49359-2023</t>
        </is>
      </c>
      <c r="B100" s="1" t="n">
        <v>45211.33486111111</v>
      </c>
      <c r="C100" s="1" t="n">
        <v>46087</v>
      </c>
      <c r="D100" t="inlineStr">
        <is>
          <t>VÄSTERBOTTENS LÄN</t>
        </is>
      </c>
      <c r="E100" t="inlineStr">
        <is>
          <t>UMEÅ</t>
        </is>
      </c>
      <c r="G100" t="n">
        <v>5.2</v>
      </c>
      <c r="H100" t="n">
        <v>1</v>
      </c>
      <c r="I100" t="n">
        <v>0</v>
      </c>
      <c r="J100" t="n">
        <v>0</v>
      </c>
      <c r="K100" t="n">
        <v>0</v>
      </c>
      <c r="L100" t="n">
        <v>0</v>
      </c>
      <c r="M100" t="n">
        <v>0</v>
      </c>
      <c r="N100" t="n">
        <v>0</v>
      </c>
      <c r="O100" t="n">
        <v>0</v>
      </c>
      <c r="P100" t="n">
        <v>0</v>
      </c>
      <c r="Q100" t="n">
        <v>1</v>
      </c>
      <c r="R100" s="2" t="inlineStr">
        <is>
          <t>Orre</t>
        </is>
      </c>
      <c r="S100">
        <f>HYPERLINK("https://klasma.github.io/Logging_2480/artfynd/A 49359-2023 artfynd.xlsx", "A 49359-2023")</f>
        <v/>
      </c>
      <c r="T100">
        <f>HYPERLINK("https://klasma.github.io/Logging_2480/kartor/A 49359-2023 karta.png", "A 49359-2023")</f>
        <v/>
      </c>
      <c r="V100">
        <f>HYPERLINK("https://klasma.github.io/Logging_2480/klagomål/A 49359-2023 FSC-klagomål.docx", "A 49359-2023")</f>
        <v/>
      </c>
      <c r="W100">
        <f>HYPERLINK("https://klasma.github.io/Logging_2480/klagomålsmail/A 49359-2023 FSC-klagomål mail.docx", "A 49359-2023")</f>
        <v/>
      </c>
      <c r="X100">
        <f>HYPERLINK("https://klasma.github.io/Logging_2480/tillsyn/A 49359-2023 tillsynsbegäran.docx", "A 49359-2023")</f>
        <v/>
      </c>
      <c r="Y100">
        <f>HYPERLINK("https://klasma.github.io/Logging_2480/tillsynsmail/A 49359-2023 tillsynsbegäran mail.docx", "A 49359-2023")</f>
        <v/>
      </c>
      <c r="Z100">
        <f>HYPERLINK("https://klasma.github.io/Logging_2480/fåglar/A 49359-2023 prioriterade fågelarter.docx", "A 49359-2023")</f>
        <v/>
      </c>
    </row>
    <row r="101" ht="15" customHeight="1">
      <c r="A101" t="inlineStr">
        <is>
          <t>A 43029-2024</t>
        </is>
      </c>
      <c r="B101" s="1" t="n">
        <v>45567.41245370371</v>
      </c>
      <c r="C101" s="1" t="n">
        <v>46087</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45633-2024</t>
        </is>
      </c>
      <c r="B102" s="1" t="n">
        <v>45579</v>
      </c>
      <c r="C102" s="1" t="n">
        <v>46087</v>
      </c>
      <c r="D102" t="inlineStr">
        <is>
          <t>VÄSTERBOTTENS LÄN</t>
        </is>
      </c>
      <c r="E102" t="inlineStr">
        <is>
          <t>UMEÅ</t>
        </is>
      </c>
      <c r="F102" t="inlineStr">
        <is>
          <t>Holmen skog AB</t>
        </is>
      </c>
      <c r="G102" t="n">
        <v>5.4</v>
      </c>
      <c r="H102" t="n">
        <v>0</v>
      </c>
      <c r="I102" t="n">
        <v>0</v>
      </c>
      <c r="J102" t="n">
        <v>1</v>
      </c>
      <c r="K102" t="n">
        <v>0</v>
      </c>
      <c r="L102" t="n">
        <v>0</v>
      </c>
      <c r="M102" t="n">
        <v>0</v>
      </c>
      <c r="N102" t="n">
        <v>0</v>
      </c>
      <c r="O102" t="n">
        <v>1</v>
      </c>
      <c r="P102" t="n">
        <v>0</v>
      </c>
      <c r="Q102" t="n">
        <v>1</v>
      </c>
      <c r="R102" s="2" t="inlineStr">
        <is>
          <t>Mörk kolflarnlav</t>
        </is>
      </c>
      <c r="S102">
        <f>HYPERLINK("https://klasma.github.io/Logging_2480/artfynd/A 45633-2024 artfynd.xlsx", "A 45633-2024")</f>
        <v/>
      </c>
      <c r="T102">
        <f>HYPERLINK("https://klasma.github.io/Logging_2480/kartor/A 45633-2024 karta.png", "A 45633-2024")</f>
        <v/>
      </c>
      <c r="V102">
        <f>HYPERLINK("https://klasma.github.io/Logging_2480/klagomål/A 45633-2024 FSC-klagomål.docx", "A 45633-2024")</f>
        <v/>
      </c>
      <c r="W102">
        <f>HYPERLINK("https://klasma.github.io/Logging_2480/klagomålsmail/A 45633-2024 FSC-klagomål mail.docx", "A 45633-2024")</f>
        <v/>
      </c>
      <c r="X102">
        <f>HYPERLINK("https://klasma.github.io/Logging_2480/tillsyn/A 45633-2024 tillsynsbegäran.docx", "A 45633-2024")</f>
        <v/>
      </c>
      <c r="Y102">
        <f>HYPERLINK("https://klasma.github.io/Logging_2480/tillsynsmail/A 45633-2024 tillsynsbegäran mail.docx", "A 45633-2024")</f>
        <v/>
      </c>
    </row>
    <row r="103" ht="15" customHeight="1">
      <c r="A103" t="inlineStr">
        <is>
          <t>A 11502-2022</t>
        </is>
      </c>
      <c r="B103" s="1" t="n">
        <v>44631</v>
      </c>
      <c r="C103" s="1" t="n">
        <v>46087</v>
      </c>
      <c r="D103" t="inlineStr">
        <is>
          <t>VÄSTERBOTTENS LÄN</t>
        </is>
      </c>
      <c r="E103" t="inlineStr">
        <is>
          <t>UMEÅ</t>
        </is>
      </c>
      <c r="F103" t="inlineStr">
        <is>
          <t>Kommuner</t>
        </is>
      </c>
      <c r="G103" t="n">
        <v>1.8</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11502-2022 artfynd.xlsx", "A 11502-2022")</f>
        <v/>
      </c>
      <c r="T103">
        <f>HYPERLINK("https://klasma.github.io/Logging_2480/kartor/A 11502-2022 karta.png", "A 11502-2022")</f>
        <v/>
      </c>
      <c r="V103">
        <f>HYPERLINK("https://klasma.github.io/Logging_2480/klagomål/A 11502-2022 FSC-klagomål.docx", "A 11502-2022")</f>
        <v/>
      </c>
      <c r="W103">
        <f>HYPERLINK("https://klasma.github.io/Logging_2480/klagomålsmail/A 11502-2022 FSC-klagomål mail.docx", "A 11502-2022")</f>
        <v/>
      </c>
      <c r="X103">
        <f>HYPERLINK("https://klasma.github.io/Logging_2480/tillsyn/A 11502-2022 tillsynsbegäran.docx", "A 11502-2022")</f>
        <v/>
      </c>
      <c r="Y103">
        <f>HYPERLINK("https://klasma.github.io/Logging_2480/tillsynsmail/A 11502-2022 tillsynsbegäran mail.docx", "A 11502-2022")</f>
        <v/>
      </c>
    </row>
    <row r="104" ht="15" customHeight="1">
      <c r="A104" t="inlineStr">
        <is>
          <t>A 26250-2023</t>
        </is>
      </c>
      <c r="B104" s="1" t="n">
        <v>45086</v>
      </c>
      <c r="C104" s="1" t="n">
        <v>46087</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40851-2024</t>
        </is>
      </c>
      <c r="B105" s="1" t="n">
        <v>45558</v>
      </c>
      <c r="C105" s="1" t="n">
        <v>46087</v>
      </c>
      <c r="D105" t="inlineStr">
        <is>
          <t>VÄSTERBOTTENS LÄN</t>
        </is>
      </c>
      <c r="E105" t="inlineStr">
        <is>
          <t>UMEÅ</t>
        </is>
      </c>
      <c r="G105" t="n">
        <v>2.9</v>
      </c>
      <c r="H105" t="n">
        <v>1</v>
      </c>
      <c r="I105" t="n">
        <v>0</v>
      </c>
      <c r="J105" t="n">
        <v>1</v>
      </c>
      <c r="K105" t="n">
        <v>0</v>
      </c>
      <c r="L105" t="n">
        <v>0</v>
      </c>
      <c r="M105" t="n">
        <v>0</v>
      </c>
      <c r="N105" t="n">
        <v>0</v>
      </c>
      <c r="O105" t="n">
        <v>1</v>
      </c>
      <c r="P105" t="n">
        <v>0</v>
      </c>
      <c r="Q105" t="n">
        <v>1</v>
      </c>
      <c r="R105" s="2" t="inlineStr">
        <is>
          <t>Havsörn</t>
        </is>
      </c>
      <c r="S105">
        <f>HYPERLINK("https://klasma.github.io/Logging_2480/artfynd/A 40851-2024 artfynd.xlsx", "A 40851-2024")</f>
        <v/>
      </c>
      <c r="T105">
        <f>HYPERLINK("https://klasma.github.io/Logging_2480/kartor/A 40851-2024 karta.png", "A 40851-2024")</f>
        <v/>
      </c>
      <c r="V105">
        <f>HYPERLINK("https://klasma.github.io/Logging_2480/klagomål/A 40851-2024 FSC-klagomål.docx", "A 40851-2024")</f>
        <v/>
      </c>
      <c r="W105">
        <f>HYPERLINK("https://klasma.github.io/Logging_2480/klagomålsmail/A 40851-2024 FSC-klagomål mail.docx", "A 40851-2024")</f>
        <v/>
      </c>
      <c r="X105">
        <f>HYPERLINK("https://klasma.github.io/Logging_2480/tillsyn/A 40851-2024 tillsynsbegäran.docx", "A 40851-2024")</f>
        <v/>
      </c>
      <c r="Y105">
        <f>HYPERLINK("https://klasma.github.io/Logging_2480/tillsynsmail/A 40851-2024 tillsynsbegäran mail.docx", "A 40851-2024")</f>
        <v/>
      </c>
      <c r="Z105">
        <f>HYPERLINK("https://klasma.github.io/Logging_2480/fåglar/A 40851-2024 prioriterade fågelarter.docx", "A 40851-2024")</f>
        <v/>
      </c>
    </row>
    <row r="106" ht="15" customHeight="1">
      <c r="A106" t="inlineStr">
        <is>
          <t>A 62145-2025</t>
        </is>
      </c>
      <c r="B106" s="1" t="n">
        <v>46006.47403935185</v>
      </c>
      <c r="C106" s="1" t="n">
        <v>46087</v>
      </c>
      <c r="D106" t="inlineStr">
        <is>
          <t>VÄSTERBOTTENS LÄN</t>
        </is>
      </c>
      <c r="E106" t="inlineStr">
        <is>
          <t>UMEÅ</t>
        </is>
      </c>
      <c r="G106" t="n">
        <v>2.8</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62145-2025 artfynd.xlsx", "A 62145-2025")</f>
        <v/>
      </c>
      <c r="T106">
        <f>HYPERLINK("https://klasma.github.io/Logging_2480/kartor/A 62145-2025 karta.png", "A 62145-2025")</f>
        <v/>
      </c>
      <c r="V106">
        <f>HYPERLINK("https://klasma.github.io/Logging_2480/klagomål/A 62145-2025 FSC-klagomål.docx", "A 62145-2025")</f>
        <v/>
      </c>
      <c r="W106">
        <f>HYPERLINK("https://klasma.github.io/Logging_2480/klagomålsmail/A 62145-2025 FSC-klagomål mail.docx", "A 62145-2025")</f>
        <v/>
      </c>
      <c r="X106">
        <f>HYPERLINK("https://klasma.github.io/Logging_2480/tillsyn/A 62145-2025 tillsynsbegäran.docx", "A 62145-2025")</f>
        <v/>
      </c>
      <c r="Y106">
        <f>HYPERLINK("https://klasma.github.io/Logging_2480/tillsynsmail/A 62145-2025 tillsynsbegäran mail.docx", "A 62145-2025")</f>
        <v/>
      </c>
      <c r="Z106">
        <f>HYPERLINK("https://klasma.github.io/Logging_2480/fåglar/A 62145-2025 prioriterade fågelarter.docx", "A 62145-2025")</f>
        <v/>
      </c>
    </row>
    <row r="107" ht="15" customHeight="1">
      <c r="A107" t="inlineStr">
        <is>
          <t>A 51990-2023</t>
        </is>
      </c>
      <c r="B107" s="1" t="n">
        <v>45216</v>
      </c>
      <c r="C107" s="1" t="n">
        <v>46087</v>
      </c>
      <c r="D107" t="inlineStr">
        <is>
          <t>VÄSTERBOTTENS LÄN</t>
        </is>
      </c>
      <c r="E107" t="inlineStr">
        <is>
          <t>UMEÅ</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HYPERLINK("https://klasma.github.io/Logging_2480/artfynd/A 51990-2023 artfynd.xlsx", "A 51990-2023")</f>
        <v/>
      </c>
      <c r="T107">
        <f>HYPERLINK("https://klasma.github.io/Logging_2480/kartor/A 51990-2023 karta.png", "A 51990-2023")</f>
        <v/>
      </c>
      <c r="V107">
        <f>HYPERLINK("https://klasma.github.io/Logging_2480/klagomål/A 51990-2023 FSC-klagomål.docx", "A 51990-2023")</f>
        <v/>
      </c>
      <c r="W107">
        <f>HYPERLINK("https://klasma.github.io/Logging_2480/klagomålsmail/A 51990-2023 FSC-klagomål mail.docx", "A 51990-2023")</f>
        <v/>
      </c>
      <c r="X107">
        <f>HYPERLINK("https://klasma.github.io/Logging_2480/tillsyn/A 51990-2023 tillsynsbegäran.docx", "A 51990-2023")</f>
        <v/>
      </c>
      <c r="Y107">
        <f>HYPERLINK("https://klasma.github.io/Logging_2480/tillsynsmail/A 51990-2023 tillsynsbegäran mail.docx", "A 51990-2023")</f>
        <v/>
      </c>
    </row>
    <row r="108" ht="15" customHeight="1">
      <c r="A108" t="inlineStr">
        <is>
          <t>A 43550-2024</t>
        </is>
      </c>
      <c r="B108" s="1" t="n">
        <v>45569.38002314815</v>
      </c>
      <c r="C108" s="1" t="n">
        <v>46087</v>
      </c>
      <c r="D108" t="inlineStr">
        <is>
          <t>VÄSTERBOTTENS LÄN</t>
        </is>
      </c>
      <c r="E108" t="inlineStr">
        <is>
          <t>UMEÅ</t>
        </is>
      </c>
      <c r="F108" t="inlineStr">
        <is>
          <t>Kommuner</t>
        </is>
      </c>
      <c r="G108" t="n">
        <v>3.9</v>
      </c>
      <c r="H108" t="n">
        <v>0</v>
      </c>
      <c r="I108" t="n">
        <v>1</v>
      </c>
      <c r="J108" t="n">
        <v>0</v>
      </c>
      <c r="K108" t="n">
        <v>0</v>
      </c>
      <c r="L108" t="n">
        <v>0</v>
      </c>
      <c r="M108" t="n">
        <v>0</v>
      </c>
      <c r="N108" t="n">
        <v>0</v>
      </c>
      <c r="O108" t="n">
        <v>0</v>
      </c>
      <c r="P108" t="n">
        <v>0</v>
      </c>
      <c r="Q108" t="n">
        <v>1</v>
      </c>
      <c r="R108" s="2" t="inlineStr">
        <is>
          <t>Rävticka</t>
        </is>
      </c>
      <c r="S108">
        <f>HYPERLINK("https://klasma.github.io/Logging_2480/artfynd/A 43550-2024 artfynd.xlsx", "A 43550-2024")</f>
        <v/>
      </c>
      <c r="T108">
        <f>HYPERLINK("https://klasma.github.io/Logging_2480/kartor/A 43550-2024 karta.png", "A 43550-2024")</f>
        <v/>
      </c>
      <c r="V108">
        <f>HYPERLINK("https://klasma.github.io/Logging_2480/klagomål/A 43550-2024 FSC-klagomål.docx", "A 43550-2024")</f>
        <v/>
      </c>
      <c r="W108">
        <f>HYPERLINK("https://klasma.github.io/Logging_2480/klagomålsmail/A 43550-2024 FSC-klagomål mail.docx", "A 43550-2024")</f>
        <v/>
      </c>
      <c r="X108">
        <f>HYPERLINK("https://klasma.github.io/Logging_2480/tillsyn/A 43550-2024 tillsynsbegäran.docx", "A 43550-2024")</f>
        <v/>
      </c>
      <c r="Y108">
        <f>HYPERLINK("https://klasma.github.io/Logging_2480/tillsynsmail/A 43550-2024 tillsynsbegäran mail.docx", "A 43550-2024")</f>
        <v/>
      </c>
    </row>
    <row r="109" ht="15" customHeight="1">
      <c r="A109" t="inlineStr">
        <is>
          <t>A 45659-2024</t>
        </is>
      </c>
      <c r="B109" s="1" t="n">
        <v>45579.495</v>
      </c>
      <c r="C109" s="1" t="n">
        <v>46087</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60084-2025</t>
        </is>
      </c>
      <c r="B110" s="1" t="n">
        <v>45993.70097222222</v>
      </c>
      <c r="C110" s="1" t="n">
        <v>46087</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4913-2026</t>
        </is>
      </c>
      <c r="B111" s="1" t="n">
        <v>46048.72559027778</v>
      </c>
      <c r="C111" s="1" t="n">
        <v>46087</v>
      </c>
      <c r="D111" t="inlineStr">
        <is>
          <t>VÄSTERBOTTENS LÄN</t>
        </is>
      </c>
      <c r="E111" t="inlineStr">
        <is>
          <t>UMEÅ</t>
        </is>
      </c>
      <c r="G111" t="n">
        <v>2.8</v>
      </c>
      <c r="H111" t="n">
        <v>0</v>
      </c>
      <c r="I111" t="n">
        <v>0</v>
      </c>
      <c r="J111" t="n">
        <v>1</v>
      </c>
      <c r="K111" t="n">
        <v>0</v>
      </c>
      <c r="L111" t="n">
        <v>0</v>
      </c>
      <c r="M111" t="n">
        <v>0</v>
      </c>
      <c r="N111" t="n">
        <v>0</v>
      </c>
      <c r="O111" t="n">
        <v>1</v>
      </c>
      <c r="P111" t="n">
        <v>0</v>
      </c>
      <c r="Q111" t="n">
        <v>1</v>
      </c>
      <c r="R111" s="2" t="inlineStr">
        <is>
          <t>Motaggsvamp</t>
        </is>
      </c>
      <c r="S111">
        <f>HYPERLINK("https://klasma.github.io/Logging_2480/artfynd/A 4913-2026 artfynd.xlsx", "A 4913-2026")</f>
        <v/>
      </c>
      <c r="T111">
        <f>HYPERLINK("https://klasma.github.io/Logging_2480/kartor/A 4913-2026 karta.png", "A 4913-2026")</f>
        <v/>
      </c>
      <c r="V111">
        <f>HYPERLINK("https://klasma.github.io/Logging_2480/klagomål/A 4913-2026 FSC-klagomål.docx", "A 4913-2026")</f>
        <v/>
      </c>
      <c r="W111">
        <f>HYPERLINK("https://klasma.github.io/Logging_2480/klagomålsmail/A 4913-2026 FSC-klagomål mail.docx", "A 4913-2026")</f>
        <v/>
      </c>
      <c r="X111">
        <f>HYPERLINK("https://klasma.github.io/Logging_2480/tillsyn/A 4913-2026 tillsynsbegäran.docx", "A 4913-2026")</f>
        <v/>
      </c>
      <c r="Y111">
        <f>HYPERLINK("https://klasma.github.io/Logging_2480/tillsynsmail/A 4913-2026 tillsynsbegäran mail.docx", "A 4913-2026")</f>
        <v/>
      </c>
    </row>
    <row r="112" ht="15" customHeight="1">
      <c r="A112" t="inlineStr">
        <is>
          <t>A 29397-2025</t>
        </is>
      </c>
      <c r="B112" s="1" t="n">
        <v>45824.60902777778</v>
      </c>
      <c r="C112" s="1" t="n">
        <v>46087</v>
      </c>
      <c r="D112" t="inlineStr">
        <is>
          <t>VÄSTERBOTTENS LÄN</t>
        </is>
      </c>
      <c r="E112" t="inlineStr">
        <is>
          <t>UMEÅ</t>
        </is>
      </c>
      <c r="F112" t="inlineStr">
        <is>
          <t>Holmen skog AB</t>
        </is>
      </c>
      <c r="G112" t="n">
        <v>4</v>
      </c>
      <c r="H112" t="n">
        <v>1</v>
      </c>
      <c r="I112" t="n">
        <v>0</v>
      </c>
      <c r="J112" t="n">
        <v>0</v>
      </c>
      <c r="K112" t="n">
        <v>0</v>
      </c>
      <c r="L112" t="n">
        <v>0</v>
      </c>
      <c r="M112" t="n">
        <v>0</v>
      </c>
      <c r="N112" t="n">
        <v>0</v>
      </c>
      <c r="O112" t="n">
        <v>0</v>
      </c>
      <c r="P112" t="n">
        <v>0</v>
      </c>
      <c r="Q112" t="n">
        <v>1</v>
      </c>
      <c r="R112" s="2" t="inlineStr">
        <is>
          <t>Tjäder</t>
        </is>
      </c>
      <c r="S112">
        <f>HYPERLINK("https://klasma.github.io/Logging_2480/artfynd/A 29397-2025 artfynd.xlsx", "A 29397-2025")</f>
        <v/>
      </c>
      <c r="T112">
        <f>HYPERLINK("https://klasma.github.io/Logging_2480/kartor/A 29397-2025 karta.png", "A 29397-2025")</f>
        <v/>
      </c>
      <c r="V112">
        <f>HYPERLINK("https://klasma.github.io/Logging_2480/klagomål/A 29397-2025 FSC-klagomål.docx", "A 29397-2025")</f>
        <v/>
      </c>
      <c r="W112">
        <f>HYPERLINK("https://klasma.github.io/Logging_2480/klagomålsmail/A 29397-2025 FSC-klagomål mail.docx", "A 29397-2025")</f>
        <v/>
      </c>
      <c r="X112">
        <f>HYPERLINK("https://klasma.github.io/Logging_2480/tillsyn/A 29397-2025 tillsynsbegäran.docx", "A 29397-2025")</f>
        <v/>
      </c>
      <c r="Y112">
        <f>HYPERLINK("https://klasma.github.io/Logging_2480/tillsynsmail/A 29397-2025 tillsynsbegäran mail.docx", "A 29397-2025")</f>
        <v/>
      </c>
      <c r="Z112">
        <f>HYPERLINK("https://klasma.github.io/Logging_2480/fåglar/A 29397-2025 prioriterade fågelarter.docx", "A 29397-2025")</f>
        <v/>
      </c>
    </row>
    <row r="113" ht="15" customHeight="1">
      <c r="A113" t="inlineStr">
        <is>
          <t>A 922-2026</t>
        </is>
      </c>
      <c r="B113" s="1" t="n">
        <v>46030.49030092593</v>
      </c>
      <c r="C113" s="1" t="n">
        <v>46087</v>
      </c>
      <c r="D113" t="inlineStr">
        <is>
          <t>VÄSTERBOTTENS LÄN</t>
        </is>
      </c>
      <c r="E113" t="inlineStr">
        <is>
          <t>UMEÅ</t>
        </is>
      </c>
      <c r="G113" t="n">
        <v>5.2</v>
      </c>
      <c r="H113" t="n">
        <v>1</v>
      </c>
      <c r="I113" t="n">
        <v>0</v>
      </c>
      <c r="J113" t="n">
        <v>0</v>
      </c>
      <c r="K113" t="n">
        <v>0</v>
      </c>
      <c r="L113" t="n">
        <v>0</v>
      </c>
      <c r="M113" t="n">
        <v>0</v>
      </c>
      <c r="N113" t="n">
        <v>0</v>
      </c>
      <c r="O113" t="n">
        <v>0</v>
      </c>
      <c r="P113" t="n">
        <v>0</v>
      </c>
      <c r="Q113" t="n">
        <v>1</v>
      </c>
      <c r="R113" s="2" t="inlineStr">
        <is>
          <t>Fläcknycklar</t>
        </is>
      </c>
      <c r="S113">
        <f>HYPERLINK("https://klasma.github.io/Logging_2480/artfynd/A 922-2026 artfynd.xlsx", "A 922-2026")</f>
        <v/>
      </c>
      <c r="T113">
        <f>HYPERLINK("https://klasma.github.io/Logging_2480/kartor/A 922-2026 karta.png", "A 922-2026")</f>
        <v/>
      </c>
      <c r="V113">
        <f>HYPERLINK("https://klasma.github.io/Logging_2480/klagomål/A 922-2026 FSC-klagomål.docx", "A 922-2026")</f>
        <v/>
      </c>
      <c r="W113">
        <f>HYPERLINK("https://klasma.github.io/Logging_2480/klagomålsmail/A 922-2026 FSC-klagomål mail.docx", "A 922-2026")</f>
        <v/>
      </c>
      <c r="X113">
        <f>HYPERLINK("https://klasma.github.io/Logging_2480/tillsyn/A 922-2026 tillsynsbegäran.docx", "A 922-2026")</f>
        <v/>
      </c>
      <c r="Y113">
        <f>HYPERLINK("https://klasma.github.io/Logging_2480/tillsynsmail/A 922-2026 tillsynsbegäran mail.docx", "A 922-2026")</f>
        <v/>
      </c>
    </row>
    <row r="114" ht="15" customHeight="1">
      <c r="A114" t="inlineStr">
        <is>
          <t>A 43519-2022</t>
        </is>
      </c>
      <c r="B114" s="1" t="n">
        <v>44837</v>
      </c>
      <c r="C114" s="1" t="n">
        <v>46087</v>
      </c>
      <c r="D114" t="inlineStr">
        <is>
          <t>VÄSTERBOTTENS LÄN</t>
        </is>
      </c>
      <c r="E114" t="inlineStr">
        <is>
          <t>UMEÅ</t>
        </is>
      </c>
      <c r="G114" t="n">
        <v>4.2</v>
      </c>
      <c r="H114" t="n">
        <v>0</v>
      </c>
      <c r="I114" t="n">
        <v>0</v>
      </c>
      <c r="J114" t="n">
        <v>1</v>
      </c>
      <c r="K114" t="n">
        <v>0</v>
      </c>
      <c r="L114" t="n">
        <v>0</v>
      </c>
      <c r="M114" t="n">
        <v>0</v>
      </c>
      <c r="N114" t="n">
        <v>0</v>
      </c>
      <c r="O114" t="n">
        <v>1</v>
      </c>
      <c r="P114" t="n">
        <v>0</v>
      </c>
      <c r="Q114" t="n">
        <v>1</v>
      </c>
      <c r="R114" s="2" t="inlineStr">
        <is>
          <t>Skogshare</t>
        </is>
      </c>
      <c r="S114">
        <f>HYPERLINK("https://klasma.github.io/Logging_2480/artfynd/A 43519-2022 artfynd.xlsx", "A 43519-2022")</f>
        <v/>
      </c>
      <c r="T114">
        <f>HYPERLINK("https://klasma.github.io/Logging_2480/kartor/A 43519-2022 karta.png", "A 43519-2022")</f>
        <v/>
      </c>
      <c r="V114">
        <f>HYPERLINK("https://klasma.github.io/Logging_2480/klagomål/A 43519-2022 FSC-klagomål.docx", "A 43519-2022")</f>
        <v/>
      </c>
      <c r="W114">
        <f>HYPERLINK("https://klasma.github.io/Logging_2480/klagomålsmail/A 43519-2022 FSC-klagomål mail.docx", "A 43519-2022")</f>
        <v/>
      </c>
      <c r="X114">
        <f>HYPERLINK("https://klasma.github.io/Logging_2480/tillsyn/A 43519-2022 tillsynsbegäran.docx", "A 43519-2022")</f>
        <v/>
      </c>
      <c r="Y114">
        <f>HYPERLINK("https://klasma.github.io/Logging_2480/tillsynsmail/A 43519-2022 tillsynsbegäran mail.docx", "A 43519-2022")</f>
        <v/>
      </c>
    </row>
    <row r="115" ht="15" customHeight="1">
      <c r="A115" t="inlineStr">
        <is>
          <t>A 10747-2026</t>
        </is>
      </c>
      <c r="B115" s="1" t="n">
        <v>46078.52120370371</v>
      </c>
      <c r="C115" s="1" t="n">
        <v>46087</v>
      </c>
      <c r="D115" t="inlineStr">
        <is>
          <t>VÄSTERBOTTENS LÄN</t>
        </is>
      </c>
      <c r="E115" t="inlineStr">
        <is>
          <t>UMEÅ</t>
        </is>
      </c>
      <c r="G115" t="n">
        <v>2.9</v>
      </c>
      <c r="H115" t="n">
        <v>0</v>
      </c>
      <c r="I115" t="n">
        <v>0</v>
      </c>
      <c r="J115" t="n">
        <v>1</v>
      </c>
      <c r="K115" t="n">
        <v>0</v>
      </c>
      <c r="L115" t="n">
        <v>0</v>
      </c>
      <c r="M115" t="n">
        <v>0</v>
      </c>
      <c r="N115" t="n">
        <v>0</v>
      </c>
      <c r="O115" t="n">
        <v>1</v>
      </c>
      <c r="P115" t="n">
        <v>0</v>
      </c>
      <c r="Q115" t="n">
        <v>1</v>
      </c>
      <c r="R115" s="2" t="inlineStr">
        <is>
          <t>Spinnfingersvamp</t>
        </is>
      </c>
      <c r="S115">
        <f>HYPERLINK("https://klasma.github.io/Logging_2480/artfynd/A 10747-2026 artfynd.xlsx", "A 10747-2026")</f>
        <v/>
      </c>
      <c r="T115">
        <f>HYPERLINK("https://klasma.github.io/Logging_2480/kartor/A 10747-2026 karta.png", "A 10747-2026")</f>
        <v/>
      </c>
      <c r="V115">
        <f>HYPERLINK("https://klasma.github.io/Logging_2480/klagomål/A 10747-2026 FSC-klagomål.docx", "A 10747-2026")</f>
        <v/>
      </c>
      <c r="W115">
        <f>HYPERLINK("https://klasma.github.io/Logging_2480/klagomålsmail/A 10747-2026 FSC-klagomål mail.docx", "A 10747-2026")</f>
        <v/>
      </c>
      <c r="X115">
        <f>HYPERLINK("https://klasma.github.io/Logging_2480/tillsyn/A 10747-2026 tillsynsbegäran.docx", "A 10747-2026")</f>
        <v/>
      </c>
      <c r="Y115">
        <f>HYPERLINK("https://klasma.github.io/Logging_2480/tillsynsmail/A 10747-2026 tillsynsbegäran mail.docx", "A 10747-2026")</f>
        <v/>
      </c>
    </row>
    <row r="116" ht="15" customHeight="1">
      <c r="A116" t="inlineStr">
        <is>
          <t>A 17091-2025</t>
        </is>
      </c>
      <c r="B116" s="1" t="n">
        <v>45755.64905092592</v>
      </c>
      <c r="C116" s="1" t="n">
        <v>46087</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10945-2025</t>
        </is>
      </c>
      <c r="B117" s="1" t="n">
        <v>45723.33811342593</v>
      </c>
      <c r="C117" s="1" t="n">
        <v>46087</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18248-2021</t>
        </is>
      </c>
      <c r="B118" s="1" t="n">
        <v>44305</v>
      </c>
      <c r="C118" s="1" t="n">
        <v>46087</v>
      </c>
      <c r="D118" t="inlineStr">
        <is>
          <t>VÄSTERBOTTENS LÄN</t>
        </is>
      </c>
      <c r="E118" t="inlineStr">
        <is>
          <t>UMEÅ</t>
        </is>
      </c>
      <c r="G118" t="n">
        <v>22</v>
      </c>
      <c r="H118" t="n">
        <v>1</v>
      </c>
      <c r="I118" t="n">
        <v>0</v>
      </c>
      <c r="J118" t="n">
        <v>0</v>
      </c>
      <c r="K118" t="n">
        <v>0</v>
      </c>
      <c r="L118" t="n">
        <v>0</v>
      </c>
      <c r="M118" t="n">
        <v>0</v>
      </c>
      <c r="N118" t="n">
        <v>0</v>
      </c>
      <c r="O118" t="n">
        <v>0</v>
      </c>
      <c r="P118" t="n">
        <v>0</v>
      </c>
      <c r="Q118" t="n">
        <v>1</v>
      </c>
      <c r="R118" s="2" t="inlineStr">
        <is>
          <t>Bivråk</t>
        </is>
      </c>
      <c r="S118">
        <f>HYPERLINK("https://klasma.github.io/Logging_2480/artfynd/A 18248-2021 artfynd.xlsx", "A 18248-2021")</f>
        <v/>
      </c>
      <c r="T118">
        <f>HYPERLINK("https://klasma.github.io/Logging_2480/kartor/A 18248-2021 karta.png", "A 18248-2021")</f>
        <v/>
      </c>
      <c r="V118">
        <f>HYPERLINK("https://klasma.github.io/Logging_2480/klagomål/A 18248-2021 FSC-klagomål.docx", "A 18248-2021")</f>
        <v/>
      </c>
      <c r="W118">
        <f>HYPERLINK("https://klasma.github.io/Logging_2480/klagomålsmail/A 18248-2021 FSC-klagomål mail.docx", "A 18248-2021")</f>
        <v/>
      </c>
      <c r="X118">
        <f>HYPERLINK("https://klasma.github.io/Logging_2480/tillsyn/A 18248-2021 tillsynsbegäran.docx", "A 18248-2021")</f>
        <v/>
      </c>
      <c r="Y118">
        <f>HYPERLINK("https://klasma.github.io/Logging_2480/tillsynsmail/A 18248-2021 tillsynsbegäran mail.docx", "A 18248-2021")</f>
        <v/>
      </c>
      <c r="Z118">
        <f>HYPERLINK("https://klasma.github.io/Logging_2480/fåglar/A 18248-2021 prioriterade fågelarter.docx", "A 18248-2021")</f>
        <v/>
      </c>
    </row>
    <row r="119" ht="15" customHeight="1">
      <c r="A119" t="inlineStr">
        <is>
          <t>A 28262-2023</t>
        </is>
      </c>
      <c r="B119" s="1" t="n">
        <v>45099</v>
      </c>
      <c r="C119" s="1" t="n">
        <v>46087</v>
      </c>
      <c r="D119" t="inlineStr">
        <is>
          <t>VÄSTERBOTTENS LÄN</t>
        </is>
      </c>
      <c r="E119" t="inlineStr">
        <is>
          <t>UMEÅ</t>
        </is>
      </c>
      <c r="F119" t="inlineStr">
        <is>
          <t>Holmen skog AB</t>
        </is>
      </c>
      <c r="G119" t="n">
        <v>2.6</v>
      </c>
      <c r="H119" t="n">
        <v>0</v>
      </c>
      <c r="I119" t="n">
        <v>1</v>
      </c>
      <c r="J119" t="n">
        <v>0</v>
      </c>
      <c r="K119" t="n">
        <v>0</v>
      </c>
      <c r="L119" t="n">
        <v>0</v>
      </c>
      <c r="M119" t="n">
        <v>0</v>
      </c>
      <c r="N119" t="n">
        <v>0</v>
      </c>
      <c r="O119" t="n">
        <v>0</v>
      </c>
      <c r="P119" t="n">
        <v>0</v>
      </c>
      <c r="Q119" t="n">
        <v>1</v>
      </c>
      <c r="R119" s="2" t="inlineStr">
        <is>
          <t>Gulskölding</t>
        </is>
      </c>
      <c r="S119">
        <f>HYPERLINK("https://klasma.github.io/Logging_2480/artfynd/A 28262-2023 artfynd.xlsx", "A 28262-2023")</f>
        <v/>
      </c>
      <c r="T119">
        <f>HYPERLINK("https://klasma.github.io/Logging_2480/kartor/A 28262-2023 karta.png", "A 28262-2023")</f>
        <v/>
      </c>
      <c r="V119">
        <f>HYPERLINK("https://klasma.github.io/Logging_2480/klagomål/A 28262-2023 FSC-klagomål.docx", "A 28262-2023")</f>
        <v/>
      </c>
      <c r="W119">
        <f>HYPERLINK("https://klasma.github.io/Logging_2480/klagomålsmail/A 28262-2023 FSC-klagomål mail.docx", "A 28262-2023")</f>
        <v/>
      </c>
      <c r="X119">
        <f>HYPERLINK("https://klasma.github.io/Logging_2480/tillsyn/A 28262-2023 tillsynsbegäran.docx", "A 28262-2023")</f>
        <v/>
      </c>
      <c r="Y119">
        <f>HYPERLINK("https://klasma.github.io/Logging_2480/tillsynsmail/A 28262-2023 tillsynsbegäran mail.docx", "A 28262-2023")</f>
        <v/>
      </c>
    </row>
    <row r="120" ht="15" customHeight="1">
      <c r="A120" t="inlineStr">
        <is>
          <t>A 39554-2023</t>
        </is>
      </c>
      <c r="B120" s="1" t="n">
        <v>45167</v>
      </c>
      <c r="C120" s="1" t="n">
        <v>46087</v>
      </c>
      <c r="D120" t="inlineStr">
        <is>
          <t>VÄSTERBOTTENS LÄN</t>
        </is>
      </c>
      <c r="E120" t="inlineStr">
        <is>
          <t>UMEÅ</t>
        </is>
      </c>
      <c r="F120" t="inlineStr">
        <is>
          <t>Holmen skog AB</t>
        </is>
      </c>
      <c r="G120" t="n">
        <v>3.5</v>
      </c>
      <c r="H120" t="n">
        <v>0</v>
      </c>
      <c r="I120" t="n">
        <v>0</v>
      </c>
      <c r="J120" t="n">
        <v>1</v>
      </c>
      <c r="K120" t="n">
        <v>0</v>
      </c>
      <c r="L120" t="n">
        <v>0</v>
      </c>
      <c r="M120" t="n">
        <v>0</v>
      </c>
      <c r="N120" t="n">
        <v>0</v>
      </c>
      <c r="O120" t="n">
        <v>1</v>
      </c>
      <c r="P120" t="n">
        <v>0</v>
      </c>
      <c r="Q120" t="n">
        <v>1</v>
      </c>
      <c r="R120" s="2" t="inlineStr">
        <is>
          <t>Blanksvart spiklav</t>
        </is>
      </c>
      <c r="S120">
        <f>HYPERLINK("https://klasma.github.io/Logging_2480/artfynd/A 39554-2023 artfynd.xlsx", "A 39554-2023")</f>
        <v/>
      </c>
      <c r="T120">
        <f>HYPERLINK("https://klasma.github.io/Logging_2480/kartor/A 39554-2023 karta.png", "A 39554-2023")</f>
        <v/>
      </c>
      <c r="V120">
        <f>HYPERLINK("https://klasma.github.io/Logging_2480/klagomål/A 39554-2023 FSC-klagomål.docx", "A 39554-2023")</f>
        <v/>
      </c>
      <c r="W120">
        <f>HYPERLINK("https://klasma.github.io/Logging_2480/klagomålsmail/A 39554-2023 FSC-klagomål mail.docx", "A 39554-2023")</f>
        <v/>
      </c>
      <c r="X120">
        <f>HYPERLINK("https://klasma.github.io/Logging_2480/tillsyn/A 39554-2023 tillsynsbegäran.docx", "A 39554-2023")</f>
        <v/>
      </c>
      <c r="Y120">
        <f>HYPERLINK("https://klasma.github.io/Logging_2480/tillsynsmail/A 39554-2023 tillsynsbegäran mail.docx", "A 39554-2023")</f>
        <v/>
      </c>
    </row>
    <row r="121" ht="15" customHeight="1">
      <c r="A121" t="inlineStr">
        <is>
          <t>A 34496-2025</t>
        </is>
      </c>
      <c r="B121" s="1" t="n">
        <v>45847</v>
      </c>
      <c r="C121" s="1" t="n">
        <v>46087</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31311-2023</t>
        </is>
      </c>
      <c r="B122" s="1" t="n">
        <v>45104</v>
      </c>
      <c r="C122" s="1" t="n">
        <v>46087</v>
      </c>
      <c r="D122" t="inlineStr">
        <is>
          <t>VÄSTERBOTTENS LÄN</t>
        </is>
      </c>
      <c r="E122" t="inlineStr">
        <is>
          <t>UMEÅ</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31311-2023 artfynd.xlsx", "A 31311-2023")</f>
        <v/>
      </c>
      <c r="T122">
        <f>HYPERLINK("https://klasma.github.io/Logging_2480/kartor/A 31311-2023 karta.png", "A 31311-2023")</f>
        <v/>
      </c>
      <c r="V122">
        <f>HYPERLINK("https://klasma.github.io/Logging_2480/klagomål/A 31311-2023 FSC-klagomål.docx", "A 31311-2023")</f>
        <v/>
      </c>
      <c r="W122">
        <f>HYPERLINK("https://klasma.github.io/Logging_2480/klagomålsmail/A 31311-2023 FSC-klagomål mail.docx", "A 31311-2023")</f>
        <v/>
      </c>
      <c r="X122">
        <f>HYPERLINK("https://klasma.github.io/Logging_2480/tillsyn/A 31311-2023 tillsynsbegäran.docx", "A 31311-2023")</f>
        <v/>
      </c>
      <c r="Y122">
        <f>HYPERLINK("https://klasma.github.io/Logging_2480/tillsynsmail/A 31311-2023 tillsynsbegäran mail.docx", "A 31311-2023")</f>
        <v/>
      </c>
    </row>
    <row r="123" ht="15" customHeight="1">
      <c r="A123" t="inlineStr">
        <is>
          <t>A 26932-2024</t>
        </is>
      </c>
      <c r="B123" s="1" t="n">
        <v>45470</v>
      </c>
      <c r="C123" s="1" t="n">
        <v>46087</v>
      </c>
      <c r="D123" t="inlineStr">
        <is>
          <t>VÄSTERBOTTENS LÄN</t>
        </is>
      </c>
      <c r="E123" t="inlineStr">
        <is>
          <t>UMEÅ</t>
        </is>
      </c>
      <c r="G123" t="n">
        <v>4</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26932-2024 artfynd.xlsx", "A 26932-2024")</f>
        <v/>
      </c>
      <c r="T123">
        <f>HYPERLINK("https://klasma.github.io/Logging_2480/kartor/A 26932-2024 karta.png", "A 26932-2024")</f>
        <v/>
      </c>
      <c r="V123">
        <f>HYPERLINK("https://klasma.github.io/Logging_2480/klagomål/A 26932-2024 FSC-klagomål.docx", "A 26932-2024")</f>
        <v/>
      </c>
      <c r="W123">
        <f>HYPERLINK("https://klasma.github.io/Logging_2480/klagomålsmail/A 26932-2024 FSC-klagomål mail.docx", "A 26932-2024")</f>
        <v/>
      </c>
      <c r="X123">
        <f>HYPERLINK("https://klasma.github.io/Logging_2480/tillsyn/A 26932-2024 tillsynsbegäran.docx", "A 26932-2024")</f>
        <v/>
      </c>
      <c r="Y123">
        <f>HYPERLINK("https://klasma.github.io/Logging_2480/tillsynsmail/A 26932-2024 tillsynsbegäran mail.docx", "A 26932-2024")</f>
        <v/>
      </c>
    </row>
    <row r="124" ht="15" customHeight="1">
      <c r="A124" t="inlineStr">
        <is>
          <t>A 36880-2025</t>
        </is>
      </c>
      <c r="B124" s="1" t="n">
        <v>45874.43534722222</v>
      </c>
      <c r="C124" s="1" t="n">
        <v>46087</v>
      </c>
      <c r="D124" t="inlineStr">
        <is>
          <t>VÄSTERBOTTENS LÄN</t>
        </is>
      </c>
      <c r="E124" t="inlineStr">
        <is>
          <t>UMEÅ</t>
        </is>
      </c>
      <c r="G124" t="n">
        <v>11.4</v>
      </c>
      <c r="H124" t="n">
        <v>1</v>
      </c>
      <c r="I124" t="n">
        <v>0</v>
      </c>
      <c r="J124" t="n">
        <v>0</v>
      </c>
      <c r="K124" t="n">
        <v>0</v>
      </c>
      <c r="L124" t="n">
        <v>0</v>
      </c>
      <c r="M124" t="n">
        <v>0</v>
      </c>
      <c r="N124" t="n">
        <v>0</v>
      </c>
      <c r="O124" t="n">
        <v>0</v>
      </c>
      <c r="P124" t="n">
        <v>0</v>
      </c>
      <c r="Q124" t="n">
        <v>1</v>
      </c>
      <c r="R124" s="2" t="inlineStr">
        <is>
          <t>Vanlig groda</t>
        </is>
      </c>
      <c r="S124">
        <f>HYPERLINK("https://klasma.github.io/Logging_2480/artfynd/A 36880-2025 artfynd.xlsx", "A 36880-2025")</f>
        <v/>
      </c>
      <c r="T124">
        <f>HYPERLINK("https://klasma.github.io/Logging_2480/kartor/A 36880-2025 karta.png", "A 36880-2025")</f>
        <v/>
      </c>
      <c r="V124">
        <f>HYPERLINK("https://klasma.github.io/Logging_2480/klagomål/A 36880-2025 FSC-klagomål.docx", "A 36880-2025")</f>
        <v/>
      </c>
      <c r="W124">
        <f>HYPERLINK("https://klasma.github.io/Logging_2480/klagomålsmail/A 36880-2025 FSC-klagomål mail.docx", "A 36880-2025")</f>
        <v/>
      </c>
      <c r="X124">
        <f>HYPERLINK("https://klasma.github.io/Logging_2480/tillsyn/A 36880-2025 tillsynsbegäran.docx", "A 36880-2025")</f>
        <v/>
      </c>
      <c r="Y124">
        <f>HYPERLINK("https://klasma.github.io/Logging_2480/tillsynsmail/A 36880-2025 tillsynsbegäran mail.docx", "A 36880-2025")</f>
        <v/>
      </c>
    </row>
    <row r="125" ht="15" customHeight="1">
      <c r="A125" t="inlineStr">
        <is>
          <t>A 16839-2022</t>
        </is>
      </c>
      <c r="B125" s="1" t="n">
        <v>44673</v>
      </c>
      <c r="C125" s="1" t="n">
        <v>46087</v>
      </c>
      <c r="D125" t="inlineStr">
        <is>
          <t>VÄSTERBOTTENS LÄN</t>
        </is>
      </c>
      <c r="E125" t="inlineStr">
        <is>
          <t>UMEÅ</t>
        </is>
      </c>
      <c r="G125" t="n">
        <v>3</v>
      </c>
      <c r="H125" t="n">
        <v>1</v>
      </c>
      <c r="I125" t="n">
        <v>0</v>
      </c>
      <c r="J125" t="n">
        <v>1</v>
      </c>
      <c r="K125" t="n">
        <v>0</v>
      </c>
      <c r="L125" t="n">
        <v>0</v>
      </c>
      <c r="M125" t="n">
        <v>0</v>
      </c>
      <c r="N125" t="n">
        <v>0</v>
      </c>
      <c r="O125" t="n">
        <v>1</v>
      </c>
      <c r="P125" t="n">
        <v>0</v>
      </c>
      <c r="Q125" t="n">
        <v>1</v>
      </c>
      <c r="R125" s="2" t="inlineStr">
        <is>
          <t>Kråka</t>
        </is>
      </c>
      <c r="S125">
        <f>HYPERLINK("https://klasma.github.io/Logging_2480/artfynd/A 16839-2022 artfynd.xlsx", "A 16839-2022")</f>
        <v/>
      </c>
      <c r="T125">
        <f>HYPERLINK("https://klasma.github.io/Logging_2480/kartor/A 16839-2022 karta.png", "A 16839-2022")</f>
        <v/>
      </c>
      <c r="V125">
        <f>HYPERLINK("https://klasma.github.io/Logging_2480/klagomål/A 16839-2022 FSC-klagomål.docx", "A 16839-2022")</f>
        <v/>
      </c>
      <c r="W125">
        <f>HYPERLINK("https://klasma.github.io/Logging_2480/klagomålsmail/A 16839-2022 FSC-klagomål mail.docx", "A 16839-2022")</f>
        <v/>
      </c>
      <c r="X125">
        <f>HYPERLINK("https://klasma.github.io/Logging_2480/tillsyn/A 16839-2022 tillsynsbegäran.docx", "A 16839-2022")</f>
        <v/>
      </c>
      <c r="Y125">
        <f>HYPERLINK("https://klasma.github.io/Logging_2480/tillsynsmail/A 16839-2022 tillsynsbegäran mail.docx", "A 16839-2022")</f>
        <v/>
      </c>
      <c r="Z125">
        <f>HYPERLINK("https://klasma.github.io/Logging_2480/fåglar/A 16839-2022 prioriterade fågelarter.docx", "A 16839-2022")</f>
        <v/>
      </c>
    </row>
    <row r="126" ht="15" customHeight="1">
      <c r="A126" t="inlineStr">
        <is>
          <t>A 30266-2023</t>
        </is>
      </c>
      <c r="B126" s="1" t="n">
        <v>45110</v>
      </c>
      <c r="C126" s="1" t="n">
        <v>46087</v>
      </c>
      <c r="D126" t="inlineStr">
        <is>
          <t>VÄSTERBOTTENS LÄN</t>
        </is>
      </c>
      <c r="E126" t="inlineStr">
        <is>
          <t>UMEÅ</t>
        </is>
      </c>
      <c r="F126" t="inlineStr">
        <is>
          <t>Holmen skog AB</t>
        </is>
      </c>
      <c r="G126" t="n">
        <v>4.7</v>
      </c>
      <c r="H126" t="n">
        <v>0</v>
      </c>
      <c r="I126" t="n">
        <v>0</v>
      </c>
      <c r="J126" t="n">
        <v>1</v>
      </c>
      <c r="K126" t="n">
        <v>0</v>
      </c>
      <c r="L126" t="n">
        <v>0</v>
      </c>
      <c r="M126" t="n">
        <v>0</v>
      </c>
      <c r="N126" t="n">
        <v>0</v>
      </c>
      <c r="O126" t="n">
        <v>1</v>
      </c>
      <c r="P126" t="n">
        <v>0</v>
      </c>
      <c r="Q126" t="n">
        <v>1</v>
      </c>
      <c r="R126" s="2" t="inlineStr">
        <is>
          <t>Tallticka</t>
        </is>
      </c>
      <c r="S126">
        <f>HYPERLINK("https://klasma.github.io/Logging_2480/artfynd/A 30266-2023 artfynd.xlsx", "A 30266-2023")</f>
        <v/>
      </c>
      <c r="T126">
        <f>HYPERLINK("https://klasma.github.io/Logging_2480/kartor/A 30266-2023 karta.png", "A 30266-2023")</f>
        <v/>
      </c>
      <c r="V126">
        <f>HYPERLINK("https://klasma.github.io/Logging_2480/klagomål/A 30266-2023 FSC-klagomål.docx", "A 30266-2023")</f>
        <v/>
      </c>
      <c r="W126">
        <f>HYPERLINK("https://klasma.github.io/Logging_2480/klagomålsmail/A 30266-2023 FSC-klagomål mail.docx", "A 30266-2023")</f>
        <v/>
      </c>
      <c r="X126">
        <f>HYPERLINK("https://klasma.github.io/Logging_2480/tillsyn/A 30266-2023 tillsynsbegäran.docx", "A 30266-2023")</f>
        <v/>
      </c>
      <c r="Y126">
        <f>HYPERLINK("https://klasma.github.io/Logging_2480/tillsynsmail/A 30266-2023 tillsynsbegäran mail.docx", "A 30266-2023")</f>
        <v/>
      </c>
    </row>
    <row r="127" ht="15" customHeight="1">
      <c r="A127" t="inlineStr">
        <is>
          <t>A 59075-2022</t>
        </is>
      </c>
      <c r="B127" s="1" t="n">
        <v>44904</v>
      </c>
      <c r="C127" s="1" t="n">
        <v>46087</v>
      </c>
      <c r="D127" t="inlineStr">
        <is>
          <t>VÄSTERBOTTENS LÄN</t>
        </is>
      </c>
      <c r="E127" t="inlineStr">
        <is>
          <t>UMEÅ</t>
        </is>
      </c>
      <c r="G127" t="n">
        <v>0.4</v>
      </c>
      <c r="H127" t="n">
        <v>0</v>
      </c>
      <c r="I127" t="n">
        <v>1</v>
      </c>
      <c r="J127" t="n">
        <v>0</v>
      </c>
      <c r="K127" t="n">
        <v>0</v>
      </c>
      <c r="L127" t="n">
        <v>0</v>
      </c>
      <c r="M127" t="n">
        <v>0</v>
      </c>
      <c r="N127" t="n">
        <v>0</v>
      </c>
      <c r="O127" t="n">
        <v>0</v>
      </c>
      <c r="P127" t="n">
        <v>0</v>
      </c>
      <c r="Q127" t="n">
        <v>1</v>
      </c>
      <c r="R127" s="2" t="inlineStr">
        <is>
          <t>Vedticka</t>
        </is>
      </c>
      <c r="S127">
        <f>HYPERLINK("https://klasma.github.io/Logging_2480/artfynd/A 59075-2022 artfynd.xlsx", "A 59075-2022")</f>
        <v/>
      </c>
      <c r="T127">
        <f>HYPERLINK("https://klasma.github.io/Logging_2480/kartor/A 59075-2022 karta.png", "A 59075-2022")</f>
        <v/>
      </c>
      <c r="V127">
        <f>HYPERLINK("https://klasma.github.io/Logging_2480/klagomål/A 59075-2022 FSC-klagomål.docx", "A 59075-2022")</f>
        <v/>
      </c>
      <c r="W127">
        <f>HYPERLINK("https://klasma.github.io/Logging_2480/klagomålsmail/A 59075-2022 FSC-klagomål mail.docx", "A 59075-2022")</f>
        <v/>
      </c>
      <c r="X127">
        <f>HYPERLINK("https://klasma.github.io/Logging_2480/tillsyn/A 59075-2022 tillsynsbegäran.docx", "A 59075-2022")</f>
        <v/>
      </c>
      <c r="Y127">
        <f>HYPERLINK("https://klasma.github.io/Logging_2480/tillsynsmail/A 59075-2022 tillsynsbegäran mail.docx", "A 59075-2022")</f>
        <v/>
      </c>
    </row>
    <row r="128" ht="15" customHeight="1">
      <c r="A128" t="inlineStr">
        <is>
          <t>A 31318-2022</t>
        </is>
      </c>
      <c r="B128" s="1" t="n">
        <v>44772</v>
      </c>
      <c r="C128" s="1" t="n">
        <v>46087</v>
      </c>
      <c r="D128" t="inlineStr">
        <is>
          <t>VÄSTERBOTTENS LÄN</t>
        </is>
      </c>
      <c r="E128" t="inlineStr">
        <is>
          <t>UMEÅ</t>
        </is>
      </c>
      <c r="G128" t="n">
        <v>11.3</v>
      </c>
      <c r="H128" t="n">
        <v>1</v>
      </c>
      <c r="I128" t="n">
        <v>0</v>
      </c>
      <c r="J128" t="n">
        <v>1</v>
      </c>
      <c r="K128" t="n">
        <v>0</v>
      </c>
      <c r="L128" t="n">
        <v>0</v>
      </c>
      <c r="M128" t="n">
        <v>0</v>
      </c>
      <c r="N128" t="n">
        <v>0</v>
      </c>
      <c r="O128" t="n">
        <v>1</v>
      </c>
      <c r="P128" t="n">
        <v>0</v>
      </c>
      <c r="Q128" t="n">
        <v>1</v>
      </c>
      <c r="R128" s="2" t="inlineStr">
        <is>
          <t>Sävsparv</t>
        </is>
      </c>
      <c r="S128">
        <f>HYPERLINK("https://klasma.github.io/Logging_2480/artfynd/A 31318-2022 artfynd.xlsx", "A 31318-2022")</f>
        <v/>
      </c>
      <c r="T128">
        <f>HYPERLINK("https://klasma.github.io/Logging_2480/kartor/A 31318-2022 karta.png", "A 31318-2022")</f>
        <v/>
      </c>
      <c r="V128">
        <f>HYPERLINK("https://klasma.github.io/Logging_2480/klagomål/A 31318-2022 FSC-klagomål.docx", "A 31318-2022")</f>
        <v/>
      </c>
      <c r="W128">
        <f>HYPERLINK("https://klasma.github.io/Logging_2480/klagomålsmail/A 31318-2022 FSC-klagomål mail.docx", "A 31318-2022")</f>
        <v/>
      </c>
      <c r="X128">
        <f>HYPERLINK("https://klasma.github.io/Logging_2480/tillsyn/A 31318-2022 tillsynsbegäran.docx", "A 31318-2022")</f>
        <v/>
      </c>
      <c r="Y128">
        <f>HYPERLINK("https://klasma.github.io/Logging_2480/tillsynsmail/A 31318-2022 tillsynsbegäran mail.docx", "A 31318-2022")</f>
        <v/>
      </c>
      <c r="Z128">
        <f>HYPERLINK("https://klasma.github.io/Logging_2480/fåglar/A 31318-2022 prioriterade fågelarter.docx", "A 31318-2022")</f>
        <v/>
      </c>
    </row>
    <row r="129" ht="15" customHeight="1">
      <c r="A129" t="inlineStr">
        <is>
          <t>A 41674-2023</t>
        </is>
      </c>
      <c r="B129" s="1" t="n">
        <v>45176</v>
      </c>
      <c r="C129" s="1" t="n">
        <v>46087</v>
      </c>
      <c r="D129" t="inlineStr">
        <is>
          <t>VÄSTERBOTTENS LÄN</t>
        </is>
      </c>
      <c r="E129" t="inlineStr">
        <is>
          <t>UMEÅ</t>
        </is>
      </c>
      <c r="F129" t="inlineStr">
        <is>
          <t>Holmen skog AB</t>
        </is>
      </c>
      <c r="G129" t="n">
        <v>4.1</v>
      </c>
      <c r="H129" t="n">
        <v>1</v>
      </c>
      <c r="I129" t="n">
        <v>0</v>
      </c>
      <c r="J129" t="n">
        <v>1</v>
      </c>
      <c r="K129" t="n">
        <v>0</v>
      </c>
      <c r="L129" t="n">
        <v>0</v>
      </c>
      <c r="M129" t="n">
        <v>0</v>
      </c>
      <c r="N129" t="n">
        <v>0</v>
      </c>
      <c r="O129" t="n">
        <v>1</v>
      </c>
      <c r="P129" t="n">
        <v>0</v>
      </c>
      <c r="Q129" t="n">
        <v>1</v>
      </c>
      <c r="R129" s="2" t="inlineStr">
        <is>
          <t>Nordfladdermus</t>
        </is>
      </c>
      <c r="S129">
        <f>HYPERLINK("https://klasma.github.io/Logging_2480/artfynd/A 41674-2023 artfynd.xlsx", "A 41674-2023")</f>
        <v/>
      </c>
      <c r="T129">
        <f>HYPERLINK("https://klasma.github.io/Logging_2480/kartor/A 41674-2023 karta.png", "A 41674-2023")</f>
        <v/>
      </c>
      <c r="V129">
        <f>HYPERLINK("https://klasma.github.io/Logging_2480/klagomål/A 41674-2023 FSC-klagomål.docx", "A 41674-2023")</f>
        <v/>
      </c>
      <c r="W129">
        <f>HYPERLINK("https://klasma.github.io/Logging_2480/klagomålsmail/A 41674-2023 FSC-klagomål mail.docx", "A 41674-2023")</f>
        <v/>
      </c>
      <c r="X129">
        <f>HYPERLINK("https://klasma.github.io/Logging_2480/tillsyn/A 41674-2023 tillsynsbegäran.docx", "A 41674-2023")</f>
        <v/>
      </c>
      <c r="Y129">
        <f>HYPERLINK("https://klasma.github.io/Logging_2480/tillsynsmail/A 41674-2023 tillsynsbegäran mail.docx", "A 41674-2023")</f>
        <v/>
      </c>
    </row>
    <row r="130" ht="15" customHeight="1">
      <c r="A130" t="inlineStr">
        <is>
          <t>A 63810-2023</t>
        </is>
      </c>
      <c r="B130" s="1" t="n">
        <v>45275</v>
      </c>
      <c r="C130" s="1" t="n">
        <v>46087</v>
      </c>
      <c r="D130" t="inlineStr">
        <is>
          <t>VÄSTERBOTTENS LÄN</t>
        </is>
      </c>
      <c r="E130" t="inlineStr">
        <is>
          <t>UMEÅ</t>
        </is>
      </c>
      <c r="G130" t="n">
        <v>1.1</v>
      </c>
      <c r="H130" t="n">
        <v>1</v>
      </c>
      <c r="I130" t="n">
        <v>0</v>
      </c>
      <c r="J130" t="n">
        <v>1</v>
      </c>
      <c r="K130" t="n">
        <v>0</v>
      </c>
      <c r="L130" t="n">
        <v>0</v>
      </c>
      <c r="M130" t="n">
        <v>0</v>
      </c>
      <c r="N130" t="n">
        <v>0</v>
      </c>
      <c r="O130" t="n">
        <v>1</v>
      </c>
      <c r="P130" t="n">
        <v>0</v>
      </c>
      <c r="Q130" t="n">
        <v>1</v>
      </c>
      <c r="R130" s="2" t="inlineStr">
        <is>
          <t>Spillkråka</t>
        </is>
      </c>
      <c r="S130">
        <f>HYPERLINK("https://klasma.github.io/Logging_2480/artfynd/A 63810-2023 artfynd.xlsx", "A 63810-2023")</f>
        <v/>
      </c>
      <c r="T130">
        <f>HYPERLINK("https://klasma.github.io/Logging_2480/kartor/A 63810-2023 karta.png", "A 63810-2023")</f>
        <v/>
      </c>
      <c r="V130">
        <f>HYPERLINK("https://klasma.github.io/Logging_2480/klagomål/A 63810-2023 FSC-klagomål.docx", "A 63810-2023")</f>
        <v/>
      </c>
      <c r="W130">
        <f>HYPERLINK("https://klasma.github.io/Logging_2480/klagomålsmail/A 63810-2023 FSC-klagomål mail.docx", "A 63810-2023")</f>
        <v/>
      </c>
      <c r="X130">
        <f>HYPERLINK("https://klasma.github.io/Logging_2480/tillsyn/A 63810-2023 tillsynsbegäran.docx", "A 63810-2023")</f>
        <v/>
      </c>
      <c r="Y130">
        <f>HYPERLINK("https://klasma.github.io/Logging_2480/tillsynsmail/A 63810-2023 tillsynsbegäran mail.docx", "A 63810-2023")</f>
        <v/>
      </c>
      <c r="Z130">
        <f>HYPERLINK("https://klasma.github.io/Logging_2480/fåglar/A 63810-2023 prioriterade fågelarter.docx", "A 63810-2023")</f>
        <v/>
      </c>
    </row>
    <row r="131" ht="15" customHeight="1">
      <c r="A131" t="inlineStr">
        <is>
          <t>A 45429-2024</t>
        </is>
      </c>
      <c r="B131" s="1" t="n">
        <v>45576</v>
      </c>
      <c r="C131" s="1" t="n">
        <v>46087</v>
      </c>
      <c r="D131" t="inlineStr">
        <is>
          <t>VÄSTERBOTTENS LÄN</t>
        </is>
      </c>
      <c r="E131" t="inlineStr">
        <is>
          <t>UMEÅ</t>
        </is>
      </c>
      <c r="F131" t="inlineStr">
        <is>
          <t>Sveaskog</t>
        </is>
      </c>
      <c r="G131" t="n">
        <v>11.5</v>
      </c>
      <c r="H131" t="n">
        <v>0</v>
      </c>
      <c r="I131" t="n">
        <v>0</v>
      </c>
      <c r="J131" t="n">
        <v>1</v>
      </c>
      <c r="K131" t="n">
        <v>0</v>
      </c>
      <c r="L131" t="n">
        <v>0</v>
      </c>
      <c r="M131" t="n">
        <v>0</v>
      </c>
      <c r="N131" t="n">
        <v>0</v>
      </c>
      <c r="O131" t="n">
        <v>1</v>
      </c>
      <c r="P131" t="n">
        <v>0</v>
      </c>
      <c r="Q131" t="n">
        <v>1</v>
      </c>
      <c r="R131" s="2" t="inlineStr">
        <is>
          <t>Motaggsvamp</t>
        </is>
      </c>
      <c r="S131">
        <f>HYPERLINK("https://klasma.github.io/Logging_2480/artfynd/A 45429-2024 artfynd.xlsx", "A 45429-2024")</f>
        <v/>
      </c>
      <c r="T131">
        <f>HYPERLINK("https://klasma.github.io/Logging_2480/kartor/A 45429-2024 karta.png", "A 45429-2024")</f>
        <v/>
      </c>
      <c r="V131">
        <f>HYPERLINK("https://klasma.github.io/Logging_2480/klagomål/A 45429-2024 FSC-klagomål.docx", "A 45429-2024")</f>
        <v/>
      </c>
      <c r="W131">
        <f>HYPERLINK("https://klasma.github.io/Logging_2480/klagomålsmail/A 45429-2024 FSC-klagomål mail.docx", "A 45429-2024")</f>
        <v/>
      </c>
      <c r="X131">
        <f>HYPERLINK("https://klasma.github.io/Logging_2480/tillsyn/A 45429-2024 tillsynsbegäran.docx", "A 45429-2024")</f>
        <v/>
      </c>
      <c r="Y131">
        <f>HYPERLINK("https://klasma.github.io/Logging_2480/tillsynsmail/A 45429-2024 tillsynsbegäran mail.docx", "A 45429-2024")</f>
        <v/>
      </c>
    </row>
    <row r="132" ht="15" customHeight="1">
      <c r="A132" t="inlineStr">
        <is>
          <t>A 49850-2021</t>
        </is>
      </c>
      <c r="B132" s="1" t="n">
        <v>44455</v>
      </c>
      <c r="C132" s="1" t="n">
        <v>46087</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15654-2023</t>
        </is>
      </c>
      <c r="B133" s="1" t="n">
        <v>45019</v>
      </c>
      <c r="C133" s="1" t="n">
        <v>46087</v>
      </c>
      <c r="D133" t="inlineStr">
        <is>
          <t>VÄSTERBOTTENS LÄN</t>
        </is>
      </c>
      <c r="E133" t="inlineStr">
        <is>
          <t>UMEÅ</t>
        </is>
      </c>
      <c r="F133" t="inlineStr">
        <is>
          <t>Kommuner</t>
        </is>
      </c>
      <c r="G133" t="n">
        <v>3.2</v>
      </c>
      <c r="H133" t="n">
        <v>0</v>
      </c>
      <c r="I133" t="n">
        <v>0</v>
      </c>
      <c r="J133" t="n">
        <v>1</v>
      </c>
      <c r="K133" t="n">
        <v>0</v>
      </c>
      <c r="L133" t="n">
        <v>0</v>
      </c>
      <c r="M133" t="n">
        <v>0</v>
      </c>
      <c r="N133" t="n">
        <v>0</v>
      </c>
      <c r="O133" t="n">
        <v>1</v>
      </c>
      <c r="P133" t="n">
        <v>0</v>
      </c>
      <c r="Q133" t="n">
        <v>1</v>
      </c>
      <c r="R133" s="2" t="inlineStr">
        <is>
          <t>Garnlav</t>
        </is>
      </c>
      <c r="S133">
        <f>HYPERLINK("https://klasma.github.io/Logging_2480/artfynd/A 15654-2023 artfynd.xlsx", "A 15654-2023")</f>
        <v/>
      </c>
      <c r="T133">
        <f>HYPERLINK("https://klasma.github.io/Logging_2480/kartor/A 15654-2023 karta.png", "A 15654-2023")</f>
        <v/>
      </c>
      <c r="V133">
        <f>HYPERLINK("https://klasma.github.io/Logging_2480/klagomål/A 15654-2023 FSC-klagomål.docx", "A 15654-2023")</f>
        <v/>
      </c>
      <c r="W133">
        <f>HYPERLINK("https://klasma.github.io/Logging_2480/klagomålsmail/A 15654-2023 FSC-klagomål mail.docx", "A 15654-2023")</f>
        <v/>
      </c>
      <c r="X133">
        <f>HYPERLINK("https://klasma.github.io/Logging_2480/tillsyn/A 15654-2023 tillsynsbegäran.docx", "A 15654-2023")</f>
        <v/>
      </c>
      <c r="Y133">
        <f>HYPERLINK("https://klasma.github.io/Logging_2480/tillsynsmail/A 15654-2023 tillsynsbegäran mail.docx", "A 15654-2023")</f>
        <v/>
      </c>
    </row>
    <row r="134" ht="15" customHeight="1">
      <c r="A134" t="inlineStr">
        <is>
          <t>A 40665-2024</t>
        </is>
      </c>
      <c r="B134" s="1" t="n">
        <v>45558.34784722222</v>
      </c>
      <c r="C134" s="1" t="n">
        <v>46087</v>
      </c>
      <c r="D134" t="inlineStr">
        <is>
          <t>VÄSTERBOTTENS LÄN</t>
        </is>
      </c>
      <c r="E134" t="inlineStr">
        <is>
          <t>UMEÅ</t>
        </is>
      </c>
      <c r="G134" t="n">
        <v>15.3</v>
      </c>
      <c r="H134" t="n">
        <v>0</v>
      </c>
      <c r="I134" t="n">
        <v>0</v>
      </c>
      <c r="J134" t="n">
        <v>1</v>
      </c>
      <c r="K134" t="n">
        <v>0</v>
      </c>
      <c r="L134" t="n">
        <v>0</v>
      </c>
      <c r="M134" t="n">
        <v>0</v>
      </c>
      <c r="N134" t="n">
        <v>0</v>
      </c>
      <c r="O134" t="n">
        <v>1</v>
      </c>
      <c r="P134" t="n">
        <v>0</v>
      </c>
      <c r="Q134" t="n">
        <v>1</v>
      </c>
      <c r="R134" s="2" t="inlineStr">
        <is>
          <t>Garnlav</t>
        </is>
      </c>
      <c r="S134">
        <f>HYPERLINK("https://klasma.github.io/Logging_2480/artfynd/A 40665-2024 artfynd.xlsx", "A 40665-2024")</f>
        <v/>
      </c>
      <c r="T134">
        <f>HYPERLINK("https://klasma.github.io/Logging_2480/kartor/A 40665-2024 karta.png", "A 40665-2024")</f>
        <v/>
      </c>
      <c r="V134">
        <f>HYPERLINK("https://klasma.github.io/Logging_2480/klagomål/A 40665-2024 FSC-klagomål.docx", "A 40665-2024")</f>
        <v/>
      </c>
      <c r="W134">
        <f>HYPERLINK("https://klasma.github.io/Logging_2480/klagomålsmail/A 40665-2024 FSC-klagomål mail.docx", "A 40665-2024")</f>
        <v/>
      </c>
      <c r="X134">
        <f>HYPERLINK("https://klasma.github.io/Logging_2480/tillsyn/A 40665-2024 tillsynsbegäran.docx", "A 40665-2024")</f>
        <v/>
      </c>
      <c r="Y134">
        <f>HYPERLINK("https://klasma.github.io/Logging_2480/tillsynsmail/A 40665-2024 tillsynsbegäran mail.docx", "A 40665-2024")</f>
        <v/>
      </c>
    </row>
    <row r="135" ht="15" customHeight="1">
      <c r="A135" t="inlineStr">
        <is>
          <t>A 15767-2024</t>
        </is>
      </c>
      <c r="B135" s="1" t="n">
        <v>45404</v>
      </c>
      <c r="C135" s="1" t="n">
        <v>46087</v>
      </c>
      <c r="D135" t="inlineStr">
        <is>
          <t>VÄSTERBOTTENS LÄN</t>
        </is>
      </c>
      <c r="E135" t="inlineStr">
        <is>
          <t>UMEÅ</t>
        </is>
      </c>
      <c r="G135" t="n">
        <v>7.8</v>
      </c>
      <c r="H135" t="n">
        <v>1</v>
      </c>
      <c r="I135" t="n">
        <v>0</v>
      </c>
      <c r="J135" t="n">
        <v>1</v>
      </c>
      <c r="K135" t="n">
        <v>0</v>
      </c>
      <c r="L135" t="n">
        <v>0</v>
      </c>
      <c r="M135" t="n">
        <v>0</v>
      </c>
      <c r="N135" t="n">
        <v>0</v>
      </c>
      <c r="O135" t="n">
        <v>1</v>
      </c>
      <c r="P135" t="n">
        <v>0</v>
      </c>
      <c r="Q135" t="n">
        <v>1</v>
      </c>
      <c r="R135" s="2" t="inlineStr">
        <is>
          <t>Talltita</t>
        </is>
      </c>
      <c r="S135">
        <f>HYPERLINK("https://klasma.github.io/Logging_2480/artfynd/A 15767-2024 artfynd.xlsx", "A 15767-2024")</f>
        <v/>
      </c>
      <c r="T135">
        <f>HYPERLINK("https://klasma.github.io/Logging_2480/kartor/A 15767-2024 karta.png", "A 15767-2024")</f>
        <v/>
      </c>
      <c r="V135">
        <f>HYPERLINK("https://klasma.github.io/Logging_2480/klagomål/A 15767-2024 FSC-klagomål.docx", "A 15767-2024")</f>
        <v/>
      </c>
      <c r="W135">
        <f>HYPERLINK("https://klasma.github.io/Logging_2480/klagomålsmail/A 15767-2024 FSC-klagomål mail.docx", "A 15767-2024")</f>
        <v/>
      </c>
      <c r="X135">
        <f>HYPERLINK("https://klasma.github.io/Logging_2480/tillsyn/A 15767-2024 tillsynsbegäran.docx", "A 15767-2024")</f>
        <v/>
      </c>
      <c r="Y135">
        <f>HYPERLINK("https://klasma.github.io/Logging_2480/tillsynsmail/A 15767-2024 tillsynsbegäran mail.docx", "A 15767-2024")</f>
        <v/>
      </c>
      <c r="Z135">
        <f>HYPERLINK("https://klasma.github.io/Logging_2480/fåglar/A 15767-2024 prioriterade fågelarter.docx", "A 15767-2024")</f>
        <v/>
      </c>
    </row>
    <row r="136" ht="15" customHeight="1">
      <c r="A136" t="inlineStr">
        <is>
          <t>A 39233-2022</t>
        </is>
      </c>
      <c r="B136" s="1" t="n">
        <v>44817.5884375</v>
      </c>
      <c r="C136" s="1" t="n">
        <v>46087</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46087</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46087</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46087</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46087</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46087</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46087</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46087</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46087</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46087</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46087</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46087</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46087</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46087</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46087</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46087</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46087</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46087</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46087</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46087</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46087</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46087</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46087</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46087</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46087</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46087</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46087</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46087</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46087</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46087</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46087</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46087</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46087</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46087</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46087</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46087</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46087</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46087</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46087</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46087</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46087</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46087</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46087</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46087</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46087</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46087</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46087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46087</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46087</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46087</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46087</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46087</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46087</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46087</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46087</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46087</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46087</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46087</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46087</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46087</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46087</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46087</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46087</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46087</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46087</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46087</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46087</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46087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46087</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46087</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46087</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46087</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46087</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46087</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46087</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46087</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46087</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46087</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46087</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46410-2022</t>
        </is>
      </c>
      <c r="B215" s="1" t="n">
        <v>44846</v>
      </c>
      <c r="C215" s="1" t="n">
        <v>46087</v>
      </c>
      <c r="D215" t="inlineStr">
        <is>
          <t>VÄSTERBOTTENS LÄN</t>
        </is>
      </c>
      <c r="E215" t="inlineStr">
        <is>
          <t>UMEÅ</t>
        </is>
      </c>
      <c r="G215" t="n">
        <v>2.1</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46087</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46087</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46087</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46087</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46087</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46087</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46087</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46087</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46087</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46087</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46087</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46087</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46087</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46087</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46087</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46087</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46087</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46087</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46087</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46087</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46087</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46087</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46087</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46087</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46087</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46087</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46087</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46087</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46087</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46087</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46087</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46087</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46087</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46087</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46087</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46087</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46087</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46087</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46087</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46087</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46087</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46087</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46087</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46087</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46087</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45881-2022</t>
        </is>
      </c>
      <c r="B261" s="1" t="n">
        <v>44846</v>
      </c>
      <c r="C261" s="1" t="n">
        <v>46087</v>
      </c>
      <c r="D261" t="inlineStr">
        <is>
          <t>VÄSTERBOTTENS LÄN</t>
        </is>
      </c>
      <c r="E261" t="inlineStr">
        <is>
          <t>UMEÅ</t>
        </is>
      </c>
      <c r="G261" t="n">
        <v>5.4</v>
      </c>
      <c r="H261" t="n">
        <v>0</v>
      </c>
      <c r="I261" t="n">
        <v>0</v>
      </c>
      <c r="J261" t="n">
        <v>0</v>
      </c>
      <c r="K261" t="n">
        <v>0</v>
      </c>
      <c r="L261" t="n">
        <v>0</v>
      </c>
      <c r="M261" t="n">
        <v>0</v>
      </c>
      <c r="N261" t="n">
        <v>0</v>
      </c>
      <c r="O261" t="n">
        <v>0</v>
      </c>
      <c r="P261" t="n">
        <v>0</v>
      </c>
      <c r="Q261" t="n">
        <v>0</v>
      </c>
      <c r="R261" s="2" t="inlineStr"/>
    </row>
    <row r="262" ht="15" customHeight="1">
      <c r="A262" t="inlineStr">
        <is>
          <t>A 41213-2022</t>
        </is>
      </c>
      <c r="B262" s="1" t="n">
        <v>44825</v>
      </c>
      <c r="C262" s="1" t="n">
        <v>46087</v>
      </c>
      <c r="D262" t="inlineStr">
        <is>
          <t>VÄSTERBOTTENS LÄN</t>
        </is>
      </c>
      <c r="E262" t="inlineStr">
        <is>
          <t>UMEÅ</t>
        </is>
      </c>
      <c r="G262" t="n">
        <v>3.7</v>
      </c>
      <c r="H262" t="n">
        <v>0</v>
      </c>
      <c r="I262" t="n">
        <v>0</v>
      </c>
      <c r="J262" t="n">
        <v>0</v>
      </c>
      <c r="K262" t="n">
        <v>0</v>
      </c>
      <c r="L262" t="n">
        <v>0</v>
      </c>
      <c r="M262" t="n">
        <v>0</v>
      </c>
      <c r="N262" t="n">
        <v>0</v>
      </c>
      <c r="O262" t="n">
        <v>0</v>
      </c>
      <c r="P262" t="n">
        <v>0</v>
      </c>
      <c r="Q262" t="n">
        <v>0</v>
      </c>
      <c r="R262" s="2" t="inlineStr"/>
    </row>
    <row r="263" ht="15" customHeight="1">
      <c r="A263" t="inlineStr">
        <is>
          <t>A 63188-2023</t>
        </is>
      </c>
      <c r="B263" s="1" t="n">
        <v>45272</v>
      </c>
      <c r="C263" s="1" t="n">
        <v>46087</v>
      </c>
      <c r="D263" t="inlineStr">
        <is>
          <t>VÄSTERBOTTENS LÄN</t>
        </is>
      </c>
      <c r="E263" t="inlineStr">
        <is>
          <t>UMEÅ</t>
        </is>
      </c>
      <c r="G263" t="n">
        <v>0.9</v>
      </c>
      <c r="H263" t="n">
        <v>0</v>
      </c>
      <c r="I263" t="n">
        <v>0</v>
      </c>
      <c r="J263" t="n">
        <v>0</v>
      </c>
      <c r="K263" t="n">
        <v>0</v>
      </c>
      <c r="L263" t="n">
        <v>0</v>
      </c>
      <c r="M263" t="n">
        <v>0</v>
      </c>
      <c r="N263" t="n">
        <v>0</v>
      </c>
      <c r="O263" t="n">
        <v>0</v>
      </c>
      <c r="P263" t="n">
        <v>0</v>
      </c>
      <c r="Q263" t="n">
        <v>0</v>
      </c>
      <c r="R263" s="2" t="inlineStr"/>
    </row>
    <row r="264" ht="15" customHeight="1">
      <c r="A264" t="inlineStr">
        <is>
          <t>A 43974-2024</t>
        </is>
      </c>
      <c r="B264" s="1" t="n">
        <v>45572</v>
      </c>
      <c r="C264" s="1" t="n">
        <v>46087</v>
      </c>
      <c r="D264" t="inlineStr">
        <is>
          <t>VÄSTERBOTTENS LÄN</t>
        </is>
      </c>
      <c r="E264" t="inlineStr">
        <is>
          <t>UMEÅ</t>
        </is>
      </c>
      <c r="G264" t="n">
        <v>3</v>
      </c>
      <c r="H264" t="n">
        <v>0</v>
      </c>
      <c r="I264" t="n">
        <v>0</v>
      </c>
      <c r="J264" t="n">
        <v>0</v>
      </c>
      <c r="K264" t="n">
        <v>0</v>
      </c>
      <c r="L264" t="n">
        <v>0</v>
      </c>
      <c r="M264" t="n">
        <v>0</v>
      </c>
      <c r="N264" t="n">
        <v>0</v>
      </c>
      <c r="O264" t="n">
        <v>0</v>
      </c>
      <c r="P264" t="n">
        <v>0</v>
      </c>
      <c r="Q264" t="n">
        <v>0</v>
      </c>
      <c r="R264" s="2" t="inlineStr"/>
    </row>
    <row r="265" ht="15" customHeight="1">
      <c r="A265" t="inlineStr">
        <is>
          <t>A 48631-2023</t>
        </is>
      </c>
      <c r="B265" s="1" t="n">
        <v>45202</v>
      </c>
      <c r="C265" s="1" t="n">
        <v>46087</v>
      </c>
      <c r="D265" t="inlineStr">
        <is>
          <t>VÄSTERBOTTENS LÄN</t>
        </is>
      </c>
      <c r="E265" t="inlineStr">
        <is>
          <t>UMEÅ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12780-2025</t>
        </is>
      </c>
      <c r="B266" s="1" t="n">
        <v>45733.59627314815</v>
      </c>
      <c r="C266" s="1" t="n">
        <v>46087</v>
      </c>
      <c r="D266" t="inlineStr">
        <is>
          <t>VÄSTERBOTTENS LÄN</t>
        </is>
      </c>
      <c r="E266" t="inlineStr">
        <is>
          <t>UMEÅ</t>
        </is>
      </c>
      <c r="G266" t="n">
        <v>2.8</v>
      </c>
      <c r="H266" t="n">
        <v>0</v>
      </c>
      <c r="I266" t="n">
        <v>0</v>
      </c>
      <c r="J266" t="n">
        <v>0</v>
      </c>
      <c r="K266" t="n">
        <v>0</v>
      </c>
      <c r="L266" t="n">
        <v>0</v>
      </c>
      <c r="M266" t="n">
        <v>0</v>
      </c>
      <c r="N266" t="n">
        <v>0</v>
      </c>
      <c r="O266" t="n">
        <v>0</v>
      </c>
      <c r="P266" t="n">
        <v>0</v>
      </c>
      <c r="Q266" t="n">
        <v>0</v>
      </c>
      <c r="R266" s="2" t="inlineStr"/>
    </row>
    <row r="267" ht="15" customHeight="1">
      <c r="A267" t="inlineStr">
        <is>
          <t>A 13820-2025</t>
        </is>
      </c>
      <c r="B267" s="1" t="n">
        <v>45737.5315625</v>
      </c>
      <c r="C267" s="1" t="n">
        <v>46087</v>
      </c>
      <c r="D267" t="inlineStr">
        <is>
          <t>VÄSTERBOTTENS LÄN</t>
        </is>
      </c>
      <c r="E267" t="inlineStr">
        <is>
          <t>UMEÅ</t>
        </is>
      </c>
      <c r="G267" t="n">
        <v>5.3</v>
      </c>
      <c r="H267" t="n">
        <v>0</v>
      </c>
      <c r="I267" t="n">
        <v>0</v>
      </c>
      <c r="J267" t="n">
        <v>0</v>
      </c>
      <c r="K267" t="n">
        <v>0</v>
      </c>
      <c r="L267" t="n">
        <v>0</v>
      </c>
      <c r="M267" t="n">
        <v>0</v>
      </c>
      <c r="N267" t="n">
        <v>0</v>
      </c>
      <c r="O267" t="n">
        <v>0</v>
      </c>
      <c r="P267" t="n">
        <v>0</v>
      </c>
      <c r="Q267" t="n">
        <v>0</v>
      </c>
      <c r="R267" s="2" t="inlineStr"/>
    </row>
    <row r="268" ht="15" customHeight="1">
      <c r="A268" t="inlineStr">
        <is>
          <t>A 13195-2025</t>
        </is>
      </c>
      <c r="B268" s="1" t="n">
        <v>45735</v>
      </c>
      <c r="C268" s="1" t="n">
        <v>46087</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27941-2024</t>
        </is>
      </c>
      <c r="B269" s="1" t="n">
        <v>45475</v>
      </c>
      <c r="C269" s="1" t="n">
        <v>46087</v>
      </c>
      <c r="D269" t="inlineStr">
        <is>
          <t>VÄSTERBOTTENS LÄN</t>
        </is>
      </c>
      <c r="E269" t="inlineStr">
        <is>
          <t>UMEÅ</t>
        </is>
      </c>
      <c r="G269" t="n">
        <v>7.2</v>
      </c>
      <c r="H269" t="n">
        <v>0</v>
      </c>
      <c r="I269" t="n">
        <v>0</v>
      </c>
      <c r="J269" t="n">
        <v>0</v>
      </c>
      <c r="K269" t="n">
        <v>0</v>
      </c>
      <c r="L269" t="n">
        <v>0</v>
      </c>
      <c r="M269" t="n">
        <v>0</v>
      </c>
      <c r="N269" t="n">
        <v>0</v>
      </c>
      <c r="O269" t="n">
        <v>0</v>
      </c>
      <c r="P269" t="n">
        <v>0</v>
      </c>
      <c r="Q269" t="n">
        <v>0</v>
      </c>
      <c r="R269" s="2" t="inlineStr"/>
    </row>
    <row r="270" ht="15" customHeight="1">
      <c r="A270" t="inlineStr">
        <is>
          <t>A 15904-2025</t>
        </is>
      </c>
      <c r="B270" s="1" t="n">
        <v>45749.43325231481</v>
      </c>
      <c r="C270" s="1" t="n">
        <v>46087</v>
      </c>
      <c r="D270" t="inlineStr">
        <is>
          <t>VÄSTERBOTTENS LÄN</t>
        </is>
      </c>
      <c r="E270" t="inlineStr">
        <is>
          <t>UMEÅ</t>
        </is>
      </c>
      <c r="G270" t="n">
        <v>2.5</v>
      </c>
      <c r="H270" t="n">
        <v>0</v>
      </c>
      <c r="I270" t="n">
        <v>0</v>
      </c>
      <c r="J270" t="n">
        <v>0</v>
      </c>
      <c r="K270" t="n">
        <v>0</v>
      </c>
      <c r="L270" t="n">
        <v>0</v>
      </c>
      <c r="M270" t="n">
        <v>0</v>
      </c>
      <c r="N270" t="n">
        <v>0</v>
      </c>
      <c r="O270" t="n">
        <v>0</v>
      </c>
      <c r="P270" t="n">
        <v>0</v>
      </c>
      <c r="Q270" t="n">
        <v>0</v>
      </c>
      <c r="R270" s="2" t="inlineStr"/>
    </row>
    <row r="271" ht="15" customHeight="1">
      <c r="A271" t="inlineStr">
        <is>
          <t>A 38237-2025</t>
        </is>
      </c>
      <c r="B271" s="1" t="n">
        <v>45883.36371527778</v>
      </c>
      <c r="C271" s="1" t="n">
        <v>46087</v>
      </c>
      <c r="D271" t="inlineStr">
        <is>
          <t>VÄSTERBOTTENS LÄN</t>
        </is>
      </c>
      <c r="E271" t="inlineStr">
        <is>
          <t>UMEÅ</t>
        </is>
      </c>
      <c r="G271" t="n">
        <v>2.2</v>
      </c>
      <c r="H271" t="n">
        <v>0</v>
      </c>
      <c r="I271" t="n">
        <v>0</v>
      </c>
      <c r="J271" t="n">
        <v>0</v>
      </c>
      <c r="K271" t="n">
        <v>0</v>
      </c>
      <c r="L271" t="n">
        <v>0</v>
      </c>
      <c r="M271" t="n">
        <v>0</v>
      </c>
      <c r="N271" t="n">
        <v>0</v>
      </c>
      <c r="O271" t="n">
        <v>0</v>
      </c>
      <c r="P271" t="n">
        <v>0</v>
      </c>
      <c r="Q271" t="n">
        <v>0</v>
      </c>
      <c r="R271" s="2" t="inlineStr"/>
    </row>
    <row r="272" ht="15" customHeight="1">
      <c r="A272" t="inlineStr">
        <is>
          <t>A 51415-2024</t>
        </is>
      </c>
      <c r="B272" s="1" t="n">
        <v>45604</v>
      </c>
      <c r="C272" s="1" t="n">
        <v>46087</v>
      </c>
      <c r="D272" t="inlineStr">
        <is>
          <t>VÄSTERBOTTENS LÄN</t>
        </is>
      </c>
      <c r="E272" t="inlineStr">
        <is>
          <t>UMEÅ</t>
        </is>
      </c>
      <c r="G272" t="n">
        <v>3.4</v>
      </c>
      <c r="H272" t="n">
        <v>0</v>
      </c>
      <c r="I272" t="n">
        <v>0</v>
      </c>
      <c r="J272" t="n">
        <v>0</v>
      </c>
      <c r="K272" t="n">
        <v>0</v>
      </c>
      <c r="L272" t="n">
        <v>0</v>
      </c>
      <c r="M272" t="n">
        <v>0</v>
      </c>
      <c r="N272" t="n">
        <v>0</v>
      </c>
      <c r="O272" t="n">
        <v>0</v>
      </c>
      <c r="P272" t="n">
        <v>0</v>
      </c>
      <c r="Q272" t="n">
        <v>0</v>
      </c>
      <c r="R272" s="2" t="inlineStr"/>
    </row>
    <row r="273" ht="15" customHeight="1">
      <c r="A273" t="inlineStr">
        <is>
          <t>A 57497-2024</t>
        </is>
      </c>
      <c r="B273" s="1" t="n">
        <v>45630</v>
      </c>
      <c r="C273" s="1" t="n">
        <v>46087</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48028-2025</t>
        </is>
      </c>
      <c r="B274" s="1" t="n">
        <v>45932.6515625</v>
      </c>
      <c r="C274" s="1" t="n">
        <v>46087</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38424-2025</t>
        </is>
      </c>
      <c r="B275" s="1" t="n">
        <v>45883.63340277778</v>
      </c>
      <c r="C275" s="1" t="n">
        <v>46087</v>
      </c>
      <c r="D275" t="inlineStr">
        <is>
          <t>VÄSTERBOTTENS LÄN</t>
        </is>
      </c>
      <c r="E275" t="inlineStr">
        <is>
          <t>UMEÅ</t>
        </is>
      </c>
      <c r="G275" t="n">
        <v>11.9</v>
      </c>
      <c r="H275" t="n">
        <v>0</v>
      </c>
      <c r="I275" t="n">
        <v>0</v>
      </c>
      <c r="J275" t="n">
        <v>0</v>
      </c>
      <c r="K275" t="n">
        <v>0</v>
      </c>
      <c r="L275" t="n">
        <v>0</v>
      </c>
      <c r="M275" t="n">
        <v>0</v>
      </c>
      <c r="N275" t="n">
        <v>0</v>
      </c>
      <c r="O275" t="n">
        <v>0</v>
      </c>
      <c r="P275" t="n">
        <v>0</v>
      </c>
      <c r="Q275" t="n">
        <v>0</v>
      </c>
      <c r="R275" s="2" t="inlineStr"/>
    </row>
    <row r="276" ht="15" customHeight="1">
      <c r="A276" t="inlineStr">
        <is>
          <t>A 33952-2022</t>
        </is>
      </c>
      <c r="B276" s="1" t="n">
        <v>44790</v>
      </c>
      <c r="C276" s="1" t="n">
        <v>46087</v>
      </c>
      <c r="D276" t="inlineStr">
        <is>
          <t>VÄSTERBOTTENS LÄN</t>
        </is>
      </c>
      <c r="E276" t="inlineStr">
        <is>
          <t>UMEÅ</t>
        </is>
      </c>
      <c r="G276" t="n">
        <v>3.6</v>
      </c>
      <c r="H276" t="n">
        <v>0</v>
      </c>
      <c r="I276" t="n">
        <v>0</v>
      </c>
      <c r="J276" t="n">
        <v>0</v>
      </c>
      <c r="K276" t="n">
        <v>0</v>
      </c>
      <c r="L276" t="n">
        <v>0</v>
      </c>
      <c r="M276" t="n">
        <v>0</v>
      </c>
      <c r="N276" t="n">
        <v>0</v>
      </c>
      <c r="O276" t="n">
        <v>0</v>
      </c>
      <c r="P276" t="n">
        <v>0</v>
      </c>
      <c r="Q276" t="n">
        <v>0</v>
      </c>
      <c r="R276" s="2" t="inlineStr"/>
    </row>
    <row r="277" ht="15" customHeight="1">
      <c r="A277" t="inlineStr">
        <is>
          <t>A 48011-2025</t>
        </is>
      </c>
      <c r="B277" s="1" t="n">
        <v>45932.64318287037</v>
      </c>
      <c r="C277" s="1" t="n">
        <v>46087</v>
      </c>
      <c r="D277" t="inlineStr">
        <is>
          <t>VÄSTERBOTTENS LÄN</t>
        </is>
      </c>
      <c r="E277" t="inlineStr">
        <is>
          <t>UMEÅ</t>
        </is>
      </c>
      <c r="G277" t="n">
        <v>5.1</v>
      </c>
      <c r="H277" t="n">
        <v>0</v>
      </c>
      <c r="I277" t="n">
        <v>0</v>
      </c>
      <c r="J277" t="n">
        <v>0</v>
      </c>
      <c r="K277" t="n">
        <v>0</v>
      </c>
      <c r="L277" t="n">
        <v>0</v>
      </c>
      <c r="M277" t="n">
        <v>0</v>
      </c>
      <c r="N277" t="n">
        <v>0</v>
      </c>
      <c r="O277" t="n">
        <v>0</v>
      </c>
      <c r="P277" t="n">
        <v>0</v>
      </c>
      <c r="Q277" t="n">
        <v>0</v>
      </c>
      <c r="R277" s="2" t="inlineStr"/>
    </row>
    <row r="278" ht="15" customHeight="1">
      <c r="A278" t="inlineStr">
        <is>
          <t>A 35209-2024</t>
        </is>
      </c>
      <c r="B278" s="1" t="n">
        <v>45530</v>
      </c>
      <c r="C278" s="1" t="n">
        <v>46087</v>
      </c>
      <c r="D278" t="inlineStr">
        <is>
          <t>VÄSTERBOTTENS LÄN</t>
        </is>
      </c>
      <c r="E278" t="inlineStr">
        <is>
          <t>UMEÅ</t>
        </is>
      </c>
      <c r="F278" t="inlineStr">
        <is>
          <t>Holmen skog AB</t>
        </is>
      </c>
      <c r="G278" t="n">
        <v>2.3</v>
      </c>
      <c r="H278" t="n">
        <v>0</v>
      </c>
      <c r="I278" t="n">
        <v>0</v>
      </c>
      <c r="J278" t="n">
        <v>0</v>
      </c>
      <c r="K278" t="n">
        <v>0</v>
      </c>
      <c r="L278" t="n">
        <v>0</v>
      </c>
      <c r="M278" t="n">
        <v>0</v>
      </c>
      <c r="N278" t="n">
        <v>0</v>
      </c>
      <c r="O278" t="n">
        <v>0</v>
      </c>
      <c r="P278" t="n">
        <v>0</v>
      </c>
      <c r="Q278" t="n">
        <v>0</v>
      </c>
      <c r="R278" s="2" t="inlineStr"/>
    </row>
    <row r="279" ht="15" customHeight="1">
      <c r="A279" t="inlineStr">
        <is>
          <t>A 35228-2024</t>
        </is>
      </c>
      <c r="B279" s="1" t="n">
        <v>45530.52100694444</v>
      </c>
      <c r="C279" s="1" t="n">
        <v>46087</v>
      </c>
      <c r="D279" t="inlineStr">
        <is>
          <t>VÄSTERBOTTENS LÄN</t>
        </is>
      </c>
      <c r="E279" t="inlineStr">
        <is>
          <t>UMEÅ</t>
        </is>
      </c>
      <c r="G279" t="n">
        <v>1.9</v>
      </c>
      <c r="H279" t="n">
        <v>0</v>
      </c>
      <c r="I279" t="n">
        <v>0</v>
      </c>
      <c r="J279" t="n">
        <v>0</v>
      </c>
      <c r="K279" t="n">
        <v>0</v>
      </c>
      <c r="L279" t="n">
        <v>0</v>
      </c>
      <c r="M279" t="n">
        <v>0</v>
      </c>
      <c r="N279" t="n">
        <v>0</v>
      </c>
      <c r="O279" t="n">
        <v>0</v>
      </c>
      <c r="P279" t="n">
        <v>0</v>
      </c>
      <c r="Q279" t="n">
        <v>0</v>
      </c>
      <c r="R279" s="2" t="inlineStr"/>
    </row>
    <row r="280" ht="15" customHeight="1">
      <c r="A280" t="inlineStr">
        <is>
          <t>A 44983-2022</t>
        </is>
      </c>
      <c r="B280" s="1" t="n">
        <v>44841</v>
      </c>
      <c r="C280" s="1" t="n">
        <v>46087</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61280-2023</t>
        </is>
      </c>
      <c r="B281" s="1" t="n">
        <v>45260</v>
      </c>
      <c r="C281" s="1" t="n">
        <v>46087</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47863-2025</t>
        </is>
      </c>
      <c r="B282" s="1" t="n">
        <v>45932.4290625</v>
      </c>
      <c r="C282" s="1" t="n">
        <v>46087</v>
      </c>
      <c r="D282" t="inlineStr">
        <is>
          <t>VÄSTERBOTTENS LÄN</t>
        </is>
      </c>
      <c r="E282" t="inlineStr">
        <is>
          <t>UMEÅ</t>
        </is>
      </c>
      <c r="G282" t="n">
        <v>2.3</v>
      </c>
      <c r="H282" t="n">
        <v>0</v>
      </c>
      <c r="I282" t="n">
        <v>0</v>
      </c>
      <c r="J282" t="n">
        <v>0</v>
      </c>
      <c r="K282" t="n">
        <v>0</v>
      </c>
      <c r="L282" t="n">
        <v>0</v>
      </c>
      <c r="M282" t="n">
        <v>0</v>
      </c>
      <c r="N282" t="n">
        <v>0</v>
      </c>
      <c r="O282" t="n">
        <v>0</v>
      </c>
      <c r="P282" t="n">
        <v>0</v>
      </c>
      <c r="Q282" t="n">
        <v>0</v>
      </c>
      <c r="R282" s="2" t="inlineStr"/>
    </row>
    <row r="283" ht="15" customHeight="1">
      <c r="A283" t="inlineStr">
        <is>
          <t>A 37260-2024</t>
        </is>
      </c>
      <c r="B283" s="1" t="n">
        <v>45540.37623842592</v>
      </c>
      <c r="C283" s="1" t="n">
        <v>46087</v>
      </c>
      <c r="D283" t="inlineStr">
        <is>
          <t>VÄSTERBOTTENS LÄN</t>
        </is>
      </c>
      <c r="E283" t="inlineStr">
        <is>
          <t>UMEÅ</t>
        </is>
      </c>
      <c r="G283" t="n">
        <v>2.7</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46087</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26137-2023</t>
        </is>
      </c>
      <c r="B285" s="1" t="n">
        <v>45091</v>
      </c>
      <c r="C285" s="1" t="n">
        <v>46087</v>
      </c>
      <c r="D285" t="inlineStr">
        <is>
          <t>VÄSTERBOTTENS LÄN</t>
        </is>
      </c>
      <c r="E285" t="inlineStr">
        <is>
          <t>UMEÅ</t>
        </is>
      </c>
      <c r="G285" t="n">
        <v>1.5</v>
      </c>
      <c r="H285" t="n">
        <v>0</v>
      </c>
      <c r="I285" t="n">
        <v>0</v>
      </c>
      <c r="J285" t="n">
        <v>0</v>
      </c>
      <c r="K285" t="n">
        <v>0</v>
      </c>
      <c r="L285" t="n">
        <v>0</v>
      </c>
      <c r="M285" t="n">
        <v>0</v>
      </c>
      <c r="N285" t="n">
        <v>0</v>
      </c>
      <c r="O285" t="n">
        <v>0</v>
      </c>
      <c r="P285" t="n">
        <v>0</v>
      </c>
      <c r="Q285" t="n">
        <v>0</v>
      </c>
      <c r="R285" s="2" t="inlineStr"/>
    </row>
    <row r="286" ht="15" customHeight="1">
      <c r="A286" t="inlineStr">
        <is>
          <t>A 26138-2023</t>
        </is>
      </c>
      <c r="B286" s="1" t="n">
        <v>45091</v>
      </c>
      <c r="C286" s="1" t="n">
        <v>46087</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14316-2025</t>
        </is>
      </c>
      <c r="B287" s="1" t="n">
        <v>45740</v>
      </c>
      <c r="C287" s="1" t="n">
        <v>46087</v>
      </c>
      <c r="D287" t="inlineStr">
        <is>
          <t>VÄSTERBOTTENS LÄN</t>
        </is>
      </c>
      <c r="E287" t="inlineStr">
        <is>
          <t>UMEÅ</t>
        </is>
      </c>
      <c r="G287" t="n">
        <v>10</v>
      </c>
      <c r="H287" t="n">
        <v>0</v>
      </c>
      <c r="I287" t="n">
        <v>0</v>
      </c>
      <c r="J287" t="n">
        <v>0</v>
      </c>
      <c r="K287" t="n">
        <v>0</v>
      </c>
      <c r="L287" t="n">
        <v>0</v>
      </c>
      <c r="M287" t="n">
        <v>0</v>
      </c>
      <c r="N287" t="n">
        <v>0</v>
      </c>
      <c r="O287" t="n">
        <v>0</v>
      </c>
      <c r="P287" t="n">
        <v>0</v>
      </c>
      <c r="Q287" t="n">
        <v>0</v>
      </c>
      <c r="R287" s="2" t="inlineStr"/>
    </row>
    <row r="288" ht="15" customHeight="1">
      <c r="A288" t="inlineStr">
        <is>
          <t>A 3254-2024</t>
        </is>
      </c>
      <c r="B288" s="1" t="n">
        <v>45316</v>
      </c>
      <c r="C288" s="1" t="n">
        <v>46087</v>
      </c>
      <c r="D288" t="inlineStr">
        <is>
          <t>VÄSTERBOTTENS LÄN</t>
        </is>
      </c>
      <c r="E288" t="inlineStr">
        <is>
          <t>UMEÅ</t>
        </is>
      </c>
      <c r="G288" t="n">
        <v>4.1</v>
      </c>
      <c r="H288" t="n">
        <v>0</v>
      </c>
      <c r="I288" t="n">
        <v>0</v>
      </c>
      <c r="J288" t="n">
        <v>0</v>
      </c>
      <c r="K288" t="n">
        <v>0</v>
      </c>
      <c r="L288" t="n">
        <v>0</v>
      </c>
      <c r="M288" t="n">
        <v>0</v>
      </c>
      <c r="N288" t="n">
        <v>0</v>
      </c>
      <c r="O288" t="n">
        <v>0</v>
      </c>
      <c r="P288" t="n">
        <v>0</v>
      </c>
      <c r="Q288" t="n">
        <v>0</v>
      </c>
      <c r="R288" s="2" t="inlineStr"/>
    </row>
    <row r="289" ht="15" customHeight="1">
      <c r="A289" t="inlineStr">
        <is>
          <t>A 21159-2024</t>
        </is>
      </c>
      <c r="B289" s="1" t="n">
        <v>45440.42893518518</v>
      </c>
      <c r="C289" s="1" t="n">
        <v>46087</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48264-2025</t>
        </is>
      </c>
      <c r="B290" s="1" t="n">
        <v>45933.56834490741</v>
      </c>
      <c r="C290" s="1" t="n">
        <v>46087</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15459-2025</t>
        </is>
      </c>
      <c r="B291" s="1" t="n">
        <v>45747.50991898148</v>
      </c>
      <c r="C291" s="1" t="n">
        <v>46087</v>
      </c>
      <c r="D291" t="inlineStr">
        <is>
          <t>VÄSTERBOTTENS LÄN</t>
        </is>
      </c>
      <c r="E291" t="inlineStr">
        <is>
          <t>UMEÅ</t>
        </is>
      </c>
      <c r="G291" t="n">
        <v>0.9</v>
      </c>
      <c r="H291" t="n">
        <v>0</v>
      </c>
      <c r="I291" t="n">
        <v>0</v>
      </c>
      <c r="J291" t="n">
        <v>0</v>
      </c>
      <c r="K291" t="n">
        <v>0</v>
      </c>
      <c r="L291" t="n">
        <v>0</v>
      </c>
      <c r="M291" t="n">
        <v>0</v>
      </c>
      <c r="N291" t="n">
        <v>0</v>
      </c>
      <c r="O291" t="n">
        <v>0</v>
      </c>
      <c r="P291" t="n">
        <v>0</v>
      </c>
      <c r="Q291" t="n">
        <v>0</v>
      </c>
      <c r="R291" s="2" t="inlineStr"/>
    </row>
    <row r="292" ht="15" customHeight="1">
      <c r="A292" t="inlineStr">
        <is>
          <t>A 17359-2023</t>
        </is>
      </c>
      <c r="B292" s="1" t="n">
        <v>45033</v>
      </c>
      <c r="C292" s="1" t="n">
        <v>46087</v>
      </c>
      <c r="D292" t="inlineStr">
        <is>
          <t>VÄSTERBOTTENS LÄN</t>
        </is>
      </c>
      <c r="E292" t="inlineStr">
        <is>
          <t>UMEÅ</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48267-2025</t>
        </is>
      </c>
      <c r="B293" s="1" t="n">
        <v>45933.57060185185</v>
      </c>
      <c r="C293" s="1" t="n">
        <v>46087</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58680-2024</t>
        </is>
      </c>
      <c r="B294" s="1" t="n">
        <v>45635</v>
      </c>
      <c r="C294" s="1" t="n">
        <v>46087</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19061-2024</t>
        </is>
      </c>
      <c r="B295" s="1" t="n">
        <v>45427.93501157407</v>
      </c>
      <c r="C295" s="1" t="n">
        <v>46087</v>
      </c>
      <c r="D295" t="inlineStr">
        <is>
          <t>VÄSTERBOTTENS LÄN</t>
        </is>
      </c>
      <c r="E295" t="inlineStr">
        <is>
          <t>UMEÅ</t>
        </is>
      </c>
      <c r="G295" t="n">
        <v>4.4</v>
      </c>
      <c r="H295" t="n">
        <v>0</v>
      </c>
      <c r="I295" t="n">
        <v>0</v>
      </c>
      <c r="J295" t="n">
        <v>0</v>
      </c>
      <c r="K295" t="n">
        <v>0</v>
      </c>
      <c r="L295" t="n">
        <v>0</v>
      </c>
      <c r="M295" t="n">
        <v>0</v>
      </c>
      <c r="N295" t="n">
        <v>0</v>
      </c>
      <c r="O295" t="n">
        <v>0</v>
      </c>
      <c r="P295" t="n">
        <v>0</v>
      </c>
      <c r="Q295" t="n">
        <v>0</v>
      </c>
      <c r="R295" s="2" t="inlineStr"/>
    </row>
    <row r="296" ht="15" customHeight="1">
      <c r="A296" t="inlineStr">
        <is>
          <t>A 46413-2022</t>
        </is>
      </c>
      <c r="B296" s="1" t="n">
        <v>44846</v>
      </c>
      <c r="C296" s="1" t="n">
        <v>46087</v>
      </c>
      <c r="D296" t="inlineStr">
        <is>
          <t>VÄSTERBOTTENS LÄN</t>
        </is>
      </c>
      <c r="E296" t="inlineStr">
        <is>
          <t>UMEÅ</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17438-2021</t>
        </is>
      </c>
      <c r="B297" s="1" t="n">
        <v>44299</v>
      </c>
      <c r="C297" s="1" t="n">
        <v>46087</v>
      </c>
      <c r="D297" t="inlineStr">
        <is>
          <t>VÄSTERBOTTENS LÄN</t>
        </is>
      </c>
      <c r="E297" t="inlineStr">
        <is>
          <t>UMEÅ</t>
        </is>
      </c>
      <c r="G297" t="n">
        <v>1.9</v>
      </c>
      <c r="H297" t="n">
        <v>0</v>
      </c>
      <c r="I297" t="n">
        <v>0</v>
      </c>
      <c r="J297" t="n">
        <v>0</v>
      </c>
      <c r="K297" t="n">
        <v>0</v>
      </c>
      <c r="L297" t="n">
        <v>0</v>
      </c>
      <c r="M297" t="n">
        <v>0</v>
      </c>
      <c r="N297" t="n">
        <v>0</v>
      </c>
      <c r="O297" t="n">
        <v>0</v>
      </c>
      <c r="P297" t="n">
        <v>0</v>
      </c>
      <c r="Q297" t="n">
        <v>0</v>
      </c>
      <c r="R297" s="2" t="inlineStr"/>
    </row>
    <row r="298" ht="15" customHeight="1">
      <c r="A298" t="inlineStr">
        <is>
          <t>A 58899-2024</t>
        </is>
      </c>
      <c r="B298" s="1" t="n">
        <v>45636.4705787037</v>
      </c>
      <c r="C298" s="1" t="n">
        <v>46087</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20981-2025</t>
        </is>
      </c>
      <c r="B299" s="1" t="n">
        <v>45777.46688657408</v>
      </c>
      <c r="C299" s="1" t="n">
        <v>46087</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22755-2024</t>
        </is>
      </c>
      <c r="B300" s="1" t="n">
        <v>45448.42561342593</v>
      </c>
      <c r="C300" s="1" t="n">
        <v>46087</v>
      </c>
      <c r="D300" t="inlineStr">
        <is>
          <t>VÄSTERBOTTENS LÄN</t>
        </is>
      </c>
      <c r="E300" t="inlineStr">
        <is>
          <t>UMEÅ</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21228-2025</t>
        </is>
      </c>
      <c r="B301" s="1" t="n">
        <v>45779.52741898148</v>
      </c>
      <c r="C301" s="1" t="n">
        <v>46087</v>
      </c>
      <c r="D301" t="inlineStr">
        <is>
          <t>VÄSTERBOTTENS LÄN</t>
        </is>
      </c>
      <c r="E301" t="inlineStr">
        <is>
          <t>UMEÅ</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18455-2021</t>
        </is>
      </c>
      <c r="B302" s="1" t="n">
        <v>44305</v>
      </c>
      <c r="C302" s="1" t="n">
        <v>46087</v>
      </c>
      <c r="D302" t="inlineStr">
        <is>
          <t>VÄSTERBOTTENS LÄN</t>
        </is>
      </c>
      <c r="E302" t="inlineStr">
        <is>
          <t>UMEÅ</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56676-2021</t>
        </is>
      </c>
      <c r="B303" s="1" t="n">
        <v>44481.32383101852</v>
      </c>
      <c r="C303" s="1" t="n">
        <v>46087</v>
      </c>
      <c r="D303" t="inlineStr">
        <is>
          <t>VÄSTERBOTTENS LÄN</t>
        </is>
      </c>
      <c r="E303" t="inlineStr">
        <is>
          <t>UMEÅ</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43357-2021</t>
        </is>
      </c>
      <c r="B304" s="1" t="n">
        <v>44432</v>
      </c>
      <c r="C304" s="1" t="n">
        <v>46087</v>
      </c>
      <c r="D304" t="inlineStr">
        <is>
          <t>VÄSTERBOTTENS LÄN</t>
        </is>
      </c>
      <c r="E304" t="inlineStr">
        <is>
          <t>UMEÅ</t>
        </is>
      </c>
      <c r="G304" t="n">
        <v>6.3</v>
      </c>
      <c r="H304" t="n">
        <v>0</v>
      </c>
      <c r="I304" t="n">
        <v>0</v>
      </c>
      <c r="J304" t="n">
        <v>0</v>
      </c>
      <c r="K304" t="n">
        <v>0</v>
      </c>
      <c r="L304" t="n">
        <v>0</v>
      </c>
      <c r="M304" t="n">
        <v>0</v>
      </c>
      <c r="N304" t="n">
        <v>0</v>
      </c>
      <c r="O304" t="n">
        <v>0</v>
      </c>
      <c r="P304" t="n">
        <v>0</v>
      </c>
      <c r="Q304" t="n">
        <v>0</v>
      </c>
      <c r="R304" s="2" t="inlineStr"/>
    </row>
    <row r="305" ht="15" customHeight="1">
      <c r="A305" t="inlineStr">
        <is>
          <t>A 48900-2025</t>
        </is>
      </c>
      <c r="B305" s="1" t="n">
        <v>45937.48125</v>
      </c>
      <c r="C305" s="1" t="n">
        <v>46087</v>
      </c>
      <c r="D305" t="inlineStr">
        <is>
          <t>VÄSTERBOTTENS LÄN</t>
        </is>
      </c>
      <c r="E305" t="inlineStr">
        <is>
          <t>UMEÅ</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49185-2025</t>
        </is>
      </c>
      <c r="B306" s="1" t="n">
        <v>45938.40478009259</v>
      </c>
      <c r="C306" s="1" t="n">
        <v>46087</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49030-2025</t>
        </is>
      </c>
      <c r="B307" s="1" t="n">
        <v>45937.62387731481</v>
      </c>
      <c r="C307" s="1" t="n">
        <v>46087</v>
      </c>
      <c r="D307" t="inlineStr">
        <is>
          <t>VÄSTERBOTTENS LÄN</t>
        </is>
      </c>
      <c r="E307" t="inlineStr">
        <is>
          <t>UMEÅ</t>
        </is>
      </c>
      <c r="G307" t="n">
        <v>3.6</v>
      </c>
      <c r="H307" t="n">
        <v>0</v>
      </c>
      <c r="I307" t="n">
        <v>0</v>
      </c>
      <c r="J307" t="n">
        <v>0</v>
      </c>
      <c r="K307" t="n">
        <v>0</v>
      </c>
      <c r="L307" t="n">
        <v>0</v>
      </c>
      <c r="M307" t="n">
        <v>0</v>
      </c>
      <c r="N307" t="n">
        <v>0</v>
      </c>
      <c r="O307" t="n">
        <v>0</v>
      </c>
      <c r="P307" t="n">
        <v>0</v>
      </c>
      <c r="Q307" t="n">
        <v>0</v>
      </c>
      <c r="R307" s="2" t="inlineStr"/>
    </row>
    <row r="308" ht="15" customHeight="1">
      <c r="A308" t="inlineStr">
        <is>
          <t>A 49038-2025</t>
        </is>
      </c>
      <c r="B308" s="1" t="n">
        <v>45937.63146990741</v>
      </c>
      <c r="C308" s="1" t="n">
        <v>46087</v>
      </c>
      <c r="D308" t="inlineStr">
        <is>
          <t>VÄSTERBOTTENS LÄN</t>
        </is>
      </c>
      <c r="E308" t="inlineStr">
        <is>
          <t>UMEÅ</t>
        </is>
      </c>
      <c r="G308" t="n">
        <v>0.8</v>
      </c>
      <c r="H308" t="n">
        <v>0</v>
      </c>
      <c r="I308" t="n">
        <v>0</v>
      </c>
      <c r="J308" t="n">
        <v>0</v>
      </c>
      <c r="K308" t="n">
        <v>0</v>
      </c>
      <c r="L308" t="n">
        <v>0</v>
      </c>
      <c r="M308" t="n">
        <v>0</v>
      </c>
      <c r="N308" t="n">
        <v>0</v>
      </c>
      <c r="O308" t="n">
        <v>0</v>
      </c>
      <c r="P308" t="n">
        <v>0</v>
      </c>
      <c r="Q308" t="n">
        <v>0</v>
      </c>
      <c r="R308" s="2" t="inlineStr"/>
    </row>
    <row r="309" ht="15" customHeight="1">
      <c r="A309" t="inlineStr">
        <is>
          <t>A 49142-2025</t>
        </is>
      </c>
      <c r="B309" s="1" t="n">
        <v>45938.32196759259</v>
      </c>
      <c r="C309" s="1" t="n">
        <v>46087</v>
      </c>
      <c r="D309" t="inlineStr">
        <is>
          <t>VÄSTERBOTTENS LÄN</t>
        </is>
      </c>
      <c r="E309" t="inlineStr">
        <is>
          <t>UMEÅ</t>
        </is>
      </c>
      <c r="F309" t="inlineStr">
        <is>
          <t>Holmen skog AB</t>
        </is>
      </c>
      <c r="G309" t="n">
        <v>2</v>
      </c>
      <c r="H309" t="n">
        <v>0</v>
      </c>
      <c r="I309" t="n">
        <v>0</v>
      </c>
      <c r="J309" t="n">
        <v>0</v>
      </c>
      <c r="K309" t="n">
        <v>0</v>
      </c>
      <c r="L309" t="n">
        <v>0</v>
      </c>
      <c r="M309" t="n">
        <v>0</v>
      </c>
      <c r="N309" t="n">
        <v>0</v>
      </c>
      <c r="O309" t="n">
        <v>0</v>
      </c>
      <c r="P309" t="n">
        <v>0</v>
      </c>
      <c r="Q309" t="n">
        <v>0</v>
      </c>
      <c r="R309" s="2" t="inlineStr"/>
    </row>
    <row r="310" ht="15" customHeight="1">
      <c r="A310" t="inlineStr">
        <is>
          <t>A 49182-2025</t>
        </is>
      </c>
      <c r="B310" s="1" t="n">
        <v>45938.38820601852</v>
      </c>
      <c r="C310" s="1" t="n">
        <v>46087</v>
      </c>
      <c r="D310" t="inlineStr">
        <is>
          <t>VÄSTERBOTTENS LÄN</t>
        </is>
      </c>
      <c r="E310" t="inlineStr">
        <is>
          <t>UMEÅ</t>
        </is>
      </c>
      <c r="F310" t="inlineStr">
        <is>
          <t>Holmen skog AB</t>
        </is>
      </c>
      <c r="G310" t="n">
        <v>7.2</v>
      </c>
      <c r="H310" t="n">
        <v>0</v>
      </c>
      <c r="I310" t="n">
        <v>0</v>
      </c>
      <c r="J310" t="n">
        <v>0</v>
      </c>
      <c r="K310" t="n">
        <v>0</v>
      </c>
      <c r="L310" t="n">
        <v>0</v>
      </c>
      <c r="M310" t="n">
        <v>0</v>
      </c>
      <c r="N310" t="n">
        <v>0</v>
      </c>
      <c r="O310" t="n">
        <v>0</v>
      </c>
      <c r="P310" t="n">
        <v>0</v>
      </c>
      <c r="Q310" t="n">
        <v>0</v>
      </c>
      <c r="R310" s="2" t="inlineStr"/>
    </row>
    <row r="311" ht="15" customHeight="1">
      <c r="A311" t="inlineStr">
        <is>
          <t>A 49264-2025</t>
        </is>
      </c>
      <c r="B311" s="1" t="n">
        <v>45938.49991898148</v>
      </c>
      <c r="C311" s="1" t="n">
        <v>46087</v>
      </c>
      <c r="D311" t="inlineStr">
        <is>
          <t>VÄSTERBOTTENS LÄN</t>
        </is>
      </c>
      <c r="E311" t="inlineStr">
        <is>
          <t>UMEÅ</t>
        </is>
      </c>
      <c r="F311" t="inlineStr">
        <is>
          <t>Sveaskog</t>
        </is>
      </c>
      <c r="G311" t="n">
        <v>7.3</v>
      </c>
      <c r="H311" t="n">
        <v>0</v>
      </c>
      <c r="I311" t="n">
        <v>0</v>
      </c>
      <c r="J311" t="n">
        <v>0</v>
      </c>
      <c r="K311" t="n">
        <v>0</v>
      </c>
      <c r="L311" t="n">
        <v>0</v>
      </c>
      <c r="M311" t="n">
        <v>0</v>
      </c>
      <c r="N311" t="n">
        <v>0</v>
      </c>
      <c r="O311" t="n">
        <v>0</v>
      </c>
      <c r="P311" t="n">
        <v>0</v>
      </c>
      <c r="Q311" t="n">
        <v>0</v>
      </c>
      <c r="R311" s="2" t="inlineStr"/>
    </row>
    <row r="312" ht="15" customHeight="1">
      <c r="A312" t="inlineStr">
        <is>
          <t>A 49279-2025</t>
        </is>
      </c>
      <c r="B312" s="1" t="n">
        <v>45938.5106712963</v>
      </c>
      <c r="C312" s="1" t="n">
        <v>46087</v>
      </c>
      <c r="D312" t="inlineStr">
        <is>
          <t>VÄSTERBOTTENS LÄN</t>
        </is>
      </c>
      <c r="E312" t="inlineStr">
        <is>
          <t>UMEÅ</t>
        </is>
      </c>
      <c r="G312" t="n">
        <v>0.7</v>
      </c>
      <c r="H312" t="n">
        <v>0</v>
      </c>
      <c r="I312" t="n">
        <v>0</v>
      </c>
      <c r="J312" t="n">
        <v>0</v>
      </c>
      <c r="K312" t="n">
        <v>0</v>
      </c>
      <c r="L312" t="n">
        <v>0</v>
      </c>
      <c r="M312" t="n">
        <v>0</v>
      </c>
      <c r="N312" t="n">
        <v>0</v>
      </c>
      <c r="O312" t="n">
        <v>0</v>
      </c>
      <c r="P312" t="n">
        <v>0</v>
      </c>
      <c r="Q312" t="n">
        <v>0</v>
      </c>
      <c r="R312" s="2" t="inlineStr"/>
    </row>
    <row r="313" ht="15" customHeight="1">
      <c r="A313" t="inlineStr">
        <is>
          <t>A 49312-2025</t>
        </is>
      </c>
      <c r="B313" s="1" t="n">
        <v>45938.56427083333</v>
      </c>
      <c r="C313" s="1" t="n">
        <v>46087</v>
      </c>
      <c r="D313" t="inlineStr">
        <is>
          <t>VÄSTERBOTTENS LÄN</t>
        </is>
      </c>
      <c r="E313" t="inlineStr">
        <is>
          <t>UMEÅ</t>
        </is>
      </c>
      <c r="F313" t="inlineStr">
        <is>
          <t>Sveaskog</t>
        </is>
      </c>
      <c r="G313" t="n">
        <v>30.6</v>
      </c>
      <c r="H313" t="n">
        <v>0</v>
      </c>
      <c r="I313" t="n">
        <v>0</v>
      </c>
      <c r="J313" t="n">
        <v>0</v>
      </c>
      <c r="K313" t="n">
        <v>0</v>
      </c>
      <c r="L313" t="n">
        <v>0</v>
      </c>
      <c r="M313" t="n">
        <v>0</v>
      </c>
      <c r="N313" t="n">
        <v>0</v>
      </c>
      <c r="O313" t="n">
        <v>0</v>
      </c>
      <c r="P313" t="n">
        <v>0</v>
      </c>
      <c r="Q313" t="n">
        <v>0</v>
      </c>
      <c r="R313" s="2" t="inlineStr"/>
    </row>
    <row r="314" ht="15" customHeight="1">
      <c r="A314" t="inlineStr">
        <is>
          <t>A 15903-2025</t>
        </is>
      </c>
      <c r="B314" s="1" t="n">
        <v>45749</v>
      </c>
      <c r="C314" s="1" t="n">
        <v>46087</v>
      </c>
      <c r="D314" t="inlineStr">
        <is>
          <t>VÄSTERBOTTENS LÄN</t>
        </is>
      </c>
      <c r="E314" t="inlineStr">
        <is>
          <t>UMEÅ</t>
        </is>
      </c>
      <c r="G314" t="n">
        <v>0.7</v>
      </c>
      <c r="H314" t="n">
        <v>0</v>
      </c>
      <c r="I314" t="n">
        <v>0</v>
      </c>
      <c r="J314" t="n">
        <v>0</v>
      </c>
      <c r="K314" t="n">
        <v>0</v>
      </c>
      <c r="L314" t="n">
        <v>0</v>
      </c>
      <c r="M314" t="n">
        <v>0</v>
      </c>
      <c r="N314" t="n">
        <v>0</v>
      </c>
      <c r="O314" t="n">
        <v>0</v>
      </c>
      <c r="P314" t="n">
        <v>0</v>
      </c>
      <c r="Q314" t="n">
        <v>0</v>
      </c>
      <c r="R314" s="2" t="inlineStr"/>
    </row>
    <row r="315" ht="15" customHeight="1">
      <c r="A315" t="inlineStr">
        <is>
          <t>A 49120-2025</t>
        </is>
      </c>
      <c r="B315" s="1" t="n">
        <v>45937.8341087963</v>
      </c>
      <c r="C315" s="1" t="n">
        <v>46087</v>
      </c>
      <c r="D315" t="inlineStr">
        <is>
          <t>VÄSTERBOTTENS LÄN</t>
        </is>
      </c>
      <c r="E315" t="inlineStr">
        <is>
          <t>UMEÅ</t>
        </is>
      </c>
      <c r="G315" t="n">
        <v>3</v>
      </c>
      <c r="H315" t="n">
        <v>0</v>
      </c>
      <c r="I315" t="n">
        <v>0</v>
      </c>
      <c r="J315" t="n">
        <v>0</v>
      </c>
      <c r="K315" t="n">
        <v>0</v>
      </c>
      <c r="L315" t="n">
        <v>0</v>
      </c>
      <c r="M315" t="n">
        <v>0</v>
      </c>
      <c r="N315" t="n">
        <v>0</v>
      </c>
      <c r="O315" t="n">
        <v>0</v>
      </c>
      <c r="P315" t="n">
        <v>0</v>
      </c>
      <c r="Q315" t="n">
        <v>0</v>
      </c>
      <c r="R315" s="2" t="inlineStr"/>
    </row>
    <row r="316" ht="15" customHeight="1">
      <c r="A316" t="inlineStr">
        <is>
          <t>A 44968-2022</t>
        </is>
      </c>
      <c r="B316" s="1" t="n">
        <v>44840</v>
      </c>
      <c r="C316" s="1" t="n">
        <v>46087</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22007-2025</t>
        </is>
      </c>
      <c r="B317" s="1" t="n">
        <v>45784</v>
      </c>
      <c r="C317" s="1" t="n">
        <v>46087</v>
      </c>
      <c r="D317" t="inlineStr">
        <is>
          <t>VÄSTERBOTTENS LÄN</t>
        </is>
      </c>
      <c r="E317" t="inlineStr">
        <is>
          <t>UMEÅ</t>
        </is>
      </c>
      <c r="G317" t="n">
        <v>2.2</v>
      </c>
      <c r="H317" t="n">
        <v>0</v>
      </c>
      <c r="I317" t="n">
        <v>0</v>
      </c>
      <c r="J317" t="n">
        <v>0</v>
      </c>
      <c r="K317" t="n">
        <v>0</v>
      </c>
      <c r="L317" t="n">
        <v>0</v>
      </c>
      <c r="M317" t="n">
        <v>0</v>
      </c>
      <c r="N317" t="n">
        <v>0</v>
      </c>
      <c r="O317" t="n">
        <v>0</v>
      </c>
      <c r="P317" t="n">
        <v>0</v>
      </c>
      <c r="Q317" t="n">
        <v>0</v>
      </c>
      <c r="R317" s="2" t="inlineStr"/>
    </row>
    <row r="318" ht="15" customHeight="1">
      <c r="A318" t="inlineStr">
        <is>
          <t>A 59228-2023</t>
        </is>
      </c>
      <c r="B318" s="1" t="n">
        <v>45252</v>
      </c>
      <c r="C318" s="1" t="n">
        <v>46087</v>
      </c>
      <c r="D318" t="inlineStr">
        <is>
          <t>VÄSTERBOTTENS LÄN</t>
        </is>
      </c>
      <c r="E318" t="inlineStr">
        <is>
          <t>UMEÅ</t>
        </is>
      </c>
      <c r="G318" t="n">
        <v>1.4</v>
      </c>
      <c r="H318" t="n">
        <v>0</v>
      </c>
      <c r="I318" t="n">
        <v>0</v>
      </c>
      <c r="J318" t="n">
        <v>0</v>
      </c>
      <c r="K318" t="n">
        <v>0</v>
      </c>
      <c r="L318" t="n">
        <v>0</v>
      </c>
      <c r="M318" t="n">
        <v>0</v>
      </c>
      <c r="N318" t="n">
        <v>0</v>
      </c>
      <c r="O318" t="n">
        <v>0</v>
      </c>
      <c r="P318" t="n">
        <v>0</v>
      </c>
      <c r="Q318" t="n">
        <v>0</v>
      </c>
      <c r="R318" s="2" t="inlineStr"/>
    </row>
    <row r="319" ht="15" customHeight="1">
      <c r="A319" t="inlineStr">
        <is>
          <t>A 21800-2025</t>
        </is>
      </c>
      <c r="B319" s="1" t="n">
        <v>45783.68863425926</v>
      </c>
      <c r="C319" s="1" t="n">
        <v>46087</v>
      </c>
      <c r="D319" t="inlineStr">
        <is>
          <t>VÄSTERBOTTENS LÄN</t>
        </is>
      </c>
      <c r="E319" t="inlineStr">
        <is>
          <t>UMEÅ</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21794-2025</t>
        </is>
      </c>
      <c r="B320" s="1" t="n">
        <v>45783.67894675926</v>
      </c>
      <c r="C320" s="1" t="n">
        <v>46087</v>
      </c>
      <c r="D320" t="inlineStr">
        <is>
          <t>VÄSTERBOTTENS LÄN</t>
        </is>
      </c>
      <c r="E320" t="inlineStr">
        <is>
          <t>UMEÅ</t>
        </is>
      </c>
      <c r="G320" t="n">
        <v>6</v>
      </c>
      <c r="H320" t="n">
        <v>0</v>
      </c>
      <c r="I320" t="n">
        <v>0</v>
      </c>
      <c r="J320" t="n">
        <v>0</v>
      </c>
      <c r="K320" t="n">
        <v>0</v>
      </c>
      <c r="L320" t="n">
        <v>0</v>
      </c>
      <c r="M320" t="n">
        <v>0</v>
      </c>
      <c r="N320" t="n">
        <v>0</v>
      </c>
      <c r="O320" t="n">
        <v>0</v>
      </c>
      <c r="P320" t="n">
        <v>0</v>
      </c>
      <c r="Q320" t="n">
        <v>0</v>
      </c>
      <c r="R320" s="2" t="inlineStr"/>
    </row>
    <row r="321" ht="15" customHeight="1">
      <c r="A321" t="inlineStr">
        <is>
          <t>A 52679-2022</t>
        </is>
      </c>
      <c r="B321" s="1" t="n">
        <v>44874</v>
      </c>
      <c r="C321" s="1" t="n">
        <v>46087</v>
      </c>
      <c r="D321" t="inlineStr">
        <is>
          <t>VÄSTERBOTTENS LÄN</t>
        </is>
      </c>
      <c r="E321" t="inlineStr">
        <is>
          <t>UMEÅ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38235-2025</t>
        </is>
      </c>
      <c r="B322" s="1" t="n">
        <v>45883.36050925926</v>
      </c>
      <c r="C322" s="1" t="n">
        <v>46087</v>
      </c>
      <c r="D322" t="inlineStr">
        <is>
          <t>VÄSTERBOTTENS LÄN</t>
        </is>
      </c>
      <c r="E322" t="inlineStr">
        <is>
          <t>UMEÅ</t>
        </is>
      </c>
      <c r="G322" t="n">
        <v>7.7</v>
      </c>
      <c r="H322" t="n">
        <v>0</v>
      </c>
      <c r="I322" t="n">
        <v>0</v>
      </c>
      <c r="J322" t="n">
        <v>0</v>
      </c>
      <c r="K322" t="n">
        <v>0</v>
      </c>
      <c r="L322" t="n">
        <v>0</v>
      </c>
      <c r="M322" t="n">
        <v>0</v>
      </c>
      <c r="N322" t="n">
        <v>0</v>
      </c>
      <c r="O322" t="n">
        <v>0</v>
      </c>
      <c r="P322" t="n">
        <v>0</v>
      </c>
      <c r="Q322" t="n">
        <v>0</v>
      </c>
      <c r="R322" s="2" t="inlineStr"/>
    </row>
    <row r="323" ht="15" customHeight="1">
      <c r="A323" t="inlineStr">
        <is>
          <t>A 22004-2025</t>
        </is>
      </c>
      <c r="B323" s="1" t="n">
        <v>45784</v>
      </c>
      <c r="C323" s="1" t="n">
        <v>46087</v>
      </c>
      <c r="D323" t="inlineStr">
        <is>
          <t>VÄSTERBOTTENS LÄN</t>
        </is>
      </c>
      <c r="E323" t="inlineStr">
        <is>
          <t>UMEÅ</t>
        </is>
      </c>
      <c r="G323" t="n">
        <v>2.5</v>
      </c>
      <c r="H323" t="n">
        <v>0</v>
      </c>
      <c r="I323" t="n">
        <v>0</v>
      </c>
      <c r="J323" t="n">
        <v>0</v>
      </c>
      <c r="K323" t="n">
        <v>0</v>
      </c>
      <c r="L323" t="n">
        <v>0</v>
      </c>
      <c r="M323" t="n">
        <v>0</v>
      </c>
      <c r="N323" t="n">
        <v>0</v>
      </c>
      <c r="O323" t="n">
        <v>0</v>
      </c>
      <c r="P323" t="n">
        <v>0</v>
      </c>
      <c r="Q323" t="n">
        <v>0</v>
      </c>
      <c r="R323" s="2" t="inlineStr"/>
    </row>
    <row r="324" ht="15" customHeight="1">
      <c r="A324" t="inlineStr">
        <is>
          <t>A 21610-2025</t>
        </is>
      </c>
      <c r="B324" s="1" t="n">
        <v>45783.39127314815</v>
      </c>
      <c r="C324" s="1" t="n">
        <v>46087</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21612-2025</t>
        </is>
      </c>
      <c r="B325" s="1" t="n">
        <v>45783.39449074074</v>
      </c>
      <c r="C325" s="1" t="n">
        <v>46087</v>
      </c>
      <c r="D325" t="inlineStr">
        <is>
          <t>VÄSTERBOTTENS LÄN</t>
        </is>
      </c>
      <c r="E325" t="inlineStr">
        <is>
          <t>UMEÅ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21795-2025</t>
        </is>
      </c>
      <c r="B326" s="1" t="n">
        <v>45783.68131944445</v>
      </c>
      <c r="C326" s="1" t="n">
        <v>46087</v>
      </c>
      <c r="D326" t="inlineStr">
        <is>
          <t>VÄSTERBOTTENS LÄN</t>
        </is>
      </c>
      <c r="E326" t="inlineStr">
        <is>
          <t>UMEÅ</t>
        </is>
      </c>
      <c r="F326" t="inlineStr">
        <is>
          <t>Kyrkan</t>
        </is>
      </c>
      <c r="G326" t="n">
        <v>3.3</v>
      </c>
      <c r="H326" t="n">
        <v>0</v>
      </c>
      <c r="I326" t="n">
        <v>0</v>
      </c>
      <c r="J326" t="n">
        <v>0</v>
      </c>
      <c r="K326" t="n">
        <v>0</v>
      </c>
      <c r="L326" t="n">
        <v>0</v>
      </c>
      <c r="M326" t="n">
        <v>0</v>
      </c>
      <c r="N326" t="n">
        <v>0</v>
      </c>
      <c r="O326" t="n">
        <v>0</v>
      </c>
      <c r="P326" t="n">
        <v>0</v>
      </c>
      <c r="Q326" t="n">
        <v>0</v>
      </c>
      <c r="R326" s="2" t="inlineStr"/>
    </row>
    <row r="327" ht="15" customHeight="1">
      <c r="A327" t="inlineStr">
        <is>
          <t>A 955-2024</t>
        </is>
      </c>
      <c r="B327" s="1" t="n">
        <v>45301</v>
      </c>
      <c r="C327" s="1" t="n">
        <v>46087</v>
      </c>
      <c r="D327" t="inlineStr">
        <is>
          <t>VÄSTERBOTTENS LÄN</t>
        </is>
      </c>
      <c r="E327" t="inlineStr">
        <is>
          <t>UMEÅ</t>
        </is>
      </c>
      <c r="G327" t="n">
        <v>3.7</v>
      </c>
      <c r="H327" t="n">
        <v>0</v>
      </c>
      <c r="I327" t="n">
        <v>0</v>
      </c>
      <c r="J327" t="n">
        <v>0</v>
      </c>
      <c r="K327" t="n">
        <v>0</v>
      </c>
      <c r="L327" t="n">
        <v>0</v>
      </c>
      <c r="M327" t="n">
        <v>0</v>
      </c>
      <c r="N327" t="n">
        <v>0</v>
      </c>
      <c r="O327" t="n">
        <v>0</v>
      </c>
      <c r="P327" t="n">
        <v>0</v>
      </c>
      <c r="Q327" t="n">
        <v>0</v>
      </c>
      <c r="R327" s="2" t="inlineStr"/>
    </row>
    <row r="328" ht="15" customHeight="1">
      <c r="A328" t="inlineStr">
        <is>
          <t>A 34488-2021</t>
        </is>
      </c>
      <c r="B328" s="1" t="n">
        <v>44382.3005787037</v>
      </c>
      <c r="C328" s="1" t="n">
        <v>46087</v>
      </c>
      <c r="D328" t="inlineStr">
        <is>
          <t>VÄSTERBOTTENS LÄN</t>
        </is>
      </c>
      <c r="E328" t="inlineStr">
        <is>
          <t>UMEÅ</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49860-2025</t>
        </is>
      </c>
      <c r="B329" s="1" t="n">
        <v>45940.51144675926</v>
      </c>
      <c r="C329" s="1" t="n">
        <v>46087</v>
      </c>
      <c r="D329" t="inlineStr">
        <is>
          <t>VÄSTERBOTTENS LÄN</t>
        </is>
      </c>
      <c r="E329" t="inlineStr">
        <is>
          <t>UMEÅ</t>
        </is>
      </c>
      <c r="G329" t="n">
        <v>6.9</v>
      </c>
      <c r="H329" t="n">
        <v>0</v>
      </c>
      <c r="I329" t="n">
        <v>0</v>
      </c>
      <c r="J329" t="n">
        <v>0</v>
      </c>
      <c r="K329" t="n">
        <v>0</v>
      </c>
      <c r="L329" t="n">
        <v>0</v>
      </c>
      <c r="M329" t="n">
        <v>0</v>
      </c>
      <c r="N329" t="n">
        <v>0</v>
      </c>
      <c r="O329" t="n">
        <v>0</v>
      </c>
      <c r="P329" t="n">
        <v>0</v>
      </c>
      <c r="Q329" t="n">
        <v>0</v>
      </c>
      <c r="R329" s="2" t="inlineStr"/>
    </row>
    <row r="330" ht="15" customHeight="1">
      <c r="A330" t="inlineStr">
        <is>
          <t>A 49519-2025</t>
        </is>
      </c>
      <c r="B330" s="1" t="n">
        <v>45939.39155092592</v>
      </c>
      <c r="C330" s="1" t="n">
        <v>46087</v>
      </c>
      <c r="D330" t="inlineStr">
        <is>
          <t>VÄSTERBOTTENS LÄN</t>
        </is>
      </c>
      <c r="E330" t="inlineStr">
        <is>
          <t>UMEÅ</t>
        </is>
      </c>
      <c r="G330" t="n">
        <v>2.9</v>
      </c>
      <c r="H330" t="n">
        <v>0</v>
      </c>
      <c r="I330" t="n">
        <v>0</v>
      </c>
      <c r="J330" t="n">
        <v>0</v>
      </c>
      <c r="K330" t="n">
        <v>0</v>
      </c>
      <c r="L330" t="n">
        <v>0</v>
      </c>
      <c r="M330" t="n">
        <v>0</v>
      </c>
      <c r="N330" t="n">
        <v>0</v>
      </c>
      <c r="O330" t="n">
        <v>0</v>
      </c>
      <c r="P330" t="n">
        <v>0</v>
      </c>
      <c r="Q330" t="n">
        <v>0</v>
      </c>
      <c r="R330" s="2" t="inlineStr"/>
    </row>
    <row r="331" ht="15" customHeight="1">
      <c r="A331" t="inlineStr">
        <is>
          <t>A 10568-2024</t>
        </is>
      </c>
      <c r="B331" s="1" t="n">
        <v>45366</v>
      </c>
      <c r="C331" s="1" t="n">
        <v>46087</v>
      </c>
      <c r="D331" t="inlineStr">
        <is>
          <t>VÄSTERBOTTENS LÄN</t>
        </is>
      </c>
      <c r="E331" t="inlineStr">
        <is>
          <t>UMEÅ</t>
        </is>
      </c>
      <c r="G331" t="n">
        <v>6.3</v>
      </c>
      <c r="H331" t="n">
        <v>0</v>
      </c>
      <c r="I331" t="n">
        <v>0</v>
      </c>
      <c r="J331" t="n">
        <v>0</v>
      </c>
      <c r="K331" t="n">
        <v>0</v>
      </c>
      <c r="L331" t="n">
        <v>0</v>
      </c>
      <c r="M331" t="n">
        <v>0</v>
      </c>
      <c r="N331" t="n">
        <v>0</v>
      </c>
      <c r="O331" t="n">
        <v>0</v>
      </c>
      <c r="P331" t="n">
        <v>0</v>
      </c>
      <c r="Q331" t="n">
        <v>0</v>
      </c>
      <c r="R331" s="2" t="inlineStr"/>
    </row>
    <row r="332" ht="15" customHeight="1">
      <c r="A332" t="inlineStr">
        <is>
          <t>A 49799-2025</t>
        </is>
      </c>
      <c r="B332" s="1" t="n">
        <v>45940.4083912037</v>
      </c>
      <c r="C332" s="1" t="n">
        <v>46087</v>
      </c>
      <c r="D332" t="inlineStr">
        <is>
          <t>VÄSTERBOTTENS LÄN</t>
        </is>
      </c>
      <c r="E332" t="inlineStr">
        <is>
          <t>UMEÅ</t>
        </is>
      </c>
      <c r="G332" t="n">
        <v>5.2</v>
      </c>
      <c r="H332" t="n">
        <v>0</v>
      </c>
      <c r="I332" t="n">
        <v>0</v>
      </c>
      <c r="J332" t="n">
        <v>0</v>
      </c>
      <c r="K332" t="n">
        <v>0</v>
      </c>
      <c r="L332" t="n">
        <v>0</v>
      </c>
      <c r="M332" t="n">
        <v>0</v>
      </c>
      <c r="N332" t="n">
        <v>0</v>
      </c>
      <c r="O332" t="n">
        <v>0</v>
      </c>
      <c r="P332" t="n">
        <v>0</v>
      </c>
      <c r="Q332" t="n">
        <v>0</v>
      </c>
      <c r="R332" s="2" t="inlineStr"/>
    </row>
    <row r="333" ht="15" customHeight="1">
      <c r="A333" t="inlineStr">
        <is>
          <t>A 49898-2025</t>
        </is>
      </c>
      <c r="B333" s="1" t="n">
        <v>45940.58644675926</v>
      </c>
      <c r="C333" s="1" t="n">
        <v>46087</v>
      </c>
      <c r="D333" t="inlineStr">
        <is>
          <t>VÄSTERBOTTENS LÄN</t>
        </is>
      </c>
      <c r="E333" t="inlineStr">
        <is>
          <t>UMEÅ</t>
        </is>
      </c>
      <c r="G333" t="n">
        <v>5.8</v>
      </c>
      <c r="H333" t="n">
        <v>0</v>
      </c>
      <c r="I333" t="n">
        <v>0</v>
      </c>
      <c r="J333" t="n">
        <v>0</v>
      </c>
      <c r="K333" t="n">
        <v>0</v>
      </c>
      <c r="L333" t="n">
        <v>0</v>
      </c>
      <c r="M333" t="n">
        <v>0</v>
      </c>
      <c r="N333" t="n">
        <v>0</v>
      </c>
      <c r="O333" t="n">
        <v>0</v>
      </c>
      <c r="P333" t="n">
        <v>0</v>
      </c>
      <c r="Q333" t="n">
        <v>0</v>
      </c>
      <c r="R333" s="2" t="inlineStr"/>
    </row>
    <row r="334" ht="15" customHeight="1">
      <c r="A334" t="inlineStr">
        <is>
          <t>A 49492-2025</t>
        </is>
      </c>
      <c r="B334" s="1" t="n">
        <v>45939.36616898148</v>
      </c>
      <c r="C334" s="1" t="n">
        <v>46087</v>
      </c>
      <c r="D334" t="inlineStr">
        <is>
          <t>VÄSTERBOTTENS LÄN</t>
        </is>
      </c>
      <c r="E334" t="inlineStr">
        <is>
          <t>UMEÅ</t>
        </is>
      </c>
      <c r="G334" t="n">
        <v>7.2</v>
      </c>
      <c r="H334" t="n">
        <v>0</v>
      </c>
      <c r="I334" t="n">
        <v>0</v>
      </c>
      <c r="J334" t="n">
        <v>0</v>
      </c>
      <c r="K334" t="n">
        <v>0</v>
      </c>
      <c r="L334" t="n">
        <v>0</v>
      </c>
      <c r="M334" t="n">
        <v>0</v>
      </c>
      <c r="N334" t="n">
        <v>0</v>
      </c>
      <c r="O334" t="n">
        <v>0</v>
      </c>
      <c r="P334" t="n">
        <v>0</v>
      </c>
      <c r="Q334" t="n">
        <v>0</v>
      </c>
      <c r="R334" s="2" t="inlineStr"/>
    </row>
    <row r="335" ht="15" customHeight="1">
      <c r="A335" t="inlineStr">
        <is>
          <t>A 49496-2025</t>
        </is>
      </c>
      <c r="B335" s="1" t="n">
        <v>45939.36644675926</v>
      </c>
      <c r="C335" s="1" t="n">
        <v>46087</v>
      </c>
      <c r="D335" t="inlineStr">
        <is>
          <t>VÄSTERBOTTENS LÄN</t>
        </is>
      </c>
      <c r="E335" t="inlineStr">
        <is>
          <t>UMEÅ</t>
        </is>
      </c>
      <c r="G335" t="n">
        <v>3.7</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46087</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22145-2025</t>
        </is>
      </c>
      <c r="B337" s="1" t="n">
        <v>45785.55422453704</v>
      </c>
      <c r="C337" s="1" t="n">
        <v>46087</v>
      </c>
      <c r="D337" t="inlineStr">
        <is>
          <t>VÄSTERBOTTENS LÄN</t>
        </is>
      </c>
      <c r="E337" t="inlineStr">
        <is>
          <t>UMEÅ</t>
        </is>
      </c>
      <c r="G337" t="n">
        <v>0.3</v>
      </c>
      <c r="H337" t="n">
        <v>0</v>
      </c>
      <c r="I337" t="n">
        <v>0</v>
      </c>
      <c r="J337" t="n">
        <v>0</v>
      </c>
      <c r="K337" t="n">
        <v>0</v>
      </c>
      <c r="L337" t="n">
        <v>0</v>
      </c>
      <c r="M337" t="n">
        <v>0</v>
      </c>
      <c r="N337" t="n">
        <v>0</v>
      </c>
      <c r="O337" t="n">
        <v>0</v>
      </c>
      <c r="P337" t="n">
        <v>0</v>
      </c>
      <c r="Q337" t="n">
        <v>0</v>
      </c>
      <c r="R337" s="2" t="inlineStr"/>
    </row>
    <row r="338" ht="15" customHeight="1">
      <c r="A338" t="inlineStr">
        <is>
          <t>A 22146-2025</t>
        </is>
      </c>
      <c r="B338" s="1" t="n">
        <v>45785.55462962963</v>
      </c>
      <c r="C338" s="1" t="n">
        <v>46087</v>
      </c>
      <c r="D338" t="inlineStr">
        <is>
          <t>VÄSTERBOTTENS LÄN</t>
        </is>
      </c>
      <c r="E338" t="inlineStr">
        <is>
          <t>UMEÅ</t>
        </is>
      </c>
      <c r="G338" t="n">
        <v>1.6</v>
      </c>
      <c r="H338" t="n">
        <v>0</v>
      </c>
      <c r="I338" t="n">
        <v>0</v>
      </c>
      <c r="J338" t="n">
        <v>0</v>
      </c>
      <c r="K338" t="n">
        <v>0</v>
      </c>
      <c r="L338" t="n">
        <v>0</v>
      </c>
      <c r="M338" t="n">
        <v>0</v>
      </c>
      <c r="N338" t="n">
        <v>0</v>
      </c>
      <c r="O338" t="n">
        <v>0</v>
      </c>
      <c r="P338" t="n">
        <v>0</v>
      </c>
      <c r="Q338" t="n">
        <v>0</v>
      </c>
      <c r="R338" s="2" t="inlineStr"/>
    </row>
    <row r="339" ht="15" customHeight="1">
      <c r="A339" t="inlineStr">
        <is>
          <t>A 45359-2024</t>
        </is>
      </c>
      <c r="B339" s="1" t="n">
        <v>45576.48241898148</v>
      </c>
      <c r="C339" s="1" t="n">
        <v>46087</v>
      </c>
      <c r="D339" t="inlineStr">
        <is>
          <t>VÄSTERBOTTENS LÄN</t>
        </is>
      </c>
      <c r="E339" t="inlineStr">
        <is>
          <t>UMEÅ</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45872-2024</t>
        </is>
      </c>
      <c r="B340" s="1" t="n">
        <v>45580.37296296296</v>
      </c>
      <c r="C340" s="1" t="n">
        <v>46087</v>
      </c>
      <c r="D340" t="inlineStr">
        <is>
          <t>VÄSTERBOTTENS LÄN</t>
        </is>
      </c>
      <c r="E340" t="inlineStr">
        <is>
          <t>UMEÅ</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50365-2025</t>
        </is>
      </c>
      <c r="B341" s="1" t="n">
        <v>45944.5691087963</v>
      </c>
      <c r="C341" s="1" t="n">
        <v>46087</v>
      </c>
      <c r="D341" t="inlineStr">
        <is>
          <t>VÄSTERBOTTENS LÄN</t>
        </is>
      </c>
      <c r="E341" t="inlineStr">
        <is>
          <t>UMEÅ</t>
        </is>
      </c>
      <c r="G341" t="n">
        <v>4.4</v>
      </c>
      <c r="H341" t="n">
        <v>0</v>
      </c>
      <c r="I341" t="n">
        <v>0</v>
      </c>
      <c r="J341" t="n">
        <v>0</v>
      </c>
      <c r="K341" t="n">
        <v>0</v>
      </c>
      <c r="L341" t="n">
        <v>0</v>
      </c>
      <c r="M341" t="n">
        <v>0</v>
      </c>
      <c r="N341" t="n">
        <v>0</v>
      </c>
      <c r="O341" t="n">
        <v>0</v>
      </c>
      <c r="P341" t="n">
        <v>0</v>
      </c>
      <c r="Q341" t="n">
        <v>0</v>
      </c>
      <c r="R341" s="2" t="inlineStr"/>
    </row>
    <row r="342" ht="15" customHeight="1">
      <c r="A342" t="inlineStr">
        <is>
          <t>A 50250-2025</t>
        </is>
      </c>
      <c r="B342" s="1" t="n">
        <v>45944.31614583333</v>
      </c>
      <c r="C342" s="1" t="n">
        <v>46087</v>
      </c>
      <c r="D342" t="inlineStr">
        <is>
          <t>VÄSTERBOTTENS LÄN</t>
        </is>
      </c>
      <c r="E342" t="inlineStr">
        <is>
          <t>UMEÅ</t>
        </is>
      </c>
      <c r="G342" t="n">
        <v>9.1</v>
      </c>
      <c r="H342" t="n">
        <v>0</v>
      </c>
      <c r="I342" t="n">
        <v>0</v>
      </c>
      <c r="J342" t="n">
        <v>0</v>
      </c>
      <c r="K342" t="n">
        <v>0</v>
      </c>
      <c r="L342" t="n">
        <v>0</v>
      </c>
      <c r="M342" t="n">
        <v>0</v>
      </c>
      <c r="N342" t="n">
        <v>0</v>
      </c>
      <c r="O342" t="n">
        <v>0</v>
      </c>
      <c r="P342" t="n">
        <v>0</v>
      </c>
      <c r="Q342" t="n">
        <v>0</v>
      </c>
      <c r="R342" s="2" t="inlineStr"/>
    </row>
    <row r="343" ht="15" customHeight="1">
      <c r="A343" t="inlineStr">
        <is>
          <t>A 56563-2021</t>
        </is>
      </c>
      <c r="B343" s="1" t="n">
        <v>44480</v>
      </c>
      <c r="C343" s="1" t="n">
        <v>46087</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50379-2025</t>
        </is>
      </c>
      <c r="B344" s="1" t="n">
        <v>45944.59688657407</v>
      </c>
      <c r="C344" s="1" t="n">
        <v>46087</v>
      </c>
      <c r="D344" t="inlineStr">
        <is>
          <t>VÄSTERBOTTENS LÄN</t>
        </is>
      </c>
      <c r="E344" t="inlineStr">
        <is>
          <t>UMEÅ</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50159-2025</t>
        </is>
      </c>
      <c r="B345" s="1" t="n">
        <v>45943.58391203704</v>
      </c>
      <c r="C345" s="1" t="n">
        <v>46087</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50284-2025</t>
        </is>
      </c>
      <c r="B346" s="1" t="n">
        <v>45944.39328703703</v>
      </c>
      <c r="C346" s="1" t="n">
        <v>46087</v>
      </c>
      <c r="D346" t="inlineStr">
        <is>
          <t>VÄSTERBOTTENS LÄN</t>
        </is>
      </c>
      <c r="E346" t="inlineStr">
        <is>
          <t>UMEÅ</t>
        </is>
      </c>
      <c r="G346" t="n">
        <v>1.6</v>
      </c>
      <c r="H346" t="n">
        <v>0</v>
      </c>
      <c r="I346" t="n">
        <v>0</v>
      </c>
      <c r="J346" t="n">
        <v>0</v>
      </c>
      <c r="K346" t="n">
        <v>0</v>
      </c>
      <c r="L346" t="n">
        <v>0</v>
      </c>
      <c r="M346" t="n">
        <v>0</v>
      </c>
      <c r="N346" t="n">
        <v>0</v>
      </c>
      <c r="O346" t="n">
        <v>0</v>
      </c>
      <c r="P346" t="n">
        <v>0</v>
      </c>
      <c r="Q346" t="n">
        <v>0</v>
      </c>
      <c r="R346" s="2" t="inlineStr"/>
    </row>
    <row r="347" ht="15" customHeight="1">
      <c r="A347" t="inlineStr">
        <is>
          <t>A 50646-2025</t>
        </is>
      </c>
      <c r="B347" s="1" t="n">
        <v>45945.65694444445</v>
      </c>
      <c r="C347" s="1" t="n">
        <v>46087</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50790-2025</t>
        </is>
      </c>
      <c r="B348" s="1" t="n">
        <v>45946.47287037037</v>
      </c>
      <c r="C348" s="1" t="n">
        <v>46087</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59029-2024</t>
        </is>
      </c>
      <c r="B349" s="1" t="n">
        <v>45636</v>
      </c>
      <c r="C349" s="1" t="n">
        <v>46087</v>
      </c>
      <c r="D349" t="inlineStr">
        <is>
          <t>VÄSTERBOTTENS LÄN</t>
        </is>
      </c>
      <c r="E349" t="inlineStr">
        <is>
          <t>UMEÅ</t>
        </is>
      </c>
      <c r="G349" t="n">
        <v>1.6</v>
      </c>
      <c r="H349" t="n">
        <v>0</v>
      </c>
      <c r="I349" t="n">
        <v>0</v>
      </c>
      <c r="J349" t="n">
        <v>0</v>
      </c>
      <c r="K349" t="n">
        <v>0</v>
      </c>
      <c r="L349" t="n">
        <v>0</v>
      </c>
      <c r="M349" t="n">
        <v>0</v>
      </c>
      <c r="N349" t="n">
        <v>0</v>
      </c>
      <c r="O349" t="n">
        <v>0</v>
      </c>
      <c r="P349" t="n">
        <v>0</v>
      </c>
      <c r="Q349" t="n">
        <v>0</v>
      </c>
      <c r="R349" s="2" t="inlineStr"/>
    </row>
    <row r="350" ht="15" customHeight="1">
      <c r="A350" t="inlineStr">
        <is>
          <t>A 39523-2025</t>
        </is>
      </c>
      <c r="B350" s="1" t="n">
        <v>45890.43826388889</v>
      </c>
      <c r="C350" s="1" t="n">
        <v>46087</v>
      </c>
      <c r="D350" t="inlineStr">
        <is>
          <t>VÄSTERBOTTENS LÄN</t>
        </is>
      </c>
      <c r="E350" t="inlineStr">
        <is>
          <t>UMEÅ</t>
        </is>
      </c>
      <c r="G350" t="n">
        <v>0.8</v>
      </c>
      <c r="H350" t="n">
        <v>0</v>
      </c>
      <c r="I350" t="n">
        <v>0</v>
      </c>
      <c r="J350" t="n">
        <v>0</v>
      </c>
      <c r="K350" t="n">
        <v>0</v>
      </c>
      <c r="L350" t="n">
        <v>0</v>
      </c>
      <c r="M350" t="n">
        <v>0</v>
      </c>
      <c r="N350" t="n">
        <v>0</v>
      </c>
      <c r="O350" t="n">
        <v>0</v>
      </c>
      <c r="P350" t="n">
        <v>0</v>
      </c>
      <c r="Q350" t="n">
        <v>0</v>
      </c>
      <c r="R350" s="2" t="inlineStr"/>
    </row>
    <row r="351" ht="15" customHeight="1">
      <c r="A351" t="inlineStr">
        <is>
          <t>A 50442-2025</t>
        </is>
      </c>
      <c r="B351" s="1" t="n">
        <v>45944.86627314815</v>
      </c>
      <c r="C351" s="1" t="n">
        <v>46087</v>
      </c>
      <c r="D351" t="inlineStr">
        <is>
          <t>VÄSTERBOTTENS LÄN</t>
        </is>
      </c>
      <c r="E351" t="inlineStr">
        <is>
          <t>UMEÅ</t>
        </is>
      </c>
      <c r="G351" t="n">
        <v>3.5</v>
      </c>
      <c r="H351" t="n">
        <v>0</v>
      </c>
      <c r="I351" t="n">
        <v>0</v>
      </c>
      <c r="J351" t="n">
        <v>0</v>
      </c>
      <c r="K351" t="n">
        <v>0</v>
      </c>
      <c r="L351" t="n">
        <v>0</v>
      </c>
      <c r="M351" t="n">
        <v>0</v>
      </c>
      <c r="N351" t="n">
        <v>0</v>
      </c>
      <c r="O351" t="n">
        <v>0</v>
      </c>
      <c r="P351" t="n">
        <v>0</v>
      </c>
      <c r="Q351" t="n">
        <v>0</v>
      </c>
      <c r="R351" s="2" t="inlineStr"/>
    </row>
    <row r="352" ht="15" customHeight="1">
      <c r="A352" t="inlineStr">
        <is>
          <t>A 50923-2025</t>
        </is>
      </c>
      <c r="B352" s="1" t="n">
        <v>45946.67513888889</v>
      </c>
      <c r="C352" s="1" t="n">
        <v>46087</v>
      </c>
      <c r="D352" t="inlineStr">
        <is>
          <t>VÄSTERBOTTENS LÄN</t>
        </is>
      </c>
      <c r="E352" t="inlineStr">
        <is>
          <t>UMEÅ</t>
        </is>
      </c>
      <c r="G352" t="n">
        <v>5.6</v>
      </c>
      <c r="H352" t="n">
        <v>0</v>
      </c>
      <c r="I352" t="n">
        <v>0</v>
      </c>
      <c r="J352" t="n">
        <v>0</v>
      </c>
      <c r="K352" t="n">
        <v>0</v>
      </c>
      <c r="L352" t="n">
        <v>0</v>
      </c>
      <c r="M352" t="n">
        <v>0</v>
      </c>
      <c r="N352" t="n">
        <v>0</v>
      </c>
      <c r="O352" t="n">
        <v>0</v>
      </c>
      <c r="P352" t="n">
        <v>0</v>
      </c>
      <c r="Q352" t="n">
        <v>0</v>
      </c>
      <c r="R352" s="2" t="inlineStr"/>
    </row>
    <row r="353" ht="15" customHeight="1">
      <c r="A353" t="inlineStr">
        <is>
          <t>A 25687-2024</t>
        </is>
      </c>
      <c r="B353" s="1" t="n">
        <v>45463</v>
      </c>
      <c r="C353" s="1" t="n">
        <v>46087</v>
      </c>
      <c r="D353" t="inlineStr">
        <is>
          <t>VÄSTERBOTTENS LÄN</t>
        </is>
      </c>
      <c r="E353" t="inlineStr">
        <is>
          <t>UMEÅ</t>
        </is>
      </c>
      <c r="G353" t="n">
        <v>1</v>
      </c>
      <c r="H353" t="n">
        <v>0</v>
      </c>
      <c r="I353" t="n">
        <v>0</v>
      </c>
      <c r="J353" t="n">
        <v>0</v>
      </c>
      <c r="K353" t="n">
        <v>0</v>
      </c>
      <c r="L353" t="n">
        <v>0</v>
      </c>
      <c r="M353" t="n">
        <v>0</v>
      </c>
      <c r="N353" t="n">
        <v>0</v>
      </c>
      <c r="O353" t="n">
        <v>0</v>
      </c>
      <c r="P353" t="n">
        <v>0</v>
      </c>
      <c r="Q353" t="n">
        <v>0</v>
      </c>
      <c r="R353" s="2" t="inlineStr"/>
    </row>
    <row r="354" ht="15" customHeight="1">
      <c r="A354" t="inlineStr">
        <is>
          <t>A 35434-2024</t>
        </is>
      </c>
      <c r="B354" s="1" t="n">
        <v>45531.41466435185</v>
      </c>
      <c r="C354" s="1" t="n">
        <v>46087</v>
      </c>
      <c r="D354" t="inlineStr">
        <is>
          <t>VÄSTERBOTTENS LÄN</t>
        </is>
      </c>
      <c r="E354" t="inlineStr">
        <is>
          <t>UMEÅ</t>
        </is>
      </c>
      <c r="G354" t="n">
        <v>0.9</v>
      </c>
      <c r="H354" t="n">
        <v>0</v>
      </c>
      <c r="I354" t="n">
        <v>0</v>
      </c>
      <c r="J354" t="n">
        <v>0</v>
      </c>
      <c r="K354" t="n">
        <v>0</v>
      </c>
      <c r="L354" t="n">
        <v>0</v>
      </c>
      <c r="M354" t="n">
        <v>0</v>
      </c>
      <c r="N354" t="n">
        <v>0</v>
      </c>
      <c r="O354" t="n">
        <v>0</v>
      </c>
      <c r="P354" t="n">
        <v>0</v>
      </c>
      <c r="Q354" t="n">
        <v>0</v>
      </c>
      <c r="R354" s="2" t="inlineStr"/>
    </row>
    <row r="355" ht="15" customHeight="1">
      <c r="A355" t="inlineStr">
        <is>
          <t>A 39373-2025</t>
        </is>
      </c>
      <c r="B355" s="1" t="n">
        <v>45889.58655092592</v>
      </c>
      <c r="C355" s="1" t="n">
        <v>46087</v>
      </c>
      <c r="D355" t="inlineStr">
        <is>
          <t>VÄSTERBOTTENS LÄN</t>
        </is>
      </c>
      <c r="E355" t="inlineStr">
        <is>
          <t>UMEÅ</t>
        </is>
      </c>
      <c r="G355" t="n">
        <v>7.3</v>
      </c>
      <c r="H355" t="n">
        <v>0</v>
      </c>
      <c r="I355" t="n">
        <v>0</v>
      </c>
      <c r="J355" t="n">
        <v>0</v>
      </c>
      <c r="K355" t="n">
        <v>0</v>
      </c>
      <c r="L355" t="n">
        <v>0</v>
      </c>
      <c r="M355" t="n">
        <v>0</v>
      </c>
      <c r="N355" t="n">
        <v>0</v>
      </c>
      <c r="O355" t="n">
        <v>0</v>
      </c>
      <c r="P355" t="n">
        <v>0</v>
      </c>
      <c r="Q355" t="n">
        <v>0</v>
      </c>
      <c r="R355" s="2" t="inlineStr"/>
    </row>
    <row r="356" ht="15" customHeight="1">
      <c r="A356" t="inlineStr">
        <is>
          <t>A 50939-2025</t>
        </is>
      </c>
      <c r="B356" s="1" t="n">
        <v>45946.71021990741</v>
      </c>
      <c r="C356" s="1" t="n">
        <v>46087</v>
      </c>
      <c r="D356" t="inlineStr">
        <is>
          <t>VÄSTERBOTTENS LÄN</t>
        </is>
      </c>
      <c r="E356" t="inlineStr">
        <is>
          <t>UMEÅ</t>
        </is>
      </c>
      <c r="F356" t="inlineStr">
        <is>
          <t>Holmen skog AB</t>
        </is>
      </c>
      <c r="G356" t="n">
        <v>3.1</v>
      </c>
      <c r="H356" t="n">
        <v>0</v>
      </c>
      <c r="I356" t="n">
        <v>0</v>
      </c>
      <c r="J356" t="n">
        <v>0</v>
      </c>
      <c r="K356" t="n">
        <v>0</v>
      </c>
      <c r="L356" t="n">
        <v>0</v>
      </c>
      <c r="M356" t="n">
        <v>0</v>
      </c>
      <c r="N356" t="n">
        <v>0</v>
      </c>
      <c r="O356" t="n">
        <v>0</v>
      </c>
      <c r="P356" t="n">
        <v>0</v>
      </c>
      <c r="Q356" t="n">
        <v>0</v>
      </c>
      <c r="R356" s="2" t="inlineStr"/>
    </row>
    <row r="357" ht="15" customHeight="1">
      <c r="A357" t="inlineStr">
        <is>
          <t>A 50443-2025</t>
        </is>
      </c>
      <c r="B357" s="1" t="n">
        <v>45944.86888888889</v>
      </c>
      <c r="C357" s="1" t="n">
        <v>46087</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47141-2021</t>
        </is>
      </c>
      <c r="B358" s="1" t="n">
        <v>44446.91958333334</v>
      </c>
      <c r="C358" s="1" t="n">
        <v>46087</v>
      </c>
      <c r="D358" t="inlineStr">
        <is>
          <t>VÄSTERBOTTENS LÄN</t>
        </is>
      </c>
      <c r="E358" t="inlineStr">
        <is>
          <t>UMEÅ</t>
        </is>
      </c>
      <c r="G358" t="n">
        <v>0.9</v>
      </c>
      <c r="H358" t="n">
        <v>0</v>
      </c>
      <c r="I358" t="n">
        <v>0</v>
      </c>
      <c r="J358" t="n">
        <v>0</v>
      </c>
      <c r="K358" t="n">
        <v>0</v>
      </c>
      <c r="L358" t="n">
        <v>0</v>
      </c>
      <c r="M358" t="n">
        <v>0</v>
      </c>
      <c r="N358" t="n">
        <v>0</v>
      </c>
      <c r="O358" t="n">
        <v>0</v>
      </c>
      <c r="P358" t="n">
        <v>0</v>
      </c>
      <c r="Q358" t="n">
        <v>0</v>
      </c>
      <c r="R358" s="2" t="inlineStr"/>
    </row>
    <row r="359" ht="15" customHeight="1">
      <c r="A359" t="inlineStr">
        <is>
          <t>A 51339-2025</t>
        </is>
      </c>
      <c r="B359" s="1" t="n">
        <v>45950.42702546297</v>
      </c>
      <c r="C359" s="1" t="n">
        <v>46087</v>
      </c>
      <c r="D359" t="inlineStr">
        <is>
          <t>VÄSTERBOTTENS LÄN</t>
        </is>
      </c>
      <c r="E359" t="inlineStr">
        <is>
          <t>UMEÅ</t>
        </is>
      </c>
      <c r="G359" t="n">
        <v>5.6</v>
      </c>
      <c r="H359" t="n">
        <v>0</v>
      </c>
      <c r="I359" t="n">
        <v>0</v>
      </c>
      <c r="J359" t="n">
        <v>0</v>
      </c>
      <c r="K359" t="n">
        <v>0</v>
      </c>
      <c r="L359" t="n">
        <v>0</v>
      </c>
      <c r="M359" t="n">
        <v>0</v>
      </c>
      <c r="N359" t="n">
        <v>0</v>
      </c>
      <c r="O359" t="n">
        <v>0</v>
      </c>
      <c r="P359" t="n">
        <v>0</v>
      </c>
      <c r="Q359" t="n">
        <v>0</v>
      </c>
      <c r="R359" s="2" t="inlineStr"/>
    </row>
    <row r="360" ht="15" customHeight="1">
      <c r="A360" t="inlineStr">
        <is>
          <t>A 51445-2025</t>
        </is>
      </c>
      <c r="B360" s="1" t="n">
        <v>45950.58671296296</v>
      </c>
      <c r="C360" s="1" t="n">
        <v>46087</v>
      </c>
      <c r="D360" t="inlineStr">
        <is>
          <t>VÄSTERBOTTENS LÄN</t>
        </is>
      </c>
      <c r="E360" t="inlineStr">
        <is>
          <t>UMEÅ</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51280-2025</t>
        </is>
      </c>
      <c r="B361" s="1" t="n">
        <v>45950.3259837963</v>
      </c>
      <c r="C361" s="1" t="n">
        <v>46087</v>
      </c>
      <c r="D361" t="inlineStr">
        <is>
          <t>VÄSTERBOTTENS LÄN</t>
        </is>
      </c>
      <c r="E361" t="inlineStr">
        <is>
          <t>UMEÅ</t>
        </is>
      </c>
      <c r="G361" t="n">
        <v>7.8</v>
      </c>
      <c r="H361" t="n">
        <v>0</v>
      </c>
      <c r="I361" t="n">
        <v>0</v>
      </c>
      <c r="J361" t="n">
        <v>0</v>
      </c>
      <c r="K361" t="n">
        <v>0</v>
      </c>
      <c r="L361" t="n">
        <v>0</v>
      </c>
      <c r="M361" t="n">
        <v>0</v>
      </c>
      <c r="N361" t="n">
        <v>0</v>
      </c>
      <c r="O361" t="n">
        <v>0</v>
      </c>
      <c r="P361" t="n">
        <v>0</v>
      </c>
      <c r="Q361" t="n">
        <v>0</v>
      </c>
      <c r="R361" s="2" t="inlineStr"/>
    </row>
    <row r="362" ht="15" customHeight="1">
      <c r="A362" t="inlineStr">
        <is>
          <t>A 39820-2025</t>
        </is>
      </c>
      <c r="B362" s="1" t="n">
        <v>45891.53517361111</v>
      </c>
      <c r="C362" s="1" t="n">
        <v>46087</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17928-2023</t>
        </is>
      </c>
      <c r="B363" s="1" t="n">
        <v>45037</v>
      </c>
      <c r="C363" s="1" t="n">
        <v>46087</v>
      </c>
      <c r="D363" t="inlineStr">
        <is>
          <t>VÄSTERBOTTENS LÄN</t>
        </is>
      </c>
      <c r="E363" t="inlineStr">
        <is>
          <t>UMEÅ</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32510-2025</t>
        </is>
      </c>
      <c r="B364" s="1" t="n">
        <v>45838.47287037037</v>
      </c>
      <c r="C364" s="1" t="n">
        <v>46087</v>
      </c>
      <c r="D364" t="inlineStr">
        <is>
          <t>VÄSTERBOTTENS LÄN</t>
        </is>
      </c>
      <c r="E364" t="inlineStr">
        <is>
          <t>UMEÅ</t>
        </is>
      </c>
      <c r="G364" t="n">
        <v>7.1</v>
      </c>
      <c r="H364" t="n">
        <v>0</v>
      </c>
      <c r="I364" t="n">
        <v>0</v>
      </c>
      <c r="J364" t="n">
        <v>0</v>
      </c>
      <c r="K364" t="n">
        <v>0</v>
      </c>
      <c r="L364" t="n">
        <v>0</v>
      </c>
      <c r="M364" t="n">
        <v>0</v>
      </c>
      <c r="N364" t="n">
        <v>0</v>
      </c>
      <c r="O364" t="n">
        <v>0</v>
      </c>
      <c r="P364" t="n">
        <v>0</v>
      </c>
      <c r="Q364" t="n">
        <v>0</v>
      </c>
      <c r="R364" s="2" t="inlineStr"/>
    </row>
    <row r="365" ht="15" customHeight="1">
      <c r="A365" t="inlineStr">
        <is>
          <t>A 30215-2025</t>
        </is>
      </c>
      <c r="B365" s="1" t="n">
        <v>45827.36939814815</v>
      </c>
      <c r="C365" s="1" t="n">
        <v>46087</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29932-2025</t>
        </is>
      </c>
      <c r="B366" s="1" t="n">
        <v>45826.43984953704</v>
      </c>
      <c r="C366" s="1" t="n">
        <v>46087</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29658-2024</t>
        </is>
      </c>
      <c r="B367" s="1" t="n">
        <v>45484.9237037037</v>
      </c>
      <c r="C367" s="1" t="n">
        <v>46087</v>
      </c>
      <c r="D367" t="inlineStr">
        <is>
          <t>VÄSTERBOTTENS LÄN</t>
        </is>
      </c>
      <c r="E367" t="inlineStr">
        <is>
          <t>UMEÅ</t>
        </is>
      </c>
      <c r="G367" t="n">
        <v>11.4</v>
      </c>
      <c r="H367" t="n">
        <v>0</v>
      </c>
      <c r="I367" t="n">
        <v>0</v>
      </c>
      <c r="J367" t="n">
        <v>0</v>
      </c>
      <c r="K367" t="n">
        <v>0</v>
      </c>
      <c r="L367" t="n">
        <v>0</v>
      </c>
      <c r="M367" t="n">
        <v>0</v>
      </c>
      <c r="N367" t="n">
        <v>0</v>
      </c>
      <c r="O367" t="n">
        <v>0</v>
      </c>
      <c r="P367" t="n">
        <v>0</v>
      </c>
      <c r="Q367" t="n">
        <v>0</v>
      </c>
      <c r="R367" s="2" t="inlineStr"/>
    </row>
    <row r="368" ht="15" customHeight="1">
      <c r="A368" t="inlineStr">
        <is>
          <t>A 48635-2024</t>
        </is>
      </c>
      <c r="B368" s="1" t="n">
        <v>45593.46998842592</v>
      </c>
      <c r="C368" s="1" t="n">
        <v>46087</v>
      </c>
      <c r="D368" t="inlineStr">
        <is>
          <t>VÄSTERBOTTENS LÄN</t>
        </is>
      </c>
      <c r="E368" t="inlineStr">
        <is>
          <t>UMEÅ</t>
        </is>
      </c>
      <c r="F368" t="inlineStr">
        <is>
          <t>Holmen skog AB</t>
        </is>
      </c>
      <c r="G368" t="n">
        <v>0.7</v>
      </c>
      <c r="H368" t="n">
        <v>0</v>
      </c>
      <c r="I368" t="n">
        <v>0</v>
      </c>
      <c r="J368" t="n">
        <v>0</v>
      </c>
      <c r="K368" t="n">
        <v>0</v>
      </c>
      <c r="L368" t="n">
        <v>0</v>
      </c>
      <c r="M368" t="n">
        <v>0</v>
      </c>
      <c r="N368" t="n">
        <v>0</v>
      </c>
      <c r="O368" t="n">
        <v>0</v>
      </c>
      <c r="P368" t="n">
        <v>0</v>
      </c>
      <c r="Q368" t="n">
        <v>0</v>
      </c>
      <c r="R368" s="2" t="inlineStr"/>
    </row>
    <row r="369" ht="15" customHeight="1">
      <c r="A369" t="inlineStr">
        <is>
          <t>A 40039-2025</t>
        </is>
      </c>
      <c r="B369" s="1" t="n">
        <v>45894.39484953704</v>
      </c>
      <c r="C369" s="1" t="n">
        <v>46087</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40040-2025</t>
        </is>
      </c>
      <c r="B370" s="1" t="n">
        <v>45894.39736111111</v>
      </c>
      <c r="C370" s="1" t="n">
        <v>46087</v>
      </c>
      <c r="D370" t="inlineStr">
        <is>
          <t>VÄSTERBOTTENS LÄN</t>
        </is>
      </c>
      <c r="E370" t="inlineStr">
        <is>
          <t>UMEÅ</t>
        </is>
      </c>
      <c r="G370" t="n">
        <v>6.5</v>
      </c>
      <c r="H370" t="n">
        <v>0</v>
      </c>
      <c r="I370" t="n">
        <v>0</v>
      </c>
      <c r="J370" t="n">
        <v>0</v>
      </c>
      <c r="K370" t="n">
        <v>0</v>
      </c>
      <c r="L370" t="n">
        <v>0</v>
      </c>
      <c r="M370" t="n">
        <v>0</v>
      </c>
      <c r="N370" t="n">
        <v>0</v>
      </c>
      <c r="O370" t="n">
        <v>0</v>
      </c>
      <c r="P370" t="n">
        <v>0</v>
      </c>
      <c r="Q370" t="n">
        <v>0</v>
      </c>
      <c r="R370" s="2" t="inlineStr"/>
    </row>
    <row r="371" ht="15" customHeight="1">
      <c r="A371" t="inlineStr">
        <is>
          <t>A 31200-2024</t>
        </is>
      </c>
      <c r="B371" s="1" t="n">
        <v>45503</v>
      </c>
      <c r="C371" s="1" t="n">
        <v>46087</v>
      </c>
      <c r="D371" t="inlineStr">
        <is>
          <t>VÄSTERBOTTENS LÄN</t>
        </is>
      </c>
      <c r="E371" t="inlineStr">
        <is>
          <t>UMEÅ</t>
        </is>
      </c>
      <c r="F371" t="inlineStr">
        <is>
          <t>Holmen skog AB</t>
        </is>
      </c>
      <c r="G371" t="n">
        <v>3.7</v>
      </c>
      <c r="H371" t="n">
        <v>0</v>
      </c>
      <c r="I371" t="n">
        <v>0</v>
      </c>
      <c r="J371" t="n">
        <v>0</v>
      </c>
      <c r="K371" t="n">
        <v>0</v>
      </c>
      <c r="L371" t="n">
        <v>0</v>
      </c>
      <c r="M371" t="n">
        <v>0</v>
      </c>
      <c r="N371" t="n">
        <v>0</v>
      </c>
      <c r="O371" t="n">
        <v>0</v>
      </c>
      <c r="P371" t="n">
        <v>0</v>
      </c>
      <c r="Q371" t="n">
        <v>0</v>
      </c>
      <c r="R371" s="2" t="inlineStr"/>
    </row>
    <row r="372" ht="15" customHeight="1">
      <c r="A372" t="inlineStr">
        <is>
          <t>A 53181-2021</t>
        </is>
      </c>
      <c r="B372" s="1" t="n">
        <v>44467</v>
      </c>
      <c r="C372" s="1" t="n">
        <v>46087</v>
      </c>
      <c r="D372" t="inlineStr">
        <is>
          <t>VÄSTERBOTTENS LÄN</t>
        </is>
      </c>
      <c r="E372" t="inlineStr">
        <is>
          <t>UMEÅ</t>
        </is>
      </c>
      <c r="G372" t="n">
        <v>3.1</v>
      </c>
      <c r="H372" t="n">
        <v>0</v>
      </c>
      <c r="I372" t="n">
        <v>0</v>
      </c>
      <c r="J372" t="n">
        <v>0</v>
      </c>
      <c r="K372" t="n">
        <v>0</v>
      </c>
      <c r="L372" t="n">
        <v>0</v>
      </c>
      <c r="M372" t="n">
        <v>0</v>
      </c>
      <c r="N372" t="n">
        <v>0</v>
      </c>
      <c r="O372" t="n">
        <v>0</v>
      </c>
      <c r="P372" t="n">
        <v>0</v>
      </c>
      <c r="Q372" t="n">
        <v>0</v>
      </c>
      <c r="R372" s="2" t="inlineStr"/>
    </row>
    <row r="373" ht="15" customHeight="1">
      <c r="A373" t="inlineStr">
        <is>
          <t>A 39836-2025</t>
        </is>
      </c>
      <c r="B373" s="1" t="n">
        <v>45891.56422453704</v>
      </c>
      <c r="C373" s="1" t="n">
        <v>46087</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51327-2025</t>
        </is>
      </c>
      <c r="B374" s="1" t="n">
        <v>45950.40690972222</v>
      </c>
      <c r="C374" s="1" t="n">
        <v>46087</v>
      </c>
      <c r="D374" t="inlineStr">
        <is>
          <t>VÄSTERBOTTENS LÄN</t>
        </is>
      </c>
      <c r="E374" t="inlineStr">
        <is>
          <t>UMEÅ</t>
        </is>
      </c>
      <c r="G374" t="n">
        <v>4.8</v>
      </c>
      <c r="H374" t="n">
        <v>0</v>
      </c>
      <c r="I374" t="n">
        <v>0</v>
      </c>
      <c r="J374" t="n">
        <v>0</v>
      </c>
      <c r="K374" t="n">
        <v>0</v>
      </c>
      <c r="L374" t="n">
        <v>0</v>
      </c>
      <c r="M374" t="n">
        <v>0</v>
      </c>
      <c r="N374" t="n">
        <v>0</v>
      </c>
      <c r="O374" t="n">
        <v>0</v>
      </c>
      <c r="P374" t="n">
        <v>0</v>
      </c>
      <c r="Q374" t="n">
        <v>0</v>
      </c>
      <c r="R374" s="2" t="inlineStr"/>
    </row>
    <row r="375" ht="15" customHeight="1">
      <c r="A375" t="inlineStr">
        <is>
          <t>A 51455-2025</t>
        </is>
      </c>
      <c r="B375" s="1" t="n">
        <v>45950.59583333333</v>
      </c>
      <c r="C375" s="1" t="n">
        <v>46087</v>
      </c>
      <c r="D375" t="inlineStr">
        <is>
          <t>VÄSTERBOTTENS LÄN</t>
        </is>
      </c>
      <c r="E375" t="inlineStr">
        <is>
          <t>UMEÅ</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51352-2025</t>
        </is>
      </c>
      <c r="B376" s="1" t="n">
        <v>45950.43679398148</v>
      </c>
      <c r="C376" s="1" t="n">
        <v>46087</v>
      </c>
      <c r="D376" t="inlineStr">
        <is>
          <t>VÄSTERBOTTENS LÄN</t>
        </is>
      </c>
      <c r="E376" t="inlineStr">
        <is>
          <t>UMEÅ</t>
        </is>
      </c>
      <c r="G376" t="n">
        <v>2.9</v>
      </c>
      <c r="H376" t="n">
        <v>0</v>
      </c>
      <c r="I376" t="n">
        <v>0</v>
      </c>
      <c r="J376" t="n">
        <v>0</v>
      </c>
      <c r="K376" t="n">
        <v>0</v>
      </c>
      <c r="L376" t="n">
        <v>0</v>
      </c>
      <c r="M376" t="n">
        <v>0</v>
      </c>
      <c r="N376" t="n">
        <v>0</v>
      </c>
      <c r="O376" t="n">
        <v>0</v>
      </c>
      <c r="P376" t="n">
        <v>0</v>
      </c>
      <c r="Q376" t="n">
        <v>0</v>
      </c>
      <c r="R376" s="2" t="inlineStr"/>
    </row>
    <row r="377" ht="15" customHeight="1">
      <c r="A377" t="inlineStr">
        <is>
          <t>A 51930-2025</t>
        </is>
      </c>
      <c r="B377" s="1" t="n">
        <v>45952.49821759259</v>
      </c>
      <c r="C377" s="1" t="n">
        <v>46087</v>
      </c>
      <c r="D377" t="inlineStr">
        <is>
          <t>VÄSTERBOTTENS LÄN</t>
        </is>
      </c>
      <c r="E377" t="inlineStr">
        <is>
          <t>UMEÅ</t>
        </is>
      </c>
      <c r="F377" t="inlineStr">
        <is>
          <t>Holmen skog AB</t>
        </is>
      </c>
      <c r="G377" t="n">
        <v>0.7</v>
      </c>
      <c r="H377" t="n">
        <v>0</v>
      </c>
      <c r="I377" t="n">
        <v>0</v>
      </c>
      <c r="J377" t="n">
        <v>0</v>
      </c>
      <c r="K377" t="n">
        <v>0</v>
      </c>
      <c r="L377" t="n">
        <v>0</v>
      </c>
      <c r="M377" t="n">
        <v>0</v>
      </c>
      <c r="N377" t="n">
        <v>0</v>
      </c>
      <c r="O377" t="n">
        <v>0</v>
      </c>
      <c r="P377" t="n">
        <v>0</v>
      </c>
      <c r="Q377" t="n">
        <v>0</v>
      </c>
      <c r="R377" s="2" t="inlineStr"/>
    </row>
    <row r="378" ht="15" customHeight="1">
      <c r="A378" t="inlineStr">
        <is>
          <t>A 30216-2023</t>
        </is>
      </c>
      <c r="B378" s="1" t="n">
        <v>45110.63961805555</v>
      </c>
      <c r="C378" s="1" t="n">
        <v>46087</v>
      </c>
      <c r="D378" t="inlineStr">
        <is>
          <t>VÄSTERBOTTENS LÄN</t>
        </is>
      </c>
      <c r="E378" t="inlineStr">
        <is>
          <t>UMEÅ</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51689-2025</t>
        </is>
      </c>
      <c r="B379" s="1" t="n">
        <v>45951.53252314815</v>
      </c>
      <c r="C379" s="1" t="n">
        <v>46087</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51547-2025</t>
        </is>
      </c>
      <c r="B380" s="1" t="n">
        <v>45950.78769675926</v>
      </c>
      <c r="C380" s="1" t="n">
        <v>46087</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40158-2025</t>
        </is>
      </c>
      <c r="B381" s="1" t="n">
        <v>45894.60689814815</v>
      </c>
      <c r="C381" s="1" t="n">
        <v>46087</v>
      </c>
      <c r="D381" t="inlineStr">
        <is>
          <t>VÄSTERBOTTENS LÄN</t>
        </is>
      </c>
      <c r="E381" t="inlineStr">
        <is>
          <t>UMEÅ</t>
        </is>
      </c>
      <c r="G381" t="n">
        <v>7.2</v>
      </c>
      <c r="H381" t="n">
        <v>0</v>
      </c>
      <c r="I381" t="n">
        <v>0</v>
      </c>
      <c r="J381" t="n">
        <v>0</v>
      </c>
      <c r="K381" t="n">
        <v>0</v>
      </c>
      <c r="L381" t="n">
        <v>0</v>
      </c>
      <c r="M381" t="n">
        <v>0</v>
      </c>
      <c r="N381" t="n">
        <v>0</v>
      </c>
      <c r="O381" t="n">
        <v>0</v>
      </c>
      <c r="P381" t="n">
        <v>0</v>
      </c>
      <c r="Q381" t="n">
        <v>0</v>
      </c>
      <c r="R381" s="2" t="inlineStr"/>
    </row>
    <row r="382" ht="15" customHeight="1">
      <c r="A382" t="inlineStr">
        <is>
          <t>A 23751-2024</t>
        </is>
      </c>
      <c r="B382" s="1" t="n">
        <v>45455</v>
      </c>
      <c r="C382" s="1" t="n">
        <v>46087</v>
      </c>
      <c r="D382" t="inlineStr">
        <is>
          <t>VÄSTERBOTTENS LÄN</t>
        </is>
      </c>
      <c r="E382" t="inlineStr">
        <is>
          <t>UMEÅ</t>
        </is>
      </c>
      <c r="G382" t="n">
        <v>0.7</v>
      </c>
      <c r="H382" t="n">
        <v>0</v>
      </c>
      <c r="I382" t="n">
        <v>0</v>
      </c>
      <c r="J382" t="n">
        <v>0</v>
      </c>
      <c r="K382" t="n">
        <v>0</v>
      </c>
      <c r="L382" t="n">
        <v>0</v>
      </c>
      <c r="M382" t="n">
        <v>0</v>
      </c>
      <c r="N382" t="n">
        <v>0</v>
      </c>
      <c r="O382" t="n">
        <v>0</v>
      </c>
      <c r="P382" t="n">
        <v>0</v>
      </c>
      <c r="Q382" t="n">
        <v>0</v>
      </c>
      <c r="R382" s="2" t="inlineStr"/>
    </row>
    <row r="383" ht="15" customHeight="1">
      <c r="A383" t="inlineStr">
        <is>
          <t>A 52076-2025</t>
        </is>
      </c>
      <c r="B383" s="1" t="n">
        <v>45952.65568287037</v>
      </c>
      <c r="C383" s="1" t="n">
        <v>46087</v>
      </c>
      <c r="D383" t="inlineStr">
        <is>
          <t>VÄSTERBOTTENS LÄN</t>
        </is>
      </c>
      <c r="E383" t="inlineStr">
        <is>
          <t>UMEÅ</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52006-2025</t>
        </is>
      </c>
      <c r="B384" s="1" t="n">
        <v>45952.593125</v>
      </c>
      <c r="C384" s="1" t="n">
        <v>46087</v>
      </c>
      <c r="D384" t="inlineStr">
        <is>
          <t>VÄSTERBOTTENS LÄN</t>
        </is>
      </c>
      <c r="E384" t="inlineStr">
        <is>
          <t>UMEÅ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51629-2025</t>
        </is>
      </c>
      <c r="B385" s="1" t="n">
        <v>45951.42306712963</v>
      </c>
      <c r="C385" s="1" t="n">
        <v>46087</v>
      </c>
      <c r="D385" t="inlineStr">
        <is>
          <t>VÄSTERBOTTENS LÄN</t>
        </is>
      </c>
      <c r="E385" t="inlineStr">
        <is>
          <t>UMEÅ</t>
        </is>
      </c>
      <c r="G385" t="n">
        <v>4.2</v>
      </c>
      <c r="H385" t="n">
        <v>0</v>
      </c>
      <c r="I385" t="n">
        <v>0</v>
      </c>
      <c r="J385" t="n">
        <v>0</v>
      </c>
      <c r="K385" t="n">
        <v>0</v>
      </c>
      <c r="L385" t="n">
        <v>0</v>
      </c>
      <c r="M385" t="n">
        <v>0</v>
      </c>
      <c r="N385" t="n">
        <v>0</v>
      </c>
      <c r="O385" t="n">
        <v>0</v>
      </c>
      <c r="P385" t="n">
        <v>0</v>
      </c>
      <c r="Q385" t="n">
        <v>0</v>
      </c>
      <c r="R385" s="2" t="inlineStr"/>
    </row>
    <row r="386" ht="15" customHeight="1">
      <c r="A386" t="inlineStr">
        <is>
          <t>A 51971-2025</t>
        </is>
      </c>
      <c r="B386" s="1" t="n">
        <v>45952.55809027778</v>
      </c>
      <c r="C386" s="1" t="n">
        <v>46087</v>
      </c>
      <c r="D386" t="inlineStr">
        <is>
          <t>VÄSTERBOTTENS LÄN</t>
        </is>
      </c>
      <c r="E386" t="inlineStr">
        <is>
          <t>UMEÅ</t>
        </is>
      </c>
      <c r="G386" t="n">
        <v>3.4</v>
      </c>
      <c r="H386" t="n">
        <v>0</v>
      </c>
      <c r="I386" t="n">
        <v>0</v>
      </c>
      <c r="J386" t="n">
        <v>0</v>
      </c>
      <c r="K386" t="n">
        <v>0</v>
      </c>
      <c r="L386" t="n">
        <v>0</v>
      </c>
      <c r="M386" t="n">
        <v>0</v>
      </c>
      <c r="N386" t="n">
        <v>0</v>
      </c>
      <c r="O386" t="n">
        <v>0</v>
      </c>
      <c r="P386" t="n">
        <v>0</v>
      </c>
      <c r="Q386" t="n">
        <v>0</v>
      </c>
      <c r="R386" s="2" t="inlineStr"/>
    </row>
    <row r="387" ht="15" customHeight="1">
      <c r="A387" t="inlineStr">
        <is>
          <t>A 34550-2023</t>
        </is>
      </c>
      <c r="B387" s="1" t="n">
        <v>45140.49451388889</v>
      </c>
      <c r="C387" s="1" t="n">
        <v>46087</v>
      </c>
      <c r="D387" t="inlineStr">
        <is>
          <t>VÄSTERBOTTENS LÄN</t>
        </is>
      </c>
      <c r="E387" t="inlineStr">
        <is>
          <t>UMEÅ</t>
        </is>
      </c>
      <c r="F387" t="inlineStr">
        <is>
          <t>Holmen skog AB</t>
        </is>
      </c>
      <c r="G387" t="n">
        <v>0.9</v>
      </c>
      <c r="H387" t="n">
        <v>0</v>
      </c>
      <c r="I387" t="n">
        <v>0</v>
      </c>
      <c r="J387" t="n">
        <v>0</v>
      </c>
      <c r="K387" t="n">
        <v>0</v>
      </c>
      <c r="L387" t="n">
        <v>0</v>
      </c>
      <c r="M387" t="n">
        <v>0</v>
      </c>
      <c r="N387" t="n">
        <v>0</v>
      </c>
      <c r="O387" t="n">
        <v>0</v>
      </c>
      <c r="P387" t="n">
        <v>0</v>
      </c>
      <c r="Q387" t="n">
        <v>0</v>
      </c>
      <c r="R387" s="2" t="inlineStr"/>
    </row>
    <row r="388" ht="15" customHeight="1">
      <c r="A388" t="inlineStr">
        <is>
          <t>A 44244-2024</t>
        </is>
      </c>
      <c r="B388" s="1" t="n">
        <v>45573.42783564814</v>
      </c>
      <c r="C388" s="1" t="n">
        <v>46087</v>
      </c>
      <c r="D388" t="inlineStr">
        <is>
          <t>VÄSTERBOTTENS LÄN</t>
        </is>
      </c>
      <c r="E388" t="inlineStr">
        <is>
          <t>UMEÅ</t>
        </is>
      </c>
      <c r="G388" t="n">
        <v>3</v>
      </c>
      <c r="H388" t="n">
        <v>0</v>
      </c>
      <c r="I388" t="n">
        <v>0</v>
      </c>
      <c r="J388" t="n">
        <v>0</v>
      </c>
      <c r="K388" t="n">
        <v>0</v>
      </c>
      <c r="L388" t="n">
        <v>0</v>
      </c>
      <c r="M388" t="n">
        <v>0</v>
      </c>
      <c r="N388" t="n">
        <v>0</v>
      </c>
      <c r="O388" t="n">
        <v>0</v>
      </c>
      <c r="P388" t="n">
        <v>0</v>
      </c>
      <c r="Q388" t="n">
        <v>0</v>
      </c>
      <c r="R388" s="2" t="inlineStr"/>
    </row>
    <row r="389" ht="15" customHeight="1">
      <c r="A389" t="inlineStr">
        <is>
          <t>A 51621-2025</t>
        </is>
      </c>
      <c r="B389" s="1" t="n">
        <v>45951.41319444445</v>
      </c>
      <c r="C389" s="1" t="n">
        <v>46087</v>
      </c>
      <c r="D389" t="inlineStr">
        <is>
          <t>VÄSTERBOTTENS LÄN</t>
        </is>
      </c>
      <c r="E389" t="inlineStr">
        <is>
          <t>UMEÅ</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34709-2023</t>
        </is>
      </c>
      <c r="B390" s="1" t="n">
        <v>45141</v>
      </c>
      <c r="C390" s="1" t="n">
        <v>46087</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51970-2025</t>
        </is>
      </c>
      <c r="B391" s="1" t="n">
        <v>45952.5571875</v>
      </c>
      <c r="C391" s="1" t="n">
        <v>46087</v>
      </c>
      <c r="D391" t="inlineStr">
        <is>
          <t>VÄSTERBOTTENS LÄN</t>
        </is>
      </c>
      <c r="E391" t="inlineStr">
        <is>
          <t>UMEÅ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38144-2024</t>
        </is>
      </c>
      <c r="B392" s="1" t="n">
        <v>45545.42693287037</v>
      </c>
      <c r="C392" s="1" t="n">
        <v>46087</v>
      </c>
      <c r="D392" t="inlineStr">
        <is>
          <t>VÄSTERBOTTENS LÄN</t>
        </is>
      </c>
      <c r="E392" t="inlineStr">
        <is>
          <t>UMEÅ</t>
        </is>
      </c>
      <c r="G392" t="n">
        <v>2</v>
      </c>
      <c r="H392" t="n">
        <v>0</v>
      </c>
      <c r="I392" t="n">
        <v>0</v>
      </c>
      <c r="J392" t="n">
        <v>0</v>
      </c>
      <c r="K392" t="n">
        <v>0</v>
      </c>
      <c r="L392" t="n">
        <v>0</v>
      </c>
      <c r="M392" t="n">
        <v>0</v>
      </c>
      <c r="N392" t="n">
        <v>0</v>
      </c>
      <c r="O392" t="n">
        <v>0</v>
      </c>
      <c r="P392" t="n">
        <v>0</v>
      </c>
      <c r="Q392" t="n">
        <v>0</v>
      </c>
      <c r="R392" s="2" t="inlineStr"/>
    </row>
    <row r="393" ht="15" customHeight="1">
      <c r="A393" t="inlineStr">
        <is>
          <t>A 52082-2025</t>
        </is>
      </c>
      <c r="B393" s="1" t="n">
        <v>45952.66583333333</v>
      </c>
      <c r="C393" s="1" t="n">
        <v>46087</v>
      </c>
      <c r="D393" t="inlineStr">
        <is>
          <t>VÄSTERBOTTENS LÄN</t>
        </is>
      </c>
      <c r="E393" t="inlineStr">
        <is>
          <t>UMEÅ</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51961-2025</t>
        </is>
      </c>
      <c r="B394" s="1" t="n">
        <v>45952.54824074074</v>
      </c>
      <c r="C394" s="1" t="n">
        <v>46087</v>
      </c>
      <c r="D394" t="inlineStr">
        <is>
          <t>VÄSTERBOTTENS LÄN</t>
        </is>
      </c>
      <c r="E394" t="inlineStr">
        <is>
          <t>UMEÅ</t>
        </is>
      </c>
      <c r="G394" t="n">
        <v>1</v>
      </c>
      <c r="H394" t="n">
        <v>0</v>
      </c>
      <c r="I394" t="n">
        <v>0</v>
      </c>
      <c r="J394" t="n">
        <v>0</v>
      </c>
      <c r="K394" t="n">
        <v>0</v>
      </c>
      <c r="L394" t="n">
        <v>0</v>
      </c>
      <c r="M394" t="n">
        <v>0</v>
      </c>
      <c r="N394" t="n">
        <v>0</v>
      </c>
      <c r="O394" t="n">
        <v>0</v>
      </c>
      <c r="P394" t="n">
        <v>0</v>
      </c>
      <c r="Q394" t="n">
        <v>0</v>
      </c>
      <c r="R394" s="2" t="inlineStr"/>
    </row>
    <row r="395" ht="15" customHeight="1">
      <c r="A395" t="inlineStr">
        <is>
          <t>A 52056-2025</t>
        </is>
      </c>
      <c r="B395" s="1" t="n">
        <v>45952.63239583333</v>
      </c>
      <c r="C395" s="1" t="n">
        <v>46087</v>
      </c>
      <c r="D395" t="inlineStr">
        <is>
          <t>VÄSTERBOTTENS LÄN</t>
        </is>
      </c>
      <c r="E395" t="inlineStr">
        <is>
          <t>UMEÅ</t>
        </is>
      </c>
      <c r="F395" t="inlineStr">
        <is>
          <t>Holmen skog AB</t>
        </is>
      </c>
      <c r="G395" t="n">
        <v>9.4</v>
      </c>
      <c r="H395" t="n">
        <v>0</v>
      </c>
      <c r="I395" t="n">
        <v>0</v>
      </c>
      <c r="J395" t="n">
        <v>0</v>
      </c>
      <c r="K395" t="n">
        <v>0</v>
      </c>
      <c r="L395" t="n">
        <v>0</v>
      </c>
      <c r="M395" t="n">
        <v>0</v>
      </c>
      <c r="N395" t="n">
        <v>0</v>
      </c>
      <c r="O395" t="n">
        <v>0</v>
      </c>
      <c r="P395" t="n">
        <v>0</v>
      </c>
      <c r="Q395" t="n">
        <v>0</v>
      </c>
      <c r="R395" s="2" t="inlineStr"/>
    </row>
    <row r="396" ht="15" customHeight="1">
      <c r="A396" t="inlineStr">
        <is>
          <t>A 22161-2025</t>
        </is>
      </c>
      <c r="B396" s="1" t="n">
        <v>45785.58844907407</v>
      </c>
      <c r="C396" s="1" t="n">
        <v>46087</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51889-2025</t>
        </is>
      </c>
      <c r="B397" s="1" t="n">
        <v>45952.41400462963</v>
      </c>
      <c r="C397" s="1" t="n">
        <v>46087</v>
      </c>
      <c r="D397" t="inlineStr">
        <is>
          <t>VÄSTERBOTTENS LÄN</t>
        </is>
      </c>
      <c r="E397" t="inlineStr">
        <is>
          <t>UMEÅ</t>
        </is>
      </c>
      <c r="G397" t="n">
        <v>3.7</v>
      </c>
      <c r="H397" t="n">
        <v>0</v>
      </c>
      <c r="I397" t="n">
        <v>0</v>
      </c>
      <c r="J397" t="n">
        <v>0</v>
      </c>
      <c r="K397" t="n">
        <v>0</v>
      </c>
      <c r="L397" t="n">
        <v>0</v>
      </c>
      <c r="M397" t="n">
        <v>0</v>
      </c>
      <c r="N397" t="n">
        <v>0</v>
      </c>
      <c r="O397" t="n">
        <v>0</v>
      </c>
      <c r="P397" t="n">
        <v>0</v>
      </c>
      <c r="Q397" t="n">
        <v>0</v>
      </c>
      <c r="R397" s="2" t="inlineStr"/>
    </row>
    <row r="398" ht="15" customHeight="1">
      <c r="A398" t="inlineStr">
        <is>
          <t>A 51958-2025</t>
        </is>
      </c>
      <c r="B398" s="1" t="n">
        <v>45952.54373842593</v>
      </c>
      <c r="C398" s="1" t="n">
        <v>46087</v>
      </c>
      <c r="D398" t="inlineStr">
        <is>
          <t>VÄSTERBOTTENS LÄN</t>
        </is>
      </c>
      <c r="E398" t="inlineStr">
        <is>
          <t>UMEÅ</t>
        </is>
      </c>
      <c r="G398" t="n">
        <v>4.3</v>
      </c>
      <c r="H398" t="n">
        <v>0</v>
      </c>
      <c r="I398" t="n">
        <v>0</v>
      </c>
      <c r="J398" t="n">
        <v>0</v>
      </c>
      <c r="K398" t="n">
        <v>0</v>
      </c>
      <c r="L398" t="n">
        <v>0</v>
      </c>
      <c r="M398" t="n">
        <v>0</v>
      </c>
      <c r="N398" t="n">
        <v>0</v>
      </c>
      <c r="O398" t="n">
        <v>0</v>
      </c>
      <c r="P398" t="n">
        <v>0</v>
      </c>
      <c r="Q398" t="n">
        <v>0</v>
      </c>
      <c r="R398" s="2" t="inlineStr"/>
    </row>
    <row r="399" ht="15" customHeight="1">
      <c r="A399" t="inlineStr">
        <is>
          <t>A 51716-2025</t>
        </is>
      </c>
      <c r="B399" s="1" t="n">
        <v>45951.5771875</v>
      </c>
      <c r="C399" s="1" t="n">
        <v>46087</v>
      </c>
      <c r="D399" t="inlineStr">
        <is>
          <t>VÄSTERBOTTENS LÄN</t>
        </is>
      </c>
      <c r="E399" t="inlineStr">
        <is>
          <t>UMEÅ</t>
        </is>
      </c>
      <c r="G399" t="n">
        <v>1.7</v>
      </c>
      <c r="H399" t="n">
        <v>0</v>
      </c>
      <c r="I399" t="n">
        <v>0</v>
      </c>
      <c r="J399" t="n">
        <v>0</v>
      </c>
      <c r="K399" t="n">
        <v>0</v>
      </c>
      <c r="L399" t="n">
        <v>0</v>
      </c>
      <c r="M399" t="n">
        <v>0</v>
      </c>
      <c r="N399" t="n">
        <v>0</v>
      </c>
      <c r="O399" t="n">
        <v>0</v>
      </c>
      <c r="P399" t="n">
        <v>0</v>
      </c>
      <c r="Q399" t="n">
        <v>0</v>
      </c>
      <c r="R399" s="2" t="inlineStr"/>
    </row>
    <row r="400" ht="15" customHeight="1">
      <c r="A400" t="inlineStr">
        <is>
          <t>A 51901-2025</t>
        </is>
      </c>
      <c r="B400" s="1" t="n">
        <v>45952.44668981482</v>
      </c>
      <c r="C400" s="1" t="n">
        <v>46087</v>
      </c>
      <c r="D400" t="inlineStr">
        <is>
          <t>VÄSTERBOTTENS LÄN</t>
        </is>
      </c>
      <c r="E400" t="inlineStr">
        <is>
          <t>UMEÅ</t>
        </is>
      </c>
      <c r="F400" t="inlineStr">
        <is>
          <t>Holmen skog AB</t>
        </is>
      </c>
      <c r="G400" t="n">
        <v>2.3</v>
      </c>
      <c r="H400" t="n">
        <v>0</v>
      </c>
      <c r="I400" t="n">
        <v>0</v>
      </c>
      <c r="J400" t="n">
        <v>0</v>
      </c>
      <c r="K400" t="n">
        <v>0</v>
      </c>
      <c r="L400" t="n">
        <v>0</v>
      </c>
      <c r="M400" t="n">
        <v>0</v>
      </c>
      <c r="N400" t="n">
        <v>0</v>
      </c>
      <c r="O400" t="n">
        <v>0</v>
      </c>
      <c r="P400" t="n">
        <v>0</v>
      </c>
      <c r="Q400" t="n">
        <v>0</v>
      </c>
      <c r="R400" s="2" t="inlineStr"/>
    </row>
    <row r="401" ht="15" customHeight="1">
      <c r="A401" t="inlineStr">
        <is>
          <t>A 52210-2025</t>
        </is>
      </c>
      <c r="B401" s="1" t="n">
        <v>45953.42037037037</v>
      </c>
      <c r="C401" s="1" t="n">
        <v>46087</v>
      </c>
      <c r="D401" t="inlineStr">
        <is>
          <t>VÄSTERBOTTENS LÄN</t>
        </is>
      </c>
      <c r="E401" t="inlineStr">
        <is>
          <t>UMEÅ</t>
        </is>
      </c>
      <c r="F401" t="inlineStr">
        <is>
          <t>Holmen skog AB</t>
        </is>
      </c>
      <c r="G401" t="n">
        <v>8.1</v>
      </c>
      <c r="H401" t="n">
        <v>0</v>
      </c>
      <c r="I401" t="n">
        <v>0</v>
      </c>
      <c r="J401" t="n">
        <v>0</v>
      </c>
      <c r="K401" t="n">
        <v>0</v>
      </c>
      <c r="L401" t="n">
        <v>0</v>
      </c>
      <c r="M401" t="n">
        <v>0</v>
      </c>
      <c r="N401" t="n">
        <v>0</v>
      </c>
      <c r="O401" t="n">
        <v>0</v>
      </c>
      <c r="P401" t="n">
        <v>0</v>
      </c>
      <c r="Q401" t="n">
        <v>0</v>
      </c>
      <c r="R401" s="2" t="inlineStr"/>
    </row>
    <row r="402" ht="15" customHeight="1">
      <c r="A402" t="inlineStr">
        <is>
          <t>A 40949-2025</t>
        </is>
      </c>
      <c r="B402" s="1" t="n">
        <v>45897.6609837963</v>
      </c>
      <c r="C402" s="1" t="n">
        <v>46087</v>
      </c>
      <c r="D402" t="inlineStr">
        <is>
          <t>VÄSTERBOTTENS LÄN</t>
        </is>
      </c>
      <c r="E402" t="inlineStr">
        <is>
          <t>UMEÅ</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27154-2024</t>
        </is>
      </c>
      <c r="B403" s="1" t="n">
        <v>45471.56107638889</v>
      </c>
      <c r="C403" s="1" t="n">
        <v>46087</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59343-2023</t>
        </is>
      </c>
      <c r="B404" s="1" t="n">
        <v>45253</v>
      </c>
      <c r="C404" s="1" t="n">
        <v>46087</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52163-2025</t>
        </is>
      </c>
      <c r="B405" s="1" t="n">
        <v>45953.36163194444</v>
      </c>
      <c r="C405" s="1" t="n">
        <v>46087</v>
      </c>
      <c r="D405" t="inlineStr">
        <is>
          <t>VÄSTERBOTTENS LÄN</t>
        </is>
      </c>
      <c r="E405" t="inlineStr">
        <is>
          <t>UMEÅ</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22365-2024</t>
        </is>
      </c>
      <c r="B406" s="1" t="n">
        <v>45446</v>
      </c>
      <c r="C406" s="1" t="n">
        <v>46087</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52155-2025</t>
        </is>
      </c>
      <c r="B407" s="1" t="n">
        <v>45953.3543287037</v>
      </c>
      <c r="C407" s="1" t="n">
        <v>46087</v>
      </c>
      <c r="D407" t="inlineStr">
        <is>
          <t>VÄSTERBOTTENS LÄN</t>
        </is>
      </c>
      <c r="E407" t="inlineStr">
        <is>
          <t>UMEÅ</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41176-2025</t>
        </is>
      </c>
      <c r="B408" s="1" t="n">
        <v>45898</v>
      </c>
      <c r="C408" s="1" t="n">
        <v>46087</v>
      </c>
      <c r="D408" t="inlineStr">
        <is>
          <t>VÄSTERBOTTENS LÄN</t>
        </is>
      </c>
      <c r="E408" t="inlineStr">
        <is>
          <t>UMEÅ</t>
        </is>
      </c>
      <c r="G408" t="n">
        <v>4.3</v>
      </c>
      <c r="H408" t="n">
        <v>0</v>
      </c>
      <c r="I408" t="n">
        <v>0</v>
      </c>
      <c r="J408" t="n">
        <v>0</v>
      </c>
      <c r="K408" t="n">
        <v>0</v>
      </c>
      <c r="L408" t="n">
        <v>0</v>
      </c>
      <c r="M408" t="n">
        <v>0</v>
      </c>
      <c r="N408" t="n">
        <v>0</v>
      </c>
      <c r="O408" t="n">
        <v>0</v>
      </c>
      <c r="P408" t="n">
        <v>0</v>
      </c>
      <c r="Q408" t="n">
        <v>0</v>
      </c>
      <c r="R408" s="2" t="inlineStr"/>
    </row>
    <row r="409" ht="15" customHeight="1">
      <c r="A409" t="inlineStr">
        <is>
          <t>A 41163-2025</t>
        </is>
      </c>
      <c r="B409" s="1" t="n">
        <v>45898.53366898148</v>
      </c>
      <c r="C409" s="1" t="n">
        <v>46087</v>
      </c>
      <c r="D409" t="inlineStr">
        <is>
          <t>VÄSTERBOTTENS LÄN</t>
        </is>
      </c>
      <c r="E409" t="inlineStr">
        <is>
          <t>UMEÅ</t>
        </is>
      </c>
      <c r="F409" t="inlineStr">
        <is>
          <t>Holmen skog AB</t>
        </is>
      </c>
      <c r="G409" t="n">
        <v>2</v>
      </c>
      <c r="H409" t="n">
        <v>0</v>
      </c>
      <c r="I409" t="n">
        <v>0</v>
      </c>
      <c r="J409" t="n">
        <v>0</v>
      </c>
      <c r="K409" t="n">
        <v>0</v>
      </c>
      <c r="L409" t="n">
        <v>0</v>
      </c>
      <c r="M409" t="n">
        <v>0</v>
      </c>
      <c r="N409" t="n">
        <v>0</v>
      </c>
      <c r="O409" t="n">
        <v>0</v>
      </c>
      <c r="P409" t="n">
        <v>0</v>
      </c>
      <c r="Q409" t="n">
        <v>0</v>
      </c>
      <c r="R409" s="2" t="inlineStr"/>
    </row>
    <row r="410" ht="15" customHeight="1">
      <c r="A410" t="inlineStr">
        <is>
          <t>A 40736-2025</t>
        </is>
      </c>
      <c r="B410" s="1" t="n">
        <v>45897.36565972222</v>
      </c>
      <c r="C410" s="1" t="n">
        <v>46087</v>
      </c>
      <c r="D410" t="inlineStr">
        <is>
          <t>VÄSTERBOTTENS LÄN</t>
        </is>
      </c>
      <c r="E410" t="inlineStr">
        <is>
          <t>UMEÅ</t>
        </is>
      </c>
      <c r="G410" t="n">
        <v>4.5</v>
      </c>
      <c r="H410" t="n">
        <v>0</v>
      </c>
      <c r="I410" t="n">
        <v>0</v>
      </c>
      <c r="J410" t="n">
        <v>0</v>
      </c>
      <c r="K410" t="n">
        <v>0</v>
      </c>
      <c r="L410" t="n">
        <v>0</v>
      </c>
      <c r="M410" t="n">
        <v>0</v>
      </c>
      <c r="N410" t="n">
        <v>0</v>
      </c>
      <c r="O410" t="n">
        <v>0</v>
      </c>
      <c r="P410" t="n">
        <v>0</v>
      </c>
      <c r="Q410" t="n">
        <v>0</v>
      </c>
      <c r="R410" s="2" t="inlineStr"/>
    </row>
    <row r="411" ht="15" customHeight="1">
      <c r="A411" t="inlineStr">
        <is>
          <t>A 52312-2022</t>
        </is>
      </c>
      <c r="B411" s="1" t="n">
        <v>44873</v>
      </c>
      <c r="C411" s="1" t="n">
        <v>46087</v>
      </c>
      <c r="D411" t="inlineStr">
        <is>
          <t>VÄSTERBOTTENS LÄN</t>
        </is>
      </c>
      <c r="E411" t="inlineStr">
        <is>
          <t>UMEÅ</t>
        </is>
      </c>
      <c r="G411" t="n">
        <v>1.4</v>
      </c>
      <c r="H411" t="n">
        <v>0</v>
      </c>
      <c r="I411" t="n">
        <v>0</v>
      </c>
      <c r="J411" t="n">
        <v>0</v>
      </c>
      <c r="K411" t="n">
        <v>0</v>
      </c>
      <c r="L411" t="n">
        <v>0</v>
      </c>
      <c r="M411" t="n">
        <v>0</v>
      </c>
      <c r="N411" t="n">
        <v>0</v>
      </c>
      <c r="O411" t="n">
        <v>0</v>
      </c>
      <c r="P411" t="n">
        <v>0</v>
      </c>
      <c r="Q411" t="n">
        <v>0</v>
      </c>
      <c r="R411" s="2" t="inlineStr"/>
    </row>
    <row r="412" ht="15" customHeight="1">
      <c r="A412" t="inlineStr">
        <is>
          <t>A 52232-2025</t>
        </is>
      </c>
      <c r="B412" s="1" t="n">
        <v>45953.45091435185</v>
      </c>
      <c r="C412" s="1" t="n">
        <v>46087</v>
      </c>
      <c r="D412" t="inlineStr">
        <is>
          <t>VÄSTERBOTTENS LÄN</t>
        </is>
      </c>
      <c r="E412" t="inlineStr">
        <is>
          <t>UMEÅ</t>
        </is>
      </c>
      <c r="F412" t="inlineStr">
        <is>
          <t>Holmen skog AB</t>
        </is>
      </c>
      <c r="G412" t="n">
        <v>7.7</v>
      </c>
      <c r="H412" t="n">
        <v>0</v>
      </c>
      <c r="I412" t="n">
        <v>0</v>
      </c>
      <c r="J412" t="n">
        <v>0</v>
      </c>
      <c r="K412" t="n">
        <v>0</v>
      </c>
      <c r="L412" t="n">
        <v>0</v>
      </c>
      <c r="M412" t="n">
        <v>0</v>
      </c>
      <c r="N412" t="n">
        <v>0</v>
      </c>
      <c r="O412" t="n">
        <v>0</v>
      </c>
      <c r="P412" t="n">
        <v>0</v>
      </c>
      <c r="Q412" t="n">
        <v>0</v>
      </c>
      <c r="R412" s="2" t="inlineStr"/>
    </row>
    <row r="413" ht="15" customHeight="1">
      <c r="A413" t="inlineStr">
        <is>
          <t>A 39233-2025</t>
        </is>
      </c>
      <c r="B413" s="1" t="n">
        <v>45889</v>
      </c>
      <c r="C413" s="1" t="n">
        <v>46087</v>
      </c>
      <c r="D413" t="inlineStr">
        <is>
          <t>VÄSTERBOTTENS LÄN</t>
        </is>
      </c>
      <c r="E413" t="inlineStr">
        <is>
          <t>UMEÅ</t>
        </is>
      </c>
      <c r="G413" t="n">
        <v>7.7</v>
      </c>
      <c r="H413" t="n">
        <v>0</v>
      </c>
      <c r="I413" t="n">
        <v>0</v>
      </c>
      <c r="J413" t="n">
        <v>0</v>
      </c>
      <c r="K413" t="n">
        <v>0</v>
      </c>
      <c r="L413" t="n">
        <v>0</v>
      </c>
      <c r="M413" t="n">
        <v>0</v>
      </c>
      <c r="N413" t="n">
        <v>0</v>
      </c>
      <c r="O413" t="n">
        <v>0</v>
      </c>
      <c r="P413" t="n">
        <v>0</v>
      </c>
      <c r="Q413" t="n">
        <v>0</v>
      </c>
      <c r="R413" s="2" t="inlineStr"/>
    </row>
    <row r="414" ht="15" customHeight="1">
      <c r="A414" t="inlineStr">
        <is>
          <t>A 52238-2025</t>
        </is>
      </c>
      <c r="B414" s="1" t="n">
        <v>45953.46032407408</v>
      </c>
      <c r="C414" s="1" t="n">
        <v>46087</v>
      </c>
      <c r="D414" t="inlineStr">
        <is>
          <t>VÄSTERBOTTENS LÄN</t>
        </is>
      </c>
      <c r="E414" t="inlineStr">
        <is>
          <t>UMEÅ</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7430-2022</t>
        </is>
      </c>
      <c r="B415" s="1" t="n">
        <v>44606.933125</v>
      </c>
      <c r="C415" s="1" t="n">
        <v>46087</v>
      </c>
      <c r="D415" t="inlineStr">
        <is>
          <t>VÄSTERBOTTENS LÄN</t>
        </is>
      </c>
      <c r="E415" t="inlineStr">
        <is>
          <t>UMEÅ</t>
        </is>
      </c>
      <c r="G415" t="n">
        <v>2.3</v>
      </c>
      <c r="H415" t="n">
        <v>0</v>
      </c>
      <c r="I415" t="n">
        <v>0</v>
      </c>
      <c r="J415" t="n">
        <v>0</v>
      </c>
      <c r="K415" t="n">
        <v>0</v>
      </c>
      <c r="L415" t="n">
        <v>0</v>
      </c>
      <c r="M415" t="n">
        <v>0</v>
      </c>
      <c r="N415" t="n">
        <v>0</v>
      </c>
      <c r="O415" t="n">
        <v>0</v>
      </c>
      <c r="P415" t="n">
        <v>0</v>
      </c>
      <c r="Q415" t="n">
        <v>0</v>
      </c>
      <c r="R415" s="2" t="inlineStr"/>
    </row>
    <row r="416" ht="15" customHeight="1">
      <c r="A416" t="inlineStr">
        <is>
          <t>A 40928-2025</t>
        </is>
      </c>
      <c r="B416" s="1" t="n">
        <v>45897.6433912037</v>
      </c>
      <c r="C416" s="1" t="n">
        <v>46087</v>
      </c>
      <c r="D416" t="inlineStr">
        <is>
          <t>VÄSTERBOTTENS LÄN</t>
        </is>
      </c>
      <c r="E416" t="inlineStr">
        <is>
          <t>UMEÅ</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37856-2024</t>
        </is>
      </c>
      <c r="B417" s="1" t="n">
        <v>45544</v>
      </c>
      <c r="C417" s="1" t="n">
        <v>46087</v>
      </c>
      <c r="D417" t="inlineStr">
        <is>
          <t>VÄSTERBOTTENS LÄN</t>
        </is>
      </c>
      <c r="E417" t="inlineStr">
        <is>
          <t>UMEÅ</t>
        </is>
      </c>
      <c r="G417" t="n">
        <v>5.4</v>
      </c>
      <c r="H417" t="n">
        <v>0</v>
      </c>
      <c r="I417" t="n">
        <v>0</v>
      </c>
      <c r="J417" t="n">
        <v>0</v>
      </c>
      <c r="K417" t="n">
        <v>0</v>
      </c>
      <c r="L417" t="n">
        <v>0</v>
      </c>
      <c r="M417" t="n">
        <v>0</v>
      </c>
      <c r="N417" t="n">
        <v>0</v>
      </c>
      <c r="O417" t="n">
        <v>0</v>
      </c>
      <c r="P417" t="n">
        <v>0</v>
      </c>
      <c r="Q417" t="n">
        <v>0</v>
      </c>
      <c r="R417" s="2" t="inlineStr"/>
    </row>
    <row r="418" ht="15" customHeight="1">
      <c r="A418" t="inlineStr">
        <is>
          <t>A 29656-2024</t>
        </is>
      </c>
      <c r="B418" s="1" t="n">
        <v>45484.92354166666</v>
      </c>
      <c r="C418" s="1" t="n">
        <v>46087</v>
      </c>
      <c r="D418" t="inlineStr">
        <is>
          <t>VÄSTERBOTTENS LÄN</t>
        </is>
      </c>
      <c r="E418" t="inlineStr">
        <is>
          <t>UMEÅ</t>
        </is>
      </c>
      <c r="G418" t="n">
        <v>1.2</v>
      </c>
      <c r="H418" t="n">
        <v>0</v>
      </c>
      <c r="I418" t="n">
        <v>0</v>
      </c>
      <c r="J418" t="n">
        <v>0</v>
      </c>
      <c r="K418" t="n">
        <v>0</v>
      </c>
      <c r="L418" t="n">
        <v>0</v>
      </c>
      <c r="M418" t="n">
        <v>0</v>
      </c>
      <c r="N418" t="n">
        <v>0</v>
      </c>
      <c r="O418" t="n">
        <v>0</v>
      </c>
      <c r="P418" t="n">
        <v>0</v>
      </c>
      <c r="Q418" t="n">
        <v>0</v>
      </c>
      <c r="R418" s="2" t="inlineStr"/>
    </row>
    <row r="419" ht="15" customHeight="1">
      <c r="A419" t="inlineStr">
        <is>
          <t>A 40924-2025</t>
        </is>
      </c>
      <c r="B419" s="1" t="n">
        <v>45897.63927083334</v>
      </c>
      <c r="C419" s="1" t="n">
        <v>46087</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58708-2024</t>
        </is>
      </c>
      <c r="B420" s="1" t="n">
        <v>45635</v>
      </c>
      <c r="C420" s="1" t="n">
        <v>46087</v>
      </c>
      <c r="D420" t="inlineStr">
        <is>
          <t>VÄSTERBOTTENS LÄN</t>
        </is>
      </c>
      <c r="E420" t="inlineStr">
        <is>
          <t>UMEÅ</t>
        </is>
      </c>
      <c r="G420" t="n">
        <v>10.8</v>
      </c>
      <c r="H420" t="n">
        <v>0</v>
      </c>
      <c r="I420" t="n">
        <v>0</v>
      </c>
      <c r="J420" t="n">
        <v>0</v>
      </c>
      <c r="K420" t="n">
        <v>0</v>
      </c>
      <c r="L420" t="n">
        <v>0</v>
      </c>
      <c r="M420" t="n">
        <v>0</v>
      </c>
      <c r="N420" t="n">
        <v>0</v>
      </c>
      <c r="O420" t="n">
        <v>0</v>
      </c>
      <c r="P420" t="n">
        <v>0</v>
      </c>
      <c r="Q420" t="n">
        <v>0</v>
      </c>
      <c r="R420" s="2" t="inlineStr"/>
    </row>
    <row r="421" ht="15" customHeight="1">
      <c r="A421" t="inlineStr">
        <is>
          <t>A 22657-2025</t>
        </is>
      </c>
      <c r="B421" s="1" t="n">
        <v>45789.47297453704</v>
      </c>
      <c r="C421" s="1" t="n">
        <v>46087</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52710-2025</t>
        </is>
      </c>
      <c r="B422" s="1" t="n">
        <v>45957.29408564815</v>
      </c>
      <c r="C422" s="1" t="n">
        <v>46087</v>
      </c>
      <c r="D422" t="inlineStr">
        <is>
          <t>VÄSTERBOTTENS LÄN</t>
        </is>
      </c>
      <c r="E422" t="inlineStr">
        <is>
          <t>UMEÅ</t>
        </is>
      </c>
      <c r="G422" t="n">
        <v>4.4</v>
      </c>
      <c r="H422" t="n">
        <v>0</v>
      </c>
      <c r="I422" t="n">
        <v>0</v>
      </c>
      <c r="J422" t="n">
        <v>0</v>
      </c>
      <c r="K422" t="n">
        <v>0</v>
      </c>
      <c r="L422" t="n">
        <v>0</v>
      </c>
      <c r="M422" t="n">
        <v>0</v>
      </c>
      <c r="N422" t="n">
        <v>0</v>
      </c>
      <c r="O422" t="n">
        <v>0</v>
      </c>
      <c r="P422" t="n">
        <v>0</v>
      </c>
      <c r="Q422" t="n">
        <v>0</v>
      </c>
      <c r="R422" s="2" t="inlineStr"/>
    </row>
    <row r="423" ht="15" customHeight="1">
      <c r="A423" t="inlineStr">
        <is>
          <t>A 52919-2025</t>
        </is>
      </c>
      <c r="B423" s="1" t="n">
        <v>45957.61322916667</v>
      </c>
      <c r="C423" s="1" t="n">
        <v>46087</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52926-2025</t>
        </is>
      </c>
      <c r="B424" s="1" t="n">
        <v>45957.6184375</v>
      </c>
      <c r="C424" s="1" t="n">
        <v>46087</v>
      </c>
      <c r="D424" t="inlineStr">
        <is>
          <t>VÄSTERBOTTENS LÄN</t>
        </is>
      </c>
      <c r="E424" t="inlineStr">
        <is>
          <t>UMEÅ</t>
        </is>
      </c>
      <c r="G424" t="n">
        <v>7.1</v>
      </c>
      <c r="H424" t="n">
        <v>0</v>
      </c>
      <c r="I424" t="n">
        <v>0</v>
      </c>
      <c r="J424" t="n">
        <v>0</v>
      </c>
      <c r="K424" t="n">
        <v>0</v>
      </c>
      <c r="L424" t="n">
        <v>0</v>
      </c>
      <c r="M424" t="n">
        <v>0</v>
      </c>
      <c r="N424" t="n">
        <v>0</v>
      </c>
      <c r="O424" t="n">
        <v>0</v>
      </c>
      <c r="P424" t="n">
        <v>0</v>
      </c>
      <c r="Q424" t="n">
        <v>0</v>
      </c>
      <c r="R424" s="2" t="inlineStr"/>
    </row>
    <row r="425" ht="15" customHeight="1">
      <c r="A425" t="inlineStr">
        <is>
          <t>A 52882-2025</t>
        </is>
      </c>
      <c r="B425" s="1" t="n">
        <v>45957.55465277778</v>
      </c>
      <c r="C425" s="1" t="n">
        <v>46087</v>
      </c>
      <c r="D425" t="inlineStr">
        <is>
          <t>VÄSTERBOTTENS LÄN</t>
        </is>
      </c>
      <c r="E425" t="inlineStr">
        <is>
          <t>UMEÅ</t>
        </is>
      </c>
      <c r="G425" t="n">
        <v>1.4</v>
      </c>
      <c r="H425" t="n">
        <v>0</v>
      </c>
      <c r="I425" t="n">
        <v>0</v>
      </c>
      <c r="J425" t="n">
        <v>0</v>
      </c>
      <c r="K425" t="n">
        <v>0</v>
      </c>
      <c r="L425" t="n">
        <v>0</v>
      </c>
      <c r="M425" t="n">
        <v>0</v>
      </c>
      <c r="N425" t="n">
        <v>0</v>
      </c>
      <c r="O425" t="n">
        <v>0</v>
      </c>
      <c r="P425" t="n">
        <v>0</v>
      </c>
      <c r="Q425" t="n">
        <v>0</v>
      </c>
      <c r="R425" s="2" t="inlineStr"/>
    </row>
    <row r="426" ht="15" customHeight="1">
      <c r="A426" t="inlineStr">
        <is>
          <t>A 52925-2025</t>
        </is>
      </c>
      <c r="B426" s="1" t="n">
        <v>45957.6162962963</v>
      </c>
      <c r="C426" s="1" t="n">
        <v>46087</v>
      </c>
      <c r="D426" t="inlineStr">
        <is>
          <t>VÄSTERBOTTENS LÄN</t>
        </is>
      </c>
      <c r="E426" t="inlineStr">
        <is>
          <t>UMEÅ</t>
        </is>
      </c>
      <c r="G426" t="n">
        <v>5.6</v>
      </c>
      <c r="H426" t="n">
        <v>0</v>
      </c>
      <c r="I426" t="n">
        <v>0</v>
      </c>
      <c r="J426" t="n">
        <v>0</v>
      </c>
      <c r="K426" t="n">
        <v>0</v>
      </c>
      <c r="L426" t="n">
        <v>0</v>
      </c>
      <c r="M426" t="n">
        <v>0</v>
      </c>
      <c r="N426" t="n">
        <v>0</v>
      </c>
      <c r="O426" t="n">
        <v>0</v>
      </c>
      <c r="P426" t="n">
        <v>0</v>
      </c>
      <c r="Q426" t="n">
        <v>0</v>
      </c>
      <c r="R426" s="2" t="inlineStr"/>
    </row>
    <row r="427" ht="15" customHeight="1">
      <c r="A427" t="inlineStr">
        <is>
          <t>A 52928-2025</t>
        </is>
      </c>
      <c r="B427" s="1" t="n">
        <v>45957.62016203703</v>
      </c>
      <c r="C427" s="1" t="n">
        <v>46087</v>
      </c>
      <c r="D427" t="inlineStr">
        <is>
          <t>VÄSTERBOTTENS LÄN</t>
        </is>
      </c>
      <c r="E427" t="inlineStr">
        <is>
          <t>UMEÅ</t>
        </is>
      </c>
      <c r="G427" t="n">
        <v>4.9</v>
      </c>
      <c r="H427" t="n">
        <v>0</v>
      </c>
      <c r="I427" t="n">
        <v>0</v>
      </c>
      <c r="J427" t="n">
        <v>0</v>
      </c>
      <c r="K427" t="n">
        <v>0</v>
      </c>
      <c r="L427" t="n">
        <v>0</v>
      </c>
      <c r="M427" t="n">
        <v>0</v>
      </c>
      <c r="N427" t="n">
        <v>0</v>
      </c>
      <c r="O427" t="n">
        <v>0</v>
      </c>
      <c r="P427" t="n">
        <v>0</v>
      </c>
      <c r="Q427" t="n">
        <v>0</v>
      </c>
      <c r="R427" s="2" t="inlineStr"/>
    </row>
    <row r="428" ht="15" customHeight="1">
      <c r="A428" t="inlineStr">
        <is>
          <t>A 41466-2025</t>
        </is>
      </c>
      <c r="B428" s="1" t="n">
        <v>45901</v>
      </c>
      <c r="C428" s="1" t="n">
        <v>46087</v>
      </c>
      <c r="D428" t="inlineStr">
        <is>
          <t>VÄSTERBOTTENS LÄN</t>
        </is>
      </c>
      <c r="E428" t="inlineStr">
        <is>
          <t>UMEÅ</t>
        </is>
      </c>
      <c r="G428" t="n">
        <v>0.3</v>
      </c>
      <c r="H428" t="n">
        <v>0</v>
      </c>
      <c r="I428" t="n">
        <v>0</v>
      </c>
      <c r="J428" t="n">
        <v>0</v>
      </c>
      <c r="K428" t="n">
        <v>0</v>
      </c>
      <c r="L428" t="n">
        <v>0</v>
      </c>
      <c r="M428" t="n">
        <v>0</v>
      </c>
      <c r="N428" t="n">
        <v>0</v>
      </c>
      <c r="O428" t="n">
        <v>0</v>
      </c>
      <c r="P428" t="n">
        <v>0</v>
      </c>
      <c r="Q428" t="n">
        <v>0</v>
      </c>
      <c r="R428" s="2" t="inlineStr"/>
    </row>
    <row r="429" ht="15" customHeight="1">
      <c r="A429" t="inlineStr">
        <is>
          <t>A 52990-2025</t>
        </is>
      </c>
      <c r="B429" s="1" t="n">
        <v>45957.71711805555</v>
      </c>
      <c r="C429" s="1" t="n">
        <v>46087</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52706-2025</t>
        </is>
      </c>
      <c r="B430" s="1" t="n">
        <v>45957.28523148148</v>
      </c>
      <c r="C430" s="1" t="n">
        <v>46087</v>
      </c>
      <c r="D430" t="inlineStr">
        <is>
          <t>VÄSTERBOTTENS LÄN</t>
        </is>
      </c>
      <c r="E430" t="inlineStr">
        <is>
          <t>UMEÅ</t>
        </is>
      </c>
      <c r="G430" t="n">
        <v>2</v>
      </c>
      <c r="H430" t="n">
        <v>0</v>
      </c>
      <c r="I430" t="n">
        <v>0</v>
      </c>
      <c r="J430" t="n">
        <v>0</v>
      </c>
      <c r="K430" t="n">
        <v>0</v>
      </c>
      <c r="L430" t="n">
        <v>0</v>
      </c>
      <c r="M430" t="n">
        <v>0</v>
      </c>
      <c r="N430" t="n">
        <v>0</v>
      </c>
      <c r="O430" t="n">
        <v>0</v>
      </c>
      <c r="P430" t="n">
        <v>0</v>
      </c>
      <c r="Q430" t="n">
        <v>0</v>
      </c>
      <c r="R430" s="2" t="inlineStr"/>
    </row>
    <row r="431" ht="15" customHeight="1">
      <c r="A431" t="inlineStr">
        <is>
          <t>A 41751-2025</t>
        </is>
      </c>
      <c r="B431" s="1" t="n">
        <v>45902</v>
      </c>
      <c r="C431" s="1" t="n">
        <v>46087</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53271-2025</t>
        </is>
      </c>
      <c r="B432" s="1" t="n">
        <v>45958.70387731482</v>
      </c>
      <c r="C432" s="1" t="n">
        <v>46087</v>
      </c>
      <c r="D432" t="inlineStr">
        <is>
          <t>VÄSTERBOTTENS LÄN</t>
        </is>
      </c>
      <c r="E432" t="inlineStr">
        <is>
          <t>UMEÅ</t>
        </is>
      </c>
      <c r="G432" t="n">
        <v>8.9</v>
      </c>
      <c r="H432" t="n">
        <v>0</v>
      </c>
      <c r="I432" t="n">
        <v>0</v>
      </c>
      <c r="J432" t="n">
        <v>0</v>
      </c>
      <c r="K432" t="n">
        <v>0</v>
      </c>
      <c r="L432" t="n">
        <v>0</v>
      </c>
      <c r="M432" t="n">
        <v>0</v>
      </c>
      <c r="N432" t="n">
        <v>0</v>
      </c>
      <c r="O432" t="n">
        <v>0</v>
      </c>
      <c r="P432" t="n">
        <v>0</v>
      </c>
      <c r="Q432" t="n">
        <v>0</v>
      </c>
      <c r="R432" s="2" t="inlineStr"/>
    </row>
    <row r="433" ht="15" customHeight="1">
      <c r="A433" t="inlineStr">
        <is>
          <t>A 41580-2025</t>
        </is>
      </c>
      <c r="B433" s="1" t="n">
        <v>45901.62168981481</v>
      </c>
      <c r="C433" s="1" t="n">
        <v>46087</v>
      </c>
      <c r="D433" t="inlineStr">
        <is>
          <t>VÄSTERBOTTENS LÄN</t>
        </is>
      </c>
      <c r="E433" t="inlineStr">
        <is>
          <t>UMEÅ</t>
        </is>
      </c>
      <c r="G433" t="n">
        <v>2.6</v>
      </c>
      <c r="H433" t="n">
        <v>0</v>
      </c>
      <c r="I433" t="n">
        <v>0</v>
      </c>
      <c r="J433" t="n">
        <v>0</v>
      </c>
      <c r="K433" t="n">
        <v>0</v>
      </c>
      <c r="L433" t="n">
        <v>0</v>
      </c>
      <c r="M433" t="n">
        <v>0</v>
      </c>
      <c r="N433" t="n">
        <v>0</v>
      </c>
      <c r="O433" t="n">
        <v>0</v>
      </c>
      <c r="P433" t="n">
        <v>0</v>
      </c>
      <c r="Q433" t="n">
        <v>0</v>
      </c>
      <c r="R433" s="2" t="inlineStr"/>
    </row>
    <row r="434" ht="15" customHeight="1">
      <c r="A434" t="inlineStr">
        <is>
          <t>A 43973-2024</t>
        </is>
      </c>
      <c r="B434" s="1" t="n">
        <v>45572.49059027778</v>
      </c>
      <c r="C434" s="1" t="n">
        <v>46087</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28855-2024</t>
        </is>
      </c>
      <c r="B435" s="1" t="n">
        <v>45478</v>
      </c>
      <c r="C435" s="1" t="n">
        <v>46087</v>
      </c>
      <c r="D435" t="inlineStr">
        <is>
          <t>VÄSTERBOTTENS LÄN</t>
        </is>
      </c>
      <c r="E435" t="inlineStr">
        <is>
          <t>UMEÅ</t>
        </is>
      </c>
      <c r="G435" t="n">
        <v>1.9</v>
      </c>
      <c r="H435" t="n">
        <v>0</v>
      </c>
      <c r="I435" t="n">
        <v>0</v>
      </c>
      <c r="J435" t="n">
        <v>0</v>
      </c>
      <c r="K435" t="n">
        <v>0</v>
      </c>
      <c r="L435" t="n">
        <v>0</v>
      </c>
      <c r="M435" t="n">
        <v>0</v>
      </c>
      <c r="N435" t="n">
        <v>0</v>
      </c>
      <c r="O435" t="n">
        <v>0</v>
      </c>
      <c r="P435" t="n">
        <v>0</v>
      </c>
      <c r="Q435" t="n">
        <v>0</v>
      </c>
      <c r="R435" s="2" t="inlineStr"/>
    </row>
    <row r="436" ht="15" customHeight="1">
      <c r="A436" t="inlineStr">
        <is>
          <t>A 28997-2024</t>
        </is>
      </c>
      <c r="B436" s="1" t="n">
        <v>45481</v>
      </c>
      <c r="C436" s="1" t="n">
        <v>46087</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12141-2025</t>
        </is>
      </c>
      <c r="B437" s="1" t="n">
        <v>45729.40373842593</v>
      </c>
      <c r="C437" s="1" t="n">
        <v>46087</v>
      </c>
      <c r="D437" t="inlineStr">
        <is>
          <t>VÄSTERBOTTENS LÄN</t>
        </is>
      </c>
      <c r="E437" t="inlineStr">
        <is>
          <t>UMEÅ</t>
        </is>
      </c>
      <c r="G437" t="n">
        <v>6.6</v>
      </c>
      <c r="H437" t="n">
        <v>0</v>
      </c>
      <c r="I437" t="n">
        <v>0</v>
      </c>
      <c r="J437" t="n">
        <v>0</v>
      </c>
      <c r="K437" t="n">
        <v>0</v>
      </c>
      <c r="L437" t="n">
        <v>0</v>
      </c>
      <c r="M437" t="n">
        <v>0</v>
      </c>
      <c r="N437" t="n">
        <v>0</v>
      </c>
      <c r="O437" t="n">
        <v>0</v>
      </c>
      <c r="P437" t="n">
        <v>0</v>
      </c>
      <c r="Q437" t="n">
        <v>0</v>
      </c>
      <c r="R437" s="2" t="inlineStr"/>
    </row>
    <row r="438" ht="15" customHeight="1">
      <c r="A438" t="inlineStr">
        <is>
          <t>A 52992-2025</t>
        </is>
      </c>
      <c r="B438" s="1" t="n">
        <v>45957.72361111111</v>
      </c>
      <c r="C438" s="1" t="n">
        <v>46087</v>
      </c>
      <c r="D438" t="inlineStr">
        <is>
          <t>VÄSTERBOTTENS LÄN</t>
        </is>
      </c>
      <c r="E438" t="inlineStr">
        <is>
          <t>UMEÅ</t>
        </is>
      </c>
      <c r="G438" t="n">
        <v>0.5</v>
      </c>
      <c r="H438" t="n">
        <v>0</v>
      </c>
      <c r="I438" t="n">
        <v>0</v>
      </c>
      <c r="J438" t="n">
        <v>0</v>
      </c>
      <c r="K438" t="n">
        <v>0</v>
      </c>
      <c r="L438" t="n">
        <v>0</v>
      </c>
      <c r="M438" t="n">
        <v>0</v>
      </c>
      <c r="N438" t="n">
        <v>0</v>
      </c>
      <c r="O438" t="n">
        <v>0</v>
      </c>
      <c r="P438" t="n">
        <v>0</v>
      </c>
      <c r="Q438" t="n">
        <v>0</v>
      </c>
      <c r="R438" s="2" t="inlineStr"/>
    </row>
    <row r="439" ht="15" customHeight="1">
      <c r="A439" t="inlineStr">
        <is>
          <t>A 22912-2025</t>
        </is>
      </c>
      <c r="B439" s="1" t="n">
        <v>45790</v>
      </c>
      <c r="C439" s="1" t="n">
        <v>46087</v>
      </c>
      <c r="D439" t="inlineStr">
        <is>
          <t>VÄSTERBOTTENS LÄN</t>
        </is>
      </c>
      <c r="E439" t="inlineStr">
        <is>
          <t>UMEÅ</t>
        </is>
      </c>
      <c r="G439" t="n">
        <v>2.4</v>
      </c>
      <c r="H439" t="n">
        <v>0</v>
      </c>
      <c r="I439" t="n">
        <v>0</v>
      </c>
      <c r="J439" t="n">
        <v>0</v>
      </c>
      <c r="K439" t="n">
        <v>0</v>
      </c>
      <c r="L439" t="n">
        <v>0</v>
      </c>
      <c r="M439" t="n">
        <v>0</v>
      </c>
      <c r="N439" t="n">
        <v>0</v>
      </c>
      <c r="O439" t="n">
        <v>0</v>
      </c>
      <c r="P439" t="n">
        <v>0</v>
      </c>
      <c r="Q439" t="n">
        <v>0</v>
      </c>
      <c r="R439" s="2" t="inlineStr"/>
    </row>
    <row r="440" ht="15" customHeight="1">
      <c r="A440" t="inlineStr">
        <is>
          <t>A 52679-2022</t>
        </is>
      </c>
      <c r="B440" s="1" t="n">
        <v>44874</v>
      </c>
      <c r="C440" s="1" t="n">
        <v>46087</v>
      </c>
      <c r="D440" t="inlineStr">
        <is>
          <t>VÄSTERBOTTENS LÄN</t>
        </is>
      </c>
      <c r="E440" t="inlineStr">
        <is>
          <t>UMEÅ</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53247-2025</t>
        </is>
      </c>
      <c r="B441" s="1" t="n">
        <v>45958.6490625</v>
      </c>
      <c r="C441" s="1" t="n">
        <v>46087</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52966-2025</t>
        </is>
      </c>
      <c r="B442" s="1" t="n">
        <v>45957.66818287037</v>
      </c>
      <c r="C442" s="1" t="n">
        <v>46087</v>
      </c>
      <c r="D442" t="inlineStr">
        <is>
          <t>VÄSTERBOTTENS LÄN</t>
        </is>
      </c>
      <c r="E442" t="inlineStr">
        <is>
          <t>UMEÅ</t>
        </is>
      </c>
      <c r="G442" t="n">
        <v>3.6</v>
      </c>
      <c r="H442" t="n">
        <v>0</v>
      </c>
      <c r="I442" t="n">
        <v>0</v>
      </c>
      <c r="J442" t="n">
        <v>0</v>
      </c>
      <c r="K442" t="n">
        <v>0</v>
      </c>
      <c r="L442" t="n">
        <v>0</v>
      </c>
      <c r="M442" t="n">
        <v>0</v>
      </c>
      <c r="N442" t="n">
        <v>0</v>
      </c>
      <c r="O442" t="n">
        <v>0</v>
      </c>
      <c r="P442" t="n">
        <v>0</v>
      </c>
      <c r="Q442" t="n">
        <v>0</v>
      </c>
      <c r="R442" s="2" t="inlineStr"/>
    </row>
    <row r="443" ht="15" customHeight="1">
      <c r="A443" t="inlineStr">
        <is>
          <t>A 52996-2025</t>
        </is>
      </c>
      <c r="B443" s="1" t="n">
        <v>45957.73085648148</v>
      </c>
      <c r="C443" s="1" t="n">
        <v>46087</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15664-2025</t>
        </is>
      </c>
      <c r="B444" s="1" t="n">
        <v>45748</v>
      </c>
      <c r="C444" s="1" t="n">
        <v>46087</v>
      </c>
      <c r="D444" t="inlineStr">
        <is>
          <t>VÄSTERBOTTENS LÄN</t>
        </is>
      </c>
      <c r="E444" t="inlineStr">
        <is>
          <t>UMEÅ</t>
        </is>
      </c>
      <c r="G444" t="n">
        <v>1.2</v>
      </c>
      <c r="H444" t="n">
        <v>0</v>
      </c>
      <c r="I444" t="n">
        <v>0</v>
      </c>
      <c r="J444" t="n">
        <v>0</v>
      </c>
      <c r="K444" t="n">
        <v>0</v>
      </c>
      <c r="L444" t="n">
        <v>0</v>
      </c>
      <c r="M444" t="n">
        <v>0</v>
      </c>
      <c r="N444" t="n">
        <v>0</v>
      </c>
      <c r="O444" t="n">
        <v>0</v>
      </c>
      <c r="P444" t="n">
        <v>0</v>
      </c>
      <c r="Q444" t="n">
        <v>0</v>
      </c>
      <c r="R444" s="2" t="inlineStr"/>
    </row>
    <row r="445" ht="15" customHeight="1">
      <c r="A445" t="inlineStr">
        <is>
          <t>A 15376-2025</t>
        </is>
      </c>
      <c r="B445" s="1" t="n">
        <v>45747.40657407408</v>
      </c>
      <c r="C445" s="1" t="n">
        <v>46087</v>
      </c>
      <c r="D445" t="inlineStr">
        <is>
          <t>VÄSTERBOTTENS LÄN</t>
        </is>
      </c>
      <c r="E445" t="inlineStr">
        <is>
          <t>UMEÅ</t>
        </is>
      </c>
      <c r="G445" t="n">
        <v>4.1</v>
      </c>
      <c r="H445" t="n">
        <v>0</v>
      </c>
      <c r="I445" t="n">
        <v>0</v>
      </c>
      <c r="J445" t="n">
        <v>0</v>
      </c>
      <c r="K445" t="n">
        <v>0</v>
      </c>
      <c r="L445" t="n">
        <v>0</v>
      </c>
      <c r="M445" t="n">
        <v>0</v>
      </c>
      <c r="N445" t="n">
        <v>0</v>
      </c>
      <c r="O445" t="n">
        <v>0</v>
      </c>
      <c r="P445" t="n">
        <v>0</v>
      </c>
      <c r="Q445" t="n">
        <v>0</v>
      </c>
      <c r="R445" s="2" t="inlineStr"/>
    </row>
    <row r="446" ht="15" customHeight="1">
      <c r="A446" t="inlineStr">
        <is>
          <t>A 53370-2025</t>
        </is>
      </c>
      <c r="B446" s="1" t="n">
        <v>45959.4962962963</v>
      </c>
      <c r="C446" s="1" t="n">
        <v>46087</v>
      </c>
      <c r="D446" t="inlineStr">
        <is>
          <t>VÄSTERBOTTENS LÄN</t>
        </is>
      </c>
      <c r="E446" t="inlineStr">
        <is>
          <t>UMEÅ</t>
        </is>
      </c>
      <c r="G446" t="n">
        <v>0.6</v>
      </c>
      <c r="H446" t="n">
        <v>0</v>
      </c>
      <c r="I446" t="n">
        <v>0</v>
      </c>
      <c r="J446" t="n">
        <v>0</v>
      </c>
      <c r="K446" t="n">
        <v>0</v>
      </c>
      <c r="L446" t="n">
        <v>0</v>
      </c>
      <c r="M446" t="n">
        <v>0</v>
      </c>
      <c r="N446" t="n">
        <v>0</v>
      </c>
      <c r="O446" t="n">
        <v>0</v>
      </c>
      <c r="P446" t="n">
        <v>0</v>
      </c>
      <c r="Q446" t="n">
        <v>0</v>
      </c>
      <c r="R446" s="2" t="inlineStr"/>
    </row>
    <row r="447" ht="15" customHeight="1">
      <c r="A447" t="inlineStr">
        <is>
          <t>A 25689-2025</t>
        </is>
      </c>
      <c r="B447" s="1" t="n">
        <v>45803.66111111111</v>
      </c>
      <c r="C447" s="1" t="n">
        <v>46087</v>
      </c>
      <c r="D447" t="inlineStr">
        <is>
          <t>VÄSTERBOTTENS LÄN</t>
        </is>
      </c>
      <c r="E447" t="inlineStr">
        <is>
          <t>UMEÅ</t>
        </is>
      </c>
      <c r="G447" t="n">
        <v>2.2</v>
      </c>
      <c r="H447" t="n">
        <v>0</v>
      </c>
      <c r="I447" t="n">
        <v>0</v>
      </c>
      <c r="J447" t="n">
        <v>0</v>
      </c>
      <c r="K447" t="n">
        <v>0</v>
      </c>
      <c r="L447" t="n">
        <v>0</v>
      </c>
      <c r="M447" t="n">
        <v>0</v>
      </c>
      <c r="N447" t="n">
        <v>0</v>
      </c>
      <c r="O447" t="n">
        <v>0</v>
      </c>
      <c r="P447" t="n">
        <v>0</v>
      </c>
      <c r="Q447" t="n">
        <v>0</v>
      </c>
      <c r="R447" s="2" t="inlineStr"/>
    </row>
    <row r="448" ht="15" customHeight="1">
      <c r="A448" t="inlineStr">
        <is>
          <t>A 29655-2024</t>
        </is>
      </c>
      <c r="B448" s="1" t="n">
        <v>45484</v>
      </c>
      <c r="C448" s="1" t="n">
        <v>46087</v>
      </c>
      <c r="D448" t="inlineStr">
        <is>
          <t>VÄSTERBOTTENS LÄN</t>
        </is>
      </c>
      <c r="E448" t="inlineStr">
        <is>
          <t>UMEÅ</t>
        </is>
      </c>
      <c r="G448" t="n">
        <v>4.7</v>
      </c>
      <c r="H448" t="n">
        <v>0</v>
      </c>
      <c r="I448" t="n">
        <v>0</v>
      </c>
      <c r="J448" t="n">
        <v>0</v>
      </c>
      <c r="K448" t="n">
        <v>0</v>
      </c>
      <c r="L448" t="n">
        <v>0</v>
      </c>
      <c r="M448" t="n">
        <v>0</v>
      </c>
      <c r="N448" t="n">
        <v>0</v>
      </c>
      <c r="O448" t="n">
        <v>0</v>
      </c>
      <c r="P448" t="n">
        <v>0</v>
      </c>
      <c r="Q448" t="n">
        <v>0</v>
      </c>
      <c r="R448" s="2" t="inlineStr"/>
    </row>
    <row r="449" ht="15" customHeight="1">
      <c r="A449" t="inlineStr">
        <is>
          <t>A 42204-2025</t>
        </is>
      </c>
      <c r="B449" s="1" t="n">
        <v>45904.49043981481</v>
      </c>
      <c r="C449" s="1" t="n">
        <v>46087</v>
      </c>
      <c r="D449" t="inlineStr">
        <is>
          <t>VÄSTERBOTTENS LÄN</t>
        </is>
      </c>
      <c r="E449" t="inlineStr">
        <is>
          <t>UMEÅ</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53336-2025</t>
        </is>
      </c>
      <c r="B450" s="1" t="n">
        <v>45959.39545138889</v>
      </c>
      <c r="C450" s="1" t="n">
        <v>46087</v>
      </c>
      <c r="D450" t="inlineStr">
        <is>
          <t>VÄSTERBOTTENS LÄN</t>
        </is>
      </c>
      <c r="E450" t="inlineStr">
        <is>
          <t>UMEÅ</t>
        </is>
      </c>
      <c r="G450" t="n">
        <v>9.9</v>
      </c>
      <c r="H450" t="n">
        <v>0</v>
      </c>
      <c r="I450" t="n">
        <v>0</v>
      </c>
      <c r="J450" t="n">
        <v>0</v>
      </c>
      <c r="K450" t="n">
        <v>0</v>
      </c>
      <c r="L450" t="n">
        <v>0</v>
      </c>
      <c r="M450" t="n">
        <v>0</v>
      </c>
      <c r="N450" t="n">
        <v>0</v>
      </c>
      <c r="O450" t="n">
        <v>0</v>
      </c>
      <c r="P450" t="n">
        <v>0</v>
      </c>
      <c r="Q450" t="n">
        <v>0</v>
      </c>
      <c r="R450" s="2" t="inlineStr"/>
    </row>
    <row r="451" ht="15" customHeight="1">
      <c r="A451" t="inlineStr">
        <is>
          <t>A 19678-2024</t>
        </is>
      </c>
      <c r="B451" s="1" t="n">
        <v>45432.48533564815</v>
      </c>
      <c r="C451" s="1" t="n">
        <v>46087</v>
      </c>
      <c r="D451" t="inlineStr">
        <is>
          <t>VÄSTERBOTTENS LÄN</t>
        </is>
      </c>
      <c r="E451" t="inlineStr">
        <is>
          <t>UMEÅ</t>
        </is>
      </c>
      <c r="G451" t="n">
        <v>3.5</v>
      </c>
      <c r="H451" t="n">
        <v>0</v>
      </c>
      <c r="I451" t="n">
        <v>0</v>
      </c>
      <c r="J451" t="n">
        <v>0</v>
      </c>
      <c r="K451" t="n">
        <v>0</v>
      </c>
      <c r="L451" t="n">
        <v>0</v>
      </c>
      <c r="M451" t="n">
        <v>0</v>
      </c>
      <c r="N451" t="n">
        <v>0</v>
      </c>
      <c r="O451" t="n">
        <v>0</v>
      </c>
      <c r="P451" t="n">
        <v>0</v>
      </c>
      <c r="Q451" t="n">
        <v>0</v>
      </c>
      <c r="R451" s="2" t="inlineStr"/>
    </row>
    <row r="452" ht="15" customHeight="1">
      <c r="A452" t="inlineStr">
        <is>
          <t>A 35631-2024</t>
        </is>
      </c>
      <c r="B452" s="1" t="n">
        <v>45531.74990740741</v>
      </c>
      <c r="C452" s="1" t="n">
        <v>46087</v>
      </c>
      <c r="D452" t="inlineStr">
        <is>
          <t>VÄSTERBOTTENS LÄN</t>
        </is>
      </c>
      <c r="E452" t="inlineStr">
        <is>
          <t>UMEÅ</t>
        </is>
      </c>
      <c r="G452" t="n">
        <v>0.6</v>
      </c>
      <c r="H452" t="n">
        <v>0</v>
      </c>
      <c r="I452" t="n">
        <v>0</v>
      </c>
      <c r="J452" t="n">
        <v>0</v>
      </c>
      <c r="K452" t="n">
        <v>0</v>
      </c>
      <c r="L452" t="n">
        <v>0</v>
      </c>
      <c r="M452" t="n">
        <v>0</v>
      </c>
      <c r="N452" t="n">
        <v>0</v>
      </c>
      <c r="O452" t="n">
        <v>0</v>
      </c>
      <c r="P452" t="n">
        <v>0</v>
      </c>
      <c r="Q452" t="n">
        <v>0</v>
      </c>
      <c r="R452" s="2" t="inlineStr"/>
    </row>
    <row r="453" ht="15" customHeight="1">
      <c r="A453" t="inlineStr">
        <is>
          <t>A 42198-2025</t>
        </is>
      </c>
      <c r="B453" s="1" t="n">
        <v>45904.48623842592</v>
      </c>
      <c r="C453" s="1" t="n">
        <v>46087</v>
      </c>
      <c r="D453" t="inlineStr">
        <is>
          <t>VÄSTERBOTTENS LÄN</t>
        </is>
      </c>
      <c r="E453" t="inlineStr">
        <is>
          <t>UMEÅ</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42476-2025</t>
        </is>
      </c>
      <c r="B454" s="1" t="n">
        <v>45904</v>
      </c>
      <c r="C454" s="1" t="n">
        <v>46087</v>
      </c>
      <c r="D454" t="inlineStr">
        <is>
          <t>VÄSTERBOTTENS LÄN</t>
        </is>
      </c>
      <c r="E454" t="inlineStr">
        <is>
          <t>UMEÅ</t>
        </is>
      </c>
      <c r="G454" t="n">
        <v>2.9</v>
      </c>
      <c r="H454" t="n">
        <v>0</v>
      </c>
      <c r="I454" t="n">
        <v>0</v>
      </c>
      <c r="J454" t="n">
        <v>0</v>
      </c>
      <c r="K454" t="n">
        <v>0</v>
      </c>
      <c r="L454" t="n">
        <v>0</v>
      </c>
      <c r="M454" t="n">
        <v>0</v>
      </c>
      <c r="N454" t="n">
        <v>0</v>
      </c>
      <c r="O454" t="n">
        <v>0</v>
      </c>
      <c r="P454" t="n">
        <v>0</v>
      </c>
      <c r="Q454" t="n">
        <v>0</v>
      </c>
      <c r="R454" s="2" t="inlineStr"/>
    </row>
    <row r="455" ht="15" customHeight="1">
      <c r="A455" t="inlineStr">
        <is>
          <t>A 22851-2025</t>
        </is>
      </c>
      <c r="B455" s="1" t="n">
        <v>45790.34162037037</v>
      </c>
      <c r="C455" s="1" t="n">
        <v>46087</v>
      </c>
      <c r="D455" t="inlineStr">
        <is>
          <t>VÄSTERBOTTENS LÄN</t>
        </is>
      </c>
      <c r="E455" t="inlineStr">
        <is>
          <t>UMEÅ</t>
        </is>
      </c>
      <c r="F455" t="inlineStr">
        <is>
          <t>Holmen skog AB</t>
        </is>
      </c>
      <c r="G455" t="n">
        <v>20.6</v>
      </c>
      <c r="H455" t="n">
        <v>0</v>
      </c>
      <c r="I455" t="n">
        <v>0</v>
      </c>
      <c r="J455" t="n">
        <v>0</v>
      </c>
      <c r="K455" t="n">
        <v>0</v>
      </c>
      <c r="L455" t="n">
        <v>0</v>
      </c>
      <c r="M455" t="n">
        <v>0</v>
      </c>
      <c r="N455" t="n">
        <v>0</v>
      </c>
      <c r="O455" t="n">
        <v>0</v>
      </c>
      <c r="P455" t="n">
        <v>0</v>
      </c>
      <c r="Q455" t="n">
        <v>0</v>
      </c>
      <c r="R455" s="2" t="inlineStr"/>
    </row>
    <row r="456" ht="15" customHeight="1">
      <c r="A456" t="inlineStr">
        <is>
          <t>A 33049-2025</t>
        </is>
      </c>
      <c r="B456" s="1" t="n">
        <v>45840.42099537037</v>
      </c>
      <c r="C456" s="1" t="n">
        <v>46087</v>
      </c>
      <c r="D456" t="inlineStr">
        <is>
          <t>VÄSTERBOTTENS LÄN</t>
        </is>
      </c>
      <c r="E456" t="inlineStr">
        <is>
          <t>UMEÅ</t>
        </is>
      </c>
      <c r="G456" t="n">
        <v>3.6</v>
      </c>
      <c r="H456" t="n">
        <v>0</v>
      </c>
      <c r="I456" t="n">
        <v>0</v>
      </c>
      <c r="J456" t="n">
        <v>0</v>
      </c>
      <c r="K456" t="n">
        <v>0</v>
      </c>
      <c r="L456" t="n">
        <v>0</v>
      </c>
      <c r="M456" t="n">
        <v>0</v>
      </c>
      <c r="N456" t="n">
        <v>0</v>
      </c>
      <c r="O456" t="n">
        <v>0</v>
      </c>
      <c r="P456" t="n">
        <v>0</v>
      </c>
      <c r="Q456" t="n">
        <v>0</v>
      </c>
      <c r="R456" s="2" t="inlineStr"/>
    </row>
    <row r="457" ht="15" customHeight="1">
      <c r="A457" t="inlineStr">
        <is>
          <t>A 31805-2025</t>
        </is>
      </c>
      <c r="B457" s="1" t="n">
        <v>45834.55314814814</v>
      </c>
      <c r="C457" s="1" t="n">
        <v>46087</v>
      </c>
      <c r="D457" t="inlineStr">
        <is>
          <t>VÄSTERBOTTENS LÄN</t>
        </is>
      </c>
      <c r="E457" t="inlineStr">
        <is>
          <t>UMEÅ</t>
        </is>
      </c>
      <c r="G457" t="n">
        <v>3.5</v>
      </c>
      <c r="H457" t="n">
        <v>0</v>
      </c>
      <c r="I457" t="n">
        <v>0</v>
      </c>
      <c r="J457" t="n">
        <v>0</v>
      </c>
      <c r="K457" t="n">
        <v>0</v>
      </c>
      <c r="L457" t="n">
        <v>0</v>
      </c>
      <c r="M457" t="n">
        <v>0</v>
      </c>
      <c r="N457" t="n">
        <v>0</v>
      </c>
      <c r="O457" t="n">
        <v>0</v>
      </c>
      <c r="P457" t="n">
        <v>0</v>
      </c>
      <c r="Q457" t="n">
        <v>0</v>
      </c>
      <c r="R457" s="2" t="inlineStr"/>
    </row>
    <row r="458" ht="15" customHeight="1">
      <c r="A458" t="inlineStr">
        <is>
          <t>A 19189-2024</t>
        </is>
      </c>
      <c r="B458" s="1" t="n">
        <v>45428</v>
      </c>
      <c r="C458" s="1" t="n">
        <v>46087</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26924-2024</t>
        </is>
      </c>
      <c r="B459" s="1" t="n">
        <v>45470.93101851852</v>
      </c>
      <c r="C459" s="1" t="n">
        <v>46087</v>
      </c>
      <c r="D459" t="inlineStr">
        <is>
          <t>VÄSTERBOTTENS LÄN</t>
        </is>
      </c>
      <c r="E459" t="inlineStr">
        <is>
          <t>UMEÅ</t>
        </is>
      </c>
      <c r="G459" t="n">
        <v>2.5</v>
      </c>
      <c r="H459" t="n">
        <v>0</v>
      </c>
      <c r="I459" t="n">
        <v>0</v>
      </c>
      <c r="J459" t="n">
        <v>0</v>
      </c>
      <c r="K459" t="n">
        <v>0</v>
      </c>
      <c r="L459" t="n">
        <v>0</v>
      </c>
      <c r="M459" t="n">
        <v>0</v>
      </c>
      <c r="N459" t="n">
        <v>0</v>
      </c>
      <c r="O459" t="n">
        <v>0</v>
      </c>
      <c r="P459" t="n">
        <v>0</v>
      </c>
      <c r="Q459" t="n">
        <v>0</v>
      </c>
      <c r="R459" s="2" t="inlineStr"/>
    </row>
    <row r="460" ht="15" customHeight="1">
      <c r="A460" t="inlineStr">
        <is>
          <t>A 42176-2025</t>
        </is>
      </c>
      <c r="B460" s="1" t="n">
        <v>45904.44513888889</v>
      </c>
      <c r="C460" s="1" t="n">
        <v>46087</v>
      </c>
      <c r="D460" t="inlineStr">
        <is>
          <t>VÄSTERBOTTENS LÄN</t>
        </is>
      </c>
      <c r="E460" t="inlineStr">
        <is>
          <t>UMEÅ</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27052-2024</t>
        </is>
      </c>
      <c r="B461" s="1" t="n">
        <v>45471</v>
      </c>
      <c r="C461" s="1" t="n">
        <v>46087</v>
      </c>
      <c r="D461" t="inlineStr">
        <is>
          <t>VÄSTERBOTTENS LÄN</t>
        </is>
      </c>
      <c r="E461" t="inlineStr">
        <is>
          <t>UMEÅ</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16999-2023</t>
        </is>
      </c>
      <c r="B462" s="1" t="n">
        <v>45033.92614583333</v>
      </c>
      <c r="C462" s="1" t="n">
        <v>46087</v>
      </c>
      <c r="D462" t="inlineStr">
        <is>
          <t>VÄSTERBOTTENS LÄN</t>
        </is>
      </c>
      <c r="E462" t="inlineStr">
        <is>
          <t>UMEÅ</t>
        </is>
      </c>
      <c r="G462" t="n">
        <v>20.1</v>
      </c>
      <c r="H462" t="n">
        <v>0</v>
      </c>
      <c r="I462" t="n">
        <v>0</v>
      </c>
      <c r="J462" t="n">
        <v>0</v>
      </c>
      <c r="K462" t="n">
        <v>0</v>
      </c>
      <c r="L462" t="n">
        <v>0</v>
      </c>
      <c r="M462" t="n">
        <v>0</v>
      </c>
      <c r="N462" t="n">
        <v>0</v>
      </c>
      <c r="O462" t="n">
        <v>0</v>
      </c>
      <c r="P462" t="n">
        <v>0</v>
      </c>
      <c r="Q462" t="n">
        <v>0</v>
      </c>
      <c r="R462" s="2" t="inlineStr"/>
    </row>
    <row r="463" ht="15" customHeight="1">
      <c r="A463" t="inlineStr">
        <is>
          <t>A 54693-2025</t>
        </is>
      </c>
      <c r="B463" s="1" t="n">
        <v>45966.46192129629</v>
      </c>
      <c r="C463" s="1" t="n">
        <v>46087</v>
      </c>
      <c r="D463" t="inlineStr">
        <is>
          <t>VÄSTERBOTTENS LÄN</t>
        </is>
      </c>
      <c r="E463" t="inlineStr">
        <is>
          <t>UMEÅ</t>
        </is>
      </c>
      <c r="G463" t="n">
        <v>2.8</v>
      </c>
      <c r="H463" t="n">
        <v>0</v>
      </c>
      <c r="I463" t="n">
        <v>0</v>
      </c>
      <c r="J463" t="n">
        <v>0</v>
      </c>
      <c r="K463" t="n">
        <v>0</v>
      </c>
      <c r="L463" t="n">
        <v>0</v>
      </c>
      <c r="M463" t="n">
        <v>0</v>
      </c>
      <c r="N463" t="n">
        <v>0</v>
      </c>
      <c r="O463" t="n">
        <v>0</v>
      </c>
      <c r="P463" t="n">
        <v>0</v>
      </c>
      <c r="Q463" t="n">
        <v>0</v>
      </c>
      <c r="R463" s="2" t="inlineStr"/>
    </row>
    <row r="464" ht="15" customHeight="1">
      <c r="A464" t="inlineStr">
        <is>
          <t>A 42617-2025</t>
        </is>
      </c>
      <c r="B464" s="1" t="n">
        <v>45905.71921296296</v>
      </c>
      <c r="C464" s="1" t="n">
        <v>46087</v>
      </c>
      <c r="D464" t="inlineStr">
        <is>
          <t>VÄSTERBOTTENS LÄN</t>
        </is>
      </c>
      <c r="E464" t="inlineStr">
        <is>
          <t>UMEÅ</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33883-2024</t>
        </is>
      </c>
      <c r="B465" s="1" t="n">
        <v>45522.81311342592</v>
      </c>
      <c r="C465" s="1" t="n">
        <v>46087</v>
      </c>
      <c r="D465" t="inlineStr">
        <is>
          <t>VÄSTERBOTTENS LÄN</t>
        </is>
      </c>
      <c r="E465" t="inlineStr">
        <is>
          <t>UMEÅ</t>
        </is>
      </c>
      <c r="F465" t="inlineStr">
        <is>
          <t>Holmen skog AB</t>
        </is>
      </c>
      <c r="G465" t="n">
        <v>2.8</v>
      </c>
      <c r="H465" t="n">
        <v>0</v>
      </c>
      <c r="I465" t="n">
        <v>0</v>
      </c>
      <c r="J465" t="n">
        <v>0</v>
      </c>
      <c r="K465" t="n">
        <v>0</v>
      </c>
      <c r="L465" t="n">
        <v>0</v>
      </c>
      <c r="M465" t="n">
        <v>0</v>
      </c>
      <c r="N465" t="n">
        <v>0</v>
      </c>
      <c r="O465" t="n">
        <v>0</v>
      </c>
      <c r="P465" t="n">
        <v>0</v>
      </c>
      <c r="Q465" t="n">
        <v>0</v>
      </c>
      <c r="R465" s="2" t="inlineStr"/>
    </row>
    <row r="466" ht="15" customHeight="1">
      <c r="A466" t="inlineStr">
        <is>
          <t>A 49875-2025</t>
        </is>
      </c>
      <c r="B466" s="1" t="n">
        <v>45940.55391203704</v>
      </c>
      <c r="C466" s="1" t="n">
        <v>46087</v>
      </c>
      <c r="D466" t="inlineStr">
        <is>
          <t>VÄSTERBOTTENS LÄN</t>
        </is>
      </c>
      <c r="E466" t="inlineStr">
        <is>
          <t>UMEÅ</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42855-2025</t>
        </is>
      </c>
      <c r="B467" s="1" t="n">
        <v>45908</v>
      </c>
      <c r="C467" s="1" t="n">
        <v>46087</v>
      </c>
      <c r="D467" t="inlineStr">
        <is>
          <t>VÄSTERBOTTENS LÄN</t>
        </is>
      </c>
      <c r="E467" t="inlineStr">
        <is>
          <t>UMEÅ</t>
        </is>
      </c>
      <c r="G467" t="n">
        <v>0.8</v>
      </c>
      <c r="H467" t="n">
        <v>0</v>
      </c>
      <c r="I467" t="n">
        <v>0</v>
      </c>
      <c r="J467" t="n">
        <v>0</v>
      </c>
      <c r="K467" t="n">
        <v>0</v>
      </c>
      <c r="L467" t="n">
        <v>0</v>
      </c>
      <c r="M467" t="n">
        <v>0</v>
      </c>
      <c r="N467" t="n">
        <v>0</v>
      </c>
      <c r="O467" t="n">
        <v>0</v>
      </c>
      <c r="P467" t="n">
        <v>0</v>
      </c>
      <c r="Q467" t="n">
        <v>0</v>
      </c>
      <c r="R467" s="2" t="inlineStr"/>
    </row>
    <row r="468" ht="15" customHeight="1">
      <c r="A468" t="inlineStr">
        <is>
          <t>A 34121-2021</t>
        </is>
      </c>
      <c r="B468" s="1" t="n">
        <v>44379</v>
      </c>
      <c r="C468" s="1" t="n">
        <v>46087</v>
      </c>
      <c r="D468" t="inlineStr">
        <is>
          <t>VÄSTERBOTTENS LÄN</t>
        </is>
      </c>
      <c r="E468" t="inlineStr">
        <is>
          <t>UMEÅ</t>
        </is>
      </c>
      <c r="G468" t="n">
        <v>2.5</v>
      </c>
      <c r="H468" t="n">
        <v>0</v>
      </c>
      <c r="I468" t="n">
        <v>0</v>
      </c>
      <c r="J468" t="n">
        <v>0</v>
      </c>
      <c r="K468" t="n">
        <v>0</v>
      </c>
      <c r="L468" t="n">
        <v>0</v>
      </c>
      <c r="M468" t="n">
        <v>0</v>
      </c>
      <c r="N468" t="n">
        <v>0</v>
      </c>
      <c r="O468" t="n">
        <v>0</v>
      </c>
      <c r="P468" t="n">
        <v>0</v>
      </c>
      <c r="Q468" t="n">
        <v>0</v>
      </c>
      <c r="R468" s="2" t="inlineStr"/>
    </row>
    <row r="469" ht="15" customHeight="1">
      <c r="A469" t="inlineStr">
        <is>
          <t>A 23271-2025</t>
        </is>
      </c>
      <c r="B469" s="1" t="n">
        <v>45791.5622337963</v>
      </c>
      <c r="C469" s="1" t="n">
        <v>46087</v>
      </c>
      <c r="D469" t="inlineStr">
        <is>
          <t>VÄSTERBOTTENS LÄN</t>
        </is>
      </c>
      <c r="E469" t="inlineStr">
        <is>
          <t>UMEÅ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54320-2025</t>
        </is>
      </c>
      <c r="B470" s="1" t="n">
        <v>45965.34202546296</v>
      </c>
      <c r="C470" s="1" t="n">
        <v>46087</v>
      </c>
      <c r="D470" t="inlineStr">
        <is>
          <t>VÄSTERBOTTENS LÄN</t>
        </is>
      </c>
      <c r="E470" t="inlineStr">
        <is>
          <t>UMEÅ</t>
        </is>
      </c>
      <c r="G470" t="n">
        <v>2.9</v>
      </c>
      <c r="H470" t="n">
        <v>0</v>
      </c>
      <c r="I470" t="n">
        <v>0</v>
      </c>
      <c r="J470" t="n">
        <v>0</v>
      </c>
      <c r="K470" t="n">
        <v>0</v>
      </c>
      <c r="L470" t="n">
        <v>0</v>
      </c>
      <c r="M470" t="n">
        <v>0</v>
      </c>
      <c r="N470" t="n">
        <v>0</v>
      </c>
      <c r="O470" t="n">
        <v>0</v>
      </c>
      <c r="P470" t="n">
        <v>0</v>
      </c>
      <c r="Q470" t="n">
        <v>0</v>
      </c>
      <c r="R470" s="2" t="inlineStr"/>
    </row>
    <row r="471" ht="15" customHeight="1">
      <c r="A471" t="inlineStr">
        <is>
          <t>A 23442-2025</t>
        </is>
      </c>
      <c r="B471" s="1" t="n">
        <v>45792.3788425926</v>
      </c>
      <c r="C471" s="1" t="n">
        <v>46087</v>
      </c>
      <c r="D471" t="inlineStr">
        <is>
          <t>VÄSTERBOTTENS LÄN</t>
        </is>
      </c>
      <c r="E471" t="inlineStr">
        <is>
          <t>UMEÅ</t>
        </is>
      </c>
      <c r="G471" t="n">
        <v>4.7</v>
      </c>
      <c r="H471" t="n">
        <v>0</v>
      </c>
      <c r="I471" t="n">
        <v>0</v>
      </c>
      <c r="J471" t="n">
        <v>0</v>
      </c>
      <c r="K471" t="n">
        <v>0</v>
      </c>
      <c r="L471" t="n">
        <v>0</v>
      </c>
      <c r="M471" t="n">
        <v>0</v>
      </c>
      <c r="N471" t="n">
        <v>0</v>
      </c>
      <c r="O471" t="n">
        <v>0</v>
      </c>
      <c r="P471" t="n">
        <v>0</v>
      </c>
      <c r="Q471" t="n">
        <v>0</v>
      </c>
      <c r="R471" s="2" t="inlineStr"/>
    </row>
    <row r="472" ht="15" customHeight="1">
      <c r="A472" t="inlineStr">
        <is>
          <t>A 23500-2025</t>
        </is>
      </c>
      <c r="B472" s="1" t="n">
        <v>45792.48252314814</v>
      </c>
      <c r="C472" s="1" t="n">
        <v>46087</v>
      </c>
      <c r="D472" t="inlineStr">
        <is>
          <t>VÄSTERBOTTENS LÄN</t>
        </is>
      </c>
      <c r="E472" t="inlineStr">
        <is>
          <t>UMEÅ</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23563-2025</t>
        </is>
      </c>
      <c r="B473" s="1" t="n">
        <v>45792.58780092592</v>
      </c>
      <c r="C473" s="1" t="n">
        <v>46087</v>
      </c>
      <c r="D473" t="inlineStr">
        <is>
          <t>VÄSTERBOTTENS LÄN</t>
        </is>
      </c>
      <c r="E473" t="inlineStr">
        <is>
          <t>UMEÅ</t>
        </is>
      </c>
      <c r="G473" t="n">
        <v>8.5</v>
      </c>
      <c r="H473" t="n">
        <v>0</v>
      </c>
      <c r="I473" t="n">
        <v>0</v>
      </c>
      <c r="J473" t="n">
        <v>0</v>
      </c>
      <c r="K473" t="n">
        <v>0</v>
      </c>
      <c r="L473" t="n">
        <v>0</v>
      </c>
      <c r="M473" t="n">
        <v>0</v>
      </c>
      <c r="N473" t="n">
        <v>0</v>
      </c>
      <c r="O473" t="n">
        <v>0</v>
      </c>
      <c r="P473" t="n">
        <v>0</v>
      </c>
      <c r="Q473" t="n">
        <v>0</v>
      </c>
      <c r="R473" s="2" t="inlineStr"/>
    </row>
    <row r="474" ht="15" customHeight="1">
      <c r="A474" t="inlineStr">
        <is>
          <t>A 38135-2024</t>
        </is>
      </c>
      <c r="B474" s="1" t="n">
        <v>45545.41424768518</v>
      </c>
      <c r="C474" s="1" t="n">
        <v>46087</v>
      </c>
      <c r="D474" t="inlineStr">
        <is>
          <t>VÄSTERBOTTENS LÄN</t>
        </is>
      </c>
      <c r="E474" t="inlineStr">
        <is>
          <t>UMEÅ</t>
        </is>
      </c>
      <c r="G474" t="n">
        <v>8.6</v>
      </c>
      <c r="H474" t="n">
        <v>0</v>
      </c>
      <c r="I474" t="n">
        <v>0</v>
      </c>
      <c r="J474" t="n">
        <v>0</v>
      </c>
      <c r="K474" t="n">
        <v>0</v>
      </c>
      <c r="L474" t="n">
        <v>0</v>
      </c>
      <c r="M474" t="n">
        <v>0</v>
      </c>
      <c r="N474" t="n">
        <v>0</v>
      </c>
      <c r="O474" t="n">
        <v>0</v>
      </c>
      <c r="P474" t="n">
        <v>0</v>
      </c>
      <c r="Q474" t="n">
        <v>0</v>
      </c>
      <c r="R474" s="2" t="inlineStr"/>
    </row>
    <row r="475" ht="15" customHeight="1">
      <c r="A475" t="inlineStr">
        <is>
          <t>A 42854-2025</t>
        </is>
      </c>
      <c r="B475" s="1" t="n">
        <v>45908.60465277778</v>
      </c>
      <c r="C475" s="1" t="n">
        <v>46087</v>
      </c>
      <c r="D475" t="inlineStr">
        <is>
          <t>VÄSTERBOTTENS LÄN</t>
        </is>
      </c>
      <c r="E475" t="inlineStr">
        <is>
          <t>UMEÅ</t>
        </is>
      </c>
      <c r="G475" t="n">
        <v>1.1</v>
      </c>
      <c r="H475" t="n">
        <v>0</v>
      </c>
      <c r="I475" t="n">
        <v>0</v>
      </c>
      <c r="J475" t="n">
        <v>0</v>
      </c>
      <c r="K475" t="n">
        <v>0</v>
      </c>
      <c r="L475" t="n">
        <v>0</v>
      </c>
      <c r="M475" t="n">
        <v>0</v>
      </c>
      <c r="N475" t="n">
        <v>0</v>
      </c>
      <c r="O475" t="n">
        <v>0</v>
      </c>
      <c r="P475" t="n">
        <v>0</v>
      </c>
      <c r="Q475" t="n">
        <v>0</v>
      </c>
      <c r="R475" s="2" t="inlineStr"/>
    </row>
    <row r="476" ht="15" customHeight="1">
      <c r="A476" t="inlineStr">
        <is>
          <t>A 19074-2021</t>
        </is>
      </c>
      <c r="B476" s="1" t="n">
        <v>44308</v>
      </c>
      <c r="C476" s="1" t="n">
        <v>46087</v>
      </c>
      <c r="D476" t="inlineStr">
        <is>
          <t>VÄSTERBOTTENS LÄN</t>
        </is>
      </c>
      <c r="E476" t="inlineStr">
        <is>
          <t>UMEÅ</t>
        </is>
      </c>
      <c r="G476" t="n">
        <v>2.6</v>
      </c>
      <c r="H476" t="n">
        <v>0</v>
      </c>
      <c r="I476" t="n">
        <v>0</v>
      </c>
      <c r="J476" t="n">
        <v>0</v>
      </c>
      <c r="K476" t="n">
        <v>0</v>
      </c>
      <c r="L476" t="n">
        <v>0</v>
      </c>
      <c r="M476" t="n">
        <v>0</v>
      </c>
      <c r="N476" t="n">
        <v>0</v>
      </c>
      <c r="O476" t="n">
        <v>0</v>
      </c>
      <c r="P476" t="n">
        <v>0</v>
      </c>
      <c r="Q476" t="n">
        <v>0</v>
      </c>
      <c r="R476" s="2" t="inlineStr"/>
    </row>
    <row r="477" ht="15" customHeight="1">
      <c r="A477" t="inlineStr">
        <is>
          <t>A 54321-2025</t>
        </is>
      </c>
      <c r="B477" s="1" t="n">
        <v>45965.34315972222</v>
      </c>
      <c r="C477" s="1" t="n">
        <v>46087</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36901-2024</t>
        </is>
      </c>
      <c r="B478" s="1" t="n">
        <v>45538.62810185185</v>
      </c>
      <c r="C478" s="1" t="n">
        <v>46087</v>
      </c>
      <c r="D478" t="inlineStr">
        <is>
          <t>VÄSTERBOTTENS LÄN</t>
        </is>
      </c>
      <c r="E478" t="inlineStr">
        <is>
          <t>UMEÅ</t>
        </is>
      </c>
      <c r="F478" t="inlineStr">
        <is>
          <t>Holmen skog AB</t>
        </is>
      </c>
      <c r="G478" t="n">
        <v>4.4</v>
      </c>
      <c r="H478" t="n">
        <v>0</v>
      </c>
      <c r="I478" t="n">
        <v>0</v>
      </c>
      <c r="J478" t="n">
        <v>0</v>
      </c>
      <c r="K478" t="n">
        <v>0</v>
      </c>
      <c r="L478" t="n">
        <v>0</v>
      </c>
      <c r="M478" t="n">
        <v>0</v>
      </c>
      <c r="N478" t="n">
        <v>0</v>
      </c>
      <c r="O478" t="n">
        <v>0</v>
      </c>
      <c r="P478" t="n">
        <v>0</v>
      </c>
      <c r="Q478" t="n">
        <v>0</v>
      </c>
      <c r="R478" s="2" t="inlineStr"/>
    </row>
    <row r="479" ht="15" customHeight="1">
      <c r="A479" t="inlineStr">
        <is>
          <t>A 36932-2024</t>
        </is>
      </c>
      <c r="B479" s="1" t="n">
        <v>45538</v>
      </c>
      <c r="C479" s="1" t="n">
        <v>46087</v>
      </c>
      <c r="D479" t="inlineStr">
        <is>
          <t>VÄSTERBOTTENS LÄN</t>
        </is>
      </c>
      <c r="E479" t="inlineStr">
        <is>
          <t>UMEÅ</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54796-2025</t>
        </is>
      </c>
      <c r="B480" s="1" t="n">
        <v>45966.63635416667</v>
      </c>
      <c r="C480" s="1" t="n">
        <v>46087</v>
      </c>
      <c r="D480" t="inlineStr">
        <is>
          <t>VÄSTERBOTTENS LÄN</t>
        </is>
      </c>
      <c r="E480" t="inlineStr">
        <is>
          <t>UMEÅ</t>
        </is>
      </c>
      <c r="G480" t="n">
        <v>7.2</v>
      </c>
      <c r="H480" t="n">
        <v>0</v>
      </c>
      <c r="I480" t="n">
        <v>0</v>
      </c>
      <c r="J480" t="n">
        <v>0</v>
      </c>
      <c r="K480" t="n">
        <v>0</v>
      </c>
      <c r="L480" t="n">
        <v>0</v>
      </c>
      <c r="M480" t="n">
        <v>0</v>
      </c>
      <c r="N480" t="n">
        <v>0</v>
      </c>
      <c r="O480" t="n">
        <v>0</v>
      </c>
      <c r="P480" t="n">
        <v>0</v>
      </c>
      <c r="Q480" t="n">
        <v>0</v>
      </c>
      <c r="R480" s="2" t="inlineStr"/>
    </row>
    <row r="481" ht="15" customHeight="1">
      <c r="A481" t="inlineStr">
        <is>
          <t>A 54797-2025</t>
        </is>
      </c>
      <c r="B481" s="1" t="n">
        <v>45966.63638888889</v>
      </c>
      <c r="C481" s="1" t="n">
        <v>46087</v>
      </c>
      <c r="D481" t="inlineStr">
        <is>
          <t>VÄSTERBOTTENS LÄN</t>
        </is>
      </c>
      <c r="E481" t="inlineStr">
        <is>
          <t>UMEÅ</t>
        </is>
      </c>
      <c r="G481" t="n">
        <v>7</v>
      </c>
      <c r="H481" t="n">
        <v>0</v>
      </c>
      <c r="I481" t="n">
        <v>0</v>
      </c>
      <c r="J481" t="n">
        <v>0</v>
      </c>
      <c r="K481" t="n">
        <v>0</v>
      </c>
      <c r="L481" t="n">
        <v>0</v>
      </c>
      <c r="M481" t="n">
        <v>0</v>
      </c>
      <c r="N481" t="n">
        <v>0</v>
      </c>
      <c r="O481" t="n">
        <v>0</v>
      </c>
      <c r="P481" t="n">
        <v>0</v>
      </c>
      <c r="Q481" t="n">
        <v>0</v>
      </c>
      <c r="R481" s="2" t="inlineStr"/>
    </row>
    <row r="482" ht="15" customHeight="1">
      <c r="A482" t="inlineStr">
        <is>
          <t>A 43016-2025</t>
        </is>
      </c>
      <c r="B482" s="1" t="n">
        <v>45909.49864583334</v>
      </c>
      <c r="C482" s="1" t="n">
        <v>46087</v>
      </c>
      <c r="D482" t="inlineStr">
        <is>
          <t>VÄSTERBOTTENS LÄN</t>
        </is>
      </c>
      <c r="E482" t="inlineStr">
        <is>
          <t>UMEÅ</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42987-2025</t>
        </is>
      </c>
      <c r="B483" s="1" t="n">
        <v>45909</v>
      </c>
      <c r="C483" s="1" t="n">
        <v>46087</v>
      </c>
      <c r="D483" t="inlineStr">
        <is>
          <t>VÄSTERBOTTENS LÄN</t>
        </is>
      </c>
      <c r="E483" t="inlineStr">
        <is>
          <t>UMEÅ</t>
        </is>
      </c>
      <c r="F483" t="inlineStr">
        <is>
          <t>Holmen skog AB</t>
        </is>
      </c>
      <c r="G483" t="n">
        <v>2.1</v>
      </c>
      <c r="H483" t="n">
        <v>0</v>
      </c>
      <c r="I483" t="n">
        <v>0</v>
      </c>
      <c r="J483" t="n">
        <v>0</v>
      </c>
      <c r="K483" t="n">
        <v>0</v>
      </c>
      <c r="L483" t="n">
        <v>0</v>
      </c>
      <c r="M483" t="n">
        <v>0</v>
      </c>
      <c r="N483" t="n">
        <v>0</v>
      </c>
      <c r="O483" t="n">
        <v>0</v>
      </c>
      <c r="P483" t="n">
        <v>0</v>
      </c>
      <c r="Q483" t="n">
        <v>0</v>
      </c>
      <c r="R483" s="2" t="inlineStr"/>
    </row>
    <row r="484" ht="15" customHeight="1">
      <c r="A484" t="inlineStr">
        <is>
          <t>A 37014-2024</t>
        </is>
      </c>
      <c r="B484" s="1" t="n">
        <v>45539</v>
      </c>
      <c r="C484" s="1" t="n">
        <v>46087</v>
      </c>
      <c r="D484" t="inlineStr">
        <is>
          <t>VÄSTERBOTTENS LÄN</t>
        </is>
      </c>
      <c r="E484" t="inlineStr">
        <is>
          <t>UMEÅ</t>
        </is>
      </c>
      <c r="G484" t="n">
        <v>3.2</v>
      </c>
      <c r="H484" t="n">
        <v>0</v>
      </c>
      <c r="I484" t="n">
        <v>0</v>
      </c>
      <c r="J484" t="n">
        <v>0</v>
      </c>
      <c r="K484" t="n">
        <v>0</v>
      </c>
      <c r="L484" t="n">
        <v>0</v>
      </c>
      <c r="M484" t="n">
        <v>0</v>
      </c>
      <c r="N484" t="n">
        <v>0</v>
      </c>
      <c r="O484" t="n">
        <v>0</v>
      </c>
      <c r="P484" t="n">
        <v>0</v>
      </c>
      <c r="Q484" t="n">
        <v>0</v>
      </c>
      <c r="R484" s="2" t="inlineStr"/>
    </row>
    <row r="485" ht="15" customHeight="1">
      <c r="A485" t="inlineStr">
        <is>
          <t>A 42939-2025</t>
        </is>
      </c>
      <c r="B485" s="1" t="n">
        <v>45909</v>
      </c>
      <c r="C485" s="1" t="n">
        <v>46087</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29652-2024</t>
        </is>
      </c>
      <c r="B486" s="1" t="n">
        <v>45484.92328703704</v>
      </c>
      <c r="C486" s="1" t="n">
        <v>46087</v>
      </c>
      <c r="D486" t="inlineStr">
        <is>
          <t>VÄSTERBOTTENS LÄN</t>
        </is>
      </c>
      <c r="E486" t="inlineStr">
        <is>
          <t>UMEÅ</t>
        </is>
      </c>
      <c r="G486" t="n">
        <v>0.7</v>
      </c>
      <c r="H486" t="n">
        <v>0</v>
      </c>
      <c r="I486" t="n">
        <v>0</v>
      </c>
      <c r="J486" t="n">
        <v>0</v>
      </c>
      <c r="K486" t="n">
        <v>0</v>
      </c>
      <c r="L486" t="n">
        <v>0</v>
      </c>
      <c r="M486" t="n">
        <v>0</v>
      </c>
      <c r="N486" t="n">
        <v>0</v>
      </c>
      <c r="O486" t="n">
        <v>0</v>
      </c>
      <c r="P486" t="n">
        <v>0</v>
      </c>
      <c r="Q486" t="n">
        <v>0</v>
      </c>
      <c r="R486" s="2" t="inlineStr"/>
    </row>
    <row r="487" ht="15" customHeight="1">
      <c r="A487" t="inlineStr">
        <is>
          <t>A 22674-2025</t>
        </is>
      </c>
      <c r="B487" s="1" t="n">
        <v>45789.49047453704</v>
      </c>
      <c r="C487" s="1" t="n">
        <v>46087</v>
      </c>
      <c r="D487" t="inlineStr">
        <is>
          <t>VÄSTERBOTTENS LÄN</t>
        </is>
      </c>
      <c r="E487" t="inlineStr">
        <is>
          <t>UMEÅ</t>
        </is>
      </c>
      <c r="G487" t="n">
        <v>0.6</v>
      </c>
      <c r="H487" t="n">
        <v>0</v>
      </c>
      <c r="I487" t="n">
        <v>0</v>
      </c>
      <c r="J487" t="n">
        <v>0</v>
      </c>
      <c r="K487" t="n">
        <v>0</v>
      </c>
      <c r="L487" t="n">
        <v>0</v>
      </c>
      <c r="M487" t="n">
        <v>0</v>
      </c>
      <c r="N487" t="n">
        <v>0</v>
      </c>
      <c r="O487" t="n">
        <v>0</v>
      </c>
      <c r="P487" t="n">
        <v>0</v>
      </c>
      <c r="Q487" t="n">
        <v>0</v>
      </c>
      <c r="R487" s="2" t="inlineStr"/>
    </row>
    <row r="488" ht="15" customHeight="1">
      <c r="A488" t="inlineStr">
        <is>
          <t>A 43111-2025</t>
        </is>
      </c>
      <c r="B488" s="1" t="n">
        <v>45909.66037037037</v>
      </c>
      <c r="C488" s="1" t="n">
        <v>46087</v>
      </c>
      <c r="D488" t="inlineStr">
        <is>
          <t>VÄSTERBOTTENS LÄN</t>
        </is>
      </c>
      <c r="E488" t="inlineStr">
        <is>
          <t>UMEÅ</t>
        </is>
      </c>
      <c r="G488" t="n">
        <v>1.1</v>
      </c>
      <c r="H488" t="n">
        <v>0</v>
      </c>
      <c r="I488" t="n">
        <v>0</v>
      </c>
      <c r="J488" t="n">
        <v>0</v>
      </c>
      <c r="K488" t="n">
        <v>0</v>
      </c>
      <c r="L488" t="n">
        <v>0</v>
      </c>
      <c r="M488" t="n">
        <v>0</v>
      </c>
      <c r="N488" t="n">
        <v>0</v>
      </c>
      <c r="O488" t="n">
        <v>0</v>
      </c>
      <c r="P488" t="n">
        <v>0</v>
      </c>
      <c r="Q488" t="n">
        <v>0</v>
      </c>
      <c r="R488" s="2" t="inlineStr"/>
    </row>
    <row r="489" ht="15" customHeight="1">
      <c r="A489" t="inlineStr">
        <is>
          <t>A 23472-2025</t>
        </is>
      </c>
      <c r="B489" s="1" t="n">
        <v>45792</v>
      </c>
      <c r="C489" s="1" t="n">
        <v>46087</v>
      </c>
      <c r="D489" t="inlineStr">
        <is>
          <t>VÄSTERBOTTENS LÄN</t>
        </is>
      </c>
      <c r="E489" t="inlineStr">
        <is>
          <t>UMEÅ</t>
        </is>
      </c>
      <c r="G489" t="n">
        <v>1.9</v>
      </c>
      <c r="H489" t="n">
        <v>0</v>
      </c>
      <c r="I489" t="n">
        <v>0</v>
      </c>
      <c r="J489" t="n">
        <v>0</v>
      </c>
      <c r="K489" t="n">
        <v>0</v>
      </c>
      <c r="L489" t="n">
        <v>0</v>
      </c>
      <c r="M489" t="n">
        <v>0</v>
      </c>
      <c r="N489" t="n">
        <v>0</v>
      </c>
      <c r="O489" t="n">
        <v>0</v>
      </c>
      <c r="P489" t="n">
        <v>0</v>
      </c>
      <c r="Q489" t="n">
        <v>0</v>
      </c>
      <c r="R489" s="2" t="inlineStr"/>
    </row>
    <row r="490" ht="15" customHeight="1">
      <c r="A490" t="inlineStr">
        <is>
          <t>A 23474-2025</t>
        </is>
      </c>
      <c r="B490" s="1" t="n">
        <v>45792.4493287037</v>
      </c>
      <c r="C490" s="1" t="n">
        <v>46087</v>
      </c>
      <c r="D490" t="inlineStr">
        <is>
          <t>VÄSTERBOTTENS LÄN</t>
        </is>
      </c>
      <c r="E490" t="inlineStr">
        <is>
          <t>UMEÅ</t>
        </is>
      </c>
      <c r="G490" t="n">
        <v>4.8</v>
      </c>
      <c r="H490" t="n">
        <v>0</v>
      </c>
      <c r="I490" t="n">
        <v>0</v>
      </c>
      <c r="J490" t="n">
        <v>0</v>
      </c>
      <c r="K490" t="n">
        <v>0</v>
      </c>
      <c r="L490" t="n">
        <v>0</v>
      </c>
      <c r="M490" t="n">
        <v>0</v>
      </c>
      <c r="N490" t="n">
        <v>0</v>
      </c>
      <c r="O490" t="n">
        <v>0</v>
      </c>
      <c r="P490" t="n">
        <v>0</v>
      </c>
      <c r="Q490" t="n">
        <v>0</v>
      </c>
      <c r="R490" s="2" t="inlineStr"/>
    </row>
    <row r="491" ht="15" customHeight="1">
      <c r="A491" t="inlineStr">
        <is>
          <t>A 55658-2025</t>
        </is>
      </c>
      <c r="B491" s="1" t="n">
        <v>45972.3912037037</v>
      </c>
      <c r="C491" s="1" t="n">
        <v>46087</v>
      </c>
      <c r="D491" t="inlineStr">
        <is>
          <t>VÄSTERBOTTENS LÄN</t>
        </is>
      </c>
      <c r="E491" t="inlineStr">
        <is>
          <t>UMEÅ</t>
        </is>
      </c>
      <c r="G491" t="n">
        <v>2</v>
      </c>
      <c r="H491" t="n">
        <v>0</v>
      </c>
      <c r="I491" t="n">
        <v>0</v>
      </c>
      <c r="J491" t="n">
        <v>0</v>
      </c>
      <c r="K491" t="n">
        <v>0</v>
      </c>
      <c r="L491" t="n">
        <v>0</v>
      </c>
      <c r="M491" t="n">
        <v>0</v>
      </c>
      <c r="N491" t="n">
        <v>0</v>
      </c>
      <c r="O491" t="n">
        <v>0</v>
      </c>
      <c r="P491" t="n">
        <v>0</v>
      </c>
      <c r="Q491" t="n">
        <v>0</v>
      </c>
      <c r="R491" s="2" t="inlineStr"/>
    </row>
    <row r="492" ht="15" customHeight="1">
      <c r="A492" t="inlineStr">
        <is>
          <t>A 43687-2025</t>
        </is>
      </c>
      <c r="B492" s="1" t="n">
        <v>45912</v>
      </c>
      <c r="C492" s="1" t="n">
        <v>46087</v>
      </c>
      <c r="D492" t="inlineStr">
        <is>
          <t>VÄSTERBOTTENS LÄN</t>
        </is>
      </c>
      <c r="E492" t="inlineStr">
        <is>
          <t>UMEÅ</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43697-2025</t>
        </is>
      </c>
      <c r="B493" s="1" t="n">
        <v>45912.39591435185</v>
      </c>
      <c r="C493" s="1" t="n">
        <v>46087</v>
      </c>
      <c r="D493" t="inlineStr">
        <is>
          <t>VÄSTERBOTTENS LÄN</t>
        </is>
      </c>
      <c r="E493" t="inlineStr">
        <is>
          <t>UMEÅ</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43708-2025</t>
        </is>
      </c>
      <c r="B494" s="1" t="n">
        <v>45912.40680555555</v>
      </c>
      <c r="C494" s="1" t="n">
        <v>46087</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43840-2025</t>
        </is>
      </c>
      <c r="B495" s="1" t="n">
        <v>45912.63535879629</v>
      </c>
      <c r="C495" s="1" t="n">
        <v>46087</v>
      </c>
      <c r="D495" t="inlineStr">
        <is>
          <t>VÄSTERBOTTENS LÄN</t>
        </is>
      </c>
      <c r="E495" t="inlineStr">
        <is>
          <t>UMEÅ</t>
        </is>
      </c>
      <c r="F495" t="inlineStr">
        <is>
          <t>Holmen skog AB</t>
        </is>
      </c>
      <c r="G495" t="n">
        <v>1.7</v>
      </c>
      <c r="H495" t="n">
        <v>0</v>
      </c>
      <c r="I495" t="n">
        <v>0</v>
      </c>
      <c r="J495" t="n">
        <v>0</v>
      </c>
      <c r="K495" t="n">
        <v>0</v>
      </c>
      <c r="L495" t="n">
        <v>0</v>
      </c>
      <c r="M495" t="n">
        <v>0</v>
      </c>
      <c r="N495" t="n">
        <v>0</v>
      </c>
      <c r="O495" t="n">
        <v>0</v>
      </c>
      <c r="P495" t="n">
        <v>0</v>
      </c>
      <c r="Q495" t="n">
        <v>0</v>
      </c>
      <c r="R495" s="2" t="inlineStr"/>
    </row>
    <row r="496" ht="15" customHeight="1">
      <c r="A496" t="inlineStr">
        <is>
          <t>A 55752-2025</t>
        </is>
      </c>
      <c r="B496" s="1" t="n">
        <v>45972.58538194445</v>
      </c>
      <c r="C496" s="1" t="n">
        <v>46087</v>
      </c>
      <c r="D496" t="inlineStr">
        <is>
          <t>VÄSTERBOTTENS LÄN</t>
        </is>
      </c>
      <c r="E496" t="inlineStr">
        <is>
          <t>UMEÅ</t>
        </is>
      </c>
      <c r="G496" t="n">
        <v>1.9</v>
      </c>
      <c r="H496" t="n">
        <v>0</v>
      </c>
      <c r="I496" t="n">
        <v>0</v>
      </c>
      <c r="J496" t="n">
        <v>0</v>
      </c>
      <c r="K496" t="n">
        <v>0</v>
      </c>
      <c r="L496" t="n">
        <v>0</v>
      </c>
      <c r="M496" t="n">
        <v>0</v>
      </c>
      <c r="N496" t="n">
        <v>0</v>
      </c>
      <c r="O496" t="n">
        <v>0</v>
      </c>
      <c r="P496" t="n">
        <v>0</v>
      </c>
      <c r="Q496" t="n">
        <v>0</v>
      </c>
      <c r="R496" s="2" t="inlineStr"/>
    </row>
    <row r="497" ht="15" customHeight="1">
      <c r="A497" t="inlineStr">
        <is>
          <t>A 43889-2025</t>
        </is>
      </c>
      <c r="B497" s="1" t="n">
        <v>45912.6982175926</v>
      </c>
      <c r="C497" s="1" t="n">
        <v>46087</v>
      </c>
      <c r="D497" t="inlineStr">
        <is>
          <t>VÄSTERBOTTENS LÄN</t>
        </is>
      </c>
      <c r="E497" t="inlineStr">
        <is>
          <t>UMEÅ</t>
        </is>
      </c>
      <c r="G497" t="n">
        <v>0.8</v>
      </c>
      <c r="H497" t="n">
        <v>0</v>
      </c>
      <c r="I497" t="n">
        <v>0</v>
      </c>
      <c r="J497" t="n">
        <v>0</v>
      </c>
      <c r="K497" t="n">
        <v>0</v>
      </c>
      <c r="L497" t="n">
        <v>0</v>
      </c>
      <c r="M497" t="n">
        <v>0</v>
      </c>
      <c r="N497" t="n">
        <v>0</v>
      </c>
      <c r="O497" t="n">
        <v>0</v>
      </c>
      <c r="P497" t="n">
        <v>0</v>
      </c>
      <c r="Q497" t="n">
        <v>0</v>
      </c>
      <c r="R497" s="2" t="inlineStr"/>
    </row>
    <row r="498" ht="15" customHeight="1">
      <c r="A498" t="inlineStr">
        <is>
          <t>A 43789-2025</t>
        </is>
      </c>
      <c r="B498" s="1" t="n">
        <v>45912.53976851852</v>
      </c>
      <c r="C498" s="1" t="n">
        <v>46087</v>
      </c>
      <c r="D498" t="inlineStr">
        <is>
          <t>VÄSTERBOTTENS LÄN</t>
        </is>
      </c>
      <c r="E498" t="inlineStr">
        <is>
          <t>UMEÅ</t>
        </is>
      </c>
      <c r="F498" t="inlineStr">
        <is>
          <t>Holmen skog AB</t>
        </is>
      </c>
      <c r="G498" t="n">
        <v>21.1</v>
      </c>
      <c r="H498" t="n">
        <v>0</v>
      </c>
      <c r="I498" t="n">
        <v>0</v>
      </c>
      <c r="J498" t="n">
        <v>0</v>
      </c>
      <c r="K498" t="n">
        <v>0</v>
      </c>
      <c r="L498" t="n">
        <v>0</v>
      </c>
      <c r="M498" t="n">
        <v>0</v>
      </c>
      <c r="N498" t="n">
        <v>0</v>
      </c>
      <c r="O498" t="n">
        <v>0</v>
      </c>
      <c r="P498" t="n">
        <v>0</v>
      </c>
      <c r="Q498" t="n">
        <v>0</v>
      </c>
      <c r="R498" s="2" t="inlineStr"/>
    </row>
    <row r="499" ht="15" customHeight="1">
      <c r="A499" t="inlineStr">
        <is>
          <t>A 37007-2024</t>
        </is>
      </c>
      <c r="B499" s="1" t="n">
        <v>45539</v>
      </c>
      <c r="C499" s="1" t="n">
        <v>46087</v>
      </c>
      <c r="D499" t="inlineStr">
        <is>
          <t>VÄSTERBOTTENS LÄN</t>
        </is>
      </c>
      <c r="E499" t="inlineStr">
        <is>
          <t>UMEÅ</t>
        </is>
      </c>
      <c r="G499" t="n">
        <v>6.2</v>
      </c>
      <c r="H499" t="n">
        <v>0</v>
      </c>
      <c r="I499" t="n">
        <v>0</v>
      </c>
      <c r="J499" t="n">
        <v>0</v>
      </c>
      <c r="K499" t="n">
        <v>0</v>
      </c>
      <c r="L499" t="n">
        <v>0</v>
      </c>
      <c r="M499" t="n">
        <v>0</v>
      </c>
      <c r="N499" t="n">
        <v>0</v>
      </c>
      <c r="O499" t="n">
        <v>0</v>
      </c>
      <c r="P499" t="n">
        <v>0</v>
      </c>
      <c r="Q499" t="n">
        <v>0</v>
      </c>
      <c r="R499" s="2" t="inlineStr"/>
    </row>
    <row r="500" ht="15" customHeight="1">
      <c r="A500" t="inlineStr">
        <is>
          <t>A 55844-2025</t>
        </is>
      </c>
      <c r="B500" s="1" t="n">
        <v>45973.29459490741</v>
      </c>
      <c r="C500" s="1" t="n">
        <v>46087</v>
      </c>
      <c r="D500" t="inlineStr">
        <is>
          <t>VÄSTERBOTTENS LÄN</t>
        </is>
      </c>
      <c r="E500" t="inlineStr">
        <is>
          <t>UMEÅ</t>
        </is>
      </c>
      <c r="G500" t="n">
        <v>3.8</v>
      </c>
      <c r="H500" t="n">
        <v>0</v>
      </c>
      <c r="I500" t="n">
        <v>0</v>
      </c>
      <c r="J500" t="n">
        <v>0</v>
      </c>
      <c r="K500" t="n">
        <v>0</v>
      </c>
      <c r="L500" t="n">
        <v>0</v>
      </c>
      <c r="M500" t="n">
        <v>0</v>
      </c>
      <c r="N500" t="n">
        <v>0</v>
      </c>
      <c r="O500" t="n">
        <v>0</v>
      </c>
      <c r="P500" t="n">
        <v>0</v>
      </c>
      <c r="Q500" t="n">
        <v>0</v>
      </c>
      <c r="R500" s="2" t="inlineStr"/>
    </row>
    <row r="501" ht="15" customHeight="1">
      <c r="A501" t="inlineStr">
        <is>
          <t>A 2048-2023</t>
        </is>
      </c>
      <c r="B501" s="1" t="n">
        <v>44939</v>
      </c>
      <c r="C501" s="1" t="n">
        <v>46087</v>
      </c>
      <c r="D501" t="inlineStr">
        <is>
          <t>VÄSTERBOTTENS LÄN</t>
        </is>
      </c>
      <c r="E501" t="inlineStr">
        <is>
          <t>UMEÅ</t>
        </is>
      </c>
      <c r="G501" t="n">
        <v>0.9</v>
      </c>
      <c r="H501" t="n">
        <v>0</v>
      </c>
      <c r="I501" t="n">
        <v>0</v>
      </c>
      <c r="J501" t="n">
        <v>0</v>
      </c>
      <c r="K501" t="n">
        <v>0</v>
      </c>
      <c r="L501" t="n">
        <v>0</v>
      </c>
      <c r="M501" t="n">
        <v>0</v>
      </c>
      <c r="N501" t="n">
        <v>0</v>
      </c>
      <c r="O501" t="n">
        <v>0</v>
      </c>
      <c r="P501" t="n">
        <v>0</v>
      </c>
      <c r="Q501" t="n">
        <v>0</v>
      </c>
      <c r="R501" s="2" t="inlineStr"/>
    </row>
    <row r="502" ht="15" customHeight="1">
      <c r="A502" t="inlineStr">
        <is>
          <t>A 30021-2024</t>
        </is>
      </c>
      <c r="B502" s="1" t="n">
        <v>45488</v>
      </c>
      <c r="C502" s="1" t="n">
        <v>46087</v>
      </c>
      <c r="D502" t="inlineStr">
        <is>
          <t>VÄSTERBOTTENS LÄN</t>
        </is>
      </c>
      <c r="E502" t="inlineStr">
        <is>
          <t>UMEÅ</t>
        </is>
      </c>
      <c r="F502" t="inlineStr">
        <is>
          <t>Holmen skog AB</t>
        </is>
      </c>
      <c r="G502" t="n">
        <v>1.9</v>
      </c>
      <c r="H502" t="n">
        <v>0</v>
      </c>
      <c r="I502" t="n">
        <v>0</v>
      </c>
      <c r="J502" t="n">
        <v>0</v>
      </c>
      <c r="K502" t="n">
        <v>0</v>
      </c>
      <c r="L502" t="n">
        <v>0</v>
      </c>
      <c r="M502" t="n">
        <v>0</v>
      </c>
      <c r="N502" t="n">
        <v>0</v>
      </c>
      <c r="O502" t="n">
        <v>0</v>
      </c>
      <c r="P502" t="n">
        <v>0</v>
      </c>
      <c r="Q502" t="n">
        <v>0</v>
      </c>
      <c r="R502" s="2" t="inlineStr"/>
    </row>
    <row r="503" ht="15" customHeight="1">
      <c r="A503" t="inlineStr">
        <is>
          <t>A 44494-2025</t>
        </is>
      </c>
      <c r="B503" s="1" t="n">
        <v>45916.66503472222</v>
      </c>
      <c r="C503" s="1" t="n">
        <v>46087</v>
      </c>
      <c r="D503" t="inlineStr">
        <is>
          <t>VÄSTERBOTTENS LÄN</t>
        </is>
      </c>
      <c r="E503" t="inlineStr">
        <is>
          <t>UMEÅ</t>
        </is>
      </c>
      <c r="F503" t="inlineStr">
        <is>
          <t>Kommuner</t>
        </is>
      </c>
      <c r="G503" t="n">
        <v>1</v>
      </c>
      <c r="H503" t="n">
        <v>0</v>
      </c>
      <c r="I503" t="n">
        <v>0</v>
      </c>
      <c r="J503" t="n">
        <v>0</v>
      </c>
      <c r="K503" t="n">
        <v>0</v>
      </c>
      <c r="L503" t="n">
        <v>0</v>
      </c>
      <c r="M503" t="n">
        <v>0</v>
      </c>
      <c r="N503" t="n">
        <v>0</v>
      </c>
      <c r="O503" t="n">
        <v>0</v>
      </c>
      <c r="P503" t="n">
        <v>0</v>
      </c>
      <c r="Q503" t="n">
        <v>0</v>
      </c>
      <c r="R503" s="2" t="inlineStr"/>
    </row>
    <row r="504" ht="15" customHeight="1">
      <c r="A504" t="inlineStr">
        <is>
          <t>A 30020-2024</t>
        </is>
      </c>
      <c r="B504" s="1" t="n">
        <v>45488</v>
      </c>
      <c r="C504" s="1" t="n">
        <v>46087</v>
      </c>
      <c r="D504" t="inlineStr">
        <is>
          <t>VÄSTERBOTTENS LÄN</t>
        </is>
      </c>
      <c r="E504" t="inlineStr">
        <is>
          <t>UMEÅ</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44420-2025</t>
        </is>
      </c>
      <c r="B505" s="1" t="n">
        <v>45916.54780092592</v>
      </c>
      <c r="C505" s="1" t="n">
        <v>46087</v>
      </c>
      <c r="D505" t="inlineStr">
        <is>
          <t>VÄSTERBOTTENS LÄN</t>
        </is>
      </c>
      <c r="E505" t="inlineStr">
        <is>
          <t>UMEÅ</t>
        </is>
      </c>
      <c r="G505" t="n">
        <v>2.8</v>
      </c>
      <c r="H505" t="n">
        <v>0</v>
      </c>
      <c r="I505" t="n">
        <v>0</v>
      </c>
      <c r="J505" t="n">
        <v>0</v>
      </c>
      <c r="K505" t="n">
        <v>0</v>
      </c>
      <c r="L505" t="n">
        <v>0</v>
      </c>
      <c r="M505" t="n">
        <v>0</v>
      </c>
      <c r="N505" t="n">
        <v>0</v>
      </c>
      <c r="O505" t="n">
        <v>0</v>
      </c>
      <c r="P505" t="n">
        <v>0</v>
      </c>
      <c r="Q505" t="n">
        <v>0</v>
      </c>
      <c r="R505" s="2" t="inlineStr"/>
    </row>
    <row r="506" ht="15" customHeight="1">
      <c r="A506" t="inlineStr">
        <is>
          <t>A 44064-2025</t>
        </is>
      </c>
      <c r="B506" s="1" t="n">
        <v>45915.54059027778</v>
      </c>
      <c r="C506" s="1" t="n">
        <v>46087</v>
      </c>
      <c r="D506" t="inlineStr">
        <is>
          <t>VÄSTERBOTTENS LÄN</t>
        </is>
      </c>
      <c r="E506" t="inlineStr">
        <is>
          <t>UMEÅ</t>
        </is>
      </c>
      <c r="F506" t="inlineStr">
        <is>
          <t>Holmen skog AB</t>
        </is>
      </c>
      <c r="G506" t="n">
        <v>6.6</v>
      </c>
      <c r="H506" t="n">
        <v>0</v>
      </c>
      <c r="I506" t="n">
        <v>0</v>
      </c>
      <c r="J506" t="n">
        <v>0</v>
      </c>
      <c r="K506" t="n">
        <v>0</v>
      </c>
      <c r="L506" t="n">
        <v>0</v>
      </c>
      <c r="M506" t="n">
        <v>0</v>
      </c>
      <c r="N506" t="n">
        <v>0</v>
      </c>
      <c r="O506" t="n">
        <v>0</v>
      </c>
      <c r="P506" t="n">
        <v>0</v>
      </c>
      <c r="Q506" t="n">
        <v>0</v>
      </c>
      <c r="R506" s="2" t="inlineStr"/>
    </row>
    <row r="507" ht="15" customHeight="1">
      <c r="A507" t="inlineStr">
        <is>
          <t>A 32813-2024</t>
        </is>
      </c>
      <c r="B507" s="1" t="n">
        <v>45516.57533564815</v>
      </c>
      <c r="C507" s="1" t="n">
        <v>46087</v>
      </c>
      <c r="D507" t="inlineStr">
        <is>
          <t>VÄSTERBOTTENS LÄN</t>
        </is>
      </c>
      <c r="E507" t="inlineStr">
        <is>
          <t>UMEÅ</t>
        </is>
      </c>
      <c r="G507" t="n">
        <v>1.4</v>
      </c>
      <c r="H507" t="n">
        <v>0</v>
      </c>
      <c r="I507" t="n">
        <v>0</v>
      </c>
      <c r="J507" t="n">
        <v>0</v>
      </c>
      <c r="K507" t="n">
        <v>0</v>
      </c>
      <c r="L507" t="n">
        <v>0</v>
      </c>
      <c r="M507" t="n">
        <v>0</v>
      </c>
      <c r="N507" t="n">
        <v>0</v>
      </c>
      <c r="O507" t="n">
        <v>0</v>
      </c>
      <c r="P507" t="n">
        <v>0</v>
      </c>
      <c r="Q507" t="n">
        <v>0</v>
      </c>
      <c r="R507" s="2" t="inlineStr"/>
    </row>
    <row r="508" ht="15" customHeight="1">
      <c r="A508" t="inlineStr">
        <is>
          <t>A 58605-2022</t>
        </is>
      </c>
      <c r="B508" s="1" t="n">
        <v>44902.57146990741</v>
      </c>
      <c r="C508" s="1" t="n">
        <v>46087</v>
      </c>
      <c r="D508" t="inlineStr">
        <is>
          <t>VÄSTERBOTTENS LÄN</t>
        </is>
      </c>
      <c r="E508" t="inlineStr">
        <is>
          <t>UMEÅ</t>
        </is>
      </c>
      <c r="F508" t="inlineStr">
        <is>
          <t>Holmen skog AB</t>
        </is>
      </c>
      <c r="G508" t="n">
        <v>3.2</v>
      </c>
      <c r="H508" t="n">
        <v>0</v>
      </c>
      <c r="I508" t="n">
        <v>0</v>
      </c>
      <c r="J508" t="n">
        <v>0</v>
      </c>
      <c r="K508" t="n">
        <v>0</v>
      </c>
      <c r="L508" t="n">
        <v>0</v>
      </c>
      <c r="M508" t="n">
        <v>0</v>
      </c>
      <c r="N508" t="n">
        <v>0</v>
      </c>
      <c r="O508" t="n">
        <v>0</v>
      </c>
      <c r="P508" t="n">
        <v>0</v>
      </c>
      <c r="Q508" t="n">
        <v>0</v>
      </c>
      <c r="R508" s="2" t="inlineStr"/>
    </row>
    <row r="509" ht="15" customHeight="1">
      <c r="A509" t="inlineStr">
        <is>
          <t>A 15979-2024</t>
        </is>
      </c>
      <c r="B509" s="1" t="n">
        <v>45405</v>
      </c>
      <c r="C509" s="1" t="n">
        <v>46087</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56617-2025</t>
        </is>
      </c>
      <c r="B510" s="1" t="n">
        <v>45975.59364583333</v>
      </c>
      <c r="C510" s="1" t="n">
        <v>46087</v>
      </c>
      <c r="D510" t="inlineStr">
        <is>
          <t>VÄSTERBOTTENS LÄN</t>
        </is>
      </c>
      <c r="E510" t="inlineStr">
        <is>
          <t>UMEÅ</t>
        </is>
      </c>
      <c r="G510" t="n">
        <v>1.7</v>
      </c>
      <c r="H510" t="n">
        <v>0</v>
      </c>
      <c r="I510" t="n">
        <v>0</v>
      </c>
      <c r="J510" t="n">
        <v>0</v>
      </c>
      <c r="K510" t="n">
        <v>0</v>
      </c>
      <c r="L510" t="n">
        <v>0</v>
      </c>
      <c r="M510" t="n">
        <v>0</v>
      </c>
      <c r="N510" t="n">
        <v>0</v>
      </c>
      <c r="O510" t="n">
        <v>0</v>
      </c>
      <c r="P510" t="n">
        <v>0</v>
      </c>
      <c r="Q510" t="n">
        <v>0</v>
      </c>
      <c r="R510" s="2" t="inlineStr"/>
    </row>
    <row r="511" ht="15" customHeight="1">
      <c r="A511" t="inlineStr">
        <is>
          <t>A 56555-2025</t>
        </is>
      </c>
      <c r="B511" s="1" t="n">
        <v>45975.48876157407</v>
      </c>
      <c r="C511" s="1" t="n">
        <v>46087</v>
      </c>
      <c r="D511" t="inlineStr">
        <is>
          <t>VÄSTERBOTTENS LÄN</t>
        </is>
      </c>
      <c r="E511" t="inlineStr">
        <is>
          <t>UMEÅ</t>
        </is>
      </c>
      <c r="F511" t="inlineStr">
        <is>
          <t>Holmen skog AB</t>
        </is>
      </c>
      <c r="G511" t="n">
        <v>3.5</v>
      </c>
      <c r="H511" t="n">
        <v>0</v>
      </c>
      <c r="I511" t="n">
        <v>0</v>
      </c>
      <c r="J511" t="n">
        <v>0</v>
      </c>
      <c r="K511" t="n">
        <v>0</v>
      </c>
      <c r="L511" t="n">
        <v>0</v>
      </c>
      <c r="M511" t="n">
        <v>0</v>
      </c>
      <c r="N511" t="n">
        <v>0</v>
      </c>
      <c r="O511" t="n">
        <v>0</v>
      </c>
      <c r="P511" t="n">
        <v>0</v>
      </c>
      <c r="Q511" t="n">
        <v>0</v>
      </c>
      <c r="R511" s="2" t="inlineStr"/>
    </row>
    <row r="512" ht="15" customHeight="1">
      <c r="A512" t="inlineStr">
        <is>
          <t>A 44168-2025</t>
        </is>
      </c>
      <c r="B512" s="1" t="n">
        <v>45915.59853009259</v>
      </c>
      <c r="C512" s="1" t="n">
        <v>46087</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44081-2025</t>
        </is>
      </c>
      <c r="B513" s="1" t="n">
        <v>45915.55290509259</v>
      </c>
      <c r="C513" s="1" t="n">
        <v>46087</v>
      </c>
      <c r="D513" t="inlineStr">
        <is>
          <t>VÄSTERBOTTENS LÄN</t>
        </is>
      </c>
      <c r="E513" t="inlineStr">
        <is>
          <t>UMEÅ</t>
        </is>
      </c>
      <c r="G513" t="n">
        <v>1.2</v>
      </c>
      <c r="H513" t="n">
        <v>0</v>
      </c>
      <c r="I513" t="n">
        <v>0</v>
      </c>
      <c r="J513" t="n">
        <v>0</v>
      </c>
      <c r="K513" t="n">
        <v>0</v>
      </c>
      <c r="L513" t="n">
        <v>0</v>
      </c>
      <c r="M513" t="n">
        <v>0</v>
      </c>
      <c r="N513" t="n">
        <v>0</v>
      </c>
      <c r="O513" t="n">
        <v>0</v>
      </c>
      <c r="P513" t="n">
        <v>0</v>
      </c>
      <c r="Q513" t="n">
        <v>0</v>
      </c>
      <c r="R513" s="2" t="inlineStr"/>
    </row>
    <row r="514" ht="15" customHeight="1">
      <c r="A514" t="inlineStr">
        <is>
          <t>A 38434-2021</t>
        </is>
      </c>
      <c r="B514" s="1" t="n">
        <v>44406</v>
      </c>
      <c r="C514" s="1" t="n">
        <v>46087</v>
      </c>
      <c r="D514" t="inlineStr">
        <is>
          <t>VÄSTERBOTTENS LÄN</t>
        </is>
      </c>
      <c r="E514" t="inlineStr">
        <is>
          <t>UMEÅ</t>
        </is>
      </c>
      <c r="F514" t="inlineStr">
        <is>
          <t>Kommuner</t>
        </is>
      </c>
      <c r="G514" t="n">
        <v>1.1</v>
      </c>
      <c r="H514" t="n">
        <v>0</v>
      </c>
      <c r="I514" t="n">
        <v>0</v>
      </c>
      <c r="J514" t="n">
        <v>0</v>
      </c>
      <c r="K514" t="n">
        <v>0</v>
      </c>
      <c r="L514" t="n">
        <v>0</v>
      </c>
      <c r="M514" t="n">
        <v>0</v>
      </c>
      <c r="N514" t="n">
        <v>0</v>
      </c>
      <c r="O514" t="n">
        <v>0</v>
      </c>
      <c r="P514" t="n">
        <v>0</v>
      </c>
      <c r="Q514" t="n">
        <v>0</v>
      </c>
      <c r="R514" s="2" t="inlineStr"/>
    </row>
    <row r="515" ht="15" customHeight="1">
      <c r="A515" t="inlineStr">
        <is>
          <t>A 40348-2021</t>
        </is>
      </c>
      <c r="B515" s="1" t="n">
        <v>44419.57832175926</v>
      </c>
      <c r="C515" s="1" t="n">
        <v>46087</v>
      </c>
      <c r="D515" t="inlineStr">
        <is>
          <t>VÄSTERBOTTENS LÄN</t>
        </is>
      </c>
      <c r="E515" t="inlineStr">
        <is>
          <t>UMEÅ</t>
        </is>
      </c>
      <c r="F515" t="inlineStr">
        <is>
          <t>Kommuner</t>
        </is>
      </c>
      <c r="G515" t="n">
        <v>2.3</v>
      </c>
      <c r="H515" t="n">
        <v>0</v>
      </c>
      <c r="I515" t="n">
        <v>0</v>
      </c>
      <c r="J515" t="n">
        <v>0</v>
      </c>
      <c r="K515" t="n">
        <v>0</v>
      </c>
      <c r="L515" t="n">
        <v>0</v>
      </c>
      <c r="M515" t="n">
        <v>0</v>
      </c>
      <c r="N515" t="n">
        <v>0</v>
      </c>
      <c r="O515" t="n">
        <v>0</v>
      </c>
      <c r="P515" t="n">
        <v>0</v>
      </c>
      <c r="Q515" t="n">
        <v>0</v>
      </c>
      <c r="R515" s="2" t="inlineStr"/>
    </row>
    <row r="516" ht="15" customHeight="1">
      <c r="A516" t="inlineStr">
        <is>
          <t>A 56542-2025</t>
        </is>
      </c>
      <c r="B516" s="1" t="n">
        <v>45975.47570601852</v>
      </c>
      <c r="C516" s="1" t="n">
        <v>46087</v>
      </c>
      <c r="D516" t="inlineStr">
        <is>
          <t>VÄSTERBOTTENS LÄN</t>
        </is>
      </c>
      <c r="E516" t="inlineStr">
        <is>
          <t>UMEÅ</t>
        </is>
      </c>
      <c r="G516" t="n">
        <v>4</v>
      </c>
      <c r="H516" t="n">
        <v>0</v>
      </c>
      <c r="I516" t="n">
        <v>0</v>
      </c>
      <c r="J516" t="n">
        <v>0</v>
      </c>
      <c r="K516" t="n">
        <v>0</v>
      </c>
      <c r="L516" t="n">
        <v>0</v>
      </c>
      <c r="M516" t="n">
        <v>0</v>
      </c>
      <c r="N516" t="n">
        <v>0</v>
      </c>
      <c r="O516" t="n">
        <v>0</v>
      </c>
      <c r="P516" t="n">
        <v>0</v>
      </c>
      <c r="Q516" t="n">
        <v>0</v>
      </c>
      <c r="R516" s="2" t="inlineStr"/>
    </row>
    <row r="517" ht="15" customHeight="1">
      <c r="A517" t="inlineStr">
        <is>
          <t>A 44730-2025</t>
        </is>
      </c>
      <c r="B517" s="1" t="n">
        <v>45917.65262731481</v>
      </c>
      <c r="C517" s="1" t="n">
        <v>46087</v>
      </c>
      <c r="D517" t="inlineStr">
        <is>
          <t>VÄSTERBOTTENS LÄN</t>
        </is>
      </c>
      <c r="E517" t="inlineStr">
        <is>
          <t>UMEÅ</t>
        </is>
      </c>
      <c r="F517" t="inlineStr">
        <is>
          <t>Sveaskog</t>
        </is>
      </c>
      <c r="G517" t="n">
        <v>1.3</v>
      </c>
      <c r="H517" t="n">
        <v>0</v>
      </c>
      <c r="I517" t="n">
        <v>0</v>
      </c>
      <c r="J517" t="n">
        <v>0</v>
      </c>
      <c r="K517" t="n">
        <v>0</v>
      </c>
      <c r="L517" t="n">
        <v>0</v>
      </c>
      <c r="M517" t="n">
        <v>0</v>
      </c>
      <c r="N517" t="n">
        <v>0</v>
      </c>
      <c r="O517" t="n">
        <v>0</v>
      </c>
      <c r="P517" t="n">
        <v>0</v>
      </c>
      <c r="Q517" t="n">
        <v>0</v>
      </c>
      <c r="R517" s="2" t="inlineStr"/>
    </row>
    <row r="518" ht="15" customHeight="1">
      <c r="A518" t="inlineStr">
        <is>
          <t>A 44838-2025</t>
        </is>
      </c>
      <c r="B518" s="1" t="n">
        <v>45918.42427083333</v>
      </c>
      <c r="C518" s="1" t="n">
        <v>46087</v>
      </c>
      <c r="D518" t="inlineStr">
        <is>
          <t>VÄSTERBOTTENS LÄN</t>
        </is>
      </c>
      <c r="E518" t="inlineStr">
        <is>
          <t>UMEÅ</t>
        </is>
      </c>
      <c r="G518" t="n">
        <v>0.6</v>
      </c>
      <c r="H518" t="n">
        <v>0</v>
      </c>
      <c r="I518" t="n">
        <v>0</v>
      </c>
      <c r="J518" t="n">
        <v>0</v>
      </c>
      <c r="K518" t="n">
        <v>0</v>
      </c>
      <c r="L518" t="n">
        <v>0</v>
      </c>
      <c r="M518" t="n">
        <v>0</v>
      </c>
      <c r="N518" t="n">
        <v>0</v>
      </c>
      <c r="O518" t="n">
        <v>0</v>
      </c>
      <c r="P518" t="n">
        <v>0</v>
      </c>
      <c r="Q518" t="n">
        <v>0</v>
      </c>
      <c r="R518" s="2" t="inlineStr"/>
    </row>
    <row r="519" ht="15" customHeight="1">
      <c r="A519" t="inlineStr">
        <is>
          <t>A 56816-2025</t>
        </is>
      </c>
      <c r="B519" s="1" t="n">
        <v>45978.46039351852</v>
      </c>
      <c r="C519" s="1" t="n">
        <v>46087</v>
      </c>
      <c r="D519" t="inlineStr">
        <is>
          <t>VÄSTERBOTTENS LÄN</t>
        </is>
      </c>
      <c r="E519" t="inlineStr">
        <is>
          <t>UMEÅ</t>
        </is>
      </c>
      <c r="G519" t="n">
        <v>6.4</v>
      </c>
      <c r="H519" t="n">
        <v>0</v>
      </c>
      <c r="I519" t="n">
        <v>0</v>
      </c>
      <c r="J519" t="n">
        <v>0</v>
      </c>
      <c r="K519" t="n">
        <v>0</v>
      </c>
      <c r="L519" t="n">
        <v>0</v>
      </c>
      <c r="M519" t="n">
        <v>0</v>
      </c>
      <c r="N519" t="n">
        <v>0</v>
      </c>
      <c r="O519" t="n">
        <v>0</v>
      </c>
      <c r="P519" t="n">
        <v>0</v>
      </c>
      <c r="Q519" t="n">
        <v>0</v>
      </c>
      <c r="R519" s="2" t="inlineStr"/>
    </row>
    <row r="520" ht="15" customHeight="1">
      <c r="A520" t="inlineStr">
        <is>
          <t>A 44725-2025</t>
        </is>
      </c>
      <c r="B520" s="1" t="n">
        <v>45917.64240740741</v>
      </c>
      <c r="C520" s="1" t="n">
        <v>46087</v>
      </c>
      <c r="D520" t="inlineStr">
        <is>
          <t>VÄSTERBOTTENS LÄN</t>
        </is>
      </c>
      <c r="E520" t="inlineStr">
        <is>
          <t>UMEÅ</t>
        </is>
      </c>
      <c r="G520" t="n">
        <v>4.6</v>
      </c>
      <c r="H520" t="n">
        <v>0</v>
      </c>
      <c r="I520" t="n">
        <v>0</v>
      </c>
      <c r="J520" t="n">
        <v>0</v>
      </c>
      <c r="K520" t="n">
        <v>0</v>
      </c>
      <c r="L520" t="n">
        <v>0</v>
      </c>
      <c r="M520" t="n">
        <v>0</v>
      </c>
      <c r="N520" t="n">
        <v>0</v>
      </c>
      <c r="O520" t="n">
        <v>0</v>
      </c>
      <c r="P520" t="n">
        <v>0</v>
      </c>
      <c r="Q520" t="n">
        <v>0</v>
      </c>
      <c r="R520" s="2" t="inlineStr"/>
    </row>
    <row r="521" ht="15" customHeight="1">
      <c r="A521" t="inlineStr">
        <is>
          <t>A 56515-2025</t>
        </is>
      </c>
      <c r="B521" s="1" t="n">
        <v>45975.45572916666</v>
      </c>
      <c r="C521" s="1" t="n">
        <v>46087</v>
      </c>
      <c r="D521" t="inlineStr">
        <is>
          <t>VÄSTERBOTTENS LÄN</t>
        </is>
      </c>
      <c r="E521" t="inlineStr">
        <is>
          <t>UMEÅ</t>
        </is>
      </c>
      <c r="F521" t="inlineStr">
        <is>
          <t>Holmen skog AB</t>
        </is>
      </c>
      <c r="G521" t="n">
        <v>3.8</v>
      </c>
      <c r="H521" t="n">
        <v>0</v>
      </c>
      <c r="I521" t="n">
        <v>0</v>
      </c>
      <c r="J521" t="n">
        <v>0</v>
      </c>
      <c r="K521" t="n">
        <v>0</v>
      </c>
      <c r="L521" t="n">
        <v>0</v>
      </c>
      <c r="M521" t="n">
        <v>0</v>
      </c>
      <c r="N521" t="n">
        <v>0</v>
      </c>
      <c r="O521" t="n">
        <v>0</v>
      </c>
      <c r="P521" t="n">
        <v>0</v>
      </c>
      <c r="Q521" t="n">
        <v>0</v>
      </c>
      <c r="R521" s="2" t="inlineStr"/>
    </row>
    <row r="522" ht="15" customHeight="1">
      <c r="A522" t="inlineStr">
        <is>
          <t>A 2659-2023</t>
        </is>
      </c>
      <c r="B522" s="1" t="n">
        <v>44944</v>
      </c>
      <c r="C522" s="1" t="n">
        <v>46087</v>
      </c>
      <c r="D522" t="inlineStr">
        <is>
          <t>VÄSTERBOTTENS LÄN</t>
        </is>
      </c>
      <c r="E522" t="inlineStr">
        <is>
          <t>UMEÅ</t>
        </is>
      </c>
      <c r="G522" t="n">
        <v>0.5</v>
      </c>
      <c r="H522" t="n">
        <v>0</v>
      </c>
      <c r="I522" t="n">
        <v>0</v>
      </c>
      <c r="J522" t="n">
        <v>0</v>
      </c>
      <c r="K522" t="n">
        <v>0</v>
      </c>
      <c r="L522" t="n">
        <v>0</v>
      </c>
      <c r="M522" t="n">
        <v>0</v>
      </c>
      <c r="N522" t="n">
        <v>0</v>
      </c>
      <c r="O522" t="n">
        <v>0</v>
      </c>
      <c r="P522" t="n">
        <v>0</v>
      </c>
      <c r="Q522" t="n">
        <v>0</v>
      </c>
      <c r="R522" s="2" t="inlineStr"/>
    </row>
    <row r="523" ht="15" customHeight="1">
      <c r="A523" t="inlineStr">
        <is>
          <t>A 44751-2025</t>
        </is>
      </c>
      <c r="B523" s="1" t="n">
        <v>45917.68104166666</v>
      </c>
      <c r="C523" s="1" t="n">
        <v>46087</v>
      </c>
      <c r="D523" t="inlineStr">
        <is>
          <t>VÄSTERBOTTENS LÄN</t>
        </is>
      </c>
      <c r="E523" t="inlineStr">
        <is>
          <t>UMEÅ</t>
        </is>
      </c>
      <c r="G523" t="n">
        <v>9.1</v>
      </c>
      <c r="H523" t="n">
        <v>0</v>
      </c>
      <c r="I523" t="n">
        <v>0</v>
      </c>
      <c r="J523" t="n">
        <v>0</v>
      </c>
      <c r="K523" t="n">
        <v>0</v>
      </c>
      <c r="L523" t="n">
        <v>0</v>
      </c>
      <c r="M523" t="n">
        <v>0</v>
      </c>
      <c r="N523" t="n">
        <v>0</v>
      </c>
      <c r="O523" t="n">
        <v>0</v>
      </c>
      <c r="P523" t="n">
        <v>0</v>
      </c>
      <c r="Q523" t="n">
        <v>0</v>
      </c>
      <c r="R523" s="2" t="inlineStr"/>
    </row>
    <row r="524" ht="15" customHeight="1">
      <c r="A524" t="inlineStr">
        <is>
          <t>A 56547-2025</t>
        </is>
      </c>
      <c r="B524" s="1" t="n">
        <v>45975.48043981481</v>
      </c>
      <c r="C524" s="1" t="n">
        <v>46087</v>
      </c>
      <c r="D524" t="inlineStr">
        <is>
          <t>VÄSTERBOTTENS LÄN</t>
        </is>
      </c>
      <c r="E524" t="inlineStr">
        <is>
          <t>UMEÅ</t>
        </is>
      </c>
      <c r="G524" t="n">
        <v>6.1</v>
      </c>
      <c r="H524" t="n">
        <v>0</v>
      </c>
      <c r="I524" t="n">
        <v>0</v>
      </c>
      <c r="J524" t="n">
        <v>0</v>
      </c>
      <c r="K524" t="n">
        <v>0</v>
      </c>
      <c r="L524" t="n">
        <v>0</v>
      </c>
      <c r="M524" t="n">
        <v>0</v>
      </c>
      <c r="N524" t="n">
        <v>0</v>
      </c>
      <c r="O524" t="n">
        <v>0</v>
      </c>
      <c r="P524" t="n">
        <v>0</v>
      </c>
      <c r="Q524" t="n">
        <v>0</v>
      </c>
      <c r="R524" s="2" t="inlineStr"/>
    </row>
    <row r="525" ht="15" customHeight="1">
      <c r="A525" t="inlineStr">
        <is>
          <t>A 56642-2025</t>
        </is>
      </c>
      <c r="B525" s="1" t="n">
        <v>45975.62614583333</v>
      </c>
      <c r="C525" s="1" t="n">
        <v>46087</v>
      </c>
      <c r="D525" t="inlineStr">
        <is>
          <t>VÄSTERBOTTENS LÄN</t>
        </is>
      </c>
      <c r="E525" t="inlineStr">
        <is>
          <t>UMEÅ</t>
        </is>
      </c>
      <c r="G525" t="n">
        <v>2.1</v>
      </c>
      <c r="H525" t="n">
        <v>0</v>
      </c>
      <c r="I525" t="n">
        <v>0</v>
      </c>
      <c r="J525" t="n">
        <v>0</v>
      </c>
      <c r="K525" t="n">
        <v>0</v>
      </c>
      <c r="L525" t="n">
        <v>0</v>
      </c>
      <c r="M525" t="n">
        <v>0</v>
      </c>
      <c r="N525" t="n">
        <v>0</v>
      </c>
      <c r="O525" t="n">
        <v>0</v>
      </c>
      <c r="P525" t="n">
        <v>0</v>
      </c>
      <c r="Q525" t="n">
        <v>0</v>
      </c>
      <c r="R525" s="2" t="inlineStr"/>
    </row>
    <row r="526" ht="15" customHeight="1">
      <c r="A526" t="inlineStr">
        <is>
          <t>A 34320-2024</t>
        </is>
      </c>
      <c r="B526" s="1" t="n">
        <v>45524</v>
      </c>
      <c r="C526" s="1" t="n">
        <v>46087</v>
      </c>
      <c r="D526" t="inlineStr">
        <is>
          <t>VÄSTERBOTTENS LÄN</t>
        </is>
      </c>
      <c r="E526" t="inlineStr">
        <is>
          <t>UMEÅ</t>
        </is>
      </c>
      <c r="G526" t="n">
        <v>0.5</v>
      </c>
      <c r="H526" t="n">
        <v>0</v>
      </c>
      <c r="I526" t="n">
        <v>0</v>
      </c>
      <c r="J526" t="n">
        <v>0</v>
      </c>
      <c r="K526" t="n">
        <v>0</v>
      </c>
      <c r="L526" t="n">
        <v>0</v>
      </c>
      <c r="M526" t="n">
        <v>0</v>
      </c>
      <c r="N526" t="n">
        <v>0</v>
      </c>
      <c r="O526" t="n">
        <v>0</v>
      </c>
      <c r="P526" t="n">
        <v>0</v>
      </c>
      <c r="Q526" t="n">
        <v>0</v>
      </c>
      <c r="R526" s="2" t="inlineStr"/>
    </row>
    <row r="527" ht="15" customHeight="1">
      <c r="A527" t="inlineStr">
        <is>
          <t>A 58278-2024</t>
        </is>
      </c>
      <c r="B527" s="1" t="n">
        <v>45632.57494212963</v>
      </c>
      <c r="C527" s="1" t="n">
        <v>46087</v>
      </c>
      <c r="D527" t="inlineStr">
        <is>
          <t>VÄSTERBOTTENS LÄN</t>
        </is>
      </c>
      <c r="E527" t="inlineStr">
        <is>
          <t>UMEÅ</t>
        </is>
      </c>
      <c r="G527" t="n">
        <v>1.1</v>
      </c>
      <c r="H527" t="n">
        <v>0</v>
      </c>
      <c r="I527" t="n">
        <v>0</v>
      </c>
      <c r="J527" t="n">
        <v>0</v>
      </c>
      <c r="K527" t="n">
        <v>0</v>
      </c>
      <c r="L527" t="n">
        <v>0</v>
      </c>
      <c r="M527" t="n">
        <v>0</v>
      </c>
      <c r="N527" t="n">
        <v>0</v>
      </c>
      <c r="O527" t="n">
        <v>0</v>
      </c>
      <c r="P527" t="n">
        <v>0</v>
      </c>
      <c r="Q527" t="n">
        <v>0</v>
      </c>
      <c r="R527" s="2" t="inlineStr"/>
    </row>
    <row r="528" ht="15" customHeight="1">
      <c r="A528" t="inlineStr">
        <is>
          <t>A 11511-2022</t>
        </is>
      </c>
      <c r="B528" s="1" t="n">
        <v>44631.33300925926</v>
      </c>
      <c r="C528" s="1" t="n">
        <v>46087</v>
      </c>
      <c r="D528" t="inlineStr">
        <is>
          <t>VÄSTERBOTTENS LÄN</t>
        </is>
      </c>
      <c r="E528" t="inlineStr">
        <is>
          <t>UMEÅ</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39615-2024</t>
        </is>
      </c>
      <c r="B529" s="1" t="n">
        <v>45552</v>
      </c>
      <c r="C529" s="1" t="n">
        <v>46087</v>
      </c>
      <c r="D529" t="inlineStr">
        <is>
          <t>VÄSTERBOTTENS LÄN</t>
        </is>
      </c>
      <c r="E529" t="inlineStr">
        <is>
          <t>UMEÅ</t>
        </is>
      </c>
      <c r="F529" t="inlineStr">
        <is>
          <t>Holmen skog AB</t>
        </is>
      </c>
      <c r="G529" t="n">
        <v>9.4</v>
      </c>
      <c r="H529" t="n">
        <v>0</v>
      </c>
      <c r="I529" t="n">
        <v>0</v>
      </c>
      <c r="J529" t="n">
        <v>0</v>
      </c>
      <c r="K529" t="n">
        <v>0</v>
      </c>
      <c r="L529" t="n">
        <v>0</v>
      </c>
      <c r="M529" t="n">
        <v>0</v>
      </c>
      <c r="N529" t="n">
        <v>0</v>
      </c>
      <c r="O529" t="n">
        <v>0</v>
      </c>
      <c r="P529" t="n">
        <v>0</v>
      </c>
      <c r="Q529" t="n">
        <v>0</v>
      </c>
      <c r="R529" s="2" t="inlineStr"/>
    </row>
    <row r="530" ht="15" customHeight="1">
      <c r="A530" t="inlineStr">
        <is>
          <t>A 16021-2025</t>
        </is>
      </c>
      <c r="B530" s="1" t="n">
        <v>45749</v>
      </c>
      <c r="C530" s="1" t="n">
        <v>46087</v>
      </c>
      <c r="D530" t="inlineStr">
        <is>
          <t>VÄSTERBOTTENS LÄN</t>
        </is>
      </c>
      <c r="E530" t="inlineStr">
        <is>
          <t>UMEÅ</t>
        </is>
      </c>
      <c r="G530" t="n">
        <v>4.5</v>
      </c>
      <c r="H530" t="n">
        <v>0</v>
      </c>
      <c r="I530" t="n">
        <v>0</v>
      </c>
      <c r="J530" t="n">
        <v>0</v>
      </c>
      <c r="K530" t="n">
        <v>0</v>
      </c>
      <c r="L530" t="n">
        <v>0</v>
      </c>
      <c r="M530" t="n">
        <v>0</v>
      </c>
      <c r="N530" t="n">
        <v>0</v>
      </c>
      <c r="O530" t="n">
        <v>0</v>
      </c>
      <c r="P530" t="n">
        <v>0</v>
      </c>
      <c r="Q530" t="n">
        <v>0</v>
      </c>
      <c r="R530" s="2" t="inlineStr"/>
    </row>
    <row r="531" ht="15" customHeight="1">
      <c r="A531" t="inlineStr">
        <is>
          <t>A 57105-2025</t>
        </is>
      </c>
      <c r="B531" s="1" t="n">
        <v>45979.44579861111</v>
      </c>
      <c r="C531" s="1" t="n">
        <v>46087</v>
      </c>
      <c r="D531" t="inlineStr">
        <is>
          <t>VÄSTERBOTTENS LÄN</t>
        </is>
      </c>
      <c r="E531" t="inlineStr">
        <is>
          <t>UMEÅ</t>
        </is>
      </c>
      <c r="G531" t="n">
        <v>1.3</v>
      </c>
      <c r="H531" t="n">
        <v>0</v>
      </c>
      <c r="I531" t="n">
        <v>0</v>
      </c>
      <c r="J531" t="n">
        <v>0</v>
      </c>
      <c r="K531" t="n">
        <v>0</v>
      </c>
      <c r="L531" t="n">
        <v>0</v>
      </c>
      <c r="M531" t="n">
        <v>0</v>
      </c>
      <c r="N531" t="n">
        <v>0</v>
      </c>
      <c r="O531" t="n">
        <v>0</v>
      </c>
      <c r="P531" t="n">
        <v>0</v>
      </c>
      <c r="Q531" t="n">
        <v>0</v>
      </c>
      <c r="R531" s="2" t="inlineStr"/>
    </row>
    <row r="532" ht="15" customHeight="1">
      <c r="A532" t="inlineStr">
        <is>
          <t>A 57018-2025</t>
        </is>
      </c>
      <c r="B532" s="1" t="n">
        <v>45978.84679398148</v>
      </c>
      <c r="C532" s="1" t="n">
        <v>46087</v>
      </c>
      <c r="D532" t="inlineStr">
        <is>
          <t>VÄSTERBOTTENS LÄN</t>
        </is>
      </c>
      <c r="E532" t="inlineStr">
        <is>
          <t>UMEÅ</t>
        </is>
      </c>
      <c r="G532" t="n">
        <v>0.9</v>
      </c>
      <c r="H532" t="n">
        <v>0</v>
      </c>
      <c r="I532" t="n">
        <v>0</v>
      </c>
      <c r="J532" t="n">
        <v>0</v>
      </c>
      <c r="K532" t="n">
        <v>0</v>
      </c>
      <c r="L532" t="n">
        <v>0</v>
      </c>
      <c r="M532" t="n">
        <v>0</v>
      </c>
      <c r="N532" t="n">
        <v>0</v>
      </c>
      <c r="O532" t="n">
        <v>0</v>
      </c>
      <c r="P532" t="n">
        <v>0</v>
      </c>
      <c r="Q532" t="n">
        <v>0</v>
      </c>
      <c r="R532" s="2" t="inlineStr"/>
    </row>
    <row r="533" ht="15" customHeight="1">
      <c r="A533" t="inlineStr">
        <is>
          <t>A 30050-2024</t>
        </is>
      </c>
      <c r="B533" s="1" t="n">
        <v>45488</v>
      </c>
      <c r="C533" s="1" t="n">
        <v>46087</v>
      </c>
      <c r="D533" t="inlineStr">
        <is>
          <t>VÄSTERBOTTENS LÄN</t>
        </is>
      </c>
      <c r="E533" t="inlineStr">
        <is>
          <t>UMEÅ</t>
        </is>
      </c>
      <c r="G533" t="n">
        <v>2.6</v>
      </c>
      <c r="H533" t="n">
        <v>0</v>
      </c>
      <c r="I533" t="n">
        <v>0</v>
      </c>
      <c r="J533" t="n">
        <v>0</v>
      </c>
      <c r="K533" t="n">
        <v>0</v>
      </c>
      <c r="L533" t="n">
        <v>0</v>
      </c>
      <c r="M533" t="n">
        <v>0</v>
      </c>
      <c r="N533" t="n">
        <v>0</v>
      </c>
      <c r="O533" t="n">
        <v>0</v>
      </c>
      <c r="P533" t="n">
        <v>0</v>
      </c>
      <c r="Q533" t="n">
        <v>0</v>
      </c>
      <c r="R533" s="2" t="inlineStr"/>
    </row>
    <row r="534" ht="15" customHeight="1">
      <c r="A534" t="inlineStr">
        <is>
          <t>A 42160-2024</t>
        </is>
      </c>
      <c r="B534" s="1" t="n">
        <v>45562.45623842593</v>
      </c>
      <c r="C534" s="1" t="n">
        <v>46087</v>
      </c>
      <c r="D534" t="inlineStr">
        <is>
          <t>VÄSTERBOTTENS LÄN</t>
        </is>
      </c>
      <c r="E534" t="inlineStr">
        <is>
          <t>UMEÅ</t>
        </is>
      </c>
      <c r="G534" t="n">
        <v>2.1</v>
      </c>
      <c r="H534" t="n">
        <v>0</v>
      </c>
      <c r="I534" t="n">
        <v>0</v>
      </c>
      <c r="J534" t="n">
        <v>0</v>
      </c>
      <c r="K534" t="n">
        <v>0</v>
      </c>
      <c r="L534" t="n">
        <v>0</v>
      </c>
      <c r="M534" t="n">
        <v>0</v>
      </c>
      <c r="N534" t="n">
        <v>0</v>
      </c>
      <c r="O534" t="n">
        <v>0</v>
      </c>
      <c r="P534" t="n">
        <v>0</v>
      </c>
      <c r="Q534" t="n">
        <v>0</v>
      </c>
      <c r="R534" s="2" t="inlineStr"/>
    </row>
    <row r="535" ht="15" customHeight="1">
      <c r="A535" t="inlineStr">
        <is>
          <t>A 57551-2025</t>
        </is>
      </c>
      <c r="B535" s="1" t="n">
        <v>45980.65818287037</v>
      </c>
      <c r="C535" s="1" t="n">
        <v>46087</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42014-2024</t>
        </is>
      </c>
      <c r="B536" s="1" t="n">
        <v>45561.69625</v>
      </c>
      <c r="C536" s="1" t="n">
        <v>46087</v>
      </c>
      <c r="D536" t="inlineStr">
        <is>
          <t>VÄSTERBOTTENS LÄN</t>
        </is>
      </c>
      <c r="E536" t="inlineStr">
        <is>
          <t>UMEÅ</t>
        </is>
      </c>
      <c r="G536" t="n">
        <v>3.5</v>
      </c>
      <c r="H536" t="n">
        <v>0</v>
      </c>
      <c r="I536" t="n">
        <v>0</v>
      </c>
      <c r="J536" t="n">
        <v>0</v>
      </c>
      <c r="K536" t="n">
        <v>0</v>
      </c>
      <c r="L536" t="n">
        <v>0</v>
      </c>
      <c r="M536" t="n">
        <v>0</v>
      </c>
      <c r="N536" t="n">
        <v>0</v>
      </c>
      <c r="O536" t="n">
        <v>0</v>
      </c>
      <c r="P536" t="n">
        <v>0</v>
      </c>
      <c r="Q536" t="n">
        <v>0</v>
      </c>
      <c r="R536" s="2" t="inlineStr"/>
    </row>
    <row r="537" ht="15" customHeight="1">
      <c r="A537" t="inlineStr">
        <is>
          <t>A 56332-2023</t>
        </is>
      </c>
      <c r="B537" s="1" t="n">
        <v>45243.34</v>
      </c>
      <c r="C537" s="1" t="n">
        <v>46087</v>
      </c>
      <c r="D537" t="inlineStr">
        <is>
          <t>VÄSTERBOTTENS LÄN</t>
        </is>
      </c>
      <c r="E537" t="inlineStr">
        <is>
          <t>UMEÅ</t>
        </is>
      </c>
      <c r="G537" t="n">
        <v>1.7</v>
      </c>
      <c r="H537" t="n">
        <v>0</v>
      </c>
      <c r="I537" t="n">
        <v>0</v>
      </c>
      <c r="J537" t="n">
        <v>0</v>
      </c>
      <c r="K537" t="n">
        <v>0</v>
      </c>
      <c r="L537" t="n">
        <v>0</v>
      </c>
      <c r="M537" t="n">
        <v>0</v>
      </c>
      <c r="N537" t="n">
        <v>0</v>
      </c>
      <c r="O537" t="n">
        <v>0</v>
      </c>
      <c r="P537" t="n">
        <v>0</v>
      </c>
      <c r="Q537" t="n">
        <v>0</v>
      </c>
      <c r="R537" s="2" t="inlineStr"/>
    </row>
    <row r="538" ht="15" customHeight="1">
      <c r="A538" t="inlineStr">
        <is>
          <t>A 1821-2022</t>
        </is>
      </c>
      <c r="B538" s="1" t="n">
        <v>44574.65519675926</v>
      </c>
      <c r="C538" s="1" t="n">
        <v>46087</v>
      </c>
      <c r="D538" t="inlineStr">
        <is>
          <t>VÄSTERBOTTENS LÄN</t>
        </is>
      </c>
      <c r="E538" t="inlineStr">
        <is>
          <t>UMEÅ</t>
        </is>
      </c>
      <c r="G538" t="n">
        <v>0.5</v>
      </c>
      <c r="H538" t="n">
        <v>0</v>
      </c>
      <c r="I538" t="n">
        <v>0</v>
      </c>
      <c r="J538" t="n">
        <v>0</v>
      </c>
      <c r="K538" t="n">
        <v>0</v>
      </c>
      <c r="L538" t="n">
        <v>0</v>
      </c>
      <c r="M538" t="n">
        <v>0</v>
      </c>
      <c r="N538" t="n">
        <v>0</v>
      </c>
      <c r="O538" t="n">
        <v>0</v>
      </c>
      <c r="P538" t="n">
        <v>0</v>
      </c>
      <c r="Q538" t="n">
        <v>0</v>
      </c>
      <c r="R538" s="2" t="inlineStr"/>
    </row>
    <row r="539" ht="15" customHeight="1">
      <c r="A539" t="inlineStr">
        <is>
          <t>A 45184-2025</t>
        </is>
      </c>
      <c r="B539" s="1" t="n">
        <v>45919.53916666667</v>
      </c>
      <c r="C539" s="1" t="n">
        <v>46087</v>
      </c>
      <c r="D539" t="inlineStr">
        <is>
          <t>VÄSTERBOTTENS LÄN</t>
        </is>
      </c>
      <c r="E539" t="inlineStr">
        <is>
          <t>UMEÅ</t>
        </is>
      </c>
      <c r="F539" t="inlineStr">
        <is>
          <t>Holmen skog AB</t>
        </is>
      </c>
      <c r="G539" t="n">
        <v>14.7</v>
      </c>
      <c r="H539" t="n">
        <v>0</v>
      </c>
      <c r="I539" t="n">
        <v>0</v>
      </c>
      <c r="J539" t="n">
        <v>0</v>
      </c>
      <c r="K539" t="n">
        <v>0</v>
      </c>
      <c r="L539" t="n">
        <v>0</v>
      </c>
      <c r="M539" t="n">
        <v>0</v>
      </c>
      <c r="N539" t="n">
        <v>0</v>
      </c>
      <c r="O539" t="n">
        <v>0</v>
      </c>
      <c r="P539" t="n">
        <v>0</v>
      </c>
      <c r="Q539" t="n">
        <v>0</v>
      </c>
      <c r="R539" s="2" t="inlineStr"/>
    </row>
    <row r="540" ht="15" customHeight="1">
      <c r="A540" t="inlineStr">
        <is>
          <t>A 14242-2023</t>
        </is>
      </c>
      <c r="B540" s="1" t="n">
        <v>45009</v>
      </c>
      <c r="C540" s="1" t="n">
        <v>46087</v>
      </c>
      <c r="D540" t="inlineStr">
        <is>
          <t>VÄSTERBOTTENS LÄN</t>
        </is>
      </c>
      <c r="E540" t="inlineStr">
        <is>
          <t>UMEÅ</t>
        </is>
      </c>
      <c r="G540" t="n">
        <v>1.3</v>
      </c>
      <c r="H540" t="n">
        <v>0</v>
      </c>
      <c r="I540" t="n">
        <v>0</v>
      </c>
      <c r="J540" t="n">
        <v>0</v>
      </c>
      <c r="K540" t="n">
        <v>0</v>
      </c>
      <c r="L540" t="n">
        <v>0</v>
      </c>
      <c r="M540" t="n">
        <v>0</v>
      </c>
      <c r="N540" t="n">
        <v>0</v>
      </c>
      <c r="O540" t="n">
        <v>0</v>
      </c>
      <c r="P540" t="n">
        <v>0</v>
      </c>
      <c r="Q540" t="n">
        <v>0</v>
      </c>
      <c r="R540" s="2" t="inlineStr"/>
    </row>
    <row r="541" ht="15" customHeight="1">
      <c r="A541" t="inlineStr">
        <is>
          <t>A 57366-2025</t>
        </is>
      </c>
      <c r="B541" s="1" t="n">
        <v>45980.37606481482</v>
      </c>
      <c r="C541" s="1" t="n">
        <v>46087</v>
      </c>
      <c r="D541" t="inlineStr">
        <is>
          <t>VÄSTERBOTTENS LÄN</t>
        </is>
      </c>
      <c r="E541" t="inlineStr">
        <is>
          <t>UMEÅ</t>
        </is>
      </c>
      <c r="G541" t="n">
        <v>5.3</v>
      </c>
      <c r="H541" t="n">
        <v>0</v>
      </c>
      <c r="I541" t="n">
        <v>0</v>
      </c>
      <c r="J541" t="n">
        <v>0</v>
      </c>
      <c r="K541" t="n">
        <v>0</v>
      </c>
      <c r="L541" t="n">
        <v>0</v>
      </c>
      <c r="M541" t="n">
        <v>0</v>
      </c>
      <c r="N541" t="n">
        <v>0</v>
      </c>
      <c r="O541" t="n">
        <v>0</v>
      </c>
      <c r="P541" t="n">
        <v>0</v>
      </c>
      <c r="Q541" t="n">
        <v>0</v>
      </c>
      <c r="R541" s="2" t="inlineStr"/>
    </row>
    <row r="542" ht="15" customHeight="1">
      <c r="A542" t="inlineStr">
        <is>
          <t>A 57374-2025</t>
        </is>
      </c>
      <c r="B542" s="1" t="n">
        <v>45980.38856481481</v>
      </c>
      <c r="C542" s="1" t="n">
        <v>46087</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45487-2025</t>
        </is>
      </c>
      <c r="B543" s="1" t="n">
        <v>45922.55172453704</v>
      </c>
      <c r="C543" s="1" t="n">
        <v>46087</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15656-2023</t>
        </is>
      </c>
      <c r="B544" s="1" t="n">
        <v>45019</v>
      </c>
      <c r="C544" s="1" t="n">
        <v>46087</v>
      </c>
      <c r="D544" t="inlineStr">
        <is>
          <t>VÄSTERBOTTENS LÄN</t>
        </is>
      </c>
      <c r="E544" t="inlineStr">
        <is>
          <t>UMEÅ</t>
        </is>
      </c>
      <c r="F544" t="inlineStr">
        <is>
          <t>Kommuner</t>
        </is>
      </c>
      <c r="G544" t="n">
        <v>2.8</v>
      </c>
      <c r="H544" t="n">
        <v>0</v>
      </c>
      <c r="I544" t="n">
        <v>0</v>
      </c>
      <c r="J544" t="n">
        <v>0</v>
      </c>
      <c r="K544" t="n">
        <v>0</v>
      </c>
      <c r="L544" t="n">
        <v>0</v>
      </c>
      <c r="M544" t="n">
        <v>0</v>
      </c>
      <c r="N544" t="n">
        <v>0</v>
      </c>
      <c r="O544" t="n">
        <v>0</v>
      </c>
      <c r="P544" t="n">
        <v>0</v>
      </c>
      <c r="Q544" t="n">
        <v>0</v>
      </c>
      <c r="R544" s="2" t="inlineStr"/>
    </row>
    <row r="545" ht="15" customHeight="1">
      <c r="A545" t="inlineStr">
        <is>
          <t>A 58044-2025</t>
        </is>
      </c>
      <c r="B545" s="1" t="n">
        <v>45982.5025</v>
      </c>
      <c r="C545" s="1" t="n">
        <v>46087</v>
      </c>
      <c r="D545" t="inlineStr">
        <is>
          <t>VÄSTERBOTTENS LÄN</t>
        </is>
      </c>
      <c r="E545" t="inlineStr">
        <is>
          <t>UMEÅ</t>
        </is>
      </c>
      <c r="F545" t="inlineStr">
        <is>
          <t>Holmen skog AB</t>
        </is>
      </c>
      <c r="G545" t="n">
        <v>2.2</v>
      </c>
      <c r="H545" t="n">
        <v>0</v>
      </c>
      <c r="I545" t="n">
        <v>0</v>
      </c>
      <c r="J545" t="n">
        <v>0</v>
      </c>
      <c r="K545" t="n">
        <v>0</v>
      </c>
      <c r="L545" t="n">
        <v>0</v>
      </c>
      <c r="M545" t="n">
        <v>0</v>
      </c>
      <c r="N545" t="n">
        <v>0</v>
      </c>
      <c r="O545" t="n">
        <v>0</v>
      </c>
      <c r="P545" t="n">
        <v>0</v>
      </c>
      <c r="Q545" t="n">
        <v>0</v>
      </c>
      <c r="R545" s="2" t="inlineStr"/>
    </row>
    <row r="546" ht="15" customHeight="1">
      <c r="A546" t="inlineStr">
        <is>
          <t>A 24540-2025</t>
        </is>
      </c>
      <c r="B546" s="1" t="n">
        <v>45798.44232638889</v>
      </c>
      <c r="C546" s="1" t="n">
        <v>46087</v>
      </c>
      <c r="D546" t="inlineStr">
        <is>
          <t>VÄSTERBOTTENS LÄN</t>
        </is>
      </c>
      <c r="E546" t="inlineStr">
        <is>
          <t>UMEÅ</t>
        </is>
      </c>
      <c r="G546" t="n">
        <v>9</v>
      </c>
      <c r="H546" t="n">
        <v>0</v>
      </c>
      <c r="I546" t="n">
        <v>0</v>
      </c>
      <c r="J546" t="n">
        <v>0</v>
      </c>
      <c r="K546" t="n">
        <v>0</v>
      </c>
      <c r="L546" t="n">
        <v>0</v>
      </c>
      <c r="M546" t="n">
        <v>0</v>
      </c>
      <c r="N546" t="n">
        <v>0</v>
      </c>
      <c r="O546" t="n">
        <v>0</v>
      </c>
      <c r="P546" t="n">
        <v>0</v>
      </c>
      <c r="Q546" t="n">
        <v>0</v>
      </c>
      <c r="R546" s="2" t="inlineStr"/>
    </row>
    <row r="547" ht="15" customHeight="1">
      <c r="A547" t="inlineStr">
        <is>
          <t>A 58080-2025</t>
        </is>
      </c>
      <c r="B547" s="1" t="n">
        <v>45982.55920138889</v>
      </c>
      <c r="C547" s="1" t="n">
        <v>46087</v>
      </c>
      <c r="D547" t="inlineStr">
        <is>
          <t>VÄSTERBOTTENS LÄN</t>
        </is>
      </c>
      <c r="E547" t="inlineStr">
        <is>
          <t>UMEÅ</t>
        </is>
      </c>
      <c r="G547" t="n">
        <v>2.4</v>
      </c>
      <c r="H547" t="n">
        <v>0</v>
      </c>
      <c r="I547" t="n">
        <v>0</v>
      </c>
      <c r="J547" t="n">
        <v>0</v>
      </c>
      <c r="K547" t="n">
        <v>0</v>
      </c>
      <c r="L547" t="n">
        <v>0</v>
      </c>
      <c r="M547" t="n">
        <v>0</v>
      </c>
      <c r="N547" t="n">
        <v>0</v>
      </c>
      <c r="O547" t="n">
        <v>0</v>
      </c>
      <c r="P547" t="n">
        <v>0</v>
      </c>
      <c r="Q547" t="n">
        <v>0</v>
      </c>
      <c r="R547" s="2" t="inlineStr"/>
    </row>
    <row r="548" ht="15" customHeight="1">
      <c r="A548" t="inlineStr">
        <is>
          <t>A 32788-2024</t>
        </is>
      </c>
      <c r="B548" s="1" t="n">
        <v>45516.5365625</v>
      </c>
      <c r="C548" s="1" t="n">
        <v>46087</v>
      </c>
      <c r="D548" t="inlineStr">
        <is>
          <t>VÄSTERBOTTENS LÄN</t>
        </is>
      </c>
      <c r="E548" t="inlineStr">
        <is>
          <t>UMEÅ</t>
        </is>
      </c>
      <c r="G548" t="n">
        <v>1.3</v>
      </c>
      <c r="H548" t="n">
        <v>0</v>
      </c>
      <c r="I548" t="n">
        <v>0</v>
      </c>
      <c r="J548" t="n">
        <v>0</v>
      </c>
      <c r="K548" t="n">
        <v>0</v>
      </c>
      <c r="L548" t="n">
        <v>0</v>
      </c>
      <c r="M548" t="n">
        <v>0</v>
      </c>
      <c r="N548" t="n">
        <v>0</v>
      </c>
      <c r="O548" t="n">
        <v>0</v>
      </c>
      <c r="P548" t="n">
        <v>0</v>
      </c>
      <c r="Q548" t="n">
        <v>0</v>
      </c>
      <c r="R548" s="2" t="inlineStr"/>
    </row>
    <row r="549" ht="15" customHeight="1">
      <c r="A549" t="inlineStr">
        <is>
          <t>A 46062-2025</t>
        </is>
      </c>
      <c r="B549" s="1" t="n">
        <v>45924.4768287037</v>
      </c>
      <c r="C549" s="1" t="n">
        <v>46087</v>
      </c>
      <c r="D549" t="inlineStr">
        <is>
          <t>VÄSTERBOTTENS LÄN</t>
        </is>
      </c>
      <c r="E549" t="inlineStr">
        <is>
          <t>UMEÅ</t>
        </is>
      </c>
      <c r="G549" t="n">
        <v>2.1</v>
      </c>
      <c r="H549" t="n">
        <v>0</v>
      </c>
      <c r="I549" t="n">
        <v>0</v>
      </c>
      <c r="J549" t="n">
        <v>0</v>
      </c>
      <c r="K549" t="n">
        <v>0</v>
      </c>
      <c r="L549" t="n">
        <v>0</v>
      </c>
      <c r="M549" t="n">
        <v>0</v>
      </c>
      <c r="N549" t="n">
        <v>0</v>
      </c>
      <c r="O549" t="n">
        <v>0</v>
      </c>
      <c r="P549" t="n">
        <v>0</v>
      </c>
      <c r="Q549" t="n">
        <v>0</v>
      </c>
      <c r="R549" s="2" t="inlineStr"/>
    </row>
    <row r="550" ht="15" customHeight="1">
      <c r="A550" t="inlineStr">
        <is>
          <t>A 45876-2025</t>
        </is>
      </c>
      <c r="B550" s="1" t="n">
        <v>45923.65701388889</v>
      </c>
      <c r="C550" s="1" t="n">
        <v>46087</v>
      </c>
      <c r="D550" t="inlineStr">
        <is>
          <t>VÄSTERBOTTENS LÄN</t>
        </is>
      </c>
      <c r="E550" t="inlineStr">
        <is>
          <t>UMEÅ</t>
        </is>
      </c>
      <c r="G550" t="n">
        <v>12.7</v>
      </c>
      <c r="H550" t="n">
        <v>0</v>
      </c>
      <c r="I550" t="n">
        <v>0</v>
      </c>
      <c r="J550" t="n">
        <v>0</v>
      </c>
      <c r="K550" t="n">
        <v>0</v>
      </c>
      <c r="L550" t="n">
        <v>0</v>
      </c>
      <c r="M550" t="n">
        <v>0</v>
      </c>
      <c r="N550" t="n">
        <v>0</v>
      </c>
      <c r="O550" t="n">
        <v>0</v>
      </c>
      <c r="P550" t="n">
        <v>0</v>
      </c>
      <c r="Q550" t="n">
        <v>0</v>
      </c>
      <c r="R550" s="2" t="inlineStr"/>
    </row>
    <row r="551" ht="15" customHeight="1">
      <c r="A551" t="inlineStr">
        <is>
          <t>A 24595-2025</t>
        </is>
      </c>
      <c r="B551" s="1" t="n">
        <v>45798</v>
      </c>
      <c r="C551" s="1" t="n">
        <v>46087</v>
      </c>
      <c r="D551" t="inlineStr">
        <is>
          <t>VÄSTERBOTTENS LÄN</t>
        </is>
      </c>
      <c r="E551" t="inlineStr">
        <is>
          <t>UMEÅ</t>
        </is>
      </c>
      <c r="F551" t="inlineStr">
        <is>
          <t>Holmen skog AB</t>
        </is>
      </c>
      <c r="G551" t="n">
        <v>4.3</v>
      </c>
      <c r="H551" t="n">
        <v>0</v>
      </c>
      <c r="I551" t="n">
        <v>0</v>
      </c>
      <c r="J551" t="n">
        <v>0</v>
      </c>
      <c r="K551" t="n">
        <v>0</v>
      </c>
      <c r="L551" t="n">
        <v>0</v>
      </c>
      <c r="M551" t="n">
        <v>0</v>
      </c>
      <c r="N551" t="n">
        <v>0</v>
      </c>
      <c r="O551" t="n">
        <v>0</v>
      </c>
      <c r="P551" t="n">
        <v>0</v>
      </c>
      <c r="Q551" t="n">
        <v>0</v>
      </c>
      <c r="R551" s="2" t="inlineStr"/>
    </row>
    <row r="552" ht="15" customHeight="1">
      <c r="A552" t="inlineStr">
        <is>
          <t>A 58028-2025</t>
        </is>
      </c>
      <c r="B552" s="1" t="n">
        <v>45982.48462962963</v>
      </c>
      <c r="C552" s="1" t="n">
        <v>46087</v>
      </c>
      <c r="D552" t="inlineStr">
        <is>
          <t>VÄSTERBOTTENS LÄN</t>
        </is>
      </c>
      <c r="E552" t="inlineStr">
        <is>
          <t>UMEÅ</t>
        </is>
      </c>
      <c r="G552" t="n">
        <v>3.4</v>
      </c>
      <c r="H552" t="n">
        <v>0</v>
      </c>
      <c r="I552" t="n">
        <v>0</v>
      </c>
      <c r="J552" t="n">
        <v>0</v>
      </c>
      <c r="K552" t="n">
        <v>0</v>
      </c>
      <c r="L552" t="n">
        <v>0</v>
      </c>
      <c r="M552" t="n">
        <v>0</v>
      </c>
      <c r="N552" t="n">
        <v>0</v>
      </c>
      <c r="O552" t="n">
        <v>0</v>
      </c>
      <c r="P552" t="n">
        <v>0</v>
      </c>
      <c r="Q552" t="n">
        <v>0</v>
      </c>
      <c r="R552" s="2" t="inlineStr"/>
    </row>
    <row r="553" ht="15" customHeight="1">
      <c r="A553" t="inlineStr">
        <is>
          <t>A 57779-2025</t>
        </is>
      </c>
      <c r="B553" s="1" t="n">
        <v>45981.56964120371</v>
      </c>
      <c r="C553" s="1" t="n">
        <v>46087</v>
      </c>
      <c r="D553" t="inlineStr">
        <is>
          <t>VÄSTERBOTTENS LÄN</t>
        </is>
      </c>
      <c r="E553" t="inlineStr">
        <is>
          <t>UMEÅ</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46065-2025</t>
        </is>
      </c>
      <c r="B554" s="1" t="n">
        <v>45924.48327546296</v>
      </c>
      <c r="C554" s="1" t="n">
        <v>46087</v>
      </c>
      <c r="D554" t="inlineStr">
        <is>
          <t>VÄSTERBOTTENS LÄN</t>
        </is>
      </c>
      <c r="E554" t="inlineStr">
        <is>
          <t>UMEÅ</t>
        </is>
      </c>
      <c r="G554" t="n">
        <v>2.3</v>
      </c>
      <c r="H554" t="n">
        <v>0</v>
      </c>
      <c r="I554" t="n">
        <v>0</v>
      </c>
      <c r="J554" t="n">
        <v>0</v>
      </c>
      <c r="K554" t="n">
        <v>0</v>
      </c>
      <c r="L554" t="n">
        <v>0</v>
      </c>
      <c r="M554" t="n">
        <v>0</v>
      </c>
      <c r="N554" t="n">
        <v>0</v>
      </c>
      <c r="O554" t="n">
        <v>0</v>
      </c>
      <c r="P554" t="n">
        <v>0</v>
      </c>
      <c r="Q554" t="n">
        <v>0</v>
      </c>
      <c r="R554" s="2" t="inlineStr"/>
    </row>
    <row r="555" ht="15" customHeight="1">
      <c r="A555" t="inlineStr">
        <is>
          <t>A 57998-2025</t>
        </is>
      </c>
      <c r="B555" s="1" t="n">
        <v>45982.43335648148</v>
      </c>
      <c r="C555" s="1" t="n">
        <v>46087</v>
      </c>
      <c r="D555" t="inlineStr">
        <is>
          <t>VÄSTERBOTTENS LÄN</t>
        </is>
      </c>
      <c r="E555" t="inlineStr">
        <is>
          <t>UMEÅ</t>
        </is>
      </c>
      <c r="F555" t="inlineStr">
        <is>
          <t>Holmen skog AB</t>
        </is>
      </c>
      <c r="G555" t="n">
        <v>2.9</v>
      </c>
      <c r="H555" t="n">
        <v>0</v>
      </c>
      <c r="I555" t="n">
        <v>0</v>
      </c>
      <c r="J555" t="n">
        <v>0</v>
      </c>
      <c r="K555" t="n">
        <v>0</v>
      </c>
      <c r="L555" t="n">
        <v>0</v>
      </c>
      <c r="M555" t="n">
        <v>0</v>
      </c>
      <c r="N555" t="n">
        <v>0</v>
      </c>
      <c r="O555" t="n">
        <v>0</v>
      </c>
      <c r="P555" t="n">
        <v>0</v>
      </c>
      <c r="Q555" t="n">
        <v>0</v>
      </c>
      <c r="R555" s="2" t="inlineStr"/>
    </row>
    <row r="556" ht="15" customHeight="1">
      <c r="A556" t="inlineStr">
        <is>
          <t>A 57791-2025</t>
        </is>
      </c>
      <c r="B556" s="1" t="n">
        <v>45981.57913194445</v>
      </c>
      <c r="C556" s="1" t="n">
        <v>46087</v>
      </c>
      <c r="D556" t="inlineStr">
        <is>
          <t>VÄSTERBOTTENS LÄN</t>
        </is>
      </c>
      <c r="E556" t="inlineStr">
        <is>
          <t>UMEÅ</t>
        </is>
      </c>
      <c r="G556" t="n">
        <v>0.8</v>
      </c>
      <c r="H556" t="n">
        <v>0</v>
      </c>
      <c r="I556" t="n">
        <v>0</v>
      </c>
      <c r="J556" t="n">
        <v>0</v>
      </c>
      <c r="K556" t="n">
        <v>0</v>
      </c>
      <c r="L556" t="n">
        <v>0</v>
      </c>
      <c r="M556" t="n">
        <v>0</v>
      </c>
      <c r="N556" t="n">
        <v>0</v>
      </c>
      <c r="O556" t="n">
        <v>0</v>
      </c>
      <c r="P556" t="n">
        <v>0</v>
      </c>
      <c r="Q556" t="n">
        <v>0</v>
      </c>
      <c r="R556" s="2" t="inlineStr"/>
    </row>
    <row r="557" ht="15" customHeight="1">
      <c r="A557" t="inlineStr">
        <is>
          <t>A 45769-2025</t>
        </is>
      </c>
      <c r="B557" s="1" t="n">
        <v>45923.53181712963</v>
      </c>
      <c r="C557" s="1" t="n">
        <v>46087</v>
      </c>
      <c r="D557" t="inlineStr">
        <is>
          <t>VÄSTERBOTTENS LÄN</t>
        </is>
      </c>
      <c r="E557" t="inlineStr">
        <is>
          <t>UMEÅ</t>
        </is>
      </c>
      <c r="G557" t="n">
        <v>11.3</v>
      </c>
      <c r="H557" t="n">
        <v>0</v>
      </c>
      <c r="I557" t="n">
        <v>0</v>
      </c>
      <c r="J557" t="n">
        <v>0</v>
      </c>
      <c r="K557" t="n">
        <v>0</v>
      </c>
      <c r="L557" t="n">
        <v>0</v>
      </c>
      <c r="M557" t="n">
        <v>0</v>
      </c>
      <c r="N557" t="n">
        <v>0</v>
      </c>
      <c r="O557" t="n">
        <v>0</v>
      </c>
      <c r="P557" t="n">
        <v>0</v>
      </c>
      <c r="Q557" t="n">
        <v>0</v>
      </c>
      <c r="R557" s="2" t="inlineStr"/>
    </row>
    <row r="558" ht="15" customHeight="1">
      <c r="A558" t="inlineStr">
        <is>
          <t>A 45672-2025</t>
        </is>
      </c>
      <c r="B558" s="1" t="n">
        <v>45923.35769675926</v>
      </c>
      <c r="C558" s="1" t="n">
        <v>46087</v>
      </c>
      <c r="D558" t="inlineStr">
        <is>
          <t>VÄSTERBOTTENS LÄN</t>
        </is>
      </c>
      <c r="E558" t="inlineStr">
        <is>
          <t>UMEÅ</t>
        </is>
      </c>
      <c r="G558" t="n">
        <v>1.7</v>
      </c>
      <c r="H558" t="n">
        <v>0</v>
      </c>
      <c r="I558" t="n">
        <v>0</v>
      </c>
      <c r="J558" t="n">
        <v>0</v>
      </c>
      <c r="K558" t="n">
        <v>0</v>
      </c>
      <c r="L558" t="n">
        <v>0</v>
      </c>
      <c r="M558" t="n">
        <v>0</v>
      </c>
      <c r="N558" t="n">
        <v>0</v>
      </c>
      <c r="O558" t="n">
        <v>0</v>
      </c>
      <c r="P558" t="n">
        <v>0</v>
      </c>
      <c r="Q558" t="n">
        <v>0</v>
      </c>
      <c r="R558" s="2" t="inlineStr"/>
    </row>
    <row r="559" ht="15" customHeight="1">
      <c r="A559" t="inlineStr">
        <is>
          <t>A 58102-2025</t>
        </is>
      </c>
      <c r="B559" s="1" t="n">
        <v>45982.589375</v>
      </c>
      <c r="C559" s="1" t="n">
        <v>46087</v>
      </c>
      <c r="D559" t="inlineStr">
        <is>
          <t>VÄSTERBOTTENS LÄN</t>
        </is>
      </c>
      <c r="E559" t="inlineStr">
        <is>
          <t>UMEÅ</t>
        </is>
      </c>
      <c r="F559" t="inlineStr">
        <is>
          <t>Holmen skog AB</t>
        </is>
      </c>
      <c r="G559" t="n">
        <v>20.8</v>
      </c>
      <c r="H559" t="n">
        <v>0</v>
      </c>
      <c r="I559" t="n">
        <v>0</v>
      </c>
      <c r="J559" t="n">
        <v>0</v>
      </c>
      <c r="K559" t="n">
        <v>0</v>
      </c>
      <c r="L559" t="n">
        <v>0</v>
      </c>
      <c r="M559" t="n">
        <v>0</v>
      </c>
      <c r="N559" t="n">
        <v>0</v>
      </c>
      <c r="O559" t="n">
        <v>0</v>
      </c>
      <c r="P559" t="n">
        <v>0</v>
      </c>
      <c r="Q559" t="n">
        <v>0</v>
      </c>
      <c r="R559" s="2" t="inlineStr"/>
    </row>
    <row r="560" ht="15" customHeight="1">
      <c r="A560" t="inlineStr">
        <is>
          <t>A 57635-2025</t>
        </is>
      </c>
      <c r="B560" s="1" t="n">
        <v>45981.35362268519</v>
      </c>
      <c r="C560" s="1" t="n">
        <v>46087</v>
      </c>
      <c r="D560" t="inlineStr">
        <is>
          <t>VÄSTERBOTTENS LÄN</t>
        </is>
      </c>
      <c r="E560" t="inlineStr">
        <is>
          <t>UMEÅ</t>
        </is>
      </c>
      <c r="F560" t="inlineStr">
        <is>
          <t>Holmen skog AB</t>
        </is>
      </c>
      <c r="G560" t="n">
        <v>3.5</v>
      </c>
      <c r="H560" t="n">
        <v>0</v>
      </c>
      <c r="I560" t="n">
        <v>0</v>
      </c>
      <c r="J560" t="n">
        <v>0</v>
      </c>
      <c r="K560" t="n">
        <v>0</v>
      </c>
      <c r="L560" t="n">
        <v>0</v>
      </c>
      <c r="M560" t="n">
        <v>0</v>
      </c>
      <c r="N560" t="n">
        <v>0</v>
      </c>
      <c r="O560" t="n">
        <v>0</v>
      </c>
      <c r="P560" t="n">
        <v>0</v>
      </c>
      <c r="Q560" t="n">
        <v>0</v>
      </c>
      <c r="R560" s="2" t="inlineStr"/>
    </row>
    <row r="561" ht="15" customHeight="1">
      <c r="A561" t="inlineStr">
        <is>
          <t>A 58088-2025</t>
        </is>
      </c>
      <c r="B561" s="1" t="n">
        <v>45982.57263888889</v>
      </c>
      <c r="C561" s="1" t="n">
        <v>46087</v>
      </c>
      <c r="D561" t="inlineStr">
        <is>
          <t>VÄSTERBOTTENS LÄN</t>
        </is>
      </c>
      <c r="E561" t="inlineStr">
        <is>
          <t>UMEÅ</t>
        </is>
      </c>
      <c r="G561" t="n">
        <v>2.2</v>
      </c>
      <c r="H561" t="n">
        <v>0</v>
      </c>
      <c r="I561" t="n">
        <v>0</v>
      </c>
      <c r="J561" t="n">
        <v>0</v>
      </c>
      <c r="K561" t="n">
        <v>0</v>
      </c>
      <c r="L561" t="n">
        <v>0</v>
      </c>
      <c r="M561" t="n">
        <v>0</v>
      </c>
      <c r="N561" t="n">
        <v>0</v>
      </c>
      <c r="O561" t="n">
        <v>0</v>
      </c>
      <c r="P561" t="n">
        <v>0</v>
      </c>
      <c r="Q561" t="n">
        <v>0</v>
      </c>
      <c r="R561" s="2" t="inlineStr"/>
    </row>
    <row r="562" ht="15" customHeight="1">
      <c r="A562" t="inlineStr">
        <is>
          <t>A 45670-2025</t>
        </is>
      </c>
      <c r="B562" s="1" t="n">
        <v>45923.35368055556</v>
      </c>
      <c r="C562" s="1" t="n">
        <v>46087</v>
      </c>
      <c r="D562" t="inlineStr">
        <is>
          <t>VÄSTERBOTTENS LÄN</t>
        </is>
      </c>
      <c r="E562" t="inlineStr">
        <is>
          <t>UMEÅ</t>
        </is>
      </c>
      <c r="G562" t="n">
        <v>0.9</v>
      </c>
      <c r="H562" t="n">
        <v>0</v>
      </c>
      <c r="I562" t="n">
        <v>0</v>
      </c>
      <c r="J562" t="n">
        <v>0</v>
      </c>
      <c r="K562" t="n">
        <v>0</v>
      </c>
      <c r="L562" t="n">
        <v>0</v>
      </c>
      <c r="M562" t="n">
        <v>0</v>
      </c>
      <c r="N562" t="n">
        <v>0</v>
      </c>
      <c r="O562" t="n">
        <v>0</v>
      </c>
      <c r="P562" t="n">
        <v>0</v>
      </c>
      <c r="Q562" t="n">
        <v>0</v>
      </c>
      <c r="R562" s="2" t="inlineStr"/>
    </row>
    <row r="563" ht="15" customHeight="1">
      <c r="A563" t="inlineStr">
        <is>
          <t>A 45759-2025</t>
        </is>
      </c>
      <c r="B563" s="1" t="n">
        <v>45923.5107175926</v>
      </c>
      <c r="C563" s="1" t="n">
        <v>46087</v>
      </c>
      <c r="D563" t="inlineStr">
        <is>
          <t>VÄSTERBOTTENS LÄN</t>
        </is>
      </c>
      <c r="E563" t="inlineStr">
        <is>
          <t>UMEÅ</t>
        </is>
      </c>
      <c r="G563" t="n">
        <v>7.2</v>
      </c>
      <c r="H563" t="n">
        <v>0</v>
      </c>
      <c r="I563" t="n">
        <v>0</v>
      </c>
      <c r="J563" t="n">
        <v>0</v>
      </c>
      <c r="K563" t="n">
        <v>0</v>
      </c>
      <c r="L563" t="n">
        <v>0</v>
      </c>
      <c r="M563" t="n">
        <v>0</v>
      </c>
      <c r="N563" t="n">
        <v>0</v>
      </c>
      <c r="O563" t="n">
        <v>0</v>
      </c>
      <c r="P563" t="n">
        <v>0</v>
      </c>
      <c r="Q563" t="n">
        <v>0</v>
      </c>
      <c r="R563" s="2" t="inlineStr"/>
    </row>
    <row r="564" ht="15" customHeight="1">
      <c r="A564" t="inlineStr">
        <is>
          <t>A 46413-2025</t>
        </is>
      </c>
      <c r="B564" s="1" t="n">
        <v>45925.57604166667</v>
      </c>
      <c r="C564" s="1" t="n">
        <v>46087</v>
      </c>
      <c r="D564" t="inlineStr">
        <is>
          <t>VÄSTERBOTTENS LÄN</t>
        </is>
      </c>
      <c r="E564" t="inlineStr">
        <is>
          <t>UMEÅ</t>
        </is>
      </c>
      <c r="F564" t="inlineStr">
        <is>
          <t>Holmen skog AB</t>
        </is>
      </c>
      <c r="G564" t="n">
        <v>14.3</v>
      </c>
      <c r="H564" t="n">
        <v>0</v>
      </c>
      <c r="I564" t="n">
        <v>0</v>
      </c>
      <c r="J564" t="n">
        <v>0</v>
      </c>
      <c r="K564" t="n">
        <v>0</v>
      </c>
      <c r="L564" t="n">
        <v>0</v>
      </c>
      <c r="M564" t="n">
        <v>0</v>
      </c>
      <c r="N564" t="n">
        <v>0</v>
      </c>
      <c r="O564" t="n">
        <v>0</v>
      </c>
      <c r="P564" t="n">
        <v>0</v>
      </c>
      <c r="Q564" t="n">
        <v>0</v>
      </c>
      <c r="R564" s="2" t="inlineStr"/>
    </row>
    <row r="565" ht="15" customHeight="1">
      <c r="A565" t="inlineStr">
        <is>
          <t>A 46232-2024</t>
        </is>
      </c>
      <c r="B565" s="1" t="n">
        <v>45581.57825231482</v>
      </c>
      <c r="C565" s="1" t="n">
        <v>46087</v>
      </c>
      <c r="D565" t="inlineStr">
        <is>
          <t>VÄSTERBOTTENS LÄN</t>
        </is>
      </c>
      <c r="E565" t="inlineStr">
        <is>
          <t>UMEÅ</t>
        </is>
      </c>
      <c r="G565" t="n">
        <v>4.1</v>
      </c>
      <c r="H565" t="n">
        <v>0</v>
      </c>
      <c r="I565" t="n">
        <v>0</v>
      </c>
      <c r="J565" t="n">
        <v>0</v>
      </c>
      <c r="K565" t="n">
        <v>0</v>
      </c>
      <c r="L565" t="n">
        <v>0</v>
      </c>
      <c r="M565" t="n">
        <v>0</v>
      </c>
      <c r="N565" t="n">
        <v>0</v>
      </c>
      <c r="O565" t="n">
        <v>0</v>
      </c>
      <c r="P565" t="n">
        <v>0</v>
      </c>
      <c r="Q565" t="n">
        <v>0</v>
      </c>
      <c r="R565" s="2" t="inlineStr"/>
    </row>
    <row r="566" ht="15" customHeight="1">
      <c r="A566" t="inlineStr">
        <is>
          <t>A 46682-2025</t>
        </is>
      </c>
      <c r="B566" s="1" t="n">
        <v>45926.54784722222</v>
      </c>
      <c r="C566" s="1" t="n">
        <v>46087</v>
      </c>
      <c r="D566" t="inlineStr">
        <is>
          <t>VÄSTERBOTTENS LÄN</t>
        </is>
      </c>
      <c r="E566" t="inlineStr">
        <is>
          <t>UMEÅ</t>
        </is>
      </c>
      <c r="F566" t="inlineStr">
        <is>
          <t>Holmen skog AB</t>
        </is>
      </c>
      <c r="G566" t="n">
        <v>5.7</v>
      </c>
      <c r="H566" t="n">
        <v>0</v>
      </c>
      <c r="I566" t="n">
        <v>0</v>
      </c>
      <c r="J566" t="n">
        <v>0</v>
      </c>
      <c r="K566" t="n">
        <v>0</v>
      </c>
      <c r="L566" t="n">
        <v>0</v>
      </c>
      <c r="M566" t="n">
        <v>0</v>
      </c>
      <c r="N566" t="n">
        <v>0</v>
      </c>
      <c r="O566" t="n">
        <v>0</v>
      </c>
      <c r="P566" t="n">
        <v>0</v>
      </c>
      <c r="Q566" t="n">
        <v>0</v>
      </c>
      <c r="R566" s="2" t="inlineStr"/>
    </row>
    <row r="567" ht="15" customHeight="1">
      <c r="A567" t="inlineStr">
        <is>
          <t>A 46592-2025</t>
        </is>
      </c>
      <c r="B567" s="1" t="n">
        <v>45926.39637731481</v>
      </c>
      <c r="C567" s="1" t="n">
        <v>46087</v>
      </c>
      <c r="D567" t="inlineStr">
        <is>
          <t>VÄSTERBOTTENS LÄN</t>
        </is>
      </c>
      <c r="E567" t="inlineStr">
        <is>
          <t>UMEÅ</t>
        </is>
      </c>
      <c r="G567" t="n">
        <v>1.8</v>
      </c>
      <c r="H567" t="n">
        <v>0</v>
      </c>
      <c r="I567" t="n">
        <v>0</v>
      </c>
      <c r="J567" t="n">
        <v>0</v>
      </c>
      <c r="K567" t="n">
        <v>0</v>
      </c>
      <c r="L567" t="n">
        <v>0</v>
      </c>
      <c r="M567" t="n">
        <v>0</v>
      </c>
      <c r="N567" t="n">
        <v>0</v>
      </c>
      <c r="O567" t="n">
        <v>0</v>
      </c>
      <c r="P567" t="n">
        <v>0</v>
      </c>
      <c r="Q567" t="n">
        <v>0</v>
      </c>
      <c r="R567" s="2" t="inlineStr"/>
    </row>
    <row r="568" ht="15" customHeight="1">
      <c r="A568" t="inlineStr">
        <is>
          <t>A 58699-2025</t>
        </is>
      </c>
      <c r="B568" s="1" t="n">
        <v>45986.58903935185</v>
      </c>
      <c r="C568" s="1" t="n">
        <v>46087</v>
      </c>
      <c r="D568" t="inlineStr">
        <is>
          <t>VÄSTERBOTTENS LÄN</t>
        </is>
      </c>
      <c r="E568" t="inlineStr">
        <is>
          <t>UMEÅ</t>
        </is>
      </c>
      <c r="F568" t="inlineStr">
        <is>
          <t>Sveaskog</t>
        </is>
      </c>
      <c r="G568" t="n">
        <v>3.8</v>
      </c>
      <c r="H568" t="n">
        <v>0</v>
      </c>
      <c r="I568" t="n">
        <v>0</v>
      </c>
      <c r="J568" t="n">
        <v>0</v>
      </c>
      <c r="K568" t="n">
        <v>0</v>
      </c>
      <c r="L568" t="n">
        <v>0</v>
      </c>
      <c r="M568" t="n">
        <v>0</v>
      </c>
      <c r="N568" t="n">
        <v>0</v>
      </c>
      <c r="O568" t="n">
        <v>0</v>
      </c>
      <c r="P568" t="n">
        <v>0</v>
      </c>
      <c r="Q568" t="n">
        <v>0</v>
      </c>
      <c r="R568" s="2" t="inlineStr"/>
    </row>
    <row r="569" ht="15" customHeight="1">
      <c r="A569" t="inlineStr">
        <is>
          <t>A 58608-2025</t>
        </is>
      </c>
      <c r="B569" s="1" t="n">
        <v>45986.44831018519</v>
      </c>
      <c r="C569" s="1" t="n">
        <v>46087</v>
      </c>
      <c r="D569" t="inlineStr">
        <is>
          <t>VÄSTERBOTTENS LÄN</t>
        </is>
      </c>
      <c r="E569" t="inlineStr">
        <is>
          <t>UMEÅ</t>
        </is>
      </c>
      <c r="G569" t="n">
        <v>2.5</v>
      </c>
      <c r="H569" t="n">
        <v>0</v>
      </c>
      <c r="I569" t="n">
        <v>0</v>
      </c>
      <c r="J569" t="n">
        <v>0</v>
      </c>
      <c r="K569" t="n">
        <v>0</v>
      </c>
      <c r="L569" t="n">
        <v>0</v>
      </c>
      <c r="M569" t="n">
        <v>0</v>
      </c>
      <c r="N569" t="n">
        <v>0</v>
      </c>
      <c r="O569" t="n">
        <v>0</v>
      </c>
      <c r="P569" t="n">
        <v>0</v>
      </c>
      <c r="Q569" t="n">
        <v>0</v>
      </c>
      <c r="R569" s="2" t="inlineStr"/>
    </row>
    <row r="570" ht="15" customHeight="1">
      <c r="A570" t="inlineStr">
        <is>
          <t>A 31441-2024</t>
        </is>
      </c>
      <c r="B570" s="1" t="n">
        <v>45505</v>
      </c>
      <c r="C570" s="1" t="n">
        <v>46087</v>
      </c>
      <c r="D570" t="inlineStr">
        <is>
          <t>VÄSTERBOTTENS LÄN</t>
        </is>
      </c>
      <c r="E570" t="inlineStr">
        <is>
          <t>UMEÅ</t>
        </is>
      </c>
      <c r="G570" t="n">
        <v>2.7</v>
      </c>
      <c r="H570" t="n">
        <v>0</v>
      </c>
      <c r="I570" t="n">
        <v>0</v>
      </c>
      <c r="J570" t="n">
        <v>0</v>
      </c>
      <c r="K570" t="n">
        <v>0</v>
      </c>
      <c r="L570" t="n">
        <v>0</v>
      </c>
      <c r="M570" t="n">
        <v>0</v>
      </c>
      <c r="N570" t="n">
        <v>0</v>
      </c>
      <c r="O570" t="n">
        <v>0</v>
      </c>
      <c r="P570" t="n">
        <v>0</v>
      </c>
      <c r="Q570" t="n">
        <v>0</v>
      </c>
      <c r="R570" s="2" t="inlineStr"/>
    </row>
    <row r="571" ht="15" customHeight="1">
      <c r="A571" t="inlineStr">
        <is>
          <t>A 46591-2025</t>
        </is>
      </c>
      <c r="B571" s="1" t="n">
        <v>45926.39612268518</v>
      </c>
      <c r="C571" s="1" t="n">
        <v>46087</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58309-2025</t>
        </is>
      </c>
      <c r="B572" s="1" t="n">
        <v>45985.46605324074</v>
      </c>
      <c r="C572" s="1" t="n">
        <v>46087</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43124-2024</t>
        </is>
      </c>
      <c r="B573" s="1" t="n">
        <v>45567</v>
      </c>
      <c r="C573" s="1" t="n">
        <v>46087</v>
      </c>
      <c r="D573" t="inlineStr">
        <is>
          <t>VÄSTERBOTTENS LÄN</t>
        </is>
      </c>
      <c r="E573" t="inlineStr">
        <is>
          <t>UMEÅ</t>
        </is>
      </c>
      <c r="G573" t="n">
        <v>0.4</v>
      </c>
      <c r="H573" t="n">
        <v>0</v>
      </c>
      <c r="I573" t="n">
        <v>0</v>
      </c>
      <c r="J573" t="n">
        <v>0</v>
      </c>
      <c r="K573" t="n">
        <v>0</v>
      </c>
      <c r="L573" t="n">
        <v>0</v>
      </c>
      <c r="M573" t="n">
        <v>0</v>
      </c>
      <c r="N573" t="n">
        <v>0</v>
      </c>
      <c r="O573" t="n">
        <v>0</v>
      </c>
      <c r="P573" t="n">
        <v>0</v>
      </c>
      <c r="Q573" t="n">
        <v>0</v>
      </c>
      <c r="R573" s="2" t="inlineStr"/>
    </row>
    <row r="574" ht="15" customHeight="1">
      <c r="A574" t="inlineStr">
        <is>
          <t>A 47188-2025</t>
        </is>
      </c>
      <c r="B574" s="1" t="n">
        <v>45930.32789351852</v>
      </c>
      <c r="C574" s="1" t="n">
        <v>46087</v>
      </c>
      <c r="D574" t="inlineStr">
        <is>
          <t>VÄSTERBOTTENS LÄN</t>
        </is>
      </c>
      <c r="E574" t="inlineStr">
        <is>
          <t>UMEÅ</t>
        </is>
      </c>
      <c r="G574" t="n">
        <v>2.9</v>
      </c>
      <c r="H574" t="n">
        <v>0</v>
      </c>
      <c r="I574" t="n">
        <v>0</v>
      </c>
      <c r="J574" t="n">
        <v>0</v>
      </c>
      <c r="K574" t="n">
        <v>0</v>
      </c>
      <c r="L574" t="n">
        <v>0</v>
      </c>
      <c r="M574" t="n">
        <v>0</v>
      </c>
      <c r="N574" t="n">
        <v>0</v>
      </c>
      <c r="O574" t="n">
        <v>0</v>
      </c>
      <c r="P574" t="n">
        <v>0</v>
      </c>
      <c r="Q574" t="n">
        <v>0</v>
      </c>
      <c r="R574" s="2" t="inlineStr"/>
    </row>
    <row r="575" ht="15" customHeight="1">
      <c r="A575" t="inlineStr">
        <is>
          <t>A 47179-2025</t>
        </is>
      </c>
      <c r="B575" s="1" t="n">
        <v>45930.30091435185</v>
      </c>
      <c r="C575" s="1" t="n">
        <v>46087</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58954-2024</t>
        </is>
      </c>
      <c r="B576" s="1" t="n">
        <v>45636.57275462963</v>
      </c>
      <c r="C576" s="1" t="n">
        <v>46087</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47421-2025</t>
        </is>
      </c>
      <c r="B577" s="1" t="n">
        <v>45930.62444444445</v>
      </c>
      <c r="C577" s="1" t="n">
        <v>46087</v>
      </c>
      <c r="D577" t="inlineStr">
        <is>
          <t>VÄSTERBOTTENS LÄN</t>
        </is>
      </c>
      <c r="E577" t="inlineStr">
        <is>
          <t>UMEÅ</t>
        </is>
      </c>
      <c r="G577" t="n">
        <v>1.4</v>
      </c>
      <c r="H577" t="n">
        <v>0</v>
      </c>
      <c r="I577" t="n">
        <v>0</v>
      </c>
      <c r="J577" t="n">
        <v>0</v>
      </c>
      <c r="K577" t="n">
        <v>0</v>
      </c>
      <c r="L577" t="n">
        <v>0</v>
      </c>
      <c r="M577" t="n">
        <v>0</v>
      </c>
      <c r="N577" t="n">
        <v>0</v>
      </c>
      <c r="O577" t="n">
        <v>0</v>
      </c>
      <c r="P577" t="n">
        <v>0</v>
      </c>
      <c r="Q577" t="n">
        <v>0</v>
      </c>
      <c r="R577" s="2" t="inlineStr"/>
    </row>
    <row r="578" ht="15" customHeight="1">
      <c r="A578" t="inlineStr">
        <is>
          <t>A 19053-2023</t>
        </is>
      </c>
      <c r="B578" s="1" t="n">
        <v>45047</v>
      </c>
      <c r="C578" s="1" t="n">
        <v>46087</v>
      </c>
      <c r="D578" t="inlineStr">
        <is>
          <t>VÄSTERBOTTENS LÄN</t>
        </is>
      </c>
      <c r="E578" t="inlineStr">
        <is>
          <t>UMEÅ</t>
        </is>
      </c>
      <c r="G578" t="n">
        <v>4.8</v>
      </c>
      <c r="H578" t="n">
        <v>0</v>
      </c>
      <c r="I578" t="n">
        <v>0</v>
      </c>
      <c r="J578" t="n">
        <v>0</v>
      </c>
      <c r="K578" t="n">
        <v>0</v>
      </c>
      <c r="L578" t="n">
        <v>0</v>
      </c>
      <c r="M578" t="n">
        <v>0</v>
      </c>
      <c r="N578" t="n">
        <v>0</v>
      </c>
      <c r="O578" t="n">
        <v>0</v>
      </c>
      <c r="P578" t="n">
        <v>0</v>
      </c>
      <c r="Q578" t="n">
        <v>0</v>
      </c>
      <c r="R578" s="2" t="inlineStr"/>
    </row>
    <row r="579" ht="15" customHeight="1">
      <c r="A579" t="inlineStr">
        <is>
          <t>A 59113-2025</t>
        </is>
      </c>
      <c r="B579" s="1" t="n">
        <v>45988.48623842592</v>
      </c>
      <c r="C579" s="1" t="n">
        <v>46087</v>
      </c>
      <c r="D579" t="inlineStr">
        <is>
          <t>VÄSTERBOTTENS LÄN</t>
        </is>
      </c>
      <c r="E579" t="inlineStr">
        <is>
          <t>UMEÅ</t>
        </is>
      </c>
      <c r="G579" t="n">
        <v>11.6</v>
      </c>
      <c r="H579" t="n">
        <v>0</v>
      </c>
      <c r="I579" t="n">
        <v>0</v>
      </c>
      <c r="J579" t="n">
        <v>0</v>
      </c>
      <c r="K579" t="n">
        <v>0</v>
      </c>
      <c r="L579" t="n">
        <v>0</v>
      </c>
      <c r="M579" t="n">
        <v>0</v>
      </c>
      <c r="N579" t="n">
        <v>0</v>
      </c>
      <c r="O579" t="n">
        <v>0</v>
      </c>
      <c r="P579" t="n">
        <v>0</v>
      </c>
      <c r="Q579" t="n">
        <v>0</v>
      </c>
      <c r="R579" s="2" t="inlineStr"/>
    </row>
    <row r="580" ht="15" customHeight="1">
      <c r="A580" t="inlineStr">
        <is>
          <t>A 46864-2025</t>
        </is>
      </c>
      <c r="B580" s="1" t="n">
        <v>45929.32023148148</v>
      </c>
      <c r="C580" s="1" t="n">
        <v>46087</v>
      </c>
      <c r="D580" t="inlineStr">
        <is>
          <t>VÄSTERBOTTENS LÄN</t>
        </is>
      </c>
      <c r="E580" t="inlineStr">
        <is>
          <t>UMEÅ</t>
        </is>
      </c>
      <c r="G580" t="n">
        <v>9.5</v>
      </c>
      <c r="H580" t="n">
        <v>0</v>
      </c>
      <c r="I580" t="n">
        <v>0</v>
      </c>
      <c r="J580" t="n">
        <v>0</v>
      </c>
      <c r="K580" t="n">
        <v>0</v>
      </c>
      <c r="L580" t="n">
        <v>0</v>
      </c>
      <c r="M580" t="n">
        <v>0</v>
      </c>
      <c r="N580" t="n">
        <v>0</v>
      </c>
      <c r="O580" t="n">
        <v>0</v>
      </c>
      <c r="P580" t="n">
        <v>0</v>
      </c>
      <c r="Q580" t="n">
        <v>0</v>
      </c>
      <c r="R580" s="2" t="inlineStr"/>
    </row>
    <row r="581" ht="15" customHeight="1">
      <c r="A581" t="inlineStr">
        <is>
          <t>A 46990-2025</t>
        </is>
      </c>
      <c r="B581" s="1" t="n">
        <v>45929.54004629629</v>
      </c>
      <c r="C581" s="1" t="n">
        <v>46087</v>
      </c>
      <c r="D581" t="inlineStr">
        <is>
          <t>VÄSTERBOTTENS LÄN</t>
        </is>
      </c>
      <c r="E581" t="inlineStr">
        <is>
          <t>UMEÅ</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46962-2025</t>
        </is>
      </c>
      <c r="B582" s="1" t="n">
        <v>45929.48913194444</v>
      </c>
      <c r="C582" s="1" t="n">
        <v>46087</v>
      </c>
      <c r="D582" t="inlineStr">
        <is>
          <t>VÄSTERBOTTENS LÄN</t>
        </is>
      </c>
      <c r="E582" t="inlineStr">
        <is>
          <t>UMEÅ</t>
        </is>
      </c>
      <c r="G582" t="n">
        <v>5.2</v>
      </c>
      <c r="H582" t="n">
        <v>0</v>
      </c>
      <c r="I582" t="n">
        <v>0</v>
      </c>
      <c r="J582" t="n">
        <v>0</v>
      </c>
      <c r="K582" t="n">
        <v>0</v>
      </c>
      <c r="L582" t="n">
        <v>0</v>
      </c>
      <c r="M582" t="n">
        <v>0</v>
      </c>
      <c r="N582" t="n">
        <v>0</v>
      </c>
      <c r="O582" t="n">
        <v>0</v>
      </c>
      <c r="P582" t="n">
        <v>0</v>
      </c>
      <c r="Q582" t="n">
        <v>0</v>
      </c>
      <c r="R582" s="2" t="inlineStr"/>
    </row>
    <row r="583" ht="15" customHeight="1">
      <c r="A583" t="inlineStr">
        <is>
          <t>A 34777-2021</t>
        </is>
      </c>
      <c r="B583" s="1" t="n">
        <v>44382</v>
      </c>
      <c r="C583" s="1" t="n">
        <v>46087</v>
      </c>
      <c r="D583" t="inlineStr">
        <is>
          <t>VÄSTERBOTTENS LÄN</t>
        </is>
      </c>
      <c r="E583" t="inlineStr">
        <is>
          <t>UMEÅ</t>
        </is>
      </c>
      <c r="G583" t="n">
        <v>3.7</v>
      </c>
      <c r="H583" t="n">
        <v>0</v>
      </c>
      <c r="I583" t="n">
        <v>0</v>
      </c>
      <c r="J583" t="n">
        <v>0</v>
      </c>
      <c r="K583" t="n">
        <v>0</v>
      </c>
      <c r="L583" t="n">
        <v>0</v>
      </c>
      <c r="M583" t="n">
        <v>0</v>
      </c>
      <c r="N583" t="n">
        <v>0</v>
      </c>
      <c r="O583" t="n">
        <v>0</v>
      </c>
      <c r="P583" t="n">
        <v>0</v>
      </c>
      <c r="Q583" t="n">
        <v>0</v>
      </c>
      <c r="R583" s="2" t="inlineStr"/>
    </row>
    <row r="584" ht="15" customHeight="1">
      <c r="A584" t="inlineStr">
        <is>
          <t>A 47171-2024</t>
        </is>
      </c>
      <c r="B584" s="1" t="n">
        <v>45586</v>
      </c>
      <c r="C584" s="1" t="n">
        <v>46087</v>
      </c>
      <c r="D584" t="inlineStr">
        <is>
          <t>VÄSTERBOTTENS LÄN</t>
        </is>
      </c>
      <c r="E584" t="inlineStr">
        <is>
          <t>UMEÅ</t>
        </is>
      </c>
      <c r="F584" t="inlineStr">
        <is>
          <t>Holmen skog AB</t>
        </is>
      </c>
      <c r="G584" t="n">
        <v>5.2</v>
      </c>
      <c r="H584" t="n">
        <v>0</v>
      </c>
      <c r="I584" t="n">
        <v>0</v>
      </c>
      <c r="J584" t="n">
        <v>0</v>
      </c>
      <c r="K584" t="n">
        <v>0</v>
      </c>
      <c r="L584" t="n">
        <v>0</v>
      </c>
      <c r="M584" t="n">
        <v>0</v>
      </c>
      <c r="N584" t="n">
        <v>0</v>
      </c>
      <c r="O584" t="n">
        <v>0</v>
      </c>
      <c r="P584" t="n">
        <v>0</v>
      </c>
      <c r="Q584" t="n">
        <v>0</v>
      </c>
      <c r="R584" s="2" t="inlineStr"/>
    </row>
    <row r="585" ht="15" customHeight="1">
      <c r="A585" t="inlineStr">
        <is>
          <t>A 59115-2025</t>
        </is>
      </c>
      <c r="B585" s="1" t="n">
        <v>45988.48995370371</v>
      </c>
      <c r="C585" s="1" t="n">
        <v>46087</v>
      </c>
      <c r="D585" t="inlineStr">
        <is>
          <t>VÄSTERBOTTENS LÄN</t>
        </is>
      </c>
      <c r="E585" t="inlineStr">
        <is>
          <t>UMEÅ</t>
        </is>
      </c>
      <c r="G585" t="n">
        <v>2.4</v>
      </c>
      <c r="H585" t="n">
        <v>0</v>
      </c>
      <c r="I585" t="n">
        <v>0</v>
      </c>
      <c r="J585" t="n">
        <v>0</v>
      </c>
      <c r="K585" t="n">
        <v>0</v>
      </c>
      <c r="L585" t="n">
        <v>0</v>
      </c>
      <c r="M585" t="n">
        <v>0</v>
      </c>
      <c r="N585" t="n">
        <v>0</v>
      </c>
      <c r="O585" t="n">
        <v>0</v>
      </c>
      <c r="P585" t="n">
        <v>0</v>
      </c>
      <c r="Q585" t="n">
        <v>0</v>
      </c>
      <c r="R585" s="2" t="inlineStr"/>
    </row>
    <row r="586" ht="15" customHeight="1">
      <c r="A586" t="inlineStr">
        <is>
          <t>A 59168-2025</t>
        </is>
      </c>
      <c r="B586" s="1" t="n">
        <v>45988</v>
      </c>
      <c r="C586" s="1" t="n">
        <v>46087</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46950-2025</t>
        </is>
      </c>
      <c r="B587" s="1" t="n">
        <v>45929.46907407408</v>
      </c>
      <c r="C587" s="1" t="n">
        <v>46087</v>
      </c>
      <c r="D587" t="inlineStr">
        <is>
          <t>VÄSTERBOTTENS LÄN</t>
        </is>
      </c>
      <c r="E587" t="inlineStr">
        <is>
          <t>UMEÅ</t>
        </is>
      </c>
      <c r="G587" t="n">
        <v>2.2</v>
      </c>
      <c r="H587" t="n">
        <v>0</v>
      </c>
      <c r="I587" t="n">
        <v>0</v>
      </c>
      <c r="J587" t="n">
        <v>0</v>
      </c>
      <c r="K587" t="n">
        <v>0</v>
      </c>
      <c r="L587" t="n">
        <v>0</v>
      </c>
      <c r="M587" t="n">
        <v>0</v>
      </c>
      <c r="N587" t="n">
        <v>0</v>
      </c>
      <c r="O587" t="n">
        <v>0</v>
      </c>
      <c r="P587" t="n">
        <v>0</v>
      </c>
      <c r="Q587" t="n">
        <v>0</v>
      </c>
      <c r="R587" s="2" t="inlineStr"/>
    </row>
    <row r="588" ht="15" customHeight="1">
      <c r="A588" t="inlineStr">
        <is>
          <t>A 24780-2025</t>
        </is>
      </c>
      <c r="B588" s="1" t="n">
        <v>45799</v>
      </c>
      <c r="C588" s="1" t="n">
        <v>46087</v>
      </c>
      <c r="D588" t="inlineStr">
        <is>
          <t>VÄSTERBOTTENS LÄN</t>
        </is>
      </c>
      <c r="E588" t="inlineStr">
        <is>
          <t>UMEÅ</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11157-2022</t>
        </is>
      </c>
      <c r="B589" s="1" t="n">
        <v>44629.39452546297</v>
      </c>
      <c r="C589" s="1" t="n">
        <v>46087</v>
      </c>
      <c r="D589" t="inlineStr">
        <is>
          <t>VÄSTERBOTTENS LÄN</t>
        </is>
      </c>
      <c r="E589" t="inlineStr">
        <is>
          <t>UMEÅ</t>
        </is>
      </c>
      <c r="G589" t="n">
        <v>2.3</v>
      </c>
      <c r="H589" t="n">
        <v>0</v>
      </c>
      <c r="I589" t="n">
        <v>0</v>
      </c>
      <c r="J589" t="n">
        <v>0</v>
      </c>
      <c r="K589" t="n">
        <v>0</v>
      </c>
      <c r="L589" t="n">
        <v>0</v>
      </c>
      <c r="M589" t="n">
        <v>0</v>
      </c>
      <c r="N589" t="n">
        <v>0</v>
      </c>
      <c r="O589" t="n">
        <v>0</v>
      </c>
      <c r="P589" t="n">
        <v>0</v>
      </c>
      <c r="Q589" t="n">
        <v>0</v>
      </c>
      <c r="R589" s="2" t="inlineStr"/>
    </row>
    <row r="590" ht="15" customHeight="1">
      <c r="A590" t="inlineStr">
        <is>
          <t>A 7382-2022</t>
        </is>
      </c>
      <c r="B590" s="1" t="n">
        <v>44606.61752314815</v>
      </c>
      <c r="C590" s="1" t="n">
        <v>46087</v>
      </c>
      <c r="D590" t="inlineStr">
        <is>
          <t>VÄSTERBOTTENS LÄN</t>
        </is>
      </c>
      <c r="E590" t="inlineStr">
        <is>
          <t>UMEÅ</t>
        </is>
      </c>
      <c r="G590" t="n">
        <v>3.8</v>
      </c>
      <c r="H590" t="n">
        <v>0</v>
      </c>
      <c r="I590" t="n">
        <v>0</v>
      </c>
      <c r="J590" t="n">
        <v>0</v>
      </c>
      <c r="K590" t="n">
        <v>0</v>
      </c>
      <c r="L590" t="n">
        <v>0</v>
      </c>
      <c r="M590" t="n">
        <v>0</v>
      </c>
      <c r="N590" t="n">
        <v>0</v>
      </c>
      <c r="O590" t="n">
        <v>0</v>
      </c>
      <c r="P590" t="n">
        <v>0</v>
      </c>
      <c r="Q590" t="n">
        <v>0</v>
      </c>
      <c r="R590" s="2" t="inlineStr"/>
    </row>
    <row r="591" ht="15" customHeight="1">
      <c r="A591" t="inlineStr">
        <is>
          <t>A 13181-2022</t>
        </is>
      </c>
      <c r="B591" s="1" t="n">
        <v>44644.47650462963</v>
      </c>
      <c r="C591" s="1" t="n">
        <v>46087</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10898-2025</t>
        </is>
      </c>
      <c r="B592" s="1" t="n">
        <v>45722</v>
      </c>
      <c r="C592" s="1" t="n">
        <v>46087</v>
      </c>
      <c r="D592" t="inlineStr">
        <is>
          <t>VÄSTERBOTTENS LÄN</t>
        </is>
      </c>
      <c r="E592" t="inlineStr">
        <is>
          <t>UMEÅ</t>
        </is>
      </c>
      <c r="G592" t="n">
        <v>1.1</v>
      </c>
      <c r="H592" t="n">
        <v>0</v>
      </c>
      <c r="I592" t="n">
        <v>0</v>
      </c>
      <c r="J592" t="n">
        <v>0</v>
      </c>
      <c r="K592" t="n">
        <v>0</v>
      </c>
      <c r="L592" t="n">
        <v>0</v>
      </c>
      <c r="M592" t="n">
        <v>0</v>
      </c>
      <c r="N592" t="n">
        <v>0</v>
      </c>
      <c r="O592" t="n">
        <v>0</v>
      </c>
      <c r="P592" t="n">
        <v>0</v>
      </c>
      <c r="Q592" t="n">
        <v>0</v>
      </c>
      <c r="R592" s="2" t="inlineStr"/>
    </row>
    <row r="593" ht="15" customHeight="1">
      <c r="A593" t="inlineStr">
        <is>
          <t>A 59344-2025</t>
        </is>
      </c>
      <c r="B593" s="1" t="n">
        <v>45989.39167824074</v>
      </c>
      <c r="C593" s="1" t="n">
        <v>46087</v>
      </c>
      <c r="D593" t="inlineStr">
        <is>
          <t>VÄSTERBOTTENS LÄN</t>
        </is>
      </c>
      <c r="E593" t="inlineStr">
        <is>
          <t>UMEÅ</t>
        </is>
      </c>
      <c r="G593" t="n">
        <v>0.3</v>
      </c>
      <c r="H593" t="n">
        <v>0</v>
      </c>
      <c r="I593" t="n">
        <v>0</v>
      </c>
      <c r="J593" t="n">
        <v>0</v>
      </c>
      <c r="K593" t="n">
        <v>0</v>
      </c>
      <c r="L593" t="n">
        <v>0</v>
      </c>
      <c r="M593" t="n">
        <v>0</v>
      </c>
      <c r="N593" t="n">
        <v>0</v>
      </c>
      <c r="O593" t="n">
        <v>0</v>
      </c>
      <c r="P593" t="n">
        <v>0</v>
      </c>
      <c r="Q593" t="n">
        <v>0</v>
      </c>
      <c r="R593" s="2" t="inlineStr"/>
    </row>
    <row r="594" ht="15" customHeight="1">
      <c r="A594" t="inlineStr">
        <is>
          <t>A 59734-2025</t>
        </is>
      </c>
      <c r="B594" s="1" t="n">
        <v>45992.57311342593</v>
      </c>
      <c r="C594" s="1" t="n">
        <v>46087</v>
      </c>
      <c r="D594" t="inlineStr">
        <is>
          <t>VÄSTERBOTTENS LÄN</t>
        </is>
      </c>
      <c r="E594" t="inlineStr">
        <is>
          <t>UMEÅ</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10718-2025</t>
        </is>
      </c>
      <c r="B595" s="1" t="n">
        <v>45722.37076388889</v>
      </c>
      <c r="C595" s="1" t="n">
        <v>46087</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59753-2025</t>
        </is>
      </c>
      <c r="B596" s="1" t="n">
        <v>45992.58590277778</v>
      </c>
      <c r="C596" s="1" t="n">
        <v>46087</v>
      </c>
      <c r="D596" t="inlineStr">
        <is>
          <t>VÄSTERBOTTENS LÄN</t>
        </is>
      </c>
      <c r="E596" t="inlineStr">
        <is>
          <t>UMEÅ</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59760-2025</t>
        </is>
      </c>
      <c r="B597" s="1" t="n">
        <v>45992.59212962963</v>
      </c>
      <c r="C597" s="1" t="n">
        <v>46087</v>
      </c>
      <c r="D597" t="inlineStr">
        <is>
          <t>VÄSTERBOTTENS LÄN</t>
        </is>
      </c>
      <c r="E597" t="inlineStr">
        <is>
          <t>UMEÅ</t>
        </is>
      </c>
      <c r="G597" t="n">
        <v>2.6</v>
      </c>
      <c r="H597" t="n">
        <v>0</v>
      </c>
      <c r="I597" t="n">
        <v>0</v>
      </c>
      <c r="J597" t="n">
        <v>0</v>
      </c>
      <c r="K597" t="n">
        <v>0</v>
      </c>
      <c r="L597" t="n">
        <v>0</v>
      </c>
      <c r="M597" t="n">
        <v>0</v>
      </c>
      <c r="N597" t="n">
        <v>0</v>
      </c>
      <c r="O597" t="n">
        <v>0</v>
      </c>
      <c r="P597" t="n">
        <v>0</v>
      </c>
      <c r="Q597" t="n">
        <v>0</v>
      </c>
      <c r="R597" s="2" t="inlineStr"/>
    </row>
    <row r="598" ht="15" customHeight="1">
      <c r="A598" t="inlineStr">
        <is>
          <t>A 60039-2025</t>
        </is>
      </c>
      <c r="B598" s="1" t="n">
        <v>45993.62074074074</v>
      </c>
      <c r="C598" s="1" t="n">
        <v>46087</v>
      </c>
      <c r="D598" t="inlineStr">
        <is>
          <t>VÄSTERBOTTENS LÄN</t>
        </is>
      </c>
      <c r="E598" t="inlineStr">
        <is>
          <t>UMEÅ</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1480-2023</t>
        </is>
      </c>
      <c r="B599" s="1" t="n">
        <v>44937</v>
      </c>
      <c r="C599" s="1" t="n">
        <v>46087</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59982-2025</t>
        </is>
      </c>
      <c r="B600" s="1" t="n">
        <v>45993.53934027778</v>
      </c>
      <c r="C600" s="1" t="n">
        <v>46087</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60074-2025</t>
        </is>
      </c>
      <c r="B601" s="1" t="n">
        <v>45993.67747685185</v>
      </c>
      <c r="C601" s="1" t="n">
        <v>46087</v>
      </c>
      <c r="D601" t="inlineStr">
        <is>
          <t>VÄSTERBOTTENS LÄN</t>
        </is>
      </c>
      <c r="E601" t="inlineStr">
        <is>
          <t>UMEÅ</t>
        </is>
      </c>
      <c r="G601" t="n">
        <v>9.9</v>
      </c>
      <c r="H601" t="n">
        <v>0</v>
      </c>
      <c r="I601" t="n">
        <v>0</v>
      </c>
      <c r="J601" t="n">
        <v>0</v>
      </c>
      <c r="K601" t="n">
        <v>0</v>
      </c>
      <c r="L601" t="n">
        <v>0</v>
      </c>
      <c r="M601" t="n">
        <v>0</v>
      </c>
      <c r="N601" t="n">
        <v>0</v>
      </c>
      <c r="O601" t="n">
        <v>0</v>
      </c>
      <c r="P601" t="n">
        <v>0</v>
      </c>
      <c r="Q601" t="n">
        <v>0</v>
      </c>
      <c r="R601" s="2" t="inlineStr"/>
    </row>
    <row r="602" ht="15" customHeight="1">
      <c r="A602" t="inlineStr">
        <is>
          <t>A 60088-2025</t>
        </is>
      </c>
      <c r="B602" s="1" t="n">
        <v>45993.71936342592</v>
      </c>
      <c r="C602" s="1" t="n">
        <v>46087</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7205-2025</t>
        </is>
      </c>
      <c r="B603" s="1" t="n">
        <v>45702.46836805555</v>
      </c>
      <c r="C603" s="1" t="n">
        <v>46087</v>
      </c>
      <c r="D603" t="inlineStr">
        <is>
          <t>VÄSTERBOTTENS LÄN</t>
        </is>
      </c>
      <c r="E603" t="inlineStr">
        <is>
          <t>UMEÅ</t>
        </is>
      </c>
      <c r="G603" t="n">
        <v>1</v>
      </c>
      <c r="H603" t="n">
        <v>0</v>
      </c>
      <c r="I603" t="n">
        <v>0</v>
      </c>
      <c r="J603" t="n">
        <v>0</v>
      </c>
      <c r="K603" t="n">
        <v>0</v>
      </c>
      <c r="L603" t="n">
        <v>0</v>
      </c>
      <c r="M603" t="n">
        <v>0</v>
      </c>
      <c r="N603" t="n">
        <v>0</v>
      </c>
      <c r="O603" t="n">
        <v>0</v>
      </c>
      <c r="P603" t="n">
        <v>0</v>
      </c>
      <c r="Q603" t="n">
        <v>0</v>
      </c>
      <c r="R603" s="2" t="inlineStr"/>
    </row>
    <row r="604" ht="15" customHeight="1">
      <c r="A604" t="inlineStr">
        <is>
          <t>A 25838-2025</t>
        </is>
      </c>
      <c r="B604" s="1" t="n">
        <v>45804.44883101852</v>
      </c>
      <c r="C604" s="1" t="n">
        <v>46087</v>
      </c>
      <c r="D604" t="inlineStr">
        <is>
          <t>VÄSTERBOTTENS LÄN</t>
        </is>
      </c>
      <c r="E604" t="inlineStr">
        <is>
          <t>UMEÅ</t>
        </is>
      </c>
      <c r="G604" t="n">
        <v>1.3</v>
      </c>
      <c r="H604" t="n">
        <v>0</v>
      </c>
      <c r="I604" t="n">
        <v>0</v>
      </c>
      <c r="J604" t="n">
        <v>0</v>
      </c>
      <c r="K604" t="n">
        <v>0</v>
      </c>
      <c r="L604" t="n">
        <v>0</v>
      </c>
      <c r="M604" t="n">
        <v>0</v>
      </c>
      <c r="N604" t="n">
        <v>0</v>
      </c>
      <c r="O604" t="n">
        <v>0</v>
      </c>
      <c r="P604" t="n">
        <v>0</v>
      </c>
      <c r="Q604" t="n">
        <v>0</v>
      </c>
      <c r="R604" s="2" t="inlineStr"/>
    </row>
    <row r="605" ht="15" customHeight="1">
      <c r="A605" t="inlineStr">
        <is>
          <t>A 9607-2023</t>
        </is>
      </c>
      <c r="B605" s="1" t="n">
        <v>44983</v>
      </c>
      <c r="C605" s="1" t="n">
        <v>46087</v>
      </c>
      <c r="D605" t="inlineStr">
        <is>
          <t>VÄSTERBOTTENS LÄN</t>
        </is>
      </c>
      <c r="E605" t="inlineStr">
        <is>
          <t>UMEÅ</t>
        </is>
      </c>
      <c r="F605" t="inlineStr">
        <is>
          <t>Holmen skog AB</t>
        </is>
      </c>
      <c r="G605" t="n">
        <v>5.2</v>
      </c>
      <c r="H605" t="n">
        <v>0</v>
      </c>
      <c r="I605" t="n">
        <v>0</v>
      </c>
      <c r="J605" t="n">
        <v>0</v>
      </c>
      <c r="K605" t="n">
        <v>0</v>
      </c>
      <c r="L605" t="n">
        <v>0</v>
      </c>
      <c r="M605" t="n">
        <v>0</v>
      </c>
      <c r="N605" t="n">
        <v>0</v>
      </c>
      <c r="O605" t="n">
        <v>0</v>
      </c>
      <c r="P605" t="n">
        <v>0</v>
      </c>
      <c r="Q605" t="n">
        <v>0</v>
      </c>
      <c r="R605" s="2" t="inlineStr"/>
    </row>
    <row r="606" ht="15" customHeight="1">
      <c r="A606" t="inlineStr">
        <is>
          <t>A 56743-2023</t>
        </is>
      </c>
      <c r="B606" s="1" t="n">
        <v>45244</v>
      </c>
      <c r="C606" s="1" t="n">
        <v>46087</v>
      </c>
      <c r="D606" t="inlineStr">
        <is>
          <t>VÄSTERBOTTENS LÄN</t>
        </is>
      </c>
      <c r="E606" t="inlineStr">
        <is>
          <t>UMEÅ</t>
        </is>
      </c>
      <c r="G606" t="n">
        <v>1.4</v>
      </c>
      <c r="H606" t="n">
        <v>0</v>
      </c>
      <c r="I606" t="n">
        <v>0</v>
      </c>
      <c r="J606" t="n">
        <v>0</v>
      </c>
      <c r="K606" t="n">
        <v>0</v>
      </c>
      <c r="L606" t="n">
        <v>0</v>
      </c>
      <c r="M606" t="n">
        <v>0</v>
      </c>
      <c r="N606" t="n">
        <v>0</v>
      </c>
      <c r="O606" t="n">
        <v>0</v>
      </c>
      <c r="P606" t="n">
        <v>0</v>
      </c>
      <c r="Q606" t="n">
        <v>0</v>
      </c>
      <c r="R606" s="2" t="inlineStr"/>
    </row>
    <row r="607" ht="15" customHeight="1">
      <c r="A607" t="inlineStr">
        <is>
          <t>A 17344-2025</t>
        </is>
      </c>
      <c r="B607" s="1" t="n">
        <v>45756.67138888889</v>
      </c>
      <c r="C607" s="1" t="n">
        <v>46087</v>
      </c>
      <c r="D607" t="inlineStr">
        <is>
          <t>VÄSTERBOTTENS LÄN</t>
        </is>
      </c>
      <c r="E607" t="inlineStr">
        <is>
          <t>UMEÅ</t>
        </is>
      </c>
      <c r="G607" t="n">
        <v>3.3</v>
      </c>
      <c r="H607" t="n">
        <v>0</v>
      </c>
      <c r="I607" t="n">
        <v>0</v>
      </c>
      <c r="J607" t="n">
        <v>0</v>
      </c>
      <c r="K607" t="n">
        <v>0</v>
      </c>
      <c r="L607" t="n">
        <v>0</v>
      </c>
      <c r="M607" t="n">
        <v>0</v>
      </c>
      <c r="N607" t="n">
        <v>0</v>
      </c>
      <c r="O607" t="n">
        <v>0</v>
      </c>
      <c r="P607" t="n">
        <v>0</v>
      </c>
      <c r="Q607" t="n">
        <v>0</v>
      </c>
      <c r="R607" s="2" t="inlineStr"/>
    </row>
    <row r="608" ht="15" customHeight="1">
      <c r="A608" t="inlineStr">
        <is>
          <t>A 61218-2025</t>
        </is>
      </c>
      <c r="B608" s="1" t="n">
        <v>46000.6234837963</v>
      </c>
      <c r="C608" s="1" t="n">
        <v>46087</v>
      </c>
      <c r="D608" t="inlineStr">
        <is>
          <t>VÄSTERBOTTENS LÄN</t>
        </is>
      </c>
      <c r="E608" t="inlineStr">
        <is>
          <t>UMEÅ</t>
        </is>
      </c>
      <c r="F608" t="inlineStr">
        <is>
          <t>Sveaskog</t>
        </is>
      </c>
      <c r="G608" t="n">
        <v>2.7</v>
      </c>
      <c r="H608" t="n">
        <v>0</v>
      </c>
      <c r="I608" t="n">
        <v>0</v>
      </c>
      <c r="J608" t="n">
        <v>0</v>
      </c>
      <c r="K608" t="n">
        <v>0</v>
      </c>
      <c r="L608" t="n">
        <v>0</v>
      </c>
      <c r="M608" t="n">
        <v>0</v>
      </c>
      <c r="N608" t="n">
        <v>0</v>
      </c>
      <c r="O608" t="n">
        <v>0</v>
      </c>
      <c r="P608" t="n">
        <v>0</v>
      </c>
      <c r="Q608" t="n">
        <v>0</v>
      </c>
      <c r="R608" s="2" t="inlineStr"/>
    </row>
    <row r="609" ht="15" customHeight="1">
      <c r="A609" t="inlineStr">
        <is>
          <t>A 46122-2024</t>
        </is>
      </c>
      <c r="B609" s="1" t="n">
        <v>45581.41333333333</v>
      </c>
      <c r="C609" s="1" t="n">
        <v>46087</v>
      </c>
      <c r="D609" t="inlineStr">
        <is>
          <t>VÄSTERBOTTENS LÄN</t>
        </is>
      </c>
      <c r="E609" t="inlineStr">
        <is>
          <t>UMEÅ</t>
        </is>
      </c>
      <c r="G609" t="n">
        <v>3.2</v>
      </c>
      <c r="H609" t="n">
        <v>0</v>
      </c>
      <c r="I609" t="n">
        <v>0</v>
      </c>
      <c r="J609" t="n">
        <v>0</v>
      </c>
      <c r="K609" t="n">
        <v>0</v>
      </c>
      <c r="L609" t="n">
        <v>0</v>
      </c>
      <c r="M609" t="n">
        <v>0</v>
      </c>
      <c r="N609" t="n">
        <v>0</v>
      </c>
      <c r="O609" t="n">
        <v>0</v>
      </c>
      <c r="P609" t="n">
        <v>0</v>
      </c>
      <c r="Q609" t="n">
        <v>0</v>
      </c>
      <c r="R609" s="2" t="inlineStr"/>
    </row>
    <row r="610" ht="15" customHeight="1">
      <c r="A610" t="inlineStr">
        <is>
          <t>A 60808-2025</t>
        </is>
      </c>
      <c r="B610" s="1" t="n">
        <v>45999.43951388889</v>
      </c>
      <c r="C610" s="1" t="n">
        <v>46087</v>
      </c>
      <c r="D610" t="inlineStr">
        <is>
          <t>VÄSTERBOTTENS LÄN</t>
        </is>
      </c>
      <c r="E610" t="inlineStr">
        <is>
          <t>UMEÅ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60798-2025</t>
        </is>
      </c>
      <c r="B611" s="1" t="n">
        <v>45999.42503472222</v>
      </c>
      <c r="C611" s="1" t="n">
        <v>46087</v>
      </c>
      <c r="D611" t="inlineStr">
        <is>
          <t>VÄSTERBOTTENS LÄN</t>
        </is>
      </c>
      <c r="E611" t="inlineStr">
        <is>
          <t>UMEÅ</t>
        </is>
      </c>
      <c r="G611" t="n">
        <v>4</v>
      </c>
      <c r="H611" t="n">
        <v>0</v>
      </c>
      <c r="I611" t="n">
        <v>0</v>
      </c>
      <c r="J611" t="n">
        <v>0</v>
      </c>
      <c r="K611" t="n">
        <v>0</v>
      </c>
      <c r="L611" t="n">
        <v>0</v>
      </c>
      <c r="M611" t="n">
        <v>0</v>
      </c>
      <c r="N611" t="n">
        <v>0</v>
      </c>
      <c r="O611" t="n">
        <v>0</v>
      </c>
      <c r="P611" t="n">
        <v>0</v>
      </c>
      <c r="Q611" t="n">
        <v>0</v>
      </c>
      <c r="R611" s="2" t="inlineStr"/>
    </row>
    <row r="612" ht="15" customHeight="1">
      <c r="A612" t="inlineStr">
        <is>
          <t>A 15105-2024</t>
        </is>
      </c>
      <c r="B612" s="1" t="n">
        <v>45399</v>
      </c>
      <c r="C612" s="1" t="n">
        <v>46087</v>
      </c>
      <c r="D612" t="inlineStr">
        <is>
          <t>VÄSTERBOTTENS LÄN</t>
        </is>
      </c>
      <c r="E612" t="inlineStr">
        <is>
          <t>UMEÅ</t>
        </is>
      </c>
      <c r="G612" t="n">
        <v>2.2</v>
      </c>
      <c r="H612" t="n">
        <v>0</v>
      </c>
      <c r="I612" t="n">
        <v>0</v>
      </c>
      <c r="J612" t="n">
        <v>0</v>
      </c>
      <c r="K612" t="n">
        <v>0</v>
      </c>
      <c r="L612" t="n">
        <v>0</v>
      </c>
      <c r="M612" t="n">
        <v>0</v>
      </c>
      <c r="N612" t="n">
        <v>0</v>
      </c>
      <c r="O612" t="n">
        <v>0</v>
      </c>
      <c r="P612" t="n">
        <v>0</v>
      </c>
      <c r="Q612" t="n">
        <v>0</v>
      </c>
      <c r="R612" s="2" t="inlineStr"/>
    </row>
    <row r="613" ht="15" customHeight="1">
      <c r="A613" t="inlineStr">
        <is>
          <t>A 31928-2024</t>
        </is>
      </c>
      <c r="B613" s="1" t="n">
        <v>45510.40539351852</v>
      </c>
      <c r="C613" s="1" t="n">
        <v>46087</v>
      </c>
      <c r="D613" t="inlineStr">
        <is>
          <t>VÄSTERBOTTENS LÄN</t>
        </is>
      </c>
      <c r="E613" t="inlineStr">
        <is>
          <t>UMEÅ</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41732-2023</t>
        </is>
      </c>
      <c r="B614" s="1" t="n">
        <v>45176</v>
      </c>
      <c r="C614" s="1" t="n">
        <v>46087</v>
      </c>
      <c r="D614" t="inlineStr">
        <is>
          <t>VÄSTERBOTTENS LÄN</t>
        </is>
      </c>
      <c r="E614" t="inlineStr">
        <is>
          <t>UMEÅ</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61214-2025</t>
        </is>
      </c>
      <c r="B615" s="1" t="n">
        <v>46000.61884259259</v>
      </c>
      <c r="C615" s="1" t="n">
        <v>46087</v>
      </c>
      <c r="D615" t="inlineStr">
        <is>
          <t>VÄSTERBOTTENS LÄN</t>
        </is>
      </c>
      <c r="E615" t="inlineStr">
        <is>
          <t>UMEÅ</t>
        </is>
      </c>
      <c r="G615" t="n">
        <v>5.9</v>
      </c>
      <c r="H615" t="n">
        <v>0</v>
      </c>
      <c r="I615" t="n">
        <v>0</v>
      </c>
      <c r="J615" t="n">
        <v>0</v>
      </c>
      <c r="K615" t="n">
        <v>0</v>
      </c>
      <c r="L615" t="n">
        <v>0</v>
      </c>
      <c r="M615" t="n">
        <v>0</v>
      </c>
      <c r="N615" t="n">
        <v>0</v>
      </c>
      <c r="O615" t="n">
        <v>0</v>
      </c>
      <c r="P615" t="n">
        <v>0</v>
      </c>
      <c r="Q615" t="n">
        <v>0</v>
      </c>
      <c r="R615" s="2" t="inlineStr"/>
    </row>
    <row r="616" ht="15" customHeight="1">
      <c r="A616" t="inlineStr">
        <is>
          <t>A 50879-2023</t>
        </is>
      </c>
      <c r="B616" s="1" t="n">
        <v>45211</v>
      </c>
      <c r="C616" s="1" t="n">
        <v>46087</v>
      </c>
      <c r="D616" t="inlineStr">
        <is>
          <t>VÄSTERBOTTENS LÄN</t>
        </is>
      </c>
      <c r="E616" t="inlineStr">
        <is>
          <t>UMEÅ</t>
        </is>
      </c>
      <c r="G616" t="n">
        <v>2.7</v>
      </c>
      <c r="H616" t="n">
        <v>0</v>
      </c>
      <c r="I616" t="n">
        <v>0</v>
      </c>
      <c r="J616" t="n">
        <v>0</v>
      </c>
      <c r="K616" t="n">
        <v>0</v>
      </c>
      <c r="L616" t="n">
        <v>0</v>
      </c>
      <c r="M616" t="n">
        <v>0</v>
      </c>
      <c r="N616" t="n">
        <v>0</v>
      </c>
      <c r="O616" t="n">
        <v>0</v>
      </c>
      <c r="P616" t="n">
        <v>0</v>
      </c>
      <c r="Q616" t="n">
        <v>0</v>
      </c>
      <c r="R616" s="2" t="inlineStr"/>
    </row>
    <row r="617" ht="15" customHeight="1">
      <c r="A617" t="inlineStr">
        <is>
          <t>A 61241-2025</t>
        </is>
      </c>
      <c r="B617" s="1" t="n">
        <v>46000.65633101852</v>
      </c>
      <c r="C617" s="1" t="n">
        <v>46087</v>
      </c>
      <c r="D617" t="inlineStr">
        <is>
          <t>VÄSTERBOTTENS LÄN</t>
        </is>
      </c>
      <c r="E617" t="inlineStr">
        <is>
          <t>UMEÅ</t>
        </is>
      </c>
      <c r="G617" t="n">
        <v>2.4</v>
      </c>
      <c r="H617" t="n">
        <v>0</v>
      </c>
      <c r="I617" t="n">
        <v>0</v>
      </c>
      <c r="J617" t="n">
        <v>0</v>
      </c>
      <c r="K617" t="n">
        <v>0</v>
      </c>
      <c r="L617" t="n">
        <v>0</v>
      </c>
      <c r="M617" t="n">
        <v>0</v>
      </c>
      <c r="N617" t="n">
        <v>0</v>
      </c>
      <c r="O617" t="n">
        <v>0</v>
      </c>
      <c r="P617" t="n">
        <v>0</v>
      </c>
      <c r="Q617" t="n">
        <v>0</v>
      </c>
      <c r="R617" s="2" t="inlineStr"/>
    </row>
    <row r="618" ht="15" customHeight="1">
      <c r="A618" t="inlineStr">
        <is>
          <t>A 61243-2025</t>
        </is>
      </c>
      <c r="B618" s="1" t="n">
        <v>46000.65924768519</v>
      </c>
      <c r="C618" s="1" t="n">
        <v>46087</v>
      </c>
      <c r="D618" t="inlineStr">
        <is>
          <t>VÄSTERBOTTENS LÄN</t>
        </is>
      </c>
      <c r="E618" t="inlineStr">
        <is>
          <t>UMEÅ</t>
        </is>
      </c>
      <c r="G618" t="n">
        <v>2.6</v>
      </c>
      <c r="H618" t="n">
        <v>0</v>
      </c>
      <c r="I618" t="n">
        <v>0</v>
      </c>
      <c r="J618" t="n">
        <v>0</v>
      </c>
      <c r="K618" t="n">
        <v>0</v>
      </c>
      <c r="L618" t="n">
        <v>0</v>
      </c>
      <c r="M618" t="n">
        <v>0</v>
      </c>
      <c r="N618" t="n">
        <v>0</v>
      </c>
      <c r="O618" t="n">
        <v>0</v>
      </c>
      <c r="P618" t="n">
        <v>0</v>
      </c>
      <c r="Q618" t="n">
        <v>0</v>
      </c>
      <c r="R618" s="2" t="inlineStr"/>
    </row>
    <row r="619" ht="15" customHeight="1">
      <c r="A619" t="inlineStr">
        <is>
          <t>A 61448-2025</t>
        </is>
      </c>
      <c r="B619" s="1" t="n">
        <v>46001.57563657407</v>
      </c>
      <c r="C619" s="1" t="n">
        <v>46087</v>
      </c>
      <c r="D619" t="inlineStr">
        <is>
          <t>VÄSTERBOTTENS LÄN</t>
        </is>
      </c>
      <c r="E619" t="inlineStr">
        <is>
          <t>UMEÅ</t>
        </is>
      </c>
      <c r="G619" t="n">
        <v>1.2</v>
      </c>
      <c r="H619" t="n">
        <v>0</v>
      </c>
      <c r="I619" t="n">
        <v>0</v>
      </c>
      <c r="J619" t="n">
        <v>0</v>
      </c>
      <c r="K619" t="n">
        <v>0</v>
      </c>
      <c r="L619" t="n">
        <v>0</v>
      </c>
      <c r="M619" t="n">
        <v>0</v>
      </c>
      <c r="N619" t="n">
        <v>0</v>
      </c>
      <c r="O619" t="n">
        <v>0</v>
      </c>
      <c r="P619" t="n">
        <v>0</v>
      </c>
      <c r="Q619" t="n">
        <v>0</v>
      </c>
      <c r="R619" s="2" t="inlineStr"/>
    </row>
    <row r="620" ht="15" customHeight="1">
      <c r="A620" t="inlineStr">
        <is>
          <t>A 11061-2025</t>
        </is>
      </c>
      <c r="B620" s="1" t="n">
        <v>45723.51538194445</v>
      </c>
      <c r="C620" s="1" t="n">
        <v>46087</v>
      </c>
      <c r="D620" t="inlineStr">
        <is>
          <t>VÄSTERBOTTENS LÄN</t>
        </is>
      </c>
      <c r="E620" t="inlineStr">
        <is>
          <t>UMEÅ</t>
        </is>
      </c>
      <c r="G620" t="n">
        <v>1.8</v>
      </c>
      <c r="H620" t="n">
        <v>0</v>
      </c>
      <c r="I620" t="n">
        <v>0</v>
      </c>
      <c r="J620" t="n">
        <v>0</v>
      </c>
      <c r="K620" t="n">
        <v>0</v>
      </c>
      <c r="L620" t="n">
        <v>0</v>
      </c>
      <c r="M620" t="n">
        <v>0</v>
      </c>
      <c r="N620" t="n">
        <v>0</v>
      </c>
      <c r="O620" t="n">
        <v>0</v>
      </c>
      <c r="P620" t="n">
        <v>0</v>
      </c>
      <c r="Q620" t="n">
        <v>0</v>
      </c>
      <c r="R620" s="2" t="inlineStr"/>
    </row>
    <row r="621" ht="15" customHeight="1">
      <c r="A621" t="inlineStr">
        <is>
          <t>A 54439-2021</t>
        </is>
      </c>
      <c r="B621" s="1" t="n">
        <v>44473</v>
      </c>
      <c r="C621" s="1" t="n">
        <v>46087</v>
      </c>
      <c r="D621" t="inlineStr">
        <is>
          <t>VÄSTERBOTTENS LÄN</t>
        </is>
      </c>
      <c r="E621" t="inlineStr">
        <is>
          <t>UMEÅ</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54354-2021</t>
        </is>
      </c>
      <c r="B622" s="1" t="n">
        <v>44473</v>
      </c>
      <c r="C622" s="1" t="n">
        <v>46087</v>
      </c>
      <c r="D622" t="inlineStr">
        <is>
          <t>VÄSTERBOTTENS LÄN</t>
        </is>
      </c>
      <c r="E622" t="inlineStr">
        <is>
          <t>UMEÅ</t>
        </is>
      </c>
      <c r="F622" t="inlineStr">
        <is>
          <t>Holmen skog AB</t>
        </is>
      </c>
      <c r="G622" t="n">
        <v>2.2</v>
      </c>
      <c r="H622" t="n">
        <v>0</v>
      </c>
      <c r="I622" t="n">
        <v>0</v>
      </c>
      <c r="J622" t="n">
        <v>0</v>
      </c>
      <c r="K622" t="n">
        <v>0</v>
      </c>
      <c r="L622" t="n">
        <v>0</v>
      </c>
      <c r="M622" t="n">
        <v>0</v>
      </c>
      <c r="N622" t="n">
        <v>0</v>
      </c>
      <c r="O622" t="n">
        <v>0</v>
      </c>
      <c r="P622" t="n">
        <v>0</v>
      </c>
      <c r="Q622" t="n">
        <v>0</v>
      </c>
      <c r="R622" s="2" t="inlineStr"/>
    </row>
    <row r="623" ht="15" customHeight="1">
      <c r="A623" t="inlineStr">
        <is>
          <t>A 42649-2024</t>
        </is>
      </c>
      <c r="B623" s="1" t="n">
        <v>45566</v>
      </c>
      <c r="C623" s="1" t="n">
        <v>46087</v>
      </c>
      <c r="D623" t="inlineStr">
        <is>
          <t>VÄSTERBOTTENS LÄN</t>
        </is>
      </c>
      <c r="E623" t="inlineStr">
        <is>
          <t>UMEÅ</t>
        </is>
      </c>
      <c r="F623" t="inlineStr">
        <is>
          <t>Holmen skog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26310-2025</t>
        </is>
      </c>
      <c r="B624" s="1" t="n">
        <v>45805.65432870371</v>
      </c>
      <c r="C624" s="1" t="n">
        <v>46087</v>
      </c>
      <c r="D624" t="inlineStr">
        <is>
          <t>VÄSTERBOTTENS LÄN</t>
        </is>
      </c>
      <c r="E624" t="inlineStr">
        <is>
          <t>UMEÅ</t>
        </is>
      </c>
      <c r="G624" t="n">
        <v>2</v>
      </c>
      <c r="H624" t="n">
        <v>0</v>
      </c>
      <c r="I624" t="n">
        <v>0</v>
      </c>
      <c r="J624" t="n">
        <v>0</v>
      </c>
      <c r="K624" t="n">
        <v>0</v>
      </c>
      <c r="L624" t="n">
        <v>0</v>
      </c>
      <c r="M624" t="n">
        <v>0</v>
      </c>
      <c r="N624" t="n">
        <v>0</v>
      </c>
      <c r="O624" t="n">
        <v>0</v>
      </c>
      <c r="P624" t="n">
        <v>0</v>
      </c>
      <c r="Q624" t="n">
        <v>0</v>
      </c>
      <c r="R624" s="2" t="inlineStr"/>
    </row>
    <row r="625" ht="15" customHeight="1">
      <c r="A625" t="inlineStr">
        <is>
          <t>A 61223-2025</t>
        </is>
      </c>
      <c r="B625" s="1" t="n">
        <v>46000.62924768519</v>
      </c>
      <c r="C625" s="1" t="n">
        <v>46087</v>
      </c>
      <c r="D625" t="inlineStr">
        <is>
          <t>VÄSTERBOTTENS LÄN</t>
        </is>
      </c>
      <c r="E625" t="inlineStr">
        <is>
          <t>UMEÅ</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61458-2025</t>
        </is>
      </c>
      <c r="B626" s="1" t="n">
        <v>46001.59408564815</v>
      </c>
      <c r="C626" s="1" t="n">
        <v>46087</v>
      </c>
      <c r="D626" t="inlineStr">
        <is>
          <t>VÄSTERBOTTENS LÄN</t>
        </is>
      </c>
      <c r="E626" t="inlineStr">
        <is>
          <t>UMEÅ</t>
        </is>
      </c>
      <c r="G626" t="n">
        <v>1.9</v>
      </c>
      <c r="H626" t="n">
        <v>0</v>
      </c>
      <c r="I626" t="n">
        <v>0</v>
      </c>
      <c r="J626" t="n">
        <v>0</v>
      </c>
      <c r="K626" t="n">
        <v>0</v>
      </c>
      <c r="L626" t="n">
        <v>0</v>
      </c>
      <c r="M626" t="n">
        <v>0</v>
      </c>
      <c r="N626" t="n">
        <v>0</v>
      </c>
      <c r="O626" t="n">
        <v>0</v>
      </c>
      <c r="P626" t="n">
        <v>0</v>
      </c>
      <c r="Q626" t="n">
        <v>0</v>
      </c>
      <c r="R626" s="2" t="inlineStr"/>
    </row>
    <row r="627" ht="15" customHeight="1">
      <c r="A627" t="inlineStr">
        <is>
          <t>A 34331-2024</t>
        </is>
      </c>
      <c r="B627" s="1" t="n">
        <v>45524</v>
      </c>
      <c r="C627" s="1" t="n">
        <v>46087</v>
      </c>
      <c r="D627" t="inlineStr">
        <is>
          <t>VÄSTERBOTTENS LÄN</t>
        </is>
      </c>
      <c r="E627" t="inlineStr">
        <is>
          <t>UMEÅ</t>
        </is>
      </c>
      <c r="F627" t="inlineStr">
        <is>
          <t>Holmen skog AB</t>
        </is>
      </c>
      <c r="G627" t="n">
        <v>3.4</v>
      </c>
      <c r="H627" t="n">
        <v>0</v>
      </c>
      <c r="I627" t="n">
        <v>0</v>
      </c>
      <c r="J627" t="n">
        <v>0</v>
      </c>
      <c r="K627" t="n">
        <v>0</v>
      </c>
      <c r="L627" t="n">
        <v>0</v>
      </c>
      <c r="M627" t="n">
        <v>0</v>
      </c>
      <c r="N627" t="n">
        <v>0</v>
      </c>
      <c r="O627" t="n">
        <v>0</v>
      </c>
      <c r="P627" t="n">
        <v>0</v>
      </c>
      <c r="Q627" t="n">
        <v>0</v>
      </c>
      <c r="R627" s="2" t="inlineStr"/>
    </row>
    <row r="628" ht="15" customHeight="1">
      <c r="A628" t="inlineStr">
        <is>
          <t>A 18889-2025</t>
        </is>
      </c>
      <c r="B628" s="1" t="n">
        <v>45764.44584490741</v>
      </c>
      <c r="C628" s="1" t="n">
        <v>46087</v>
      </c>
      <c r="D628" t="inlineStr">
        <is>
          <t>VÄSTERBOTTENS LÄN</t>
        </is>
      </c>
      <c r="E628" t="inlineStr">
        <is>
          <t>UMEÅ</t>
        </is>
      </c>
      <c r="F628" t="inlineStr">
        <is>
          <t>Holmen skog AB</t>
        </is>
      </c>
      <c r="G628" t="n">
        <v>8.1</v>
      </c>
      <c r="H628" t="n">
        <v>0</v>
      </c>
      <c r="I628" t="n">
        <v>0</v>
      </c>
      <c r="J628" t="n">
        <v>0</v>
      </c>
      <c r="K628" t="n">
        <v>0</v>
      </c>
      <c r="L628" t="n">
        <v>0</v>
      </c>
      <c r="M628" t="n">
        <v>0</v>
      </c>
      <c r="N628" t="n">
        <v>0</v>
      </c>
      <c r="O628" t="n">
        <v>0</v>
      </c>
      <c r="P628" t="n">
        <v>0</v>
      </c>
      <c r="Q628" t="n">
        <v>0</v>
      </c>
      <c r="R628" s="2" t="inlineStr"/>
    </row>
    <row r="629" ht="15" customHeight="1">
      <c r="A629" t="inlineStr">
        <is>
          <t>A 62232-2025</t>
        </is>
      </c>
      <c r="B629" s="1" t="n">
        <v>46006.59313657408</v>
      </c>
      <c r="C629" s="1" t="n">
        <v>46087</v>
      </c>
      <c r="D629" t="inlineStr">
        <is>
          <t>VÄSTERBOTTENS LÄN</t>
        </is>
      </c>
      <c r="E629" t="inlineStr">
        <is>
          <t>UMEÅ</t>
        </is>
      </c>
      <c r="G629" t="n">
        <v>2</v>
      </c>
      <c r="H629" t="n">
        <v>0</v>
      </c>
      <c r="I629" t="n">
        <v>0</v>
      </c>
      <c r="J629" t="n">
        <v>0</v>
      </c>
      <c r="K629" t="n">
        <v>0</v>
      </c>
      <c r="L629" t="n">
        <v>0</v>
      </c>
      <c r="M629" t="n">
        <v>0</v>
      </c>
      <c r="N629" t="n">
        <v>0</v>
      </c>
      <c r="O629" t="n">
        <v>0</v>
      </c>
      <c r="P629" t="n">
        <v>0</v>
      </c>
      <c r="Q629" t="n">
        <v>0</v>
      </c>
      <c r="R629" s="2" t="inlineStr"/>
    </row>
    <row r="630" ht="15" customHeight="1">
      <c r="A630" t="inlineStr">
        <is>
          <t>A 26183-2025</t>
        </is>
      </c>
      <c r="B630" s="1" t="n">
        <v>45805.47530092593</v>
      </c>
      <c r="C630" s="1" t="n">
        <v>46087</v>
      </c>
      <c r="D630" t="inlineStr">
        <is>
          <t>VÄSTERBOTTENS LÄN</t>
        </is>
      </c>
      <c r="E630" t="inlineStr">
        <is>
          <t>UMEÅ</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61872-2025</t>
        </is>
      </c>
      <c r="B631" s="1" t="n">
        <v>46003.40660879629</v>
      </c>
      <c r="C631" s="1" t="n">
        <v>46087</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13821-2025</t>
        </is>
      </c>
      <c r="B632" s="1" t="n">
        <v>45737.53157407408</v>
      </c>
      <c r="C632" s="1" t="n">
        <v>46087</v>
      </c>
      <c r="D632" t="inlineStr">
        <is>
          <t>VÄSTERBOTTENS LÄN</t>
        </is>
      </c>
      <c r="E632" t="inlineStr">
        <is>
          <t>UMEÅ</t>
        </is>
      </c>
      <c r="G632" t="n">
        <v>7.1</v>
      </c>
      <c r="H632" t="n">
        <v>0</v>
      </c>
      <c r="I632" t="n">
        <v>0</v>
      </c>
      <c r="J632" t="n">
        <v>0</v>
      </c>
      <c r="K632" t="n">
        <v>0</v>
      </c>
      <c r="L632" t="n">
        <v>0</v>
      </c>
      <c r="M632" t="n">
        <v>0</v>
      </c>
      <c r="N632" t="n">
        <v>0</v>
      </c>
      <c r="O632" t="n">
        <v>0</v>
      </c>
      <c r="P632" t="n">
        <v>0</v>
      </c>
      <c r="Q632" t="n">
        <v>0</v>
      </c>
      <c r="R632" s="2" t="inlineStr"/>
    </row>
    <row r="633" ht="15" customHeight="1">
      <c r="A633" t="inlineStr">
        <is>
          <t>A 4362-2026</t>
        </is>
      </c>
      <c r="B633" s="1" t="n">
        <v>46045.54386574074</v>
      </c>
      <c r="C633" s="1" t="n">
        <v>46087</v>
      </c>
      <c r="D633" t="inlineStr">
        <is>
          <t>VÄSTERBOTTENS LÄN</t>
        </is>
      </c>
      <c r="E633" t="inlineStr">
        <is>
          <t>UMEÅ</t>
        </is>
      </c>
      <c r="G633" t="n">
        <v>2</v>
      </c>
      <c r="H633" t="n">
        <v>0</v>
      </c>
      <c r="I633" t="n">
        <v>0</v>
      </c>
      <c r="J633" t="n">
        <v>0</v>
      </c>
      <c r="K633" t="n">
        <v>0</v>
      </c>
      <c r="L633" t="n">
        <v>0</v>
      </c>
      <c r="M633" t="n">
        <v>0</v>
      </c>
      <c r="N633" t="n">
        <v>0</v>
      </c>
      <c r="O633" t="n">
        <v>0</v>
      </c>
      <c r="P633" t="n">
        <v>0</v>
      </c>
      <c r="Q633" t="n">
        <v>0</v>
      </c>
      <c r="R633" s="2" t="inlineStr"/>
    </row>
    <row r="634" ht="15" customHeight="1">
      <c r="A634" t="inlineStr">
        <is>
          <t>A 62089-2025</t>
        </is>
      </c>
      <c r="B634" s="1" t="n">
        <v>46006.37834490741</v>
      </c>
      <c r="C634" s="1" t="n">
        <v>46087</v>
      </c>
      <c r="D634" t="inlineStr">
        <is>
          <t>VÄSTERBOTTENS LÄN</t>
        </is>
      </c>
      <c r="E634" t="inlineStr">
        <is>
          <t>UMEÅ</t>
        </is>
      </c>
      <c r="G634" t="n">
        <v>0.5</v>
      </c>
      <c r="H634" t="n">
        <v>0</v>
      </c>
      <c r="I634" t="n">
        <v>0</v>
      </c>
      <c r="J634" t="n">
        <v>0</v>
      </c>
      <c r="K634" t="n">
        <v>0</v>
      </c>
      <c r="L634" t="n">
        <v>0</v>
      </c>
      <c r="M634" t="n">
        <v>0</v>
      </c>
      <c r="N634" t="n">
        <v>0</v>
      </c>
      <c r="O634" t="n">
        <v>0</v>
      </c>
      <c r="P634" t="n">
        <v>0</v>
      </c>
      <c r="Q634" t="n">
        <v>0</v>
      </c>
      <c r="R634" s="2" t="inlineStr"/>
    </row>
    <row r="635" ht="15" customHeight="1">
      <c r="A635" t="inlineStr">
        <is>
          <t>A 4914-2026</t>
        </is>
      </c>
      <c r="B635" s="1" t="n">
        <v>46048.73274305555</v>
      </c>
      <c r="C635" s="1" t="n">
        <v>46087</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1003-2025</t>
        </is>
      </c>
      <c r="B636" s="1" t="n">
        <v>45666.47462962963</v>
      </c>
      <c r="C636" s="1" t="n">
        <v>46087</v>
      </c>
      <c r="D636" t="inlineStr">
        <is>
          <t>VÄSTERBOTTENS LÄN</t>
        </is>
      </c>
      <c r="E636" t="inlineStr">
        <is>
          <t>UMEÅ</t>
        </is>
      </c>
      <c r="G636" t="n">
        <v>13.5</v>
      </c>
      <c r="H636" t="n">
        <v>0</v>
      </c>
      <c r="I636" t="n">
        <v>0</v>
      </c>
      <c r="J636" t="n">
        <v>0</v>
      </c>
      <c r="K636" t="n">
        <v>0</v>
      </c>
      <c r="L636" t="n">
        <v>0</v>
      </c>
      <c r="M636" t="n">
        <v>0</v>
      </c>
      <c r="N636" t="n">
        <v>0</v>
      </c>
      <c r="O636" t="n">
        <v>0</v>
      </c>
      <c r="P636" t="n">
        <v>0</v>
      </c>
      <c r="Q636" t="n">
        <v>0</v>
      </c>
      <c r="R636" s="2" t="inlineStr"/>
    </row>
    <row r="637" ht="15" customHeight="1">
      <c r="A637" t="inlineStr">
        <is>
          <t>A 13745-2021</t>
        </is>
      </c>
      <c r="B637" s="1" t="n">
        <v>44274</v>
      </c>
      <c r="C637" s="1" t="n">
        <v>46087</v>
      </c>
      <c r="D637" t="inlineStr">
        <is>
          <t>VÄSTERBOTTENS LÄN</t>
        </is>
      </c>
      <c r="E637" t="inlineStr">
        <is>
          <t>UMEÅ</t>
        </is>
      </c>
      <c r="G637" t="n">
        <v>1.7</v>
      </c>
      <c r="H637" t="n">
        <v>0</v>
      </c>
      <c r="I637" t="n">
        <v>0</v>
      </c>
      <c r="J637" t="n">
        <v>0</v>
      </c>
      <c r="K637" t="n">
        <v>0</v>
      </c>
      <c r="L637" t="n">
        <v>0</v>
      </c>
      <c r="M637" t="n">
        <v>0</v>
      </c>
      <c r="N637" t="n">
        <v>0</v>
      </c>
      <c r="O637" t="n">
        <v>0</v>
      </c>
      <c r="P637" t="n">
        <v>0</v>
      </c>
      <c r="Q637" t="n">
        <v>0</v>
      </c>
      <c r="R637" s="2" t="inlineStr"/>
    </row>
    <row r="638" ht="15" customHeight="1">
      <c r="A638" t="inlineStr">
        <is>
          <t>A 62130-2025</t>
        </is>
      </c>
      <c r="B638" s="1" t="n">
        <v>46006.45099537037</v>
      </c>
      <c r="C638" s="1" t="n">
        <v>46087</v>
      </c>
      <c r="D638" t="inlineStr">
        <is>
          <t>VÄSTERBOTTENS LÄN</t>
        </is>
      </c>
      <c r="E638" t="inlineStr">
        <is>
          <t>UMEÅ</t>
        </is>
      </c>
      <c r="F638" t="inlineStr">
        <is>
          <t>Holmen skog AB</t>
        </is>
      </c>
      <c r="G638" t="n">
        <v>6.1</v>
      </c>
      <c r="H638" t="n">
        <v>0</v>
      </c>
      <c r="I638" t="n">
        <v>0</v>
      </c>
      <c r="J638" t="n">
        <v>0</v>
      </c>
      <c r="K638" t="n">
        <v>0</v>
      </c>
      <c r="L638" t="n">
        <v>0</v>
      </c>
      <c r="M638" t="n">
        <v>0</v>
      </c>
      <c r="N638" t="n">
        <v>0</v>
      </c>
      <c r="O638" t="n">
        <v>0</v>
      </c>
      <c r="P638" t="n">
        <v>0</v>
      </c>
      <c r="Q638" t="n">
        <v>0</v>
      </c>
      <c r="R638" s="2" t="inlineStr"/>
    </row>
    <row r="639" ht="15" customHeight="1">
      <c r="A639" t="inlineStr">
        <is>
          <t>A 62224-2025</t>
        </is>
      </c>
      <c r="B639" s="1" t="n">
        <v>46006.58546296296</v>
      </c>
      <c r="C639" s="1" t="n">
        <v>46087</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49055-2024</t>
        </is>
      </c>
      <c r="B640" s="1" t="n">
        <v>45594</v>
      </c>
      <c r="C640" s="1" t="n">
        <v>46087</v>
      </c>
      <c r="D640" t="inlineStr">
        <is>
          <t>VÄSTERBOTTENS LÄN</t>
        </is>
      </c>
      <c r="E640" t="inlineStr">
        <is>
          <t>UMEÅ</t>
        </is>
      </c>
      <c r="G640" t="n">
        <v>11.4</v>
      </c>
      <c r="H640" t="n">
        <v>0</v>
      </c>
      <c r="I640" t="n">
        <v>0</v>
      </c>
      <c r="J640" t="n">
        <v>0</v>
      </c>
      <c r="K640" t="n">
        <v>0</v>
      </c>
      <c r="L640" t="n">
        <v>0</v>
      </c>
      <c r="M640" t="n">
        <v>0</v>
      </c>
      <c r="N640" t="n">
        <v>0</v>
      </c>
      <c r="O640" t="n">
        <v>0</v>
      </c>
      <c r="P640" t="n">
        <v>0</v>
      </c>
      <c r="Q640" t="n">
        <v>0</v>
      </c>
      <c r="R640" s="2" t="inlineStr"/>
    </row>
    <row r="641" ht="15" customHeight="1">
      <c r="A641" t="inlineStr">
        <is>
          <t>A 62104-2025</t>
        </is>
      </c>
      <c r="B641" s="1" t="n">
        <v>46006.41694444444</v>
      </c>
      <c r="C641" s="1" t="n">
        <v>46087</v>
      </c>
      <c r="D641" t="inlineStr">
        <is>
          <t>VÄSTERBOTTENS LÄN</t>
        </is>
      </c>
      <c r="E641" t="inlineStr">
        <is>
          <t>UMEÅ</t>
        </is>
      </c>
      <c r="G641" t="n">
        <v>2.9</v>
      </c>
      <c r="H641" t="n">
        <v>0</v>
      </c>
      <c r="I641" t="n">
        <v>0</v>
      </c>
      <c r="J641" t="n">
        <v>0</v>
      </c>
      <c r="K641" t="n">
        <v>0</v>
      </c>
      <c r="L641" t="n">
        <v>0</v>
      </c>
      <c r="M641" t="n">
        <v>0</v>
      </c>
      <c r="N641" t="n">
        <v>0</v>
      </c>
      <c r="O641" t="n">
        <v>0</v>
      </c>
      <c r="P641" t="n">
        <v>0</v>
      </c>
      <c r="Q641" t="n">
        <v>0</v>
      </c>
      <c r="R641" s="2" t="inlineStr"/>
    </row>
    <row r="642" ht="15" customHeight="1">
      <c r="A642" t="inlineStr">
        <is>
          <t>A 62208-2025</t>
        </is>
      </c>
      <c r="B642" s="1" t="n">
        <v>46006.56528935185</v>
      </c>
      <c r="C642" s="1" t="n">
        <v>46087</v>
      </c>
      <c r="D642" t="inlineStr">
        <is>
          <t>VÄSTERBOTTENS LÄN</t>
        </is>
      </c>
      <c r="E642" t="inlineStr">
        <is>
          <t>UMEÅ</t>
        </is>
      </c>
      <c r="G642" t="n">
        <v>0.9</v>
      </c>
      <c r="H642" t="n">
        <v>0</v>
      </c>
      <c r="I642" t="n">
        <v>0</v>
      </c>
      <c r="J642" t="n">
        <v>0</v>
      </c>
      <c r="K642" t="n">
        <v>0</v>
      </c>
      <c r="L642" t="n">
        <v>0</v>
      </c>
      <c r="M642" t="n">
        <v>0</v>
      </c>
      <c r="N642" t="n">
        <v>0</v>
      </c>
      <c r="O642" t="n">
        <v>0</v>
      </c>
      <c r="P642" t="n">
        <v>0</v>
      </c>
      <c r="Q642" t="n">
        <v>0</v>
      </c>
      <c r="R642" s="2" t="inlineStr"/>
    </row>
    <row r="643" ht="15" customHeight="1">
      <c r="A643" t="inlineStr">
        <is>
          <t>A 62231-2025</t>
        </is>
      </c>
      <c r="B643" s="1" t="n">
        <v>46006.59229166667</v>
      </c>
      <c r="C643" s="1" t="n">
        <v>46087</v>
      </c>
      <c r="D643" t="inlineStr">
        <is>
          <t>VÄSTERBOTTENS LÄN</t>
        </is>
      </c>
      <c r="E643" t="inlineStr">
        <is>
          <t>UMEÅ</t>
        </is>
      </c>
      <c r="G643" t="n">
        <v>1</v>
      </c>
      <c r="H643" t="n">
        <v>0</v>
      </c>
      <c r="I643" t="n">
        <v>0</v>
      </c>
      <c r="J643" t="n">
        <v>0</v>
      </c>
      <c r="K643" t="n">
        <v>0</v>
      </c>
      <c r="L643" t="n">
        <v>0</v>
      </c>
      <c r="M643" t="n">
        <v>0</v>
      </c>
      <c r="N643" t="n">
        <v>0</v>
      </c>
      <c r="O643" t="n">
        <v>0</v>
      </c>
      <c r="P643" t="n">
        <v>0</v>
      </c>
      <c r="Q643" t="n">
        <v>0</v>
      </c>
      <c r="R643" s="2" t="inlineStr"/>
    </row>
    <row r="644" ht="15" customHeight="1">
      <c r="A644" t="inlineStr">
        <is>
          <t>A 62269-2025</t>
        </is>
      </c>
      <c r="B644" s="1" t="n">
        <v>46006.6196412037</v>
      </c>
      <c r="C644" s="1" t="n">
        <v>46087</v>
      </c>
      <c r="D644" t="inlineStr">
        <is>
          <t>VÄSTERBOTTENS LÄN</t>
        </is>
      </c>
      <c r="E644" t="inlineStr">
        <is>
          <t>UMEÅ</t>
        </is>
      </c>
      <c r="F644" t="inlineStr">
        <is>
          <t>Holmen skog AB</t>
        </is>
      </c>
      <c r="G644" t="n">
        <v>1.1</v>
      </c>
      <c r="H644" t="n">
        <v>0</v>
      </c>
      <c r="I644" t="n">
        <v>0</v>
      </c>
      <c r="J644" t="n">
        <v>0</v>
      </c>
      <c r="K644" t="n">
        <v>0</v>
      </c>
      <c r="L644" t="n">
        <v>0</v>
      </c>
      <c r="M644" t="n">
        <v>0</v>
      </c>
      <c r="N644" t="n">
        <v>0</v>
      </c>
      <c r="O644" t="n">
        <v>0</v>
      </c>
      <c r="P644" t="n">
        <v>0</v>
      </c>
      <c r="Q644" t="n">
        <v>0</v>
      </c>
      <c r="R644" s="2" t="inlineStr"/>
    </row>
    <row r="645" ht="15" customHeight="1">
      <c r="A645" t="inlineStr">
        <is>
          <t>A 62721-2023</t>
        </is>
      </c>
      <c r="B645" s="1" t="n">
        <v>45271</v>
      </c>
      <c r="C645" s="1" t="n">
        <v>46087</v>
      </c>
      <c r="D645" t="inlineStr">
        <is>
          <t>VÄSTERBOTTENS LÄN</t>
        </is>
      </c>
      <c r="E645" t="inlineStr">
        <is>
          <t>UMEÅ</t>
        </is>
      </c>
      <c r="G645" t="n">
        <v>0.9</v>
      </c>
      <c r="H645" t="n">
        <v>0</v>
      </c>
      <c r="I645" t="n">
        <v>0</v>
      </c>
      <c r="J645" t="n">
        <v>0</v>
      </c>
      <c r="K645" t="n">
        <v>0</v>
      </c>
      <c r="L645" t="n">
        <v>0</v>
      </c>
      <c r="M645" t="n">
        <v>0</v>
      </c>
      <c r="N645" t="n">
        <v>0</v>
      </c>
      <c r="O645" t="n">
        <v>0</v>
      </c>
      <c r="P645" t="n">
        <v>0</v>
      </c>
      <c r="Q645" t="n">
        <v>0</v>
      </c>
      <c r="R645" s="2" t="inlineStr"/>
    </row>
    <row r="646" ht="15" customHeight="1">
      <c r="A646" t="inlineStr">
        <is>
          <t>A 57410-2024</t>
        </is>
      </c>
      <c r="B646" s="1" t="n">
        <v>45629</v>
      </c>
      <c r="C646" s="1" t="n">
        <v>46087</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16045-2021</t>
        </is>
      </c>
      <c r="B647" s="1" t="n">
        <v>44287.61318287037</v>
      </c>
      <c r="C647" s="1" t="n">
        <v>46087</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5454-2026</t>
        </is>
      </c>
      <c r="B648" s="1" t="n">
        <v>46048</v>
      </c>
      <c r="C648" s="1" t="n">
        <v>46087</v>
      </c>
      <c r="D648" t="inlineStr">
        <is>
          <t>VÄSTERBOTTENS LÄN</t>
        </is>
      </c>
      <c r="E648" t="inlineStr">
        <is>
          <t>UMEÅ</t>
        </is>
      </c>
      <c r="G648" t="n">
        <v>3.2</v>
      </c>
      <c r="H648" t="n">
        <v>0</v>
      </c>
      <c r="I648" t="n">
        <v>0</v>
      </c>
      <c r="J648" t="n">
        <v>0</v>
      </c>
      <c r="K648" t="n">
        <v>0</v>
      </c>
      <c r="L648" t="n">
        <v>0</v>
      </c>
      <c r="M648" t="n">
        <v>0</v>
      </c>
      <c r="N648" t="n">
        <v>0</v>
      </c>
      <c r="O648" t="n">
        <v>0</v>
      </c>
      <c r="P648" t="n">
        <v>0</v>
      </c>
      <c r="Q648" t="n">
        <v>0</v>
      </c>
      <c r="R648" s="2" t="inlineStr"/>
    </row>
    <row r="649" ht="15" customHeight="1">
      <c r="A649" t="inlineStr">
        <is>
          <t>A 5322-2026</t>
        </is>
      </c>
      <c r="B649" s="1" t="n">
        <v>46050.38971064815</v>
      </c>
      <c r="C649" s="1" t="n">
        <v>46087</v>
      </c>
      <c r="D649" t="inlineStr">
        <is>
          <t>VÄSTERBOTTENS LÄN</t>
        </is>
      </c>
      <c r="E649" t="inlineStr">
        <is>
          <t>UMEÅ</t>
        </is>
      </c>
      <c r="G649" t="n">
        <v>0.9</v>
      </c>
      <c r="H649" t="n">
        <v>0</v>
      </c>
      <c r="I649" t="n">
        <v>0</v>
      </c>
      <c r="J649" t="n">
        <v>0</v>
      </c>
      <c r="K649" t="n">
        <v>0</v>
      </c>
      <c r="L649" t="n">
        <v>0</v>
      </c>
      <c r="M649" t="n">
        <v>0</v>
      </c>
      <c r="N649" t="n">
        <v>0</v>
      </c>
      <c r="O649" t="n">
        <v>0</v>
      </c>
      <c r="P649" t="n">
        <v>0</v>
      </c>
      <c r="Q649" t="n">
        <v>0</v>
      </c>
      <c r="R649" s="2" t="inlineStr"/>
    </row>
    <row r="650" ht="15" customHeight="1">
      <c r="A650" t="inlineStr">
        <is>
          <t>A 62516-2025</t>
        </is>
      </c>
      <c r="B650" s="1" t="n">
        <v>46007.60645833334</v>
      </c>
      <c r="C650" s="1" t="n">
        <v>46087</v>
      </c>
      <c r="D650" t="inlineStr">
        <is>
          <t>VÄSTERBOTTENS LÄN</t>
        </is>
      </c>
      <c r="E650" t="inlineStr">
        <is>
          <t>UMEÅ</t>
        </is>
      </c>
      <c r="F650" t="inlineStr">
        <is>
          <t>Kommuner</t>
        </is>
      </c>
      <c r="G650" t="n">
        <v>1.4</v>
      </c>
      <c r="H650" t="n">
        <v>0</v>
      </c>
      <c r="I650" t="n">
        <v>0</v>
      </c>
      <c r="J650" t="n">
        <v>0</v>
      </c>
      <c r="K650" t="n">
        <v>0</v>
      </c>
      <c r="L650" t="n">
        <v>0</v>
      </c>
      <c r="M650" t="n">
        <v>0</v>
      </c>
      <c r="N650" t="n">
        <v>0</v>
      </c>
      <c r="O650" t="n">
        <v>0</v>
      </c>
      <c r="P650" t="n">
        <v>0</v>
      </c>
      <c r="Q650" t="n">
        <v>0</v>
      </c>
      <c r="R650" s="2" t="inlineStr"/>
    </row>
    <row r="651" ht="15" customHeight="1">
      <c r="A651" t="inlineStr">
        <is>
          <t>A 62663-2025</t>
        </is>
      </c>
      <c r="B651" s="1" t="n">
        <v>46008.43460648148</v>
      </c>
      <c r="C651" s="1" t="n">
        <v>46087</v>
      </c>
      <c r="D651" t="inlineStr">
        <is>
          <t>VÄSTERBOTTENS LÄN</t>
        </is>
      </c>
      <c r="E651" t="inlineStr">
        <is>
          <t>UMEÅ</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5291-2026</t>
        </is>
      </c>
      <c r="B652" s="1" t="n">
        <v>46050.3446412037</v>
      </c>
      <c r="C652" s="1" t="n">
        <v>46087</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5293-2026</t>
        </is>
      </c>
      <c r="B653" s="1" t="n">
        <v>46050.34474537037</v>
      </c>
      <c r="C653" s="1" t="n">
        <v>46087</v>
      </c>
      <c r="D653" t="inlineStr">
        <is>
          <t>VÄSTERBOTTENS LÄN</t>
        </is>
      </c>
      <c r="E653" t="inlineStr">
        <is>
          <t>UMEÅ</t>
        </is>
      </c>
      <c r="G653" t="n">
        <v>2.4</v>
      </c>
      <c r="H653" t="n">
        <v>0</v>
      </c>
      <c r="I653" t="n">
        <v>0</v>
      </c>
      <c r="J653" t="n">
        <v>0</v>
      </c>
      <c r="K653" t="n">
        <v>0</v>
      </c>
      <c r="L653" t="n">
        <v>0</v>
      </c>
      <c r="M653" t="n">
        <v>0</v>
      </c>
      <c r="N653" t="n">
        <v>0</v>
      </c>
      <c r="O653" t="n">
        <v>0</v>
      </c>
      <c r="P653" t="n">
        <v>0</v>
      </c>
      <c r="Q653" t="n">
        <v>0</v>
      </c>
      <c r="R653" s="2" t="inlineStr"/>
    </row>
    <row r="654" ht="15" customHeight="1">
      <c r="A654" t="inlineStr">
        <is>
          <t>A 22538-2024</t>
        </is>
      </c>
      <c r="B654" s="1" t="n">
        <v>45447.46972222222</v>
      </c>
      <c r="C654" s="1" t="n">
        <v>46087</v>
      </c>
      <c r="D654" t="inlineStr">
        <is>
          <t>VÄSTERBOTTENS LÄN</t>
        </is>
      </c>
      <c r="E654" t="inlineStr">
        <is>
          <t>UMEÅ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7635-2024</t>
        </is>
      </c>
      <c r="B655" s="1" t="n">
        <v>45348.62467592592</v>
      </c>
      <c r="C655" s="1" t="n">
        <v>46087</v>
      </c>
      <c r="D655" t="inlineStr">
        <is>
          <t>VÄSTERBOTTENS LÄN</t>
        </is>
      </c>
      <c r="E655" t="inlineStr">
        <is>
          <t>UMEÅ</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62767-2025</t>
        </is>
      </c>
      <c r="B656" s="1" t="n">
        <v>46008.5975925926</v>
      </c>
      <c r="C656" s="1" t="n">
        <v>46087</v>
      </c>
      <c r="D656" t="inlineStr">
        <is>
          <t>VÄSTERBOTTENS LÄN</t>
        </is>
      </c>
      <c r="E656" t="inlineStr">
        <is>
          <t>UMEÅ</t>
        </is>
      </c>
      <c r="G656" t="n">
        <v>4.3</v>
      </c>
      <c r="H656" t="n">
        <v>0</v>
      </c>
      <c r="I656" t="n">
        <v>0</v>
      </c>
      <c r="J656" t="n">
        <v>0</v>
      </c>
      <c r="K656" t="n">
        <v>0</v>
      </c>
      <c r="L656" t="n">
        <v>0</v>
      </c>
      <c r="M656" t="n">
        <v>0</v>
      </c>
      <c r="N656" t="n">
        <v>0</v>
      </c>
      <c r="O656" t="n">
        <v>0</v>
      </c>
      <c r="P656" t="n">
        <v>0</v>
      </c>
      <c r="Q656" t="n">
        <v>0</v>
      </c>
      <c r="R656" s="2" t="inlineStr"/>
    </row>
    <row r="657" ht="15" customHeight="1">
      <c r="A657" t="inlineStr">
        <is>
          <t>A 14734-2023</t>
        </is>
      </c>
      <c r="B657" s="1" t="n">
        <v>45013</v>
      </c>
      <c r="C657" s="1" t="n">
        <v>46087</v>
      </c>
      <c r="D657" t="inlineStr">
        <is>
          <t>VÄSTERBOTTENS LÄN</t>
        </is>
      </c>
      <c r="E657" t="inlineStr">
        <is>
          <t>UMEÅ</t>
        </is>
      </c>
      <c r="G657" t="n">
        <v>14.4</v>
      </c>
      <c r="H657" t="n">
        <v>0</v>
      </c>
      <c r="I657" t="n">
        <v>0</v>
      </c>
      <c r="J657" t="n">
        <v>0</v>
      </c>
      <c r="K657" t="n">
        <v>0</v>
      </c>
      <c r="L657" t="n">
        <v>0</v>
      </c>
      <c r="M657" t="n">
        <v>0</v>
      </c>
      <c r="N657" t="n">
        <v>0</v>
      </c>
      <c r="O657" t="n">
        <v>0</v>
      </c>
      <c r="P657" t="n">
        <v>0</v>
      </c>
      <c r="Q657" t="n">
        <v>0</v>
      </c>
      <c r="R657" s="2" t="inlineStr"/>
    </row>
    <row r="658" ht="15" customHeight="1">
      <c r="A658" t="inlineStr">
        <is>
          <t>A 5013-2026</t>
        </is>
      </c>
      <c r="B658" s="1" t="n">
        <v>46049.43133101852</v>
      </c>
      <c r="C658" s="1" t="n">
        <v>46087</v>
      </c>
      <c r="D658" t="inlineStr">
        <is>
          <t>VÄSTERBOTTENS LÄN</t>
        </is>
      </c>
      <c r="E658" t="inlineStr">
        <is>
          <t>UMEÅ</t>
        </is>
      </c>
      <c r="G658" t="n">
        <v>3.8</v>
      </c>
      <c r="H658" t="n">
        <v>0</v>
      </c>
      <c r="I658" t="n">
        <v>0</v>
      </c>
      <c r="J658" t="n">
        <v>0</v>
      </c>
      <c r="K658" t="n">
        <v>0</v>
      </c>
      <c r="L658" t="n">
        <v>0</v>
      </c>
      <c r="M658" t="n">
        <v>0</v>
      </c>
      <c r="N658" t="n">
        <v>0</v>
      </c>
      <c r="O658" t="n">
        <v>0</v>
      </c>
      <c r="P658" t="n">
        <v>0</v>
      </c>
      <c r="Q658" t="n">
        <v>0</v>
      </c>
      <c r="R658" s="2" t="inlineStr"/>
    </row>
    <row r="659" ht="15" customHeight="1">
      <c r="A659" t="inlineStr">
        <is>
          <t>A 55053-2023</t>
        </is>
      </c>
      <c r="B659" s="1" t="n">
        <v>45237</v>
      </c>
      <c r="C659" s="1" t="n">
        <v>46087</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56749-2023</t>
        </is>
      </c>
      <c r="B660" s="1" t="n">
        <v>45244</v>
      </c>
      <c r="C660" s="1" t="n">
        <v>46087</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62813-2025</t>
        </is>
      </c>
      <c r="B661" s="1" t="n">
        <v>46008.64984953704</v>
      </c>
      <c r="C661" s="1" t="n">
        <v>46087</v>
      </c>
      <c r="D661" t="inlineStr">
        <is>
          <t>VÄSTERBOTTENS LÄN</t>
        </is>
      </c>
      <c r="E661" t="inlineStr">
        <is>
          <t>UMEÅ</t>
        </is>
      </c>
      <c r="G661" t="n">
        <v>0.5</v>
      </c>
      <c r="H661" t="n">
        <v>0</v>
      </c>
      <c r="I661" t="n">
        <v>0</v>
      </c>
      <c r="J661" t="n">
        <v>0</v>
      </c>
      <c r="K661" t="n">
        <v>0</v>
      </c>
      <c r="L661" t="n">
        <v>0</v>
      </c>
      <c r="M661" t="n">
        <v>0</v>
      </c>
      <c r="N661" t="n">
        <v>0</v>
      </c>
      <c r="O661" t="n">
        <v>0</v>
      </c>
      <c r="P661" t="n">
        <v>0</v>
      </c>
      <c r="Q661" t="n">
        <v>0</v>
      </c>
      <c r="R661" s="2" t="inlineStr"/>
    </row>
    <row r="662" ht="15" customHeight="1">
      <c r="A662" t="inlineStr">
        <is>
          <t>A 5011-2026</t>
        </is>
      </c>
      <c r="B662" s="1" t="n">
        <v>46049.43063657408</v>
      </c>
      <c r="C662" s="1" t="n">
        <v>46087</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46028-2024</t>
        </is>
      </c>
      <c r="B663" s="1" t="n">
        <v>45580.70097222222</v>
      </c>
      <c r="C663" s="1" t="n">
        <v>46087</v>
      </c>
      <c r="D663" t="inlineStr">
        <is>
          <t>VÄSTERBOTTENS LÄN</t>
        </is>
      </c>
      <c r="E663" t="inlineStr">
        <is>
          <t>UMEÅ</t>
        </is>
      </c>
      <c r="G663" t="n">
        <v>3.4</v>
      </c>
      <c r="H663" t="n">
        <v>0</v>
      </c>
      <c r="I663" t="n">
        <v>0</v>
      </c>
      <c r="J663" t="n">
        <v>0</v>
      </c>
      <c r="K663" t="n">
        <v>0</v>
      </c>
      <c r="L663" t="n">
        <v>0</v>
      </c>
      <c r="M663" t="n">
        <v>0</v>
      </c>
      <c r="N663" t="n">
        <v>0</v>
      </c>
      <c r="O663" t="n">
        <v>0</v>
      </c>
      <c r="P663" t="n">
        <v>0</v>
      </c>
      <c r="Q663" t="n">
        <v>0</v>
      </c>
      <c r="R663" s="2" t="inlineStr"/>
    </row>
    <row r="664" ht="15" customHeight="1">
      <c r="A664" t="inlineStr">
        <is>
          <t>A 5467-2026</t>
        </is>
      </c>
      <c r="B664" s="1" t="n">
        <v>46048</v>
      </c>
      <c r="C664" s="1" t="n">
        <v>46087</v>
      </c>
      <c r="D664" t="inlineStr">
        <is>
          <t>VÄSTERBOTTENS LÄN</t>
        </is>
      </c>
      <c r="E664" t="inlineStr">
        <is>
          <t>UMEÅ</t>
        </is>
      </c>
      <c r="G664" t="n">
        <v>2.6</v>
      </c>
      <c r="H664" t="n">
        <v>0</v>
      </c>
      <c r="I664" t="n">
        <v>0</v>
      </c>
      <c r="J664" t="n">
        <v>0</v>
      </c>
      <c r="K664" t="n">
        <v>0</v>
      </c>
      <c r="L664" t="n">
        <v>0</v>
      </c>
      <c r="M664" t="n">
        <v>0</v>
      </c>
      <c r="N664" t="n">
        <v>0</v>
      </c>
      <c r="O664" t="n">
        <v>0</v>
      </c>
      <c r="P664" t="n">
        <v>0</v>
      </c>
      <c r="Q664" t="n">
        <v>0</v>
      </c>
      <c r="R664" s="2" t="inlineStr"/>
    </row>
    <row r="665" ht="15" customHeight="1">
      <c r="A665" t="inlineStr">
        <is>
          <t>A 63131-2025</t>
        </is>
      </c>
      <c r="B665" s="1" t="n">
        <v>46010.24019675926</v>
      </c>
      <c r="C665" s="1" t="n">
        <v>46087</v>
      </c>
      <c r="D665" t="inlineStr">
        <is>
          <t>VÄSTERBOTTENS LÄN</t>
        </is>
      </c>
      <c r="E665" t="inlineStr">
        <is>
          <t>UMEÅ</t>
        </is>
      </c>
      <c r="G665" t="n">
        <v>0.6</v>
      </c>
      <c r="H665" t="n">
        <v>0</v>
      </c>
      <c r="I665" t="n">
        <v>0</v>
      </c>
      <c r="J665" t="n">
        <v>0</v>
      </c>
      <c r="K665" t="n">
        <v>0</v>
      </c>
      <c r="L665" t="n">
        <v>0</v>
      </c>
      <c r="M665" t="n">
        <v>0</v>
      </c>
      <c r="N665" t="n">
        <v>0</v>
      </c>
      <c r="O665" t="n">
        <v>0</v>
      </c>
      <c r="P665" t="n">
        <v>0</v>
      </c>
      <c r="Q665" t="n">
        <v>0</v>
      </c>
      <c r="R665" s="2" t="inlineStr"/>
    </row>
    <row r="666" ht="15" customHeight="1">
      <c r="A666" t="inlineStr">
        <is>
          <t>A 63132-2025</t>
        </is>
      </c>
      <c r="B666" s="1" t="n">
        <v>46010.27672453703</v>
      </c>
      <c r="C666" s="1" t="n">
        <v>46087</v>
      </c>
      <c r="D666" t="inlineStr">
        <is>
          <t>VÄSTERBOTTENS LÄN</t>
        </is>
      </c>
      <c r="E666" t="inlineStr">
        <is>
          <t>UMEÅ</t>
        </is>
      </c>
      <c r="G666" t="n">
        <v>2.8</v>
      </c>
      <c r="H666" t="n">
        <v>0</v>
      </c>
      <c r="I666" t="n">
        <v>0</v>
      </c>
      <c r="J666" t="n">
        <v>0</v>
      </c>
      <c r="K666" t="n">
        <v>0</v>
      </c>
      <c r="L666" t="n">
        <v>0</v>
      </c>
      <c r="M666" t="n">
        <v>0</v>
      </c>
      <c r="N666" t="n">
        <v>0</v>
      </c>
      <c r="O666" t="n">
        <v>0</v>
      </c>
      <c r="P666" t="n">
        <v>0</v>
      </c>
      <c r="Q666" t="n">
        <v>0</v>
      </c>
      <c r="R666" s="2" t="inlineStr"/>
    </row>
    <row r="667" ht="15" customHeight="1">
      <c r="A667" t="inlineStr">
        <is>
          <t>A 27246-2025</t>
        </is>
      </c>
      <c r="B667" s="1" t="n">
        <v>45812.46246527778</v>
      </c>
      <c r="C667" s="1" t="n">
        <v>46087</v>
      </c>
      <c r="D667" t="inlineStr">
        <is>
          <t>VÄSTERBOTTENS LÄN</t>
        </is>
      </c>
      <c r="E667" t="inlineStr">
        <is>
          <t>UMEÅ</t>
        </is>
      </c>
      <c r="G667" t="n">
        <v>7.2</v>
      </c>
      <c r="H667" t="n">
        <v>0</v>
      </c>
      <c r="I667" t="n">
        <v>0</v>
      </c>
      <c r="J667" t="n">
        <v>0</v>
      </c>
      <c r="K667" t="n">
        <v>0</v>
      </c>
      <c r="L667" t="n">
        <v>0</v>
      </c>
      <c r="M667" t="n">
        <v>0</v>
      </c>
      <c r="N667" t="n">
        <v>0</v>
      </c>
      <c r="O667" t="n">
        <v>0</v>
      </c>
      <c r="P667" t="n">
        <v>0</v>
      </c>
      <c r="Q667" t="n">
        <v>0</v>
      </c>
      <c r="R667" s="2" t="inlineStr"/>
    </row>
    <row r="668" ht="15" customHeight="1">
      <c r="A668" t="inlineStr">
        <is>
          <t>A 14091-2023</t>
        </is>
      </c>
      <c r="B668" s="1" t="n">
        <v>45007</v>
      </c>
      <c r="C668" s="1" t="n">
        <v>46087</v>
      </c>
      <c r="D668" t="inlineStr">
        <is>
          <t>VÄSTERBOTTENS LÄN</t>
        </is>
      </c>
      <c r="E668" t="inlineStr">
        <is>
          <t>UMEÅ</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55856-2024</t>
        </is>
      </c>
      <c r="B669" s="1" t="n">
        <v>45623</v>
      </c>
      <c r="C669" s="1" t="n">
        <v>46087</v>
      </c>
      <c r="D669" t="inlineStr">
        <is>
          <t>VÄSTERBOTTENS LÄN</t>
        </is>
      </c>
      <c r="E669" t="inlineStr">
        <is>
          <t>UMEÅ</t>
        </is>
      </c>
      <c r="G669" t="n">
        <v>1.7</v>
      </c>
      <c r="H669" t="n">
        <v>0</v>
      </c>
      <c r="I669" t="n">
        <v>0</v>
      </c>
      <c r="J669" t="n">
        <v>0</v>
      </c>
      <c r="K669" t="n">
        <v>0</v>
      </c>
      <c r="L669" t="n">
        <v>0</v>
      </c>
      <c r="M669" t="n">
        <v>0</v>
      </c>
      <c r="N669" t="n">
        <v>0</v>
      </c>
      <c r="O669" t="n">
        <v>0</v>
      </c>
      <c r="P669" t="n">
        <v>0</v>
      </c>
      <c r="Q669" t="n">
        <v>0</v>
      </c>
      <c r="R669" s="2" t="inlineStr"/>
    </row>
    <row r="670" ht="15" customHeight="1">
      <c r="A670" t="inlineStr">
        <is>
          <t>A 26930-2025</t>
        </is>
      </c>
      <c r="B670" s="1" t="n">
        <v>45811.39753472222</v>
      </c>
      <c r="C670" s="1" t="n">
        <v>46087</v>
      </c>
      <c r="D670" t="inlineStr">
        <is>
          <t>VÄSTERBOTTENS LÄN</t>
        </is>
      </c>
      <c r="E670" t="inlineStr">
        <is>
          <t>UMEÅ</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63218-2025</t>
        </is>
      </c>
      <c r="B671" s="1" t="n">
        <v>46010.48998842593</v>
      </c>
      <c r="C671" s="1" t="n">
        <v>46087</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63219-2025</t>
        </is>
      </c>
      <c r="B672" s="1" t="n">
        <v>46010.49005787037</v>
      </c>
      <c r="C672" s="1" t="n">
        <v>46087</v>
      </c>
      <c r="D672" t="inlineStr">
        <is>
          <t>VÄSTERBOTTENS LÄN</t>
        </is>
      </c>
      <c r="E672" t="inlineStr">
        <is>
          <t>UMEÅ</t>
        </is>
      </c>
      <c r="G672" t="n">
        <v>4.2</v>
      </c>
      <c r="H672" t="n">
        <v>0</v>
      </c>
      <c r="I672" t="n">
        <v>0</v>
      </c>
      <c r="J672" t="n">
        <v>0</v>
      </c>
      <c r="K672" t="n">
        <v>0</v>
      </c>
      <c r="L672" t="n">
        <v>0</v>
      </c>
      <c r="M672" t="n">
        <v>0</v>
      </c>
      <c r="N672" t="n">
        <v>0</v>
      </c>
      <c r="O672" t="n">
        <v>0</v>
      </c>
      <c r="P672" t="n">
        <v>0</v>
      </c>
      <c r="Q672" t="n">
        <v>0</v>
      </c>
      <c r="R672" s="2" t="inlineStr"/>
    </row>
    <row r="673" ht="15" customHeight="1">
      <c r="A673" t="inlineStr">
        <is>
          <t>A 60323-2024</t>
        </is>
      </c>
      <c r="B673" s="1" t="n">
        <v>45641</v>
      </c>
      <c r="C673" s="1" t="n">
        <v>46087</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56085-2024</t>
        </is>
      </c>
      <c r="B674" s="1" t="n">
        <v>45623</v>
      </c>
      <c r="C674" s="1" t="n">
        <v>46087</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27172-2025</t>
        </is>
      </c>
      <c r="B675" s="1" t="n">
        <v>45812.34858796297</v>
      </c>
      <c r="C675" s="1" t="n">
        <v>46087</v>
      </c>
      <c r="D675" t="inlineStr">
        <is>
          <t>VÄSTERBOTTENS LÄN</t>
        </is>
      </c>
      <c r="E675" t="inlineStr">
        <is>
          <t>UMEÅ</t>
        </is>
      </c>
      <c r="G675" t="n">
        <v>3.6</v>
      </c>
      <c r="H675" t="n">
        <v>0</v>
      </c>
      <c r="I675" t="n">
        <v>0</v>
      </c>
      <c r="J675" t="n">
        <v>0</v>
      </c>
      <c r="K675" t="n">
        <v>0</v>
      </c>
      <c r="L675" t="n">
        <v>0</v>
      </c>
      <c r="M675" t="n">
        <v>0</v>
      </c>
      <c r="N675" t="n">
        <v>0</v>
      </c>
      <c r="O675" t="n">
        <v>0</v>
      </c>
      <c r="P675" t="n">
        <v>0</v>
      </c>
      <c r="Q675" t="n">
        <v>0</v>
      </c>
      <c r="R675" s="2" t="inlineStr"/>
    </row>
    <row r="676" ht="15" customHeight="1">
      <c r="A676" t="inlineStr">
        <is>
          <t>A 27173-2025</t>
        </is>
      </c>
      <c r="B676" s="1" t="n">
        <v>45812.34997685185</v>
      </c>
      <c r="C676" s="1" t="n">
        <v>46087</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58284-2021</t>
        </is>
      </c>
      <c r="B677" s="1" t="n">
        <v>44487.97035879629</v>
      </c>
      <c r="C677" s="1" t="n">
        <v>46087</v>
      </c>
      <c r="D677" t="inlineStr">
        <is>
          <t>VÄSTERBOTTENS LÄN</t>
        </is>
      </c>
      <c r="E677" t="inlineStr">
        <is>
          <t>UMEÅ</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18520-2023</t>
        </is>
      </c>
      <c r="B678" s="1" t="n">
        <v>45041</v>
      </c>
      <c r="C678" s="1" t="n">
        <v>46087</v>
      </c>
      <c r="D678" t="inlineStr">
        <is>
          <t>VÄSTERBOTTENS LÄN</t>
        </is>
      </c>
      <c r="E678" t="inlineStr">
        <is>
          <t>UMEÅ</t>
        </is>
      </c>
      <c r="F678" t="inlineStr">
        <is>
          <t>Kommuner</t>
        </is>
      </c>
      <c r="G678" t="n">
        <v>1.8</v>
      </c>
      <c r="H678" t="n">
        <v>0</v>
      </c>
      <c r="I678" t="n">
        <v>0</v>
      </c>
      <c r="J678" t="n">
        <v>0</v>
      </c>
      <c r="K678" t="n">
        <v>0</v>
      </c>
      <c r="L678" t="n">
        <v>0</v>
      </c>
      <c r="M678" t="n">
        <v>0</v>
      </c>
      <c r="N678" t="n">
        <v>0</v>
      </c>
      <c r="O678" t="n">
        <v>0</v>
      </c>
      <c r="P678" t="n">
        <v>0</v>
      </c>
      <c r="Q678" t="n">
        <v>0</v>
      </c>
      <c r="R678" s="2" t="inlineStr"/>
    </row>
    <row r="679" ht="15" customHeight="1">
      <c r="A679" t="inlineStr">
        <is>
          <t>A 5912-2026</t>
        </is>
      </c>
      <c r="B679" s="1" t="n">
        <v>46052.4488425926</v>
      </c>
      <c r="C679" s="1" t="n">
        <v>46087</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18527-2023</t>
        </is>
      </c>
      <c r="B680" s="1" t="n">
        <v>45041</v>
      </c>
      <c r="C680" s="1" t="n">
        <v>46087</v>
      </c>
      <c r="D680" t="inlineStr">
        <is>
          <t>VÄSTERBOTTENS LÄN</t>
        </is>
      </c>
      <c r="E680" t="inlineStr">
        <is>
          <t>UMEÅ</t>
        </is>
      </c>
      <c r="F680" t="inlineStr">
        <is>
          <t>Kommuner</t>
        </is>
      </c>
      <c r="G680" t="n">
        <v>3.2</v>
      </c>
      <c r="H680" t="n">
        <v>0</v>
      </c>
      <c r="I680" t="n">
        <v>0</v>
      </c>
      <c r="J680" t="n">
        <v>0</v>
      </c>
      <c r="K680" t="n">
        <v>0</v>
      </c>
      <c r="L680" t="n">
        <v>0</v>
      </c>
      <c r="M680" t="n">
        <v>0</v>
      </c>
      <c r="N680" t="n">
        <v>0</v>
      </c>
      <c r="O680" t="n">
        <v>0</v>
      </c>
      <c r="P680" t="n">
        <v>0</v>
      </c>
      <c r="Q680" t="n">
        <v>0</v>
      </c>
      <c r="R680" s="2" t="inlineStr"/>
    </row>
    <row r="681" ht="15" customHeight="1">
      <c r="A681" t="inlineStr">
        <is>
          <t>A 63130-2025</t>
        </is>
      </c>
      <c r="B681" s="1" t="n">
        <v>46010.23451388889</v>
      </c>
      <c r="C681" s="1" t="n">
        <v>46087</v>
      </c>
      <c r="D681" t="inlineStr">
        <is>
          <t>VÄSTERBOTTENS LÄN</t>
        </is>
      </c>
      <c r="E681" t="inlineStr">
        <is>
          <t>UMEÅ</t>
        </is>
      </c>
      <c r="G681" t="n">
        <v>7.2</v>
      </c>
      <c r="H681" t="n">
        <v>0</v>
      </c>
      <c r="I681" t="n">
        <v>0</v>
      </c>
      <c r="J681" t="n">
        <v>0</v>
      </c>
      <c r="K681" t="n">
        <v>0</v>
      </c>
      <c r="L681" t="n">
        <v>0</v>
      </c>
      <c r="M681" t="n">
        <v>0</v>
      </c>
      <c r="N681" t="n">
        <v>0</v>
      </c>
      <c r="O681" t="n">
        <v>0</v>
      </c>
      <c r="P681" t="n">
        <v>0</v>
      </c>
      <c r="Q681" t="n">
        <v>0</v>
      </c>
      <c r="R681" s="2" t="inlineStr"/>
    </row>
    <row r="682" ht="15" customHeight="1">
      <c r="A682" t="inlineStr">
        <is>
          <t>A 63155-2025</t>
        </is>
      </c>
      <c r="B682" s="1" t="n">
        <v>46010.3641087963</v>
      </c>
      <c r="C682" s="1" t="n">
        <v>46087</v>
      </c>
      <c r="D682" t="inlineStr">
        <is>
          <t>VÄSTERBOTTENS LÄN</t>
        </is>
      </c>
      <c r="E682" t="inlineStr">
        <is>
          <t>UMEÅ</t>
        </is>
      </c>
      <c r="G682" t="n">
        <v>3.4</v>
      </c>
      <c r="H682" t="n">
        <v>0</v>
      </c>
      <c r="I682" t="n">
        <v>0</v>
      </c>
      <c r="J682" t="n">
        <v>0</v>
      </c>
      <c r="K682" t="n">
        <v>0</v>
      </c>
      <c r="L682" t="n">
        <v>0</v>
      </c>
      <c r="M682" t="n">
        <v>0</v>
      </c>
      <c r="N682" t="n">
        <v>0</v>
      </c>
      <c r="O682" t="n">
        <v>0</v>
      </c>
      <c r="P682" t="n">
        <v>0</v>
      </c>
      <c r="Q682" t="n">
        <v>0</v>
      </c>
      <c r="R682" s="2" t="inlineStr"/>
    </row>
    <row r="683" ht="15" customHeight="1">
      <c r="A683" t="inlineStr">
        <is>
          <t>A 63244-2025</t>
        </is>
      </c>
      <c r="B683" s="1" t="n">
        <v>46010.5324537037</v>
      </c>
      <c r="C683" s="1" t="n">
        <v>46087</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6519-2026</t>
        </is>
      </c>
      <c r="B684" s="1" t="n">
        <v>46056.40042824074</v>
      </c>
      <c r="C684" s="1" t="n">
        <v>46087</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7774-2025</t>
        </is>
      </c>
      <c r="B685" s="1" t="n">
        <v>45706.57314814815</v>
      </c>
      <c r="C685" s="1" t="n">
        <v>46087</v>
      </c>
      <c r="D685" t="inlineStr">
        <is>
          <t>VÄSTERBOTTENS LÄN</t>
        </is>
      </c>
      <c r="E685" t="inlineStr">
        <is>
          <t>UMEÅ</t>
        </is>
      </c>
      <c r="G685" t="n">
        <v>2.6</v>
      </c>
      <c r="H685" t="n">
        <v>0</v>
      </c>
      <c r="I685" t="n">
        <v>0</v>
      </c>
      <c r="J685" t="n">
        <v>0</v>
      </c>
      <c r="K685" t="n">
        <v>0</v>
      </c>
      <c r="L685" t="n">
        <v>0</v>
      </c>
      <c r="M685" t="n">
        <v>0</v>
      </c>
      <c r="N685" t="n">
        <v>0</v>
      </c>
      <c r="O685" t="n">
        <v>0</v>
      </c>
      <c r="P685" t="n">
        <v>0</v>
      </c>
      <c r="Q685" t="n">
        <v>0</v>
      </c>
      <c r="R685" s="2" t="inlineStr"/>
    </row>
    <row r="686" ht="15" customHeight="1">
      <c r="A686" t="inlineStr">
        <is>
          <t>A 27681-2025</t>
        </is>
      </c>
      <c r="B686" s="1" t="n">
        <v>45813.646875</v>
      </c>
      <c r="C686" s="1" t="n">
        <v>46087</v>
      </c>
      <c r="D686" t="inlineStr">
        <is>
          <t>VÄSTERBOTTENS LÄN</t>
        </is>
      </c>
      <c r="E686" t="inlineStr">
        <is>
          <t>UMEÅ</t>
        </is>
      </c>
      <c r="G686" t="n">
        <v>6.9</v>
      </c>
      <c r="H686" t="n">
        <v>0</v>
      </c>
      <c r="I686" t="n">
        <v>0</v>
      </c>
      <c r="J686" t="n">
        <v>0</v>
      </c>
      <c r="K686" t="n">
        <v>0</v>
      </c>
      <c r="L686" t="n">
        <v>0</v>
      </c>
      <c r="M686" t="n">
        <v>0</v>
      </c>
      <c r="N686" t="n">
        <v>0</v>
      </c>
      <c r="O686" t="n">
        <v>0</v>
      </c>
      <c r="P686" t="n">
        <v>0</v>
      </c>
      <c r="Q686" t="n">
        <v>0</v>
      </c>
      <c r="R686" s="2" t="inlineStr"/>
    </row>
    <row r="687" ht="15" customHeight="1">
      <c r="A687" t="inlineStr">
        <is>
          <t>A 59735-2024</t>
        </is>
      </c>
      <c r="B687" s="1" t="n">
        <v>45639</v>
      </c>
      <c r="C687" s="1" t="n">
        <v>46087</v>
      </c>
      <c r="D687" t="inlineStr">
        <is>
          <t>VÄSTERBOTTENS LÄN</t>
        </is>
      </c>
      <c r="E687" t="inlineStr">
        <is>
          <t>UMEÅ</t>
        </is>
      </c>
      <c r="G687" t="n">
        <v>10.7</v>
      </c>
      <c r="H687" t="n">
        <v>0</v>
      </c>
      <c r="I687" t="n">
        <v>0</v>
      </c>
      <c r="J687" t="n">
        <v>0</v>
      </c>
      <c r="K687" t="n">
        <v>0</v>
      </c>
      <c r="L687" t="n">
        <v>0</v>
      </c>
      <c r="M687" t="n">
        <v>0</v>
      </c>
      <c r="N687" t="n">
        <v>0</v>
      </c>
      <c r="O687" t="n">
        <v>0</v>
      </c>
      <c r="P687" t="n">
        <v>0</v>
      </c>
      <c r="Q687" t="n">
        <v>0</v>
      </c>
      <c r="R687" s="2" t="inlineStr"/>
    </row>
    <row r="688" ht="15" customHeight="1">
      <c r="A688" t="inlineStr">
        <is>
          <t>A 64157-2025</t>
        </is>
      </c>
      <c r="B688" s="1" t="n">
        <v>46013</v>
      </c>
      <c r="C688" s="1" t="n">
        <v>46087</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6070-2026</t>
        </is>
      </c>
      <c r="B689" s="1" t="n">
        <v>46052</v>
      </c>
      <c r="C689" s="1" t="n">
        <v>46087</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36854-2022</t>
        </is>
      </c>
      <c r="B690" s="1" t="n">
        <v>44805.60581018519</v>
      </c>
      <c r="C690" s="1" t="n">
        <v>46087</v>
      </c>
      <c r="D690" t="inlineStr">
        <is>
          <t>VÄSTERBOTTENS LÄN</t>
        </is>
      </c>
      <c r="E690" t="inlineStr">
        <is>
          <t>UMEÅ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18322-2023</t>
        </is>
      </c>
      <c r="B691" s="1" t="n">
        <v>45041.61890046296</v>
      </c>
      <c r="C691" s="1" t="n">
        <v>46087</v>
      </c>
      <c r="D691" t="inlineStr">
        <is>
          <t>VÄSTERBOTTENS LÄN</t>
        </is>
      </c>
      <c r="E691" t="inlineStr">
        <is>
          <t>UMEÅ</t>
        </is>
      </c>
      <c r="G691" t="n">
        <v>1.5</v>
      </c>
      <c r="H691" t="n">
        <v>0</v>
      </c>
      <c r="I691" t="n">
        <v>0</v>
      </c>
      <c r="J691" t="n">
        <v>0</v>
      </c>
      <c r="K691" t="n">
        <v>0</v>
      </c>
      <c r="L691" t="n">
        <v>0</v>
      </c>
      <c r="M691" t="n">
        <v>0</v>
      </c>
      <c r="N691" t="n">
        <v>0</v>
      </c>
      <c r="O691" t="n">
        <v>0</v>
      </c>
      <c r="P691" t="n">
        <v>0</v>
      </c>
      <c r="Q691" t="n">
        <v>0</v>
      </c>
      <c r="R691" s="2" t="inlineStr"/>
    </row>
    <row r="692" ht="15" customHeight="1">
      <c r="A692" t="inlineStr">
        <is>
          <t>A 6178-2026</t>
        </is>
      </c>
      <c r="B692" s="1" t="n">
        <v>46055</v>
      </c>
      <c r="C692" s="1" t="n">
        <v>46087</v>
      </c>
      <c r="D692" t="inlineStr">
        <is>
          <t>VÄSTERBOTTENS LÄN</t>
        </is>
      </c>
      <c r="E692" t="inlineStr">
        <is>
          <t>UMEÅ</t>
        </is>
      </c>
      <c r="G692" t="n">
        <v>3.8</v>
      </c>
      <c r="H692" t="n">
        <v>0</v>
      </c>
      <c r="I692" t="n">
        <v>0</v>
      </c>
      <c r="J692" t="n">
        <v>0</v>
      </c>
      <c r="K692" t="n">
        <v>0</v>
      </c>
      <c r="L692" t="n">
        <v>0</v>
      </c>
      <c r="M692" t="n">
        <v>0</v>
      </c>
      <c r="N692" t="n">
        <v>0</v>
      </c>
      <c r="O692" t="n">
        <v>0</v>
      </c>
      <c r="P692" t="n">
        <v>0</v>
      </c>
      <c r="Q692" t="n">
        <v>0</v>
      </c>
      <c r="R692" s="2" t="inlineStr"/>
    </row>
    <row r="693" ht="15" customHeight="1">
      <c r="A693" t="inlineStr">
        <is>
          <t>A 6563-2026</t>
        </is>
      </c>
      <c r="B693" s="1" t="n">
        <v>46056.43702546296</v>
      </c>
      <c r="C693" s="1" t="n">
        <v>46087</v>
      </c>
      <c r="D693" t="inlineStr">
        <is>
          <t>VÄSTERBOTTENS LÄN</t>
        </is>
      </c>
      <c r="E693" t="inlineStr">
        <is>
          <t>UMEÅ</t>
        </is>
      </c>
      <c r="G693" t="n">
        <v>2.7</v>
      </c>
      <c r="H693" t="n">
        <v>0</v>
      </c>
      <c r="I693" t="n">
        <v>0</v>
      </c>
      <c r="J693" t="n">
        <v>0</v>
      </c>
      <c r="K693" t="n">
        <v>0</v>
      </c>
      <c r="L693" t="n">
        <v>0</v>
      </c>
      <c r="M693" t="n">
        <v>0</v>
      </c>
      <c r="N693" t="n">
        <v>0</v>
      </c>
      <c r="O693" t="n">
        <v>0</v>
      </c>
      <c r="P693" t="n">
        <v>0</v>
      </c>
      <c r="Q693" t="n">
        <v>0</v>
      </c>
      <c r="R693" s="2" t="inlineStr"/>
    </row>
    <row r="694" ht="15" customHeight="1">
      <c r="A694" t="inlineStr">
        <is>
          <t>A 27689-2025</t>
        </is>
      </c>
      <c r="B694" s="1" t="n">
        <v>45813.65648148148</v>
      </c>
      <c r="C694" s="1" t="n">
        <v>46087</v>
      </c>
      <c r="D694" t="inlineStr">
        <is>
          <t>VÄSTERBOTTENS LÄN</t>
        </is>
      </c>
      <c r="E694" t="inlineStr">
        <is>
          <t>UMEÅ</t>
        </is>
      </c>
      <c r="F694" t="inlineStr">
        <is>
          <t>Holmen skog AB</t>
        </is>
      </c>
      <c r="G694" t="n">
        <v>6.7</v>
      </c>
      <c r="H694" t="n">
        <v>0</v>
      </c>
      <c r="I694" t="n">
        <v>0</v>
      </c>
      <c r="J694" t="n">
        <v>0</v>
      </c>
      <c r="K694" t="n">
        <v>0</v>
      </c>
      <c r="L694" t="n">
        <v>0</v>
      </c>
      <c r="M694" t="n">
        <v>0</v>
      </c>
      <c r="N694" t="n">
        <v>0</v>
      </c>
      <c r="O694" t="n">
        <v>0</v>
      </c>
      <c r="P694" t="n">
        <v>0</v>
      </c>
      <c r="Q694" t="n">
        <v>0</v>
      </c>
      <c r="R694" s="2" t="inlineStr"/>
    </row>
    <row r="695" ht="15" customHeight="1">
      <c r="A695" t="inlineStr">
        <is>
          <t>A 20749-2024</t>
        </is>
      </c>
      <c r="B695" s="1" t="n">
        <v>45436</v>
      </c>
      <c r="C695" s="1" t="n">
        <v>46087</v>
      </c>
      <c r="D695" t="inlineStr">
        <is>
          <t>VÄSTERBOTTENS LÄN</t>
        </is>
      </c>
      <c r="E695" t="inlineStr">
        <is>
          <t>UMEÅ</t>
        </is>
      </c>
      <c r="G695" t="n">
        <v>1.8</v>
      </c>
      <c r="H695" t="n">
        <v>0</v>
      </c>
      <c r="I695" t="n">
        <v>0</v>
      </c>
      <c r="J695" t="n">
        <v>0</v>
      </c>
      <c r="K695" t="n">
        <v>0</v>
      </c>
      <c r="L695" t="n">
        <v>0</v>
      </c>
      <c r="M695" t="n">
        <v>0</v>
      </c>
      <c r="N695" t="n">
        <v>0</v>
      </c>
      <c r="O695" t="n">
        <v>0</v>
      </c>
      <c r="P695" t="n">
        <v>0</v>
      </c>
      <c r="Q695" t="n">
        <v>0</v>
      </c>
      <c r="R695" s="2" t="inlineStr"/>
    </row>
    <row r="696" ht="15" customHeight="1">
      <c r="A696" t="inlineStr">
        <is>
          <t>A 3165-2025</t>
        </is>
      </c>
      <c r="B696" s="1" t="n">
        <v>45679.35350694445</v>
      </c>
      <c r="C696" s="1" t="n">
        <v>46087</v>
      </c>
      <c r="D696" t="inlineStr">
        <is>
          <t>VÄSTERBOTTENS LÄN</t>
        </is>
      </c>
      <c r="E696" t="inlineStr">
        <is>
          <t>UMEÅ</t>
        </is>
      </c>
      <c r="G696" t="n">
        <v>8.1</v>
      </c>
      <c r="H696" t="n">
        <v>0</v>
      </c>
      <c r="I696" t="n">
        <v>0</v>
      </c>
      <c r="J696" t="n">
        <v>0</v>
      </c>
      <c r="K696" t="n">
        <v>0</v>
      </c>
      <c r="L696" t="n">
        <v>0</v>
      </c>
      <c r="M696" t="n">
        <v>0</v>
      </c>
      <c r="N696" t="n">
        <v>0</v>
      </c>
      <c r="O696" t="n">
        <v>0</v>
      </c>
      <c r="P696" t="n">
        <v>0</v>
      </c>
      <c r="Q696" t="n">
        <v>0</v>
      </c>
      <c r="R696" s="2" t="inlineStr"/>
    </row>
    <row r="697" ht="15" customHeight="1">
      <c r="A697" t="inlineStr">
        <is>
          <t>A 19219-2025</t>
        </is>
      </c>
      <c r="B697" s="1" t="n">
        <v>45769.44732638889</v>
      </c>
      <c r="C697" s="1" t="n">
        <v>46087</v>
      </c>
      <c r="D697" t="inlineStr">
        <is>
          <t>VÄSTERBOTTENS LÄN</t>
        </is>
      </c>
      <c r="E697" t="inlineStr">
        <is>
          <t>UMEÅ</t>
        </is>
      </c>
      <c r="G697" t="n">
        <v>1.4</v>
      </c>
      <c r="H697" t="n">
        <v>0</v>
      </c>
      <c r="I697" t="n">
        <v>0</v>
      </c>
      <c r="J697" t="n">
        <v>0</v>
      </c>
      <c r="K697" t="n">
        <v>0</v>
      </c>
      <c r="L697" t="n">
        <v>0</v>
      </c>
      <c r="M697" t="n">
        <v>0</v>
      </c>
      <c r="N697" t="n">
        <v>0</v>
      </c>
      <c r="O697" t="n">
        <v>0</v>
      </c>
      <c r="P697" t="n">
        <v>0</v>
      </c>
      <c r="Q697" t="n">
        <v>0</v>
      </c>
      <c r="R697" s="2" t="inlineStr"/>
    </row>
    <row r="698" ht="15" customHeight="1">
      <c r="A698" t="inlineStr">
        <is>
          <t>A 32662-2024</t>
        </is>
      </c>
      <c r="B698" s="1" t="n">
        <v>45514.37979166667</v>
      </c>
      <c r="C698" s="1" t="n">
        <v>46087</v>
      </c>
      <c r="D698" t="inlineStr">
        <is>
          <t>VÄSTERBOTTENS LÄN</t>
        </is>
      </c>
      <c r="E698" t="inlineStr">
        <is>
          <t>UMEÅ</t>
        </is>
      </c>
      <c r="F698" t="inlineStr">
        <is>
          <t>Holmen skog AB</t>
        </is>
      </c>
      <c r="G698" t="n">
        <v>5.3</v>
      </c>
      <c r="H698" t="n">
        <v>0</v>
      </c>
      <c r="I698" t="n">
        <v>0</v>
      </c>
      <c r="J698" t="n">
        <v>0</v>
      </c>
      <c r="K698" t="n">
        <v>0</v>
      </c>
      <c r="L698" t="n">
        <v>0</v>
      </c>
      <c r="M698" t="n">
        <v>0</v>
      </c>
      <c r="N698" t="n">
        <v>0</v>
      </c>
      <c r="O698" t="n">
        <v>0</v>
      </c>
      <c r="P698" t="n">
        <v>0</v>
      </c>
      <c r="Q698" t="n">
        <v>0</v>
      </c>
      <c r="R698" s="2" t="inlineStr"/>
    </row>
    <row r="699" ht="15" customHeight="1">
      <c r="A699" t="inlineStr">
        <is>
          <t>A 61532-2024</t>
        </is>
      </c>
      <c r="B699" s="1" t="n">
        <v>45646.58855324074</v>
      </c>
      <c r="C699" s="1" t="n">
        <v>46087</v>
      </c>
      <c r="D699" t="inlineStr">
        <is>
          <t>VÄSTERBOTTENS LÄN</t>
        </is>
      </c>
      <c r="E699" t="inlineStr">
        <is>
          <t>UMEÅ</t>
        </is>
      </c>
      <c r="G699" t="n">
        <v>2.3</v>
      </c>
      <c r="H699" t="n">
        <v>0</v>
      </c>
      <c r="I699" t="n">
        <v>0</v>
      </c>
      <c r="J699" t="n">
        <v>0</v>
      </c>
      <c r="K699" t="n">
        <v>0</v>
      </c>
      <c r="L699" t="n">
        <v>0</v>
      </c>
      <c r="M699" t="n">
        <v>0</v>
      </c>
      <c r="N699" t="n">
        <v>0</v>
      </c>
      <c r="O699" t="n">
        <v>0</v>
      </c>
      <c r="P699" t="n">
        <v>0</v>
      </c>
      <c r="Q699" t="n">
        <v>0</v>
      </c>
      <c r="R699" s="2" t="inlineStr"/>
    </row>
    <row r="700" ht="15" customHeight="1">
      <c r="A700" t="inlineStr">
        <is>
          <t>A 21081-2024</t>
        </is>
      </c>
      <c r="B700" s="1" t="n">
        <v>45439</v>
      </c>
      <c r="C700" s="1" t="n">
        <v>46087</v>
      </c>
      <c r="D700" t="inlineStr">
        <is>
          <t>VÄSTERBOTTENS LÄN</t>
        </is>
      </c>
      <c r="E700" t="inlineStr">
        <is>
          <t>UMEÅ</t>
        </is>
      </c>
      <c r="G700" t="n">
        <v>3</v>
      </c>
      <c r="H700" t="n">
        <v>0</v>
      </c>
      <c r="I700" t="n">
        <v>0</v>
      </c>
      <c r="J700" t="n">
        <v>0</v>
      </c>
      <c r="K700" t="n">
        <v>0</v>
      </c>
      <c r="L700" t="n">
        <v>0</v>
      </c>
      <c r="M700" t="n">
        <v>0</v>
      </c>
      <c r="N700" t="n">
        <v>0</v>
      </c>
      <c r="O700" t="n">
        <v>0</v>
      </c>
      <c r="P700" t="n">
        <v>0</v>
      </c>
      <c r="Q700" t="n">
        <v>0</v>
      </c>
      <c r="R700" s="2" t="inlineStr"/>
    </row>
    <row r="701" ht="15" customHeight="1">
      <c r="A701" t="inlineStr">
        <is>
          <t>A 25683-2025</t>
        </is>
      </c>
      <c r="B701" s="1" t="n">
        <v>45803</v>
      </c>
      <c r="C701" s="1" t="n">
        <v>46087</v>
      </c>
      <c r="D701" t="inlineStr">
        <is>
          <t>VÄSTERBOTTENS LÄN</t>
        </is>
      </c>
      <c r="E701" t="inlineStr">
        <is>
          <t>UMEÅ</t>
        </is>
      </c>
      <c r="G701" t="n">
        <v>4.9</v>
      </c>
      <c r="H701" t="n">
        <v>0</v>
      </c>
      <c r="I701" t="n">
        <v>0</v>
      </c>
      <c r="J701" t="n">
        <v>0</v>
      </c>
      <c r="K701" t="n">
        <v>0</v>
      </c>
      <c r="L701" t="n">
        <v>0</v>
      </c>
      <c r="M701" t="n">
        <v>0</v>
      </c>
      <c r="N701" t="n">
        <v>0</v>
      </c>
      <c r="O701" t="n">
        <v>0</v>
      </c>
      <c r="P701" t="n">
        <v>0</v>
      </c>
      <c r="Q701" t="n">
        <v>0</v>
      </c>
      <c r="R701" s="2" t="inlineStr"/>
    </row>
    <row r="702" ht="15" customHeight="1">
      <c r="A702" t="inlineStr">
        <is>
          <t>A 23285-2021</t>
        </is>
      </c>
      <c r="B702" s="1" t="n">
        <v>44330</v>
      </c>
      <c r="C702" s="1" t="n">
        <v>46087</v>
      </c>
      <c r="D702" t="inlineStr">
        <is>
          <t>VÄSTERBOTTENS LÄN</t>
        </is>
      </c>
      <c r="E702" t="inlineStr">
        <is>
          <t>UMEÅ</t>
        </is>
      </c>
      <c r="G702" t="n">
        <v>4.6</v>
      </c>
      <c r="H702" t="n">
        <v>0</v>
      </c>
      <c r="I702" t="n">
        <v>0</v>
      </c>
      <c r="J702" t="n">
        <v>0</v>
      </c>
      <c r="K702" t="n">
        <v>0</v>
      </c>
      <c r="L702" t="n">
        <v>0</v>
      </c>
      <c r="M702" t="n">
        <v>0</v>
      </c>
      <c r="N702" t="n">
        <v>0</v>
      </c>
      <c r="O702" t="n">
        <v>0</v>
      </c>
      <c r="P702" t="n">
        <v>0</v>
      </c>
      <c r="Q702" t="n">
        <v>0</v>
      </c>
      <c r="R702" s="2" t="inlineStr"/>
    </row>
    <row r="703" ht="15" customHeight="1">
      <c r="A703" t="inlineStr">
        <is>
          <t>A 5016-2026</t>
        </is>
      </c>
      <c r="B703" s="1" t="n">
        <v>46049</v>
      </c>
      <c r="C703" s="1" t="n">
        <v>46087</v>
      </c>
      <c r="D703" t="inlineStr">
        <is>
          <t>VÄSTERBOTTENS LÄN</t>
        </is>
      </c>
      <c r="E703" t="inlineStr">
        <is>
          <t>UMEÅ</t>
        </is>
      </c>
      <c r="G703" t="n">
        <v>1.2</v>
      </c>
      <c r="H703" t="n">
        <v>0</v>
      </c>
      <c r="I703" t="n">
        <v>0</v>
      </c>
      <c r="J703" t="n">
        <v>0</v>
      </c>
      <c r="K703" t="n">
        <v>0</v>
      </c>
      <c r="L703" t="n">
        <v>0</v>
      </c>
      <c r="M703" t="n">
        <v>0</v>
      </c>
      <c r="N703" t="n">
        <v>0</v>
      </c>
      <c r="O703" t="n">
        <v>0</v>
      </c>
      <c r="P703" t="n">
        <v>0</v>
      </c>
      <c r="Q703" t="n">
        <v>0</v>
      </c>
      <c r="R703" s="2" t="inlineStr"/>
    </row>
    <row r="704" ht="15" customHeight="1">
      <c r="A704" t="inlineStr">
        <is>
          <t>A 22795-2022</t>
        </is>
      </c>
      <c r="B704" s="1" t="n">
        <v>44715.33833333333</v>
      </c>
      <c r="C704" s="1" t="n">
        <v>46087</v>
      </c>
      <c r="D704" t="inlineStr">
        <is>
          <t>VÄSTERBOTTENS LÄN</t>
        </is>
      </c>
      <c r="E704" t="inlineStr">
        <is>
          <t>UMEÅ</t>
        </is>
      </c>
      <c r="G704" t="n">
        <v>2.8</v>
      </c>
      <c r="H704" t="n">
        <v>0</v>
      </c>
      <c r="I704" t="n">
        <v>0</v>
      </c>
      <c r="J704" t="n">
        <v>0</v>
      </c>
      <c r="K704" t="n">
        <v>0</v>
      </c>
      <c r="L704" t="n">
        <v>0</v>
      </c>
      <c r="M704" t="n">
        <v>0</v>
      </c>
      <c r="N704" t="n">
        <v>0</v>
      </c>
      <c r="O704" t="n">
        <v>0</v>
      </c>
      <c r="P704" t="n">
        <v>0</v>
      </c>
      <c r="Q704" t="n">
        <v>0</v>
      </c>
      <c r="R704" s="2" t="inlineStr"/>
    </row>
    <row r="705" ht="15" customHeight="1">
      <c r="A705" t="inlineStr">
        <is>
          <t>A 5329-2026</t>
        </is>
      </c>
      <c r="B705" s="1" t="n">
        <v>46050</v>
      </c>
      <c r="C705" s="1" t="n">
        <v>46087</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7285-2026</t>
        </is>
      </c>
      <c r="B706" s="1" t="n">
        <v>46058.6363425926</v>
      </c>
      <c r="C706" s="1" t="n">
        <v>46087</v>
      </c>
      <c r="D706" t="inlineStr">
        <is>
          <t>VÄSTERBOTTENS LÄN</t>
        </is>
      </c>
      <c r="E706" t="inlineStr">
        <is>
          <t>UMEÅ</t>
        </is>
      </c>
      <c r="G706" t="n">
        <v>7.7</v>
      </c>
      <c r="H706" t="n">
        <v>0</v>
      </c>
      <c r="I706" t="n">
        <v>0</v>
      </c>
      <c r="J706" t="n">
        <v>0</v>
      </c>
      <c r="K706" t="n">
        <v>0</v>
      </c>
      <c r="L706" t="n">
        <v>0</v>
      </c>
      <c r="M706" t="n">
        <v>0</v>
      </c>
      <c r="N706" t="n">
        <v>0</v>
      </c>
      <c r="O706" t="n">
        <v>0</v>
      </c>
      <c r="P706" t="n">
        <v>0</v>
      </c>
      <c r="Q706" t="n">
        <v>0</v>
      </c>
      <c r="R706" s="2" t="inlineStr"/>
    </row>
    <row r="707" ht="15" customHeight="1">
      <c r="A707" t="inlineStr">
        <is>
          <t>A 63600-2025</t>
        </is>
      </c>
      <c r="B707" s="1" t="n">
        <v>46014.31091435185</v>
      </c>
      <c r="C707" s="1" t="n">
        <v>46087</v>
      </c>
      <c r="D707" t="inlineStr">
        <is>
          <t>VÄSTERBOTTENS LÄN</t>
        </is>
      </c>
      <c r="E707" t="inlineStr">
        <is>
          <t>UMEÅ</t>
        </is>
      </c>
      <c r="G707" t="n">
        <v>2.1</v>
      </c>
      <c r="H707" t="n">
        <v>0</v>
      </c>
      <c r="I707" t="n">
        <v>0</v>
      </c>
      <c r="J707" t="n">
        <v>0</v>
      </c>
      <c r="K707" t="n">
        <v>0</v>
      </c>
      <c r="L707" t="n">
        <v>0</v>
      </c>
      <c r="M707" t="n">
        <v>0</v>
      </c>
      <c r="N707" t="n">
        <v>0</v>
      </c>
      <c r="O707" t="n">
        <v>0</v>
      </c>
      <c r="P707" t="n">
        <v>0</v>
      </c>
      <c r="Q707" t="n">
        <v>0</v>
      </c>
      <c r="R707" s="2" t="inlineStr"/>
    </row>
    <row r="708" ht="15" customHeight="1">
      <c r="A708" t="inlineStr">
        <is>
          <t>A 19025-2024</t>
        </is>
      </c>
      <c r="B708" s="1" t="n">
        <v>45427</v>
      </c>
      <c r="C708" s="1" t="n">
        <v>46087</v>
      </c>
      <c r="D708" t="inlineStr">
        <is>
          <t>VÄSTERBOTTENS LÄN</t>
        </is>
      </c>
      <c r="E708" t="inlineStr">
        <is>
          <t>UMEÅ</t>
        </is>
      </c>
      <c r="G708" t="n">
        <v>0.6</v>
      </c>
      <c r="H708" t="n">
        <v>0</v>
      </c>
      <c r="I708" t="n">
        <v>0</v>
      </c>
      <c r="J708" t="n">
        <v>0</v>
      </c>
      <c r="K708" t="n">
        <v>0</v>
      </c>
      <c r="L708" t="n">
        <v>0</v>
      </c>
      <c r="M708" t="n">
        <v>0</v>
      </c>
      <c r="N708" t="n">
        <v>0</v>
      </c>
      <c r="O708" t="n">
        <v>0</v>
      </c>
      <c r="P708" t="n">
        <v>0</v>
      </c>
      <c r="Q708" t="n">
        <v>0</v>
      </c>
      <c r="R708" s="2" t="inlineStr"/>
    </row>
    <row r="709" ht="15" customHeight="1">
      <c r="A709" t="inlineStr">
        <is>
          <t>A 6919-2026</t>
        </is>
      </c>
      <c r="B709" s="1" t="n">
        <v>46057.53539351852</v>
      </c>
      <c r="C709" s="1" t="n">
        <v>46087</v>
      </c>
      <c r="D709" t="inlineStr">
        <is>
          <t>VÄSTERBOTTENS LÄN</t>
        </is>
      </c>
      <c r="E709" t="inlineStr">
        <is>
          <t>UMEÅ</t>
        </is>
      </c>
      <c r="G709" t="n">
        <v>1.5</v>
      </c>
      <c r="H709" t="n">
        <v>0</v>
      </c>
      <c r="I709" t="n">
        <v>0</v>
      </c>
      <c r="J709" t="n">
        <v>0</v>
      </c>
      <c r="K709" t="n">
        <v>0</v>
      </c>
      <c r="L709" t="n">
        <v>0</v>
      </c>
      <c r="M709" t="n">
        <v>0</v>
      </c>
      <c r="N709" t="n">
        <v>0</v>
      </c>
      <c r="O709" t="n">
        <v>0</v>
      </c>
      <c r="P709" t="n">
        <v>0</v>
      </c>
      <c r="Q709" t="n">
        <v>0</v>
      </c>
      <c r="R709" s="2" t="inlineStr"/>
    </row>
    <row r="710" ht="15" customHeight="1">
      <c r="A710" t="inlineStr">
        <is>
          <t>A 58132-2022</t>
        </is>
      </c>
      <c r="B710" s="1" t="n">
        <v>44900.68913194445</v>
      </c>
      <c r="C710" s="1" t="n">
        <v>46087</v>
      </c>
      <c r="D710" t="inlineStr">
        <is>
          <t>VÄSTERBOTTENS LÄN</t>
        </is>
      </c>
      <c r="E710" t="inlineStr">
        <is>
          <t>UMEÅ</t>
        </is>
      </c>
      <c r="G710" t="n">
        <v>3.6</v>
      </c>
      <c r="H710" t="n">
        <v>0</v>
      </c>
      <c r="I710" t="n">
        <v>0</v>
      </c>
      <c r="J710" t="n">
        <v>0</v>
      </c>
      <c r="K710" t="n">
        <v>0</v>
      </c>
      <c r="L710" t="n">
        <v>0</v>
      </c>
      <c r="M710" t="n">
        <v>0</v>
      </c>
      <c r="N710" t="n">
        <v>0</v>
      </c>
      <c r="O710" t="n">
        <v>0</v>
      </c>
      <c r="P710" t="n">
        <v>0</v>
      </c>
      <c r="Q710" t="n">
        <v>0</v>
      </c>
      <c r="R710" s="2" t="inlineStr"/>
    </row>
    <row r="711" ht="15" customHeight="1">
      <c r="A711" t="inlineStr">
        <is>
          <t>A 63810-2025</t>
        </is>
      </c>
      <c r="B711" s="1" t="n">
        <v>46020.32105324074</v>
      </c>
      <c r="C711" s="1" t="n">
        <v>46087</v>
      </c>
      <c r="D711" t="inlineStr">
        <is>
          <t>VÄSTERBOTTENS LÄN</t>
        </is>
      </c>
      <c r="E711" t="inlineStr">
        <is>
          <t>UMEÅ</t>
        </is>
      </c>
      <c r="G711" t="n">
        <v>1.2</v>
      </c>
      <c r="H711" t="n">
        <v>0</v>
      </c>
      <c r="I711" t="n">
        <v>0</v>
      </c>
      <c r="J711" t="n">
        <v>0</v>
      </c>
      <c r="K711" t="n">
        <v>0</v>
      </c>
      <c r="L711" t="n">
        <v>0</v>
      </c>
      <c r="M711" t="n">
        <v>0</v>
      </c>
      <c r="N711" t="n">
        <v>0</v>
      </c>
      <c r="O711" t="n">
        <v>0</v>
      </c>
      <c r="P711" t="n">
        <v>0</v>
      </c>
      <c r="Q711" t="n">
        <v>0</v>
      </c>
      <c r="R711" s="2" t="inlineStr"/>
    </row>
    <row r="712" ht="15" customHeight="1">
      <c r="A712" t="inlineStr">
        <is>
          <t>A 7389-2026</t>
        </is>
      </c>
      <c r="B712" s="1" t="n">
        <v>46059.36795138889</v>
      </c>
      <c r="C712" s="1" t="n">
        <v>46087</v>
      </c>
      <c r="D712" t="inlineStr">
        <is>
          <t>VÄSTERBOTTENS LÄN</t>
        </is>
      </c>
      <c r="E712" t="inlineStr">
        <is>
          <t>UMEÅ</t>
        </is>
      </c>
      <c r="G712" t="n">
        <v>0.6</v>
      </c>
      <c r="H712" t="n">
        <v>0</v>
      </c>
      <c r="I712" t="n">
        <v>0</v>
      </c>
      <c r="J712" t="n">
        <v>0</v>
      </c>
      <c r="K712" t="n">
        <v>0</v>
      </c>
      <c r="L712" t="n">
        <v>0</v>
      </c>
      <c r="M712" t="n">
        <v>0</v>
      </c>
      <c r="N712" t="n">
        <v>0</v>
      </c>
      <c r="O712" t="n">
        <v>0</v>
      </c>
      <c r="P712" t="n">
        <v>0</v>
      </c>
      <c r="Q712" t="n">
        <v>0</v>
      </c>
      <c r="R712" s="2" t="inlineStr"/>
    </row>
    <row r="713" ht="15" customHeight="1">
      <c r="A713" t="inlineStr">
        <is>
          <t>A 22279-2021</t>
        </is>
      </c>
      <c r="B713" s="1" t="n">
        <v>44326</v>
      </c>
      <c r="C713" s="1" t="n">
        <v>46087</v>
      </c>
      <c r="D713" t="inlineStr">
        <is>
          <t>VÄSTERBOTTENS LÄN</t>
        </is>
      </c>
      <c r="E713" t="inlineStr">
        <is>
          <t>UMEÅ</t>
        </is>
      </c>
      <c r="G713" t="n">
        <v>3.2</v>
      </c>
      <c r="H713" t="n">
        <v>0</v>
      </c>
      <c r="I713" t="n">
        <v>0</v>
      </c>
      <c r="J713" t="n">
        <v>0</v>
      </c>
      <c r="K713" t="n">
        <v>0</v>
      </c>
      <c r="L713" t="n">
        <v>0</v>
      </c>
      <c r="M713" t="n">
        <v>0</v>
      </c>
      <c r="N713" t="n">
        <v>0</v>
      </c>
      <c r="O713" t="n">
        <v>0</v>
      </c>
      <c r="P713" t="n">
        <v>0</v>
      </c>
      <c r="Q713" t="n">
        <v>0</v>
      </c>
      <c r="R713" s="2" t="inlineStr"/>
    </row>
    <row r="714" ht="15" customHeight="1">
      <c r="A714" t="inlineStr">
        <is>
          <t>A 20498-2021</t>
        </is>
      </c>
      <c r="B714" s="1" t="n">
        <v>44313</v>
      </c>
      <c r="C714" s="1" t="n">
        <v>46087</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31337-2022</t>
        </is>
      </c>
      <c r="B715" s="1" t="n">
        <v>44774</v>
      </c>
      <c r="C715" s="1" t="n">
        <v>46087</v>
      </c>
      <c r="D715" t="inlineStr">
        <is>
          <t>VÄSTERBOTTENS LÄN</t>
        </is>
      </c>
      <c r="E715" t="inlineStr">
        <is>
          <t>UMEÅ</t>
        </is>
      </c>
      <c r="G715" t="n">
        <v>3.7</v>
      </c>
      <c r="H715" t="n">
        <v>0</v>
      </c>
      <c r="I715" t="n">
        <v>0</v>
      </c>
      <c r="J715" t="n">
        <v>0</v>
      </c>
      <c r="K715" t="n">
        <v>0</v>
      </c>
      <c r="L715" t="n">
        <v>0</v>
      </c>
      <c r="M715" t="n">
        <v>0</v>
      </c>
      <c r="N715" t="n">
        <v>0</v>
      </c>
      <c r="O715" t="n">
        <v>0</v>
      </c>
      <c r="P715" t="n">
        <v>0</v>
      </c>
      <c r="Q715" t="n">
        <v>0</v>
      </c>
      <c r="R715" s="2" t="inlineStr"/>
    </row>
    <row r="716" ht="15" customHeight="1">
      <c r="A716" t="inlineStr">
        <is>
          <t>A 28267-2021</t>
        </is>
      </c>
      <c r="B716" s="1" t="n">
        <v>44355</v>
      </c>
      <c r="C716" s="1" t="n">
        <v>46087</v>
      </c>
      <c r="D716" t="inlineStr">
        <is>
          <t>VÄSTERBOTTENS LÄN</t>
        </is>
      </c>
      <c r="E716" t="inlineStr">
        <is>
          <t>UMEÅ</t>
        </is>
      </c>
      <c r="G716" t="n">
        <v>1.4</v>
      </c>
      <c r="H716" t="n">
        <v>0</v>
      </c>
      <c r="I716" t="n">
        <v>0</v>
      </c>
      <c r="J716" t="n">
        <v>0</v>
      </c>
      <c r="K716" t="n">
        <v>0</v>
      </c>
      <c r="L716" t="n">
        <v>0</v>
      </c>
      <c r="M716" t="n">
        <v>0</v>
      </c>
      <c r="N716" t="n">
        <v>0</v>
      </c>
      <c r="O716" t="n">
        <v>0</v>
      </c>
      <c r="P716" t="n">
        <v>0</v>
      </c>
      <c r="Q716" t="n">
        <v>0</v>
      </c>
      <c r="R716" s="2" t="inlineStr"/>
    </row>
    <row r="717" ht="15" customHeight="1">
      <c r="A717" t="inlineStr">
        <is>
          <t>A 7371-2026</t>
        </is>
      </c>
      <c r="B717" s="1" t="n">
        <v>46059.34295138889</v>
      </c>
      <c r="C717" s="1" t="n">
        <v>46087</v>
      </c>
      <c r="D717" t="inlineStr">
        <is>
          <t>VÄSTERBOTTENS LÄN</t>
        </is>
      </c>
      <c r="E717" t="inlineStr">
        <is>
          <t>UMEÅ</t>
        </is>
      </c>
      <c r="G717" t="n">
        <v>3</v>
      </c>
      <c r="H717" t="n">
        <v>0</v>
      </c>
      <c r="I717" t="n">
        <v>0</v>
      </c>
      <c r="J717" t="n">
        <v>0</v>
      </c>
      <c r="K717" t="n">
        <v>0</v>
      </c>
      <c r="L717" t="n">
        <v>0</v>
      </c>
      <c r="M717" t="n">
        <v>0</v>
      </c>
      <c r="N717" t="n">
        <v>0</v>
      </c>
      <c r="O717" t="n">
        <v>0</v>
      </c>
      <c r="P717" t="n">
        <v>0</v>
      </c>
      <c r="Q717" t="n">
        <v>0</v>
      </c>
      <c r="R717" s="2" t="inlineStr"/>
    </row>
    <row r="718" ht="15" customHeight="1">
      <c r="A718" t="inlineStr">
        <is>
          <t>A 27088-2024</t>
        </is>
      </c>
      <c r="B718" s="1" t="n">
        <v>45471.47892361111</v>
      </c>
      <c r="C718" s="1" t="n">
        <v>46087</v>
      </c>
      <c r="D718" t="inlineStr">
        <is>
          <t>VÄSTERBOTTENS LÄN</t>
        </is>
      </c>
      <c r="E718" t="inlineStr">
        <is>
          <t>UMEÅ</t>
        </is>
      </c>
      <c r="F718" t="inlineStr">
        <is>
          <t>Holmen skog AB</t>
        </is>
      </c>
      <c r="G718" t="n">
        <v>6.6</v>
      </c>
      <c r="H718" t="n">
        <v>0</v>
      </c>
      <c r="I718" t="n">
        <v>0</v>
      </c>
      <c r="J718" t="n">
        <v>0</v>
      </c>
      <c r="K718" t="n">
        <v>0</v>
      </c>
      <c r="L718" t="n">
        <v>0</v>
      </c>
      <c r="M718" t="n">
        <v>0</v>
      </c>
      <c r="N718" t="n">
        <v>0</v>
      </c>
      <c r="O718" t="n">
        <v>0</v>
      </c>
      <c r="P718" t="n">
        <v>0</v>
      </c>
      <c r="Q718" t="n">
        <v>0</v>
      </c>
      <c r="R718" s="2" t="inlineStr"/>
    </row>
    <row r="719" ht="15" customHeight="1">
      <c r="A719" t="inlineStr">
        <is>
          <t>A 8193-2026</t>
        </is>
      </c>
      <c r="B719" s="1" t="n">
        <v>46064.42752314815</v>
      </c>
      <c r="C719" s="1" t="n">
        <v>46087</v>
      </c>
      <c r="D719" t="inlineStr">
        <is>
          <t>VÄSTERBOTTENS LÄN</t>
        </is>
      </c>
      <c r="E719" t="inlineStr">
        <is>
          <t>UMEÅ</t>
        </is>
      </c>
      <c r="G719" t="n">
        <v>10.5</v>
      </c>
      <c r="H719" t="n">
        <v>0</v>
      </c>
      <c r="I719" t="n">
        <v>0</v>
      </c>
      <c r="J719" t="n">
        <v>0</v>
      </c>
      <c r="K719" t="n">
        <v>0</v>
      </c>
      <c r="L719" t="n">
        <v>0</v>
      </c>
      <c r="M719" t="n">
        <v>0</v>
      </c>
      <c r="N719" t="n">
        <v>0</v>
      </c>
      <c r="O719" t="n">
        <v>0</v>
      </c>
      <c r="P719" t="n">
        <v>0</v>
      </c>
      <c r="Q719" t="n">
        <v>0</v>
      </c>
      <c r="R719" s="2" t="inlineStr"/>
    </row>
    <row r="720" ht="15" customHeight="1">
      <c r="A720" t="inlineStr">
        <is>
          <t>A 8208-2026</t>
        </is>
      </c>
      <c r="B720" s="1" t="n">
        <v>46064.4488425926</v>
      </c>
      <c r="C720" s="1" t="n">
        <v>46087</v>
      </c>
      <c r="D720" t="inlineStr">
        <is>
          <t>VÄSTERBOTTENS LÄN</t>
        </is>
      </c>
      <c r="E720" t="inlineStr">
        <is>
          <t>UMEÅ</t>
        </is>
      </c>
      <c r="G720" t="n">
        <v>19.9</v>
      </c>
      <c r="H720" t="n">
        <v>0</v>
      </c>
      <c r="I720" t="n">
        <v>0</v>
      </c>
      <c r="J720" t="n">
        <v>0</v>
      </c>
      <c r="K720" t="n">
        <v>0</v>
      </c>
      <c r="L720" t="n">
        <v>0</v>
      </c>
      <c r="M720" t="n">
        <v>0</v>
      </c>
      <c r="N720" t="n">
        <v>0</v>
      </c>
      <c r="O720" t="n">
        <v>0</v>
      </c>
      <c r="P720" t="n">
        <v>0</v>
      </c>
      <c r="Q720" t="n">
        <v>0</v>
      </c>
      <c r="R720" s="2" t="inlineStr"/>
    </row>
    <row r="721" ht="15" customHeight="1">
      <c r="A721" t="inlineStr">
        <is>
          <t>A 26919-2022</t>
        </is>
      </c>
      <c r="B721" s="1" t="n">
        <v>44740</v>
      </c>
      <c r="C721" s="1" t="n">
        <v>46087</v>
      </c>
      <c r="D721" t="inlineStr">
        <is>
          <t>VÄSTERBOTTENS LÄN</t>
        </is>
      </c>
      <c r="E721" t="inlineStr">
        <is>
          <t>UMEÅ</t>
        </is>
      </c>
      <c r="G721" t="n">
        <v>2.8</v>
      </c>
      <c r="H721" t="n">
        <v>0</v>
      </c>
      <c r="I721" t="n">
        <v>0</v>
      </c>
      <c r="J721" t="n">
        <v>0</v>
      </c>
      <c r="K721" t="n">
        <v>0</v>
      </c>
      <c r="L721" t="n">
        <v>0</v>
      </c>
      <c r="M721" t="n">
        <v>0</v>
      </c>
      <c r="N721" t="n">
        <v>0</v>
      </c>
      <c r="O721" t="n">
        <v>0</v>
      </c>
      <c r="P721" t="n">
        <v>0</v>
      </c>
      <c r="Q721" t="n">
        <v>0</v>
      </c>
      <c r="R721" s="2" t="inlineStr"/>
    </row>
    <row r="722" ht="15" customHeight="1">
      <c r="A722" t="inlineStr">
        <is>
          <t>A 7975-2026</t>
        </is>
      </c>
      <c r="B722" s="1" t="n">
        <v>46063.46784722222</v>
      </c>
      <c r="C722" s="1" t="n">
        <v>46087</v>
      </c>
      <c r="D722" t="inlineStr">
        <is>
          <t>VÄSTERBOTTENS LÄN</t>
        </is>
      </c>
      <c r="E722" t="inlineStr">
        <is>
          <t>UMEÅ</t>
        </is>
      </c>
      <c r="G722" t="n">
        <v>1.6</v>
      </c>
      <c r="H722" t="n">
        <v>0</v>
      </c>
      <c r="I722" t="n">
        <v>0</v>
      </c>
      <c r="J722" t="n">
        <v>0</v>
      </c>
      <c r="K722" t="n">
        <v>0</v>
      </c>
      <c r="L722" t="n">
        <v>0</v>
      </c>
      <c r="M722" t="n">
        <v>0</v>
      </c>
      <c r="N722" t="n">
        <v>0</v>
      </c>
      <c r="O722" t="n">
        <v>0</v>
      </c>
      <c r="P722" t="n">
        <v>0</v>
      </c>
      <c r="Q722" t="n">
        <v>0</v>
      </c>
      <c r="R722" s="2" t="inlineStr"/>
    </row>
    <row r="723" ht="15" customHeight="1">
      <c r="A723" t="inlineStr">
        <is>
          <t>A 32463-2023</t>
        </is>
      </c>
      <c r="B723" s="1" t="n">
        <v>45120.92644675926</v>
      </c>
      <c r="C723" s="1" t="n">
        <v>46087</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32467-2023</t>
        </is>
      </c>
      <c r="B724" s="1" t="n">
        <v>45120.92667824074</v>
      </c>
      <c r="C724" s="1" t="n">
        <v>46087</v>
      </c>
      <c r="D724" t="inlineStr">
        <is>
          <t>VÄSTERBOTTENS LÄN</t>
        </is>
      </c>
      <c r="E724" t="inlineStr">
        <is>
          <t>UMEÅ</t>
        </is>
      </c>
      <c r="G724" t="n">
        <v>3.1</v>
      </c>
      <c r="H724" t="n">
        <v>0</v>
      </c>
      <c r="I724" t="n">
        <v>0</v>
      </c>
      <c r="J724" t="n">
        <v>0</v>
      </c>
      <c r="K724" t="n">
        <v>0</v>
      </c>
      <c r="L724" t="n">
        <v>0</v>
      </c>
      <c r="M724" t="n">
        <v>0</v>
      </c>
      <c r="N724" t="n">
        <v>0</v>
      </c>
      <c r="O724" t="n">
        <v>0</v>
      </c>
      <c r="P724" t="n">
        <v>0</v>
      </c>
      <c r="Q724" t="n">
        <v>0</v>
      </c>
      <c r="R724" s="2" t="inlineStr"/>
    </row>
    <row r="725" ht="15" customHeight="1">
      <c r="A725" t="inlineStr">
        <is>
          <t>A 7437-2024</t>
        </is>
      </c>
      <c r="B725" s="1" t="n">
        <v>45345</v>
      </c>
      <c r="C725" s="1" t="n">
        <v>46087</v>
      </c>
      <c r="D725" t="inlineStr">
        <is>
          <t>VÄSTERBOTTENS LÄN</t>
        </is>
      </c>
      <c r="E725" t="inlineStr">
        <is>
          <t>UMEÅ</t>
        </is>
      </c>
      <c r="G725" t="n">
        <v>2.3</v>
      </c>
      <c r="H725" t="n">
        <v>0</v>
      </c>
      <c r="I725" t="n">
        <v>0</v>
      </c>
      <c r="J725" t="n">
        <v>0</v>
      </c>
      <c r="K725" t="n">
        <v>0</v>
      </c>
      <c r="L725" t="n">
        <v>0</v>
      </c>
      <c r="M725" t="n">
        <v>0</v>
      </c>
      <c r="N725" t="n">
        <v>0</v>
      </c>
      <c r="O725" t="n">
        <v>0</v>
      </c>
      <c r="P725" t="n">
        <v>0</v>
      </c>
      <c r="Q725" t="n">
        <v>0</v>
      </c>
      <c r="R725" s="2" t="inlineStr"/>
    </row>
    <row r="726" ht="15" customHeight="1">
      <c r="A726" t="inlineStr">
        <is>
          <t>A 10729-2025</t>
        </is>
      </c>
      <c r="B726" s="1" t="n">
        <v>45722</v>
      </c>
      <c r="C726" s="1" t="n">
        <v>46087</v>
      </c>
      <c r="D726" t="inlineStr">
        <is>
          <t>VÄSTERBOTTENS LÄN</t>
        </is>
      </c>
      <c r="E726" t="inlineStr">
        <is>
          <t>UMEÅ</t>
        </is>
      </c>
      <c r="G726" t="n">
        <v>6.4</v>
      </c>
      <c r="H726" t="n">
        <v>0</v>
      </c>
      <c r="I726" t="n">
        <v>0</v>
      </c>
      <c r="J726" t="n">
        <v>0</v>
      </c>
      <c r="K726" t="n">
        <v>0</v>
      </c>
      <c r="L726" t="n">
        <v>0</v>
      </c>
      <c r="M726" t="n">
        <v>0</v>
      </c>
      <c r="N726" t="n">
        <v>0</v>
      </c>
      <c r="O726" t="n">
        <v>0</v>
      </c>
      <c r="P726" t="n">
        <v>0</v>
      </c>
      <c r="Q726" t="n">
        <v>0</v>
      </c>
      <c r="R726" s="2" t="inlineStr"/>
    </row>
    <row r="727" ht="15" customHeight="1">
      <c r="A727" t="inlineStr">
        <is>
          <t>A 41218-2023</t>
        </is>
      </c>
      <c r="B727" s="1" t="n">
        <v>45174.45435185185</v>
      </c>
      <c r="C727" s="1" t="n">
        <v>46087</v>
      </c>
      <c r="D727" t="inlineStr">
        <is>
          <t>VÄSTERBOTTENS LÄN</t>
        </is>
      </c>
      <c r="E727" t="inlineStr">
        <is>
          <t>UMEÅ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64088-2025</t>
        </is>
      </c>
      <c r="B728" s="1" t="n">
        <v>46021.72010416666</v>
      </c>
      <c r="C728" s="1" t="n">
        <v>46087</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8192-2026</t>
        </is>
      </c>
      <c r="B729" s="1" t="n">
        <v>46064.4275</v>
      </c>
      <c r="C729" s="1" t="n">
        <v>46087</v>
      </c>
      <c r="D729" t="inlineStr">
        <is>
          <t>VÄSTERBOTTENS LÄN</t>
        </is>
      </c>
      <c r="E729" t="inlineStr">
        <is>
          <t>UMEÅ</t>
        </is>
      </c>
      <c r="G729" t="n">
        <v>12.9</v>
      </c>
      <c r="H729" t="n">
        <v>0</v>
      </c>
      <c r="I729" t="n">
        <v>0</v>
      </c>
      <c r="J729" t="n">
        <v>0</v>
      </c>
      <c r="K729" t="n">
        <v>0</v>
      </c>
      <c r="L729" t="n">
        <v>0</v>
      </c>
      <c r="M729" t="n">
        <v>0</v>
      </c>
      <c r="N729" t="n">
        <v>0</v>
      </c>
      <c r="O729" t="n">
        <v>0</v>
      </c>
      <c r="P729" t="n">
        <v>0</v>
      </c>
      <c r="Q729" t="n">
        <v>0</v>
      </c>
      <c r="R729" s="2" t="inlineStr"/>
    </row>
    <row r="730" ht="15" customHeight="1">
      <c r="A730" t="inlineStr">
        <is>
          <t>A 64053-2025</t>
        </is>
      </c>
      <c r="B730" s="1" t="n">
        <v>46021.59449074074</v>
      </c>
      <c r="C730" s="1" t="n">
        <v>46087</v>
      </c>
      <c r="D730" t="inlineStr">
        <is>
          <t>VÄSTERBOTTENS LÄN</t>
        </is>
      </c>
      <c r="E730" t="inlineStr">
        <is>
          <t>UMEÅ</t>
        </is>
      </c>
      <c r="G730" t="n">
        <v>5.1</v>
      </c>
      <c r="H730" t="n">
        <v>0</v>
      </c>
      <c r="I730" t="n">
        <v>0</v>
      </c>
      <c r="J730" t="n">
        <v>0</v>
      </c>
      <c r="K730" t="n">
        <v>0</v>
      </c>
      <c r="L730" t="n">
        <v>0</v>
      </c>
      <c r="M730" t="n">
        <v>0</v>
      </c>
      <c r="N730" t="n">
        <v>0</v>
      </c>
      <c r="O730" t="n">
        <v>0</v>
      </c>
      <c r="P730" t="n">
        <v>0</v>
      </c>
      <c r="Q730" t="n">
        <v>0</v>
      </c>
      <c r="R730" s="2" t="inlineStr"/>
    </row>
    <row r="731" ht="15" customHeight="1">
      <c r="A731" t="inlineStr">
        <is>
          <t>A 7381-2026</t>
        </is>
      </c>
      <c r="B731" s="1" t="n">
        <v>46059</v>
      </c>
      <c r="C731" s="1" t="n">
        <v>46087</v>
      </c>
      <c r="D731" t="inlineStr">
        <is>
          <t>VÄSTERBOTTENS LÄN</t>
        </is>
      </c>
      <c r="E731" t="inlineStr">
        <is>
          <t>UMEÅ</t>
        </is>
      </c>
      <c r="G731" t="n">
        <v>1.3</v>
      </c>
      <c r="H731" t="n">
        <v>0</v>
      </c>
      <c r="I731" t="n">
        <v>0</v>
      </c>
      <c r="J731" t="n">
        <v>0</v>
      </c>
      <c r="K731" t="n">
        <v>0</v>
      </c>
      <c r="L731" t="n">
        <v>0</v>
      </c>
      <c r="M731" t="n">
        <v>0</v>
      </c>
      <c r="N731" t="n">
        <v>0</v>
      </c>
      <c r="O731" t="n">
        <v>0</v>
      </c>
      <c r="P731" t="n">
        <v>0</v>
      </c>
      <c r="Q731" t="n">
        <v>0</v>
      </c>
      <c r="R731" s="2" t="inlineStr"/>
    </row>
    <row r="732" ht="15" customHeight="1">
      <c r="A732" t="inlineStr">
        <is>
          <t>A 33753-2021</t>
        </is>
      </c>
      <c r="B732" s="1" t="n">
        <v>44378.49517361111</v>
      </c>
      <c r="C732" s="1" t="n">
        <v>46087</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64089-2025</t>
        </is>
      </c>
      <c r="B733" s="1" t="n">
        <v>46021.72287037037</v>
      </c>
      <c r="C733" s="1" t="n">
        <v>46087</v>
      </c>
      <c r="D733" t="inlineStr">
        <is>
          <t>VÄSTERBOTTENS LÄN</t>
        </is>
      </c>
      <c r="E733" t="inlineStr">
        <is>
          <t>UMEÅ</t>
        </is>
      </c>
      <c r="G733" t="n">
        <v>1.5</v>
      </c>
      <c r="H733" t="n">
        <v>0</v>
      </c>
      <c r="I733" t="n">
        <v>0</v>
      </c>
      <c r="J733" t="n">
        <v>0</v>
      </c>
      <c r="K733" t="n">
        <v>0</v>
      </c>
      <c r="L733" t="n">
        <v>0</v>
      </c>
      <c r="M733" t="n">
        <v>0</v>
      </c>
      <c r="N733" t="n">
        <v>0</v>
      </c>
      <c r="O733" t="n">
        <v>0</v>
      </c>
      <c r="P733" t="n">
        <v>0</v>
      </c>
      <c r="Q733" t="n">
        <v>0</v>
      </c>
      <c r="R733" s="2" t="inlineStr"/>
    </row>
    <row r="734" ht="15" customHeight="1">
      <c r="A734" t="inlineStr">
        <is>
          <t>A 5678-2025</t>
        </is>
      </c>
      <c r="B734" s="1" t="n">
        <v>45694</v>
      </c>
      <c r="C734" s="1" t="n">
        <v>46087</v>
      </c>
      <c r="D734" t="inlineStr">
        <is>
          <t>VÄSTERBOTTENS LÄN</t>
        </is>
      </c>
      <c r="E734" t="inlineStr">
        <is>
          <t>UMEÅ</t>
        </is>
      </c>
      <c r="G734" t="n">
        <v>3</v>
      </c>
      <c r="H734" t="n">
        <v>0</v>
      </c>
      <c r="I734" t="n">
        <v>0</v>
      </c>
      <c r="J734" t="n">
        <v>0</v>
      </c>
      <c r="K734" t="n">
        <v>0</v>
      </c>
      <c r="L734" t="n">
        <v>0</v>
      </c>
      <c r="M734" t="n">
        <v>0</v>
      </c>
      <c r="N734" t="n">
        <v>0</v>
      </c>
      <c r="O734" t="n">
        <v>0</v>
      </c>
      <c r="P734" t="n">
        <v>0</v>
      </c>
      <c r="Q734" t="n">
        <v>0</v>
      </c>
      <c r="R734" s="2" t="inlineStr"/>
    </row>
    <row r="735" ht="15" customHeight="1">
      <c r="A735" t="inlineStr">
        <is>
          <t>A 7929-2026</t>
        </is>
      </c>
      <c r="B735" s="1" t="n">
        <v>46063</v>
      </c>
      <c r="C735" s="1" t="n">
        <v>46087</v>
      </c>
      <c r="D735" t="inlineStr">
        <is>
          <t>VÄSTERBOTTENS LÄN</t>
        </is>
      </c>
      <c r="E735" t="inlineStr">
        <is>
          <t>UMEÅ</t>
        </is>
      </c>
      <c r="G735" t="n">
        <v>4.6</v>
      </c>
      <c r="H735" t="n">
        <v>0</v>
      </c>
      <c r="I735" t="n">
        <v>0</v>
      </c>
      <c r="J735" t="n">
        <v>0</v>
      </c>
      <c r="K735" t="n">
        <v>0</v>
      </c>
      <c r="L735" t="n">
        <v>0</v>
      </c>
      <c r="M735" t="n">
        <v>0</v>
      </c>
      <c r="N735" t="n">
        <v>0</v>
      </c>
      <c r="O735" t="n">
        <v>0</v>
      </c>
      <c r="P735" t="n">
        <v>0</v>
      </c>
      <c r="Q735" t="n">
        <v>0</v>
      </c>
      <c r="R735" s="2" t="inlineStr"/>
    </row>
    <row r="736" ht="15" customHeight="1">
      <c r="A736" t="inlineStr">
        <is>
          <t>A 28832-2025</t>
        </is>
      </c>
      <c r="B736" s="1" t="n">
        <v>45820.55613425926</v>
      </c>
      <c r="C736" s="1" t="n">
        <v>46087</v>
      </c>
      <c r="D736" t="inlineStr">
        <is>
          <t>VÄSTERBOTTENS LÄN</t>
        </is>
      </c>
      <c r="E736" t="inlineStr">
        <is>
          <t>UMEÅ</t>
        </is>
      </c>
      <c r="G736" t="n">
        <v>4.6</v>
      </c>
      <c r="H736" t="n">
        <v>0</v>
      </c>
      <c r="I736" t="n">
        <v>0</v>
      </c>
      <c r="J736" t="n">
        <v>0</v>
      </c>
      <c r="K736" t="n">
        <v>0</v>
      </c>
      <c r="L736" t="n">
        <v>0</v>
      </c>
      <c r="M736" t="n">
        <v>0</v>
      </c>
      <c r="N736" t="n">
        <v>0</v>
      </c>
      <c r="O736" t="n">
        <v>0</v>
      </c>
      <c r="P736" t="n">
        <v>0</v>
      </c>
      <c r="Q736" t="n">
        <v>0</v>
      </c>
      <c r="R736" s="2" t="inlineStr"/>
    </row>
    <row r="737" ht="15" customHeight="1">
      <c r="A737" t="inlineStr">
        <is>
          <t>A 42352-2021</t>
        </is>
      </c>
      <c r="B737" s="1" t="n">
        <v>44427</v>
      </c>
      <c r="C737" s="1" t="n">
        <v>46087</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22159-2025</t>
        </is>
      </c>
      <c r="B738" s="1" t="n">
        <v>45785.58716435185</v>
      </c>
      <c r="C738" s="1" t="n">
        <v>46087</v>
      </c>
      <c r="D738" t="inlineStr">
        <is>
          <t>VÄSTERBOTTENS LÄN</t>
        </is>
      </c>
      <c r="E738" t="inlineStr">
        <is>
          <t>UMEÅ</t>
        </is>
      </c>
      <c r="G738" t="n">
        <v>1.8</v>
      </c>
      <c r="H738" t="n">
        <v>0</v>
      </c>
      <c r="I738" t="n">
        <v>0</v>
      </c>
      <c r="J738" t="n">
        <v>0</v>
      </c>
      <c r="K738" t="n">
        <v>0</v>
      </c>
      <c r="L738" t="n">
        <v>0</v>
      </c>
      <c r="M738" t="n">
        <v>0</v>
      </c>
      <c r="N738" t="n">
        <v>0</v>
      </c>
      <c r="O738" t="n">
        <v>0</v>
      </c>
      <c r="P738" t="n">
        <v>0</v>
      </c>
      <c r="Q738" t="n">
        <v>0</v>
      </c>
      <c r="R738" s="2" t="inlineStr"/>
    </row>
    <row r="739" ht="15" customHeight="1">
      <c r="A739" t="inlineStr">
        <is>
          <t>A 8194-2026</t>
        </is>
      </c>
      <c r="B739" s="1" t="n">
        <v>46064</v>
      </c>
      <c r="C739" s="1" t="n">
        <v>46087</v>
      </c>
      <c r="D739" t="inlineStr">
        <is>
          <t>VÄSTERBOTTENS LÄN</t>
        </is>
      </c>
      <c r="E739" t="inlineStr">
        <is>
          <t>UMEÅ</t>
        </is>
      </c>
      <c r="G739" t="n">
        <v>1.7</v>
      </c>
      <c r="H739" t="n">
        <v>0</v>
      </c>
      <c r="I739" t="n">
        <v>0</v>
      </c>
      <c r="J739" t="n">
        <v>0</v>
      </c>
      <c r="K739" t="n">
        <v>0</v>
      </c>
      <c r="L739" t="n">
        <v>0</v>
      </c>
      <c r="M739" t="n">
        <v>0</v>
      </c>
      <c r="N739" t="n">
        <v>0</v>
      </c>
      <c r="O739" t="n">
        <v>0</v>
      </c>
      <c r="P739" t="n">
        <v>0</v>
      </c>
      <c r="Q739" t="n">
        <v>0</v>
      </c>
      <c r="R739" s="2" t="inlineStr"/>
    </row>
    <row r="740" ht="15" customHeight="1">
      <c r="A740" t="inlineStr">
        <is>
          <t>A 8668-2026</t>
        </is>
      </c>
      <c r="B740" s="1" t="n">
        <v>46066.38614583333</v>
      </c>
      <c r="C740" s="1" t="n">
        <v>46087</v>
      </c>
      <c r="D740" t="inlineStr">
        <is>
          <t>VÄSTERBOTTENS LÄN</t>
        </is>
      </c>
      <c r="E740" t="inlineStr">
        <is>
          <t>UMEÅ</t>
        </is>
      </c>
      <c r="G740" t="n">
        <v>0.7</v>
      </c>
      <c r="H740" t="n">
        <v>0</v>
      </c>
      <c r="I740" t="n">
        <v>0</v>
      </c>
      <c r="J740" t="n">
        <v>0</v>
      </c>
      <c r="K740" t="n">
        <v>0</v>
      </c>
      <c r="L740" t="n">
        <v>0</v>
      </c>
      <c r="M740" t="n">
        <v>0</v>
      </c>
      <c r="N740" t="n">
        <v>0</v>
      </c>
      <c r="O740" t="n">
        <v>0</v>
      </c>
      <c r="P740" t="n">
        <v>0</v>
      </c>
      <c r="Q740" t="n">
        <v>0</v>
      </c>
      <c r="R740" s="2" t="inlineStr"/>
    </row>
    <row r="741" ht="15" customHeight="1">
      <c r="A741" t="inlineStr">
        <is>
          <t>A 39561-2022</t>
        </is>
      </c>
      <c r="B741" s="1" t="n">
        <v>44818.57295138889</v>
      </c>
      <c r="C741" s="1" t="n">
        <v>46087</v>
      </c>
      <c r="D741" t="inlineStr">
        <is>
          <t>VÄSTERBOTTENS LÄN</t>
        </is>
      </c>
      <c r="E741" t="inlineStr">
        <is>
          <t>UMEÅ</t>
        </is>
      </c>
      <c r="G741" t="n">
        <v>3.2</v>
      </c>
      <c r="H741" t="n">
        <v>0</v>
      </c>
      <c r="I741" t="n">
        <v>0</v>
      </c>
      <c r="J741" t="n">
        <v>0</v>
      </c>
      <c r="K741" t="n">
        <v>0</v>
      </c>
      <c r="L741" t="n">
        <v>0</v>
      </c>
      <c r="M741" t="n">
        <v>0</v>
      </c>
      <c r="N741" t="n">
        <v>0</v>
      </c>
      <c r="O741" t="n">
        <v>0</v>
      </c>
      <c r="P741" t="n">
        <v>0</v>
      </c>
      <c r="Q741" t="n">
        <v>0</v>
      </c>
      <c r="R741" s="2" t="inlineStr"/>
    </row>
    <row r="742" ht="15" customHeight="1">
      <c r="A742" t="inlineStr">
        <is>
          <t>A 9123-2026</t>
        </is>
      </c>
      <c r="B742" s="1" t="n">
        <v>46069.68662037037</v>
      </c>
      <c r="C742" s="1" t="n">
        <v>46087</v>
      </c>
      <c r="D742" t="inlineStr">
        <is>
          <t>VÄSTERBOTTENS LÄN</t>
        </is>
      </c>
      <c r="E742" t="inlineStr">
        <is>
          <t>UMEÅ</t>
        </is>
      </c>
      <c r="G742" t="n">
        <v>1.8</v>
      </c>
      <c r="H742" t="n">
        <v>0</v>
      </c>
      <c r="I742" t="n">
        <v>0</v>
      </c>
      <c r="J742" t="n">
        <v>0</v>
      </c>
      <c r="K742" t="n">
        <v>0</v>
      </c>
      <c r="L742" t="n">
        <v>0</v>
      </c>
      <c r="M742" t="n">
        <v>0</v>
      </c>
      <c r="N742" t="n">
        <v>0</v>
      </c>
      <c r="O742" t="n">
        <v>0</v>
      </c>
      <c r="P742" t="n">
        <v>0</v>
      </c>
      <c r="Q742" t="n">
        <v>0</v>
      </c>
      <c r="R742" s="2" t="inlineStr"/>
    </row>
    <row r="743" ht="15" customHeight="1">
      <c r="A743" t="inlineStr">
        <is>
          <t>A 4633-2026</t>
        </is>
      </c>
      <c r="B743" s="1" t="n">
        <v>46048.3909375</v>
      </c>
      <c r="C743" s="1" t="n">
        <v>46087</v>
      </c>
      <c r="D743" t="inlineStr">
        <is>
          <t>VÄSTERBOTTENS LÄN</t>
        </is>
      </c>
      <c r="E743" t="inlineStr">
        <is>
          <t>UMEÅ</t>
        </is>
      </c>
      <c r="G743" t="n">
        <v>3.3</v>
      </c>
      <c r="H743" t="n">
        <v>0</v>
      </c>
      <c r="I743" t="n">
        <v>0</v>
      </c>
      <c r="J743" t="n">
        <v>0</v>
      </c>
      <c r="K743" t="n">
        <v>0</v>
      </c>
      <c r="L743" t="n">
        <v>0</v>
      </c>
      <c r="M743" t="n">
        <v>0</v>
      </c>
      <c r="N743" t="n">
        <v>0</v>
      </c>
      <c r="O743" t="n">
        <v>0</v>
      </c>
      <c r="P743" t="n">
        <v>0</v>
      </c>
      <c r="Q743" t="n">
        <v>0</v>
      </c>
      <c r="R743" s="2" t="inlineStr"/>
    </row>
    <row r="744" ht="15" customHeight="1">
      <c r="A744" t="inlineStr">
        <is>
          <t>A 28836-2025</t>
        </is>
      </c>
      <c r="B744" s="1" t="n">
        <v>45820.55875</v>
      </c>
      <c r="C744" s="1" t="n">
        <v>46087</v>
      </c>
      <c r="D744" t="inlineStr">
        <is>
          <t>VÄSTERBOTTENS LÄN</t>
        </is>
      </c>
      <c r="E744" t="inlineStr">
        <is>
          <t>UMEÅ</t>
        </is>
      </c>
      <c r="G744" t="n">
        <v>2</v>
      </c>
      <c r="H744" t="n">
        <v>0</v>
      </c>
      <c r="I744" t="n">
        <v>0</v>
      </c>
      <c r="J744" t="n">
        <v>0</v>
      </c>
      <c r="K744" t="n">
        <v>0</v>
      </c>
      <c r="L744" t="n">
        <v>0</v>
      </c>
      <c r="M744" t="n">
        <v>0</v>
      </c>
      <c r="N744" t="n">
        <v>0</v>
      </c>
      <c r="O744" t="n">
        <v>0</v>
      </c>
      <c r="P744" t="n">
        <v>0</v>
      </c>
      <c r="Q744" t="n">
        <v>0</v>
      </c>
      <c r="R744" s="2" t="inlineStr"/>
    </row>
    <row r="745" ht="15" customHeight="1">
      <c r="A745" t="inlineStr">
        <is>
          <t>A 256-2026</t>
        </is>
      </c>
      <c r="B745" s="1" t="n">
        <v>46027.43188657407</v>
      </c>
      <c r="C745" s="1" t="n">
        <v>46087</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28827-2025</t>
        </is>
      </c>
      <c r="B746" s="1" t="n">
        <v>45820.55162037037</v>
      </c>
      <c r="C746" s="1" t="n">
        <v>46087</v>
      </c>
      <c r="D746" t="inlineStr">
        <is>
          <t>VÄSTERBOTTENS LÄN</t>
        </is>
      </c>
      <c r="E746" t="inlineStr">
        <is>
          <t>UMEÅ</t>
        </is>
      </c>
      <c r="G746" t="n">
        <v>3.1</v>
      </c>
      <c r="H746" t="n">
        <v>0</v>
      </c>
      <c r="I746" t="n">
        <v>0</v>
      </c>
      <c r="J746" t="n">
        <v>0</v>
      </c>
      <c r="K746" t="n">
        <v>0</v>
      </c>
      <c r="L746" t="n">
        <v>0</v>
      </c>
      <c r="M746" t="n">
        <v>0</v>
      </c>
      <c r="N746" t="n">
        <v>0</v>
      </c>
      <c r="O746" t="n">
        <v>0</v>
      </c>
      <c r="P746" t="n">
        <v>0</v>
      </c>
      <c r="Q746" t="n">
        <v>0</v>
      </c>
      <c r="R746" s="2" t="inlineStr"/>
    </row>
    <row r="747" ht="15" customHeight="1">
      <c r="A747" t="inlineStr">
        <is>
          <t>A 62540-2022</t>
        </is>
      </c>
      <c r="B747" s="1" t="n">
        <v>44917</v>
      </c>
      <c r="C747" s="1" t="n">
        <v>46087</v>
      </c>
      <c r="D747" t="inlineStr">
        <is>
          <t>VÄSTERBOTTENS LÄN</t>
        </is>
      </c>
      <c r="E747" t="inlineStr">
        <is>
          <t>UMEÅ</t>
        </is>
      </c>
      <c r="G747" t="n">
        <v>6.8</v>
      </c>
      <c r="H747" t="n">
        <v>0</v>
      </c>
      <c r="I747" t="n">
        <v>0</v>
      </c>
      <c r="J747" t="n">
        <v>0</v>
      </c>
      <c r="K747" t="n">
        <v>0</v>
      </c>
      <c r="L747" t="n">
        <v>0</v>
      </c>
      <c r="M747" t="n">
        <v>0</v>
      </c>
      <c r="N747" t="n">
        <v>0</v>
      </c>
      <c r="O747" t="n">
        <v>0</v>
      </c>
      <c r="P747" t="n">
        <v>0</v>
      </c>
      <c r="Q747" t="n">
        <v>0</v>
      </c>
      <c r="R747" s="2" t="inlineStr"/>
    </row>
    <row r="748" ht="15" customHeight="1">
      <c r="A748" t="inlineStr">
        <is>
          <t>A 9030-2026</t>
        </is>
      </c>
      <c r="B748" s="1" t="n">
        <v>46069.5141087963</v>
      </c>
      <c r="C748" s="1" t="n">
        <v>46087</v>
      </c>
      <c r="D748" t="inlineStr">
        <is>
          <t>VÄSTERBOTTENS LÄN</t>
        </is>
      </c>
      <c r="E748" t="inlineStr">
        <is>
          <t>UMEÅ</t>
        </is>
      </c>
      <c r="G748" t="n">
        <v>0.8</v>
      </c>
      <c r="H748" t="n">
        <v>0</v>
      </c>
      <c r="I748" t="n">
        <v>0</v>
      </c>
      <c r="J748" t="n">
        <v>0</v>
      </c>
      <c r="K748" t="n">
        <v>0</v>
      </c>
      <c r="L748" t="n">
        <v>0</v>
      </c>
      <c r="M748" t="n">
        <v>0</v>
      </c>
      <c r="N748" t="n">
        <v>0</v>
      </c>
      <c r="O748" t="n">
        <v>0</v>
      </c>
      <c r="P748" t="n">
        <v>0</v>
      </c>
      <c r="Q748" t="n">
        <v>0</v>
      </c>
      <c r="R748" s="2" t="inlineStr"/>
    </row>
    <row r="749" ht="15" customHeight="1">
      <c r="A749" t="inlineStr">
        <is>
          <t>A 8921-2026</t>
        </is>
      </c>
      <c r="B749" s="1" t="n">
        <v>46069.33297453704</v>
      </c>
      <c r="C749" s="1" t="n">
        <v>46087</v>
      </c>
      <c r="D749" t="inlineStr">
        <is>
          <t>VÄSTERBOTTENS LÄN</t>
        </is>
      </c>
      <c r="E749" t="inlineStr">
        <is>
          <t>UMEÅ</t>
        </is>
      </c>
      <c r="G749" t="n">
        <v>3.6</v>
      </c>
      <c r="H749" t="n">
        <v>0</v>
      </c>
      <c r="I749" t="n">
        <v>0</v>
      </c>
      <c r="J749" t="n">
        <v>0</v>
      </c>
      <c r="K749" t="n">
        <v>0</v>
      </c>
      <c r="L749" t="n">
        <v>0</v>
      </c>
      <c r="M749" t="n">
        <v>0</v>
      </c>
      <c r="N749" t="n">
        <v>0</v>
      </c>
      <c r="O749" t="n">
        <v>0</v>
      </c>
      <c r="P749" t="n">
        <v>0</v>
      </c>
      <c r="Q749" t="n">
        <v>0</v>
      </c>
      <c r="R749" s="2" t="inlineStr"/>
    </row>
    <row r="750" ht="15" customHeight="1">
      <c r="A750" t="inlineStr">
        <is>
          <t>A 35226-2024</t>
        </is>
      </c>
      <c r="B750" s="1" t="n">
        <v>45530</v>
      </c>
      <c r="C750" s="1" t="n">
        <v>46087</v>
      </c>
      <c r="D750" t="inlineStr">
        <is>
          <t>VÄSTERBOTTENS LÄN</t>
        </is>
      </c>
      <c r="E750" t="inlineStr">
        <is>
          <t>UMEÅ</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9218-2026</t>
        </is>
      </c>
      <c r="B751" s="1" t="n">
        <v>46070.44359953704</v>
      </c>
      <c r="C751" s="1" t="n">
        <v>46087</v>
      </c>
      <c r="D751" t="inlineStr">
        <is>
          <t>VÄSTERBOTTENS LÄN</t>
        </is>
      </c>
      <c r="E751" t="inlineStr">
        <is>
          <t>UMEÅ</t>
        </is>
      </c>
      <c r="G751" t="n">
        <v>3.6</v>
      </c>
      <c r="H751" t="n">
        <v>0</v>
      </c>
      <c r="I751" t="n">
        <v>0</v>
      </c>
      <c r="J751" t="n">
        <v>0</v>
      </c>
      <c r="K751" t="n">
        <v>0</v>
      </c>
      <c r="L751" t="n">
        <v>0</v>
      </c>
      <c r="M751" t="n">
        <v>0</v>
      </c>
      <c r="N751" t="n">
        <v>0</v>
      </c>
      <c r="O751" t="n">
        <v>0</v>
      </c>
      <c r="P751" t="n">
        <v>0</v>
      </c>
      <c r="Q751" t="n">
        <v>0</v>
      </c>
      <c r="R751" s="2" t="inlineStr"/>
    </row>
    <row r="752" ht="15" customHeight="1">
      <c r="A752" t="inlineStr">
        <is>
          <t>A 35738-2021</t>
        </is>
      </c>
      <c r="B752" s="1" t="n">
        <v>44386.55082175926</v>
      </c>
      <c r="C752" s="1" t="n">
        <v>46087</v>
      </c>
      <c r="D752" t="inlineStr">
        <is>
          <t>VÄSTERBOTTENS LÄN</t>
        </is>
      </c>
      <c r="E752" t="inlineStr">
        <is>
          <t>UMEÅ</t>
        </is>
      </c>
      <c r="G752" t="n">
        <v>3.1</v>
      </c>
      <c r="H752" t="n">
        <v>0</v>
      </c>
      <c r="I752" t="n">
        <v>0</v>
      </c>
      <c r="J752" t="n">
        <v>0</v>
      </c>
      <c r="K752" t="n">
        <v>0</v>
      </c>
      <c r="L752" t="n">
        <v>0</v>
      </c>
      <c r="M752" t="n">
        <v>0</v>
      </c>
      <c r="N752" t="n">
        <v>0</v>
      </c>
      <c r="O752" t="n">
        <v>0</v>
      </c>
      <c r="P752" t="n">
        <v>0</v>
      </c>
      <c r="Q752" t="n">
        <v>0</v>
      </c>
      <c r="R752" s="2" t="inlineStr"/>
    </row>
    <row r="753" ht="15" customHeight="1">
      <c r="A753" t="inlineStr">
        <is>
          <t>A 37870-2024</t>
        </is>
      </c>
      <c r="B753" s="1" t="n">
        <v>45544</v>
      </c>
      <c r="C753" s="1" t="n">
        <v>46087</v>
      </c>
      <c r="D753" t="inlineStr">
        <is>
          <t>VÄSTERBOTTENS LÄN</t>
        </is>
      </c>
      <c r="E753" t="inlineStr">
        <is>
          <t>UMEÅ</t>
        </is>
      </c>
      <c r="G753" t="n">
        <v>4</v>
      </c>
      <c r="H753" t="n">
        <v>0</v>
      </c>
      <c r="I753" t="n">
        <v>0</v>
      </c>
      <c r="J753" t="n">
        <v>0</v>
      </c>
      <c r="K753" t="n">
        <v>0</v>
      </c>
      <c r="L753" t="n">
        <v>0</v>
      </c>
      <c r="M753" t="n">
        <v>0</v>
      </c>
      <c r="N753" t="n">
        <v>0</v>
      </c>
      <c r="O753" t="n">
        <v>0</v>
      </c>
      <c r="P753" t="n">
        <v>0</v>
      </c>
      <c r="Q753" t="n">
        <v>0</v>
      </c>
      <c r="R753" s="2" t="inlineStr"/>
    </row>
    <row r="754" ht="15" customHeight="1">
      <c r="A754" t="inlineStr">
        <is>
          <t>A 281-2026</t>
        </is>
      </c>
      <c r="B754" s="1" t="n">
        <v>46027</v>
      </c>
      <c r="C754" s="1" t="n">
        <v>46087</v>
      </c>
      <c r="D754" t="inlineStr">
        <is>
          <t>VÄSTERBOTTENS LÄN</t>
        </is>
      </c>
      <c r="E754" t="inlineStr">
        <is>
          <t>UMEÅ</t>
        </is>
      </c>
      <c r="G754" t="n">
        <v>1.7</v>
      </c>
      <c r="H754" t="n">
        <v>0</v>
      </c>
      <c r="I754" t="n">
        <v>0</v>
      </c>
      <c r="J754" t="n">
        <v>0</v>
      </c>
      <c r="K754" t="n">
        <v>0</v>
      </c>
      <c r="L754" t="n">
        <v>0</v>
      </c>
      <c r="M754" t="n">
        <v>0</v>
      </c>
      <c r="N754" t="n">
        <v>0</v>
      </c>
      <c r="O754" t="n">
        <v>0</v>
      </c>
      <c r="P754" t="n">
        <v>0</v>
      </c>
      <c r="Q754" t="n">
        <v>0</v>
      </c>
      <c r="R754" s="2" t="inlineStr"/>
    </row>
    <row r="755" ht="15" customHeight="1">
      <c r="A755" t="inlineStr">
        <is>
          <t>A 61621-2024</t>
        </is>
      </c>
      <c r="B755" s="1" t="n">
        <v>45646.65800925926</v>
      </c>
      <c r="C755" s="1" t="n">
        <v>46087</v>
      </c>
      <c r="D755" t="inlineStr">
        <is>
          <t>VÄSTERBOTTENS LÄN</t>
        </is>
      </c>
      <c r="E755" t="inlineStr">
        <is>
          <t>UMEÅ</t>
        </is>
      </c>
      <c r="G755" t="n">
        <v>1.9</v>
      </c>
      <c r="H755" t="n">
        <v>0</v>
      </c>
      <c r="I755" t="n">
        <v>0</v>
      </c>
      <c r="J755" t="n">
        <v>0</v>
      </c>
      <c r="K755" t="n">
        <v>0</v>
      </c>
      <c r="L755" t="n">
        <v>0</v>
      </c>
      <c r="M755" t="n">
        <v>0</v>
      </c>
      <c r="N755" t="n">
        <v>0</v>
      </c>
      <c r="O755" t="n">
        <v>0</v>
      </c>
      <c r="P755" t="n">
        <v>0</v>
      </c>
      <c r="Q755" t="n">
        <v>0</v>
      </c>
      <c r="R755" s="2" t="inlineStr"/>
    </row>
    <row r="756" ht="15" customHeight="1">
      <c r="A756" t="inlineStr">
        <is>
          <t>A 29330-2025</t>
        </is>
      </c>
      <c r="B756" s="1" t="n">
        <v>45824.48680555556</v>
      </c>
      <c r="C756" s="1" t="n">
        <v>46087</v>
      </c>
      <c r="D756" t="inlineStr">
        <is>
          <t>VÄSTERBOTTENS LÄN</t>
        </is>
      </c>
      <c r="E756" t="inlineStr">
        <is>
          <t>UMEÅ</t>
        </is>
      </c>
      <c r="G756" t="n">
        <v>1.1</v>
      </c>
      <c r="H756" t="n">
        <v>0</v>
      </c>
      <c r="I756" t="n">
        <v>0</v>
      </c>
      <c r="J756" t="n">
        <v>0</v>
      </c>
      <c r="K756" t="n">
        <v>0</v>
      </c>
      <c r="L756" t="n">
        <v>0</v>
      </c>
      <c r="M756" t="n">
        <v>0</v>
      </c>
      <c r="N756" t="n">
        <v>0</v>
      </c>
      <c r="O756" t="n">
        <v>0</v>
      </c>
      <c r="P756" t="n">
        <v>0</v>
      </c>
      <c r="Q756" t="n">
        <v>0</v>
      </c>
      <c r="R756" s="2" t="inlineStr"/>
    </row>
    <row r="757" ht="15" customHeight="1">
      <c r="A757" t="inlineStr">
        <is>
          <t>A 29344-2025</t>
        </is>
      </c>
      <c r="B757" s="1" t="n">
        <v>45824.50795138889</v>
      </c>
      <c r="C757" s="1" t="n">
        <v>46087</v>
      </c>
      <c r="D757" t="inlineStr">
        <is>
          <t>VÄSTERBOTTENS LÄN</t>
        </is>
      </c>
      <c r="E757" t="inlineStr">
        <is>
          <t>UMEÅ</t>
        </is>
      </c>
      <c r="G757" t="n">
        <v>8</v>
      </c>
      <c r="H757" t="n">
        <v>0</v>
      </c>
      <c r="I757" t="n">
        <v>0</v>
      </c>
      <c r="J757" t="n">
        <v>0</v>
      </c>
      <c r="K757" t="n">
        <v>0</v>
      </c>
      <c r="L757" t="n">
        <v>0</v>
      </c>
      <c r="M757" t="n">
        <v>0</v>
      </c>
      <c r="N757" t="n">
        <v>0</v>
      </c>
      <c r="O757" t="n">
        <v>0</v>
      </c>
      <c r="P757" t="n">
        <v>0</v>
      </c>
      <c r="Q757" t="n">
        <v>0</v>
      </c>
      <c r="R757" s="2" t="inlineStr"/>
    </row>
    <row r="758" ht="15" customHeight="1">
      <c r="A758" t="inlineStr">
        <is>
          <t>A 9454-2026</t>
        </is>
      </c>
      <c r="B758" s="1" t="n">
        <v>46071.48370370371</v>
      </c>
      <c r="C758" s="1" t="n">
        <v>46087</v>
      </c>
      <c r="D758" t="inlineStr">
        <is>
          <t>VÄSTERBOTTENS LÄN</t>
        </is>
      </c>
      <c r="E758" t="inlineStr">
        <is>
          <t>UMEÅ</t>
        </is>
      </c>
      <c r="G758" t="n">
        <v>0.4</v>
      </c>
      <c r="H758" t="n">
        <v>0</v>
      </c>
      <c r="I758" t="n">
        <v>0</v>
      </c>
      <c r="J758" t="n">
        <v>0</v>
      </c>
      <c r="K758" t="n">
        <v>0</v>
      </c>
      <c r="L758" t="n">
        <v>0</v>
      </c>
      <c r="M758" t="n">
        <v>0</v>
      </c>
      <c r="N758" t="n">
        <v>0</v>
      </c>
      <c r="O758" t="n">
        <v>0</v>
      </c>
      <c r="P758" t="n">
        <v>0</v>
      </c>
      <c r="Q758" t="n">
        <v>0</v>
      </c>
      <c r="R758" s="2" t="inlineStr"/>
    </row>
    <row r="759" ht="15" customHeight="1">
      <c r="A759" t="inlineStr">
        <is>
          <t>A 29327-2025</t>
        </is>
      </c>
      <c r="B759" s="1" t="n">
        <v>45824.48300925926</v>
      </c>
      <c r="C759" s="1" t="n">
        <v>46087</v>
      </c>
      <c r="D759" t="inlineStr">
        <is>
          <t>VÄSTERBOTTENS LÄN</t>
        </is>
      </c>
      <c r="E759" t="inlineStr">
        <is>
          <t>UMEÅ</t>
        </is>
      </c>
      <c r="G759" t="n">
        <v>1.3</v>
      </c>
      <c r="H759" t="n">
        <v>0</v>
      </c>
      <c r="I759" t="n">
        <v>0</v>
      </c>
      <c r="J759" t="n">
        <v>0</v>
      </c>
      <c r="K759" t="n">
        <v>0</v>
      </c>
      <c r="L759" t="n">
        <v>0</v>
      </c>
      <c r="M759" t="n">
        <v>0</v>
      </c>
      <c r="N759" t="n">
        <v>0</v>
      </c>
      <c r="O759" t="n">
        <v>0</v>
      </c>
      <c r="P759" t="n">
        <v>0</v>
      </c>
      <c r="Q759" t="n">
        <v>0</v>
      </c>
      <c r="R759" s="2" t="inlineStr"/>
    </row>
    <row r="760" ht="15" customHeight="1">
      <c r="A760" t="inlineStr">
        <is>
          <t>A 29352-2025</t>
        </is>
      </c>
      <c r="B760" s="1" t="n">
        <v>45824.54091435186</v>
      </c>
      <c r="C760" s="1" t="n">
        <v>46087</v>
      </c>
      <c r="D760" t="inlineStr">
        <is>
          <t>VÄSTERBOTTENS LÄN</t>
        </is>
      </c>
      <c r="E760" t="inlineStr">
        <is>
          <t>UMEÅ</t>
        </is>
      </c>
      <c r="F760" t="inlineStr">
        <is>
          <t>Holmen skog AB</t>
        </is>
      </c>
      <c r="G760" t="n">
        <v>10.8</v>
      </c>
      <c r="H760" t="n">
        <v>0</v>
      </c>
      <c r="I760" t="n">
        <v>0</v>
      </c>
      <c r="J760" t="n">
        <v>0</v>
      </c>
      <c r="K760" t="n">
        <v>0</v>
      </c>
      <c r="L760" t="n">
        <v>0</v>
      </c>
      <c r="M760" t="n">
        <v>0</v>
      </c>
      <c r="N760" t="n">
        <v>0</v>
      </c>
      <c r="O760" t="n">
        <v>0</v>
      </c>
      <c r="P760" t="n">
        <v>0</v>
      </c>
      <c r="Q760" t="n">
        <v>0</v>
      </c>
      <c r="R760" s="2" t="inlineStr"/>
    </row>
    <row r="761" ht="15" customHeight="1">
      <c r="A761" t="inlineStr">
        <is>
          <t>A 29283-2025</t>
        </is>
      </c>
      <c r="B761" s="1" t="n">
        <v>45824.43114583333</v>
      </c>
      <c r="C761" s="1" t="n">
        <v>46087</v>
      </c>
      <c r="D761" t="inlineStr">
        <is>
          <t>VÄSTERBOTTENS LÄN</t>
        </is>
      </c>
      <c r="E761" t="inlineStr">
        <is>
          <t>UMEÅ</t>
        </is>
      </c>
      <c r="G761" t="n">
        <v>3</v>
      </c>
      <c r="H761" t="n">
        <v>0</v>
      </c>
      <c r="I761" t="n">
        <v>0</v>
      </c>
      <c r="J761" t="n">
        <v>0</v>
      </c>
      <c r="K761" t="n">
        <v>0</v>
      </c>
      <c r="L761" t="n">
        <v>0</v>
      </c>
      <c r="M761" t="n">
        <v>0</v>
      </c>
      <c r="N761" t="n">
        <v>0</v>
      </c>
      <c r="O761" t="n">
        <v>0</v>
      </c>
      <c r="P761" t="n">
        <v>0</v>
      </c>
      <c r="Q761" t="n">
        <v>0</v>
      </c>
      <c r="R761" s="2" t="inlineStr"/>
    </row>
    <row r="762" ht="15" customHeight="1">
      <c r="A762" t="inlineStr">
        <is>
          <t>A 23372-2021</t>
        </is>
      </c>
      <c r="B762" s="1" t="n">
        <v>44333.58960648148</v>
      </c>
      <c r="C762" s="1" t="n">
        <v>46087</v>
      </c>
      <c r="D762" t="inlineStr">
        <is>
          <t>VÄSTERBOTTENS LÄN</t>
        </is>
      </c>
      <c r="E762" t="inlineStr">
        <is>
          <t>UMEÅ</t>
        </is>
      </c>
      <c r="G762" t="n">
        <v>4.5</v>
      </c>
      <c r="H762" t="n">
        <v>0</v>
      </c>
      <c r="I762" t="n">
        <v>0</v>
      </c>
      <c r="J762" t="n">
        <v>0</v>
      </c>
      <c r="K762" t="n">
        <v>0</v>
      </c>
      <c r="L762" t="n">
        <v>0</v>
      </c>
      <c r="M762" t="n">
        <v>0</v>
      </c>
      <c r="N762" t="n">
        <v>0</v>
      </c>
      <c r="O762" t="n">
        <v>0</v>
      </c>
      <c r="P762" t="n">
        <v>0</v>
      </c>
      <c r="Q762" t="n">
        <v>0</v>
      </c>
      <c r="R762" s="2" t="inlineStr"/>
    </row>
    <row r="763" ht="15" customHeight="1">
      <c r="A763" t="inlineStr">
        <is>
          <t>A 29096-2025</t>
        </is>
      </c>
      <c r="B763" s="1" t="n">
        <v>45821.56319444445</v>
      </c>
      <c r="C763" s="1" t="n">
        <v>46087</v>
      </c>
      <c r="D763" t="inlineStr">
        <is>
          <t>VÄSTERBOTTENS LÄN</t>
        </is>
      </c>
      <c r="E763" t="inlineStr">
        <is>
          <t>UMEÅ</t>
        </is>
      </c>
      <c r="G763" t="n">
        <v>5.6</v>
      </c>
      <c r="H763" t="n">
        <v>0</v>
      </c>
      <c r="I763" t="n">
        <v>0</v>
      </c>
      <c r="J763" t="n">
        <v>0</v>
      </c>
      <c r="K763" t="n">
        <v>0</v>
      </c>
      <c r="L763" t="n">
        <v>0</v>
      </c>
      <c r="M763" t="n">
        <v>0</v>
      </c>
      <c r="N763" t="n">
        <v>0</v>
      </c>
      <c r="O763" t="n">
        <v>0</v>
      </c>
      <c r="P763" t="n">
        <v>0</v>
      </c>
      <c r="Q763" t="n">
        <v>0</v>
      </c>
      <c r="R763" s="2" t="inlineStr"/>
    </row>
    <row r="764" ht="15" customHeight="1">
      <c r="A764" t="inlineStr">
        <is>
          <t>A 923-2026</t>
        </is>
      </c>
      <c r="B764" s="1" t="n">
        <v>46030.49034722222</v>
      </c>
      <c r="C764" s="1" t="n">
        <v>46087</v>
      </c>
      <c r="D764" t="inlineStr">
        <is>
          <t>VÄSTERBOTTENS LÄN</t>
        </is>
      </c>
      <c r="E764" t="inlineStr">
        <is>
          <t>UMEÅ</t>
        </is>
      </c>
      <c r="G764" t="n">
        <v>9.1</v>
      </c>
      <c r="H764" t="n">
        <v>0</v>
      </c>
      <c r="I764" t="n">
        <v>0</v>
      </c>
      <c r="J764" t="n">
        <v>0</v>
      </c>
      <c r="K764" t="n">
        <v>0</v>
      </c>
      <c r="L764" t="n">
        <v>0</v>
      </c>
      <c r="M764" t="n">
        <v>0</v>
      </c>
      <c r="N764" t="n">
        <v>0</v>
      </c>
      <c r="O764" t="n">
        <v>0</v>
      </c>
      <c r="P764" t="n">
        <v>0</v>
      </c>
      <c r="Q764" t="n">
        <v>0</v>
      </c>
      <c r="R764" s="2" t="inlineStr"/>
    </row>
    <row r="765" ht="15" customHeight="1">
      <c r="A765" t="inlineStr">
        <is>
          <t>A 9457-2026</t>
        </is>
      </c>
      <c r="B765" s="1" t="n">
        <v>46071.48806712963</v>
      </c>
      <c r="C765" s="1" t="n">
        <v>46087</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29219-2025</t>
        </is>
      </c>
      <c r="B766" s="1" t="n">
        <v>45824.31930555555</v>
      </c>
      <c r="C766" s="1" t="n">
        <v>46087</v>
      </c>
      <c r="D766" t="inlineStr">
        <is>
          <t>VÄSTERBOTTENS LÄN</t>
        </is>
      </c>
      <c r="E766" t="inlineStr">
        <is>
          <t>UMEÅ</t>
        </is>
      </c>
      <c r="F766" t="inlineStr">
        <is>
          <t>Holmen skog AB</t>
        </is>
      </c>
      <c r="G766" t="n">
        <v>12.1</v>
      </c>
      <c r="H766" t="n">
        <v>0</v>
      </c>
      <c r="I766" t="n">
        <v>0</v>
      </c>
      <c r="J766" t="n">
        <v>0</v>
      </c>
      <c r="K766" t="n">
        <v>0</v>
      </c>
      <c r="L766" t="n">
        <v>0</v>
      </c>
      <c r="M766" t="n">
        <v>0</v>
      </c>
      <c r="N766" t="n">
        <v>0</v>
      </c>
      <c r="O766" t="n">
        <v>0</v>
      </c>
      <c r="P766" t="n">
        <v>0</v>
      </c>
      <c r="Q766" t="n">
        <v>0</v>
      </c>
      <c r="R766" s="2" t="inlineStr"/>
    </row>
    <row r="767" ht="15" customHeight="1">
      <c r="A767" t="inlineStr">
        <is>
          <t>A 1143-2026</t>
        </is>
      </c>
      <c r="B767" s="1" t="n">
        <v>46030</v>
      </c>
      <c r="C767" s="1" t="n">
        <v>46087</v>
      </c>
      <c r="D767" t="inlineStr">
        <is>
          <t>VÄSTERBOTTENS LÄN</t>
        </is>
      </c>
      <c r="E767" t="inlineStr">
        <is>
          <t>UMEÅ</t>
        </is>
      </c>
      <c r="G767" t="n">
        <v>1.6</v>
      </c>
      <c r="H767" t="n">
        <v>0</v>
      </c>
      <c r="I767" t="n">
        <v>0</v>
      </c>
      <c r="J767" t="n">
        <v>0</v>
      </c>
      <c r="K767" t="n">
        <v>0</v>
      </c>
      <c r="L767" t="n">
        <v>0</v>
      </c>
      <c r="M767" t="n">
        <v>0</v>
      </c>
      <c r="N767" t="n">
        <v>0</v>
      </c>
      <c r="O767" t="n">
        <v>0</v>
      </c>
      <c r="P767" t="n">
        <v>0</v>
      </c>
      <c r="Q767" t="n">
        <v>0</v>
      </c>
      <c r="R767" s="2" t="inlineStr"/>
    </row>
    <row r="768" ht="15" customHeight="1">
      <c r="A768" t="inlineStr">
        <is>
          <t>A 29925-2025</t>
        </is>
      </c>
      <c r="B768" s="1" t="n">
        <v>45826.42918981481</v>
      </c>
      <c r="C768" s="1" t="n">
        <v>46087</v>
      </c>
      <c r="D768" t="inlineStr">
        <is>
          <t>VÄSTERBOTTENS LÄN</t>
        </is>
      </c>
      <c r="E768" t="inlineStr">
        <is>
          <t>UMEÅ</t>
        </is>
      </c>
      <c r="G768" t="n">
        <v>8.4</v>
      </c>
      <c r="H768" t="n">
        <v>0</v>
      </c>
      <c r="I768" t="n">
        <v>0</v>
      </c>
      <c r="J768" t="n">
        <v>0</v>
      </c>
      <c r="K768" t="n">
        <v>0</v>
      </c>
      <c r="L768" t="n">
        <v>0</v>
      </c>
      <c r="M768" t="n">
        <v>0</v>
      </c>
      <c r="N768" t="n">
        <v>0</v>
      </c>
      <c r="O768" t="n">
        <v>0</v>
      </c>
      <c r="P768" t="n">
        <v>0</v>
      </c>
      <c r="Q768" t="n">
        <v>0</v>
      </c>
      <c r="R768" s="2" t="inlineStr"/>
    </row>
    <row r="769" ht="15" customHeight="1">
      <c r="A769" t="inlineStr">
        <is>
          <t>A 9377-2026</t>
        </is>
      </c>
      <c r="B769" s="1" t="n">
        <v>46070.91310185185</v>
      </c>
      <c r="C769" s="1" t="n">
        <v>46087</v>
      </c>
      <c r="D769" t="inlineStr">
        <is>
          <t>VÄSTERBOTTENS LÄN</t>
        </is>
      </c>
      <c r="E769" t="inlineStr">
        <is>
          <t>UMEÅ</t>
        </is>
      </c>
      <c r="G769" t="n">
        <v>9.1</v>
      </c>
      <c r="H769" t="n">
        <v>0</v>
      </c>
      <c r="I769" t="n">
        <v>0</v>
      </c>
      <c r="J769" t="n">
        <v>0</v>
      </c>
      <c r="K769" t="n">
        <v>0</v>
      </c>
      <c r="L769" t="n">
        <v>0</v>
      </c>
      <c r="M769" t="n">
        <v>0</v>
      </c>
      <c r="N769" t="n">
        <v>0</v>
      </c>
      <c r="O769" t="n">
        <v>0</v>
      </c>
      <c r="P769" t="n">
        <v>0</v>
      </c>
      <c r="Q769" t="n">
        <v>0</v>
      </c>
      <c r="R769" s="2" t="inlineStr"/>
    </row>
    <row r="770" ht="15" customHeight="1">
      <c r="A770" t="inlineStr">
        <is>
          <t>A 527-2026</t>
        </is>
      </c>
      <c r="B770" s="1" t="n">
        <v>46029.44916666667</v>
      </c>
      <c r="C770" s="1" t="n">
        <v>46087</v>
      </c>
      <c r="D770" t="inlineStr">
        <is>
          <t>VÄSTERBOTTENS LÄN</t>
        </is>
      </c>
      <c r="E770" t="inlineStr">
        <is>
          <t>UMEÅ</t>
        </is>
      </c>
      <c r="G770" t="n">
        <v>0.7</v>
      </c>
      <c r="H770" t="n">
        <v>0</v>
      </c>
      <c r="I770" t="n">
        <v>0</v>
      </c>
      <c r="J770" t="n">
        <v>0</v>
      </c>
      <c r="K770" t="n">
        <v>0</v>
      </c>
      <c r="L770" t="n">
        <v>0</v>
      </c>
      <c r="M770" t="n">
        <v>0</v>
      </c>
      <c r="N770" t="n">
        <v>0</v>
      </c>
      <c r="O770" t="n">
        <v>0</v>
      </c>
      <c r="P770" t="n">
        <v>0</v>
      </c>
      <c r="Q770" t="n">
        <v>0</v>
      </c>
      <c r="R770" s="2" t="inlineStr"/>
    </row>
    <row r="771" ht="15" customHeight="1">
      <c r="A771" t="inlineStr">
        <is>
          <t>A 29774-2025</t>
        </is>
      </c>
      <c r="B771" s="1" t="n">
        <v>45825.63641203703</v>
      </c>
      <c r="C771" s="1" t="n">
        <v>46087</v>
      </c>
      <c r="D771" t="inlineStr">
        <is>
          <t>VÄSTERBOTTENS LÄN</t>
        </is>
      </c>
      <c r="E771" t="inlineStr">
        <is>
          <t>UMEÅ</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841-2026</t>
        </is>
      </c>
      <c r="B772" s="1" t="n">
        <v>46030</v>
      </c>
      <c r="C772" s="1" t="n">
        <v>46087</v>
      </c>
      <c r="D772" t="inlineStr">
        <is>
          <t>VÄSTERBOTTENS LÄN</t>
        </is>
      </c>
      <c r="E772" t="inlineStr">
        <is>
          <t>UMEÅ</t>
        </is>
      </c>
      <c r="G772" t="n">
        <v>2.2</v>
      </c>
      <c r="H772" t="n">
        <v>0</v>
      </c>
      <c r="I772" t="n">
        <v>0</v>
      </c>
      <c r="J772" t="n">
        <v>0</v>
      </c>
      <c r="K772" t="n">
        <v>0</v>
      </c>
      <c r="L772" t="n">
        <v>0</v>
      </c>
      <c r="M772" t="n">
        <v>0</v>
      </c>
      <c r="N772" t="n">
        <v>0</v>
      </c>
      <c r="O772" t="n">
        <v>0</v>
      </c>
      <c r="P772" t="n">
        <v>0</v>
      </c>
      <c r="Q772" t="n">
        <v>0</v>
      </c>
      <c r="R772" s="2" t="inlineStr"/>
    </row>
    <row r="773" ht="15" customHeight="1">
      <c r="A773" t="inlineStr">
        <is>
          <t>A 44957-2022</t>
        </is>
      </c>
      <c r="B773" s="1" t="n">
        <v>44840</v>
      </c>
      <c r="C773" s="1" t="n">
        <v>46087</v>
      </c>
      <c r="D773" t="inlineStr">
        <is>
          <t>VÄSTERBOTTENS LÄN</t>
        </is>
      </c>
      <c r="E773" t="inlineStr">
        <is>
          <t>UMEÅ</t>
        </is>
      </c>
      <c r="G773" t="n">
        <v>5.6</v>
      </c>
      <c r="H773" t="n">
        <v>0</v>
      </c>
      <c r="I773" t="n">
        <v>0</v>
      </c>
      <c r="J773" t="n">
        <v>0</v>
      </c>
      <c r="K773" t="n">
        <v>0</v>
      </c>
      <c r="L773" t="n">
        <v>0</v>
      </c>
      <c r="M773" t="n">
        <v>0</v>
      </c>
      <c r="N773" t="n">
        <v>0</v>
      </c>
      <c r="O773" t="n">
        <v>0</v>
      </c>
      <c r="P773" t="n">
        <v>0</v>
      </c>
      <c r="Q773" t="n">
        <v>0</v>
      </c>
      <c r="R773" s="2" t="inlineStr"/>
    </row>
    <row r="774" ht="15" customHeight="1">
      <c r="A774" t="inlineStr">
        <is>
          <t>A 526-2026</t>
        </is>
      </c>
      <c r="B774" s="1" t="n">
        <v>46029.44914351852</v>
      </c>
      <c r="C774" s="1" t="n">
        <v>46087</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667-2026</t>
        </is>
      </c>
      <c r="B775" s="1" t="n">
        <v>46029.58945601852</v>
      </c>
      <c r="C775" s="1" t="n">
        <v>46087</v>
      </c>
      <c r="D775" t="inlineStr">
        <is>
          <t>VÄSTERBOTTENS LÄN</t>
        </is>
      </c>
      <c r="E775" t="inlineStr">
        <is>
          <t>UMEÅ</t>
        </is>
      </c>
      <c r="G775" t="n">
        <v>0.9</v>
      </c>
      <c r="H775" t="n">
        <v>0</v>
      </c>
      <c r="I775" t="n">
        <v>0</v>
      </c>
      <c r="J775" t="n">
        <v>0</v>
      </c>
      <c r="K775" t="n">
        <v>0</v>
      </c>
      <c r="L775" t="n">
        <v>0</v>
      </c>
      <c r="M775" t="n">
        <v>0</v>
      </c>
      <c r="N775" t="n">
        <v>0</v>
      </c>
      <c r="O775" t="n">
        <v>0</v>
      </c>
      <c r="P775" t="n">
        <v>0</v>
      </c>
      <c r="Q775" t="n">
        <v>0</v>
      </c>
      <c r="R775" s="2" t="inlineStr"/>
    </row>
    <row r="776" ht="15" customHeight="1">
      <c r="A776" t="inlineStr">
        <is>
          <t>A 524-2026</t>
        </is>
      </c>
      <c r="B776" s="1" t="n">
        <v>46029.44908564815</v>
      </c>
      <c r="C776" s="1" t="n">
        <v>46087</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29583-2025</t>
        </is>
      </c>
      <c r="B777" s="1" t="n">
        <v>45825.38503472223</v>
      </c>
      <c r="C777" s="1" t="n">
        <v>46087</v>
      </c>
      <c r="D777" t="inlineStr">
        <is>
          <t>VÄSTERBOTTENS LÄN</t>
        </is>
      </c>
      <c r="E777" t="inlineStr">
        <is>
          <t>UMEÅ</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1142-2026</t>
        </is>
      </c>
      <c r="B778" s="1" t="n">
        <v>46030.84501157407</v>
      </c>
      <c r="C778" s="1" t="n">
        <v>46087</v>
      </c>
      <c r="D778" t="inlineStr">
        <is>
          <t>VÄSTERBOTTENS LÄN</t>
        </is>
      </c>
      <c r="E778" t="inlineStr">
        <is>
          <t>UMEÅ</t>
        </is>
      </c>
      <c r="G778" t="n">
        <v>0.9</v>
      </c>
      <c r="H778" t="n">
        <v>0</v>
      </c>
      <c r="I778" t="n">
        <v>0</v>
      </c>
      <c r="J778" t="n">
        <v>0</v>
      </c>
      <c r="K778" t="n">
        <v>0</v>
      </c>
      <c r="L778" t="n">
        <v>0</v>
      </c>
      <c r="M778" t="n">
        <v>0</v>
      </c>
      <c r="N778" t="n">
        <v>0</v>
      </c>
      <c r="O778" t="n">
        <v>0</v>
      </c>
      <c r="P778" t="n">
        <v>0</v>
      </c>
      <c r="Q778" t="n">
        <v>0</v>
      </c>
      <c r="R778" s="2" t="inlineStr"/>
    </row>
    <row r="779" ht="15" customHeight="1">
      <c r="A779" t="inlineStr">
        <is>
          <t>A 15160-2025</t>
        </is>
      </c>
      <c r="B779" s="1" t="n">
        <v>45744</v>
      </c>
      <c r="C779" s="1" t="n">
        <v>46087</v>
      </c>
      <c r="D779" t="inlineStr">
        <is>
          <t>VÄSTERBOTTENS LÄN</t>
        </is>
      </c>
      <c r="E779" t="inlineStr">
        <is>
          <t>UMEÅ</t>
        </is>
      </c>
      <c r="F779" t="inlineStr">
        <is>
          <t>Kommuner</t>
        </is>
      </c>
      <c r="G779" t="n">
        <v>0.7</v>
      </c>
      <c r="H779" t="n">
        <v>0</v>
      </c>
      <c r="I779" t="n">
        <v>0</v>
      </c>
      <c r="J779" t="n">
        <v>0</v>
      </c>
      <c r="K779" t="n">
        <v>0</v>
      </c>
      <c r="L779" t="n">
        <v>0</v>
      </c>
      <c r="M779" t="n">
        <v>0</v>
      </c>
      <c r="N779" t="n">
        <v>0</v>
      </c>
      <c r="O779" t="n">
        <v>0</v>
      </c>
      <c r="P779" t="n">
        <v>0</v>
      </c>
      <c r="Q779" t="n">
        <v>0</v>
      </c>
      <c r="R779" s="2" t="inlineStr"/>
    </row>
    <row r="780" ht="15" customHeight="1">
      <c r="A780" t="inlineStr">
        <is>
          <t>A 15161-2025</t>
        </is>
      </c>
      <c r="B780" s="1" t="n">
        <v>45744</v>
      </c>
      <c r="C780" s="1" t="n">
        <v>46087</v>
      </c>
      <c r="D780" t="inlineStr">
        <is>
          <t>VÄSTERBOTTENS LÄN</t>
        </is>
      </c>
      <c r="E780" t="inlineStr">
        <is>
          <t>UMEÅ</t>
        </is>
      </c>
      <c r="F780" t="inlineStr">
        <is>
          <t>Kommuner</t>
        </is>
      </c>
      <c r="G780" t="n">
        <v>1.3</v>
      </c>
      <c r="H780" t="n">
        <v>0</v>
      </c>
      <c r="I780" t="n">
        <v>0</v>
      </c>
      <c r="J780" t="n">
        <v>0</v>
      </c>
      <c r="K780" t="n">
        <v>0</v>
      </c>
      <c r="L780" t="n">
        <v>0</v>
      </c>
      <c r="M780" t="n">
        <v>0</v>
      </c>
      <c r="N780" t="n">
        <v>0</v>
      </c>
      <c r="O780" t="n">
        <v>0</v>
      </c>
      <c r="P780" t="n">
        <v>0</v>
      </c>
      <c r="Q780" t="n">
        <v>0</v>
      </c>
      <c r="R780" s="2" t="inlineStr"/>
    </row>
    <row r="781" ht="15" customHeight="1">
      <c r="A781" t="inlineStr">
        <is>
          <t>A 9961-2026</t>
        </is>
      </c>
      <c r="B781" s="1" t="n">
        <v>46073.49317129629</v>
      </c>
      <c r="C781" s="1" t="n">
        <v>46087</v>
      </c>
      <c r="D781" t="inlineStr">
        <is>
          <t>VÄSTERBOTTENS LÄN</t>
        </is>
      </c>
      <c r="E781" t="inlineStr">
        <is>
          <t>UMEÅ</t>
        </is>
      </c>
      <c r="G781" t="n">
        <v>4.1</v>
      </c>
      <c r="H781" t="n">
        <v>0</v>
      </c>
      <c r="I781" t="n">
        <v>0</v>
      </c>
      <c r="J781" t="n">
        <v>0</v>
      </c>
      <c r="K781" t="n">
        <v>0</v>
      </c>
      <c r="L781" t="n">
        <v>0</v>
      </c>
      <c r="M781" t="n">
        <v>0</v>
      </c>
      <c r="N781" t="n">
        <v>0</v>
      </c>
      <c r="O781" t="n">
        <v>0</v>
      </c>
      <c r="P781" t="n">
        <v>0</v>
      </c>
      <c r="Q781" t="n">
        <v>0</v>
      </c>
      <c r="R781" s="2" t="inlineStr"/>
    </row>
    <row r="782" ht="15" customHeight="1">
      <c r="A782" t="inlineStr">
        <is>
          <t>A 19195-2025</t>
        </is>
      </c>
      <c r="B782" s="1" t="n">
        <v>45769.425625</v>
      </c>
      <c r="C782" s="1" t="n">
        <v>46087</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29704-2025</t>
        </is>
      </c>
      <c r="B783" s="1" t="n">
        <v>45825.55847222222</v>
      </c>
      <c r="C783" s="1" t="n">
        <v>46087</v>
      </c>
      <c r="D783" t="inlineStr">
        <is>
          <t>VÄSTERBOTTENS LÄN</t>
        </is>
      </c>
      <c r="E783" t="inlineStr">
        <is>
          <t>UMEÅ</t>
        </is>
      </c>
      <c r="F783" t="inlineStr">
        <is>
          <t>Holmen skog AB</t>
        </is>
      </c>
      <c r="G783" t="n">
        <v>35.1</v>
      </c>
      <c r="H783" t="n">
        <v>0</v>
      </c>
      <c r="I783" t="n">
        <v>0</v>
      </c>
      <c r="J783" t="n">
        <v>0</v>
      </c>
      <c r="K783" t="n">
        <v>0</v>
      </c>
      <c r="L783" t="n">
        <v>0</v>
      </c>
      <c r="M783" t="n">
        <v>0</v>
      </c>
      <c r="N783" t="n">
        <v>0</v>
      </c>
      <c r="O783" t="n">
        <v>0</v>
      </c>
      <c r="P783" t="n">
        <v>0</v>
      </c>
      <c r="Q783" t="n">
        <v>0</v>
      </c>
      <c r="R783" s="2" t="inlineStr"/>
    </row>
    <row r="784" ht="15" customHeight="1">
      <c r="A784" t="inlineStr">
        <is>
          <t>A 58538-2021</t>
        </is>
      </c>
      <c r="B784" s="1" t="n">
        <v>44488.6871875</v>
      </c>
      <c r="C784" s="1" t="n">
        <v>46087</v>
      </c>
      <c r="D784" t="inlineStr">
        <is>
          <t>VÄSTERBOTTENS LÄN</t>
        </is>
      </c>
      <c r="E784" t="inlineStr">
        <is>
          <t>UMEÅ</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2252-2026</t>
        </is>
      </c>
      <c r="B785" s="1" t="n">
        <v>46034</v>
      </c>
      <c r="C785" s="1" t="n">
        <v>46087</v>
      </c>
      <c r="D785" t="inlineStr">
        <is>
          <t>VÄSTERBOTTENS LÄN</t>
        </is>
      </c>
      <c r="E785" t="inlineStr">
        <is>
          <t>UMEÅ</t>
        </is>
      </c>
      <c r="G785" t="n">
        <v>10.7</v>
      </c>
      <c r="H785" t="n">
        <v>0</v>
      </c>
      <c r="I785" t="n">
        <v>0</v>
      </c>
      <c r="J785" t="n">
        <v>0</v>
      </c>
      <c r="K785" t="n">
        <v>0</v>
      </c>
      <c r="L785" t="n">
        <v>0</v>
      </c>
      <c r="M785" t="n">
        <v>0</v>
      </c>
      <c r="N785" t="n">
        <v>0</v>
      </c>
      <c r="O785" t="n">
        <v>0</v>
      </c>
      <c r="P785" t="n">
        <v>0</v>
      </c>
      <c r="Q785" t="n">
        <v>0</v>
      </c>
      <c r="R785" s="2" t="inlineStr"/>
    </row>
    <row r="786" ht="15" customHeight="1">
      <c r="A786" t="inlineStr">
        <is>
          <t>A 17924-2023</t>
        </is>
      </c>
      <c r="B786" s="1" t="n">
        <v>45037</v>
      </c>
      <c r="C786" s="1" t="n">
        <v>46087</v>
      </c>
      <c r="D786" t="inlineStr">
        <is>
          <t>VÄSTERBOTTENS LÄN</t>
        </is>
      </c>
      <c r="E786" t="inlineStr">
        <is>
          <t>UMEÅ</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17949-2023</t>
        </is>
      </c>
      <c r="B787" s="1" t="n">
        <v>45037</v>
      </c>
      <c r="C787" s="1" t="n">
        <v>46087</v>
      </c>
      <c r="D787" t="inlineStr">
        <is>
          <t>VÄSTERBOTTENS LÄN</t>
        </is>
      </c>
      <c r="E787" t="inlineStr">
        <is>
          <t>UMEÅ</t>
        </is>
      </c>
      <c r="G787" t="n">
        <v>4.5</v>
      </c>
      <c r="H787" t="n">
        <v>0</v>
      </c>
      <c r="I787" t="n">
        <v>0</v>
      </c>
      <c r="J787" t="n">
        <v>0</v>
      </c>
      <c r="K787" t="n">
        <v>0</v>
      </c>
      <c r="L787" t="n">
        <v>0</v>
      </c>
      <c r="M787" t="n">
        <v>0</v>
      </c>
      <c r="N787" t="n">
        <v>0</v>
      </c>
      <c r="O787" t="n">
        <v>0</v>
      </c>
      <c r="P787" t="n">
        <v>0</v>
      </c>
      <c r="Q787" t="n">
        <v>0</v>
      </c>
      <c r="R787" s="2" t="inlineStr"/>
    </row>
    <row r="788" ht="15" customHeight="1">
      <c r="A788" t="inlineStr">
        <is>
          <t>A 29502-2025</t>
        </is>
      </c>
      <c r="B788" s="1" t="n">
        <v>45825.29293981481</v>
      </c>
      <c r="C788" s="1" t="n">
        <v>46087</v>
      </c>
      <c r="D788" t="inlineStr">
        <is>
          <t>VÄSTERBOTTENS LÄN</t>
        </is>
      </c>
      <c r="E788" t="inlineStr">
        <is>
          <t>UMEÅ</t>
        </is>
      </c>
      <c r="F788" t="inlineStr">
        <is>
          <t>Holmen skog AB</t>
        </is>
      </c>
      <c r="G788" t="n">
        <v>5.8</v>
      </c>
      <c r="H788" t="n">
        <v>0</v>
      </c>
      <c r="I788" t="n">
        <v>0</v>
      </c>
      <c r="J788" t="n">
        <v>0</v>
      </c>
      <c r="K788" t="n">
        <v>0</v>
      </c>
      <c r="L788" t="n">
        <v>0</v>
      </c>
      <c r="M788" t="n">
        <v>0</v>
      </c>
      <c r="N788" t="n">
        <v>0</v>
      </c>
      <c r="O788" t="n">
        <v>0</v>
      </c>
      <c r="P788" t="n">
        <v>0</v>
      </c>
      <c r="Q788" t="n">
        <v>0</v>
      </c>
      <c r="R788" s="2" t="inlineStr"/>
    </row>
    <row r="789" ht="15" customHeight="1">
      <c r="A789" t="inlineStr">
        <is>
          <t>A 31442-2024</t>
        </is>
      </c>
      <c r="B789" s="1" t="n">
        <v>45505</v>
      </c>
      <c r="C789" s="1" t="n">
        <v>46087</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1557-2026</t>
        </is>
      </c>
      <c r="B790" s="1" t="n">
        <v>46034.38920138889</v>
      </c>
      <c r="C790" s="1" t="n">
        <v>46087</v>
      </c>
      <c r="D790" t="inlineStr">
        <is>
          <t>VÄSTERBOTTENS LÄN</t>
        </is>
      </c>
      <c r="E790" t="inlineStr">
        <is>
          <t>UMEÅ</t>
        </is>
      </c>
      <c r="G790" t="n">
        <v>3.5</v>
      </c>
      <c r="H790" t="n">
        <v>0</v>
      </c>
      <c r="I790" t="n">
        <v>0</v>
      </c>
      <c r="J790" t="n">
        <v>0</v>
      </c>
      <c r="K790" t="n">
        <v>0</v>
      </c>
      <c r="L790" t="n">
        <v>0</v>
      </c>
      <c r="M790" t="n">
        <v>0</v>
      </c>
      <c r="N790" t="n">
        <v>0</v>
      </c>
      <c r="O790" t="n">
        <v>0</v>
      </c>
      <c r="P790" t="n">
        <v>0</v>
      </c>
      <c r="Q790" t="n">
        <v>0</v>
      </c>
      <c r="R790" s="2" t="inlineStr"/>
    </row>
    <row r="791" ht="15" customHeight="1">
      <c r="A791" t="inlineStr">
        <is>
          <t>A 6279-2025</t>
        </is>
      </c>
      <c r="B791" s="1" t="n">
        <v>45698.62097222222</v>
      </c>
      <c r="C791" s="1" t="n">
        <v>46087</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10014-2026</t>
        </is>
      </c>
      <c r="B792" s="1" t="n">
        <v>46073.5741550926</v>
      </c>
      <c r="C792" s="1" t="n">
        <v>46087</v>
      </c>
      <c r="D792" t="inlineStr">
        <is>
          <t>VÄSTERBOTTENS LÄN</t>
        </is>
      </c>
      <c r="E792" t="inlineStr">
        <is>
          <t>UMEÅ</t>
        </is>
      </c>
      <c r="G792" t="n">
        <v>1.6</v>
      </c>
      <c r="H792" t="n">
        <v>0</v>
      </c>
      <c r="I792" t="n">
        <v>0</v>
      </c>
      <c r="J792" t="n">
        <v>0</v>
      </c>
      <c r="K792" t="n">
        <v>0</v>
      </c>
      <c r="L792" t="n">
        <v>0</v>
      </c>
      <c r="M792" t="n">
        <v>0</v>
      </c>
      <c r="N792" t="n">
        <v>0</v>
      </c>
      <c r="O792" t="n">
        <v>0</v>
      </c>
      <c r="P792" t="n">
        <v>0</v>
      </c>
      <c r="Q792" t="n">
        <v>0</v>
      </c>
      <c r="R792" s="2" t="inlineStr"/>
    </row>
    <row r="793" ht="15" customHeight="1">
      <c r="A793" t="inlineStr">
        <is>
          <t>A 13768-2023</t>
        </is>
      </c>
      <c r="B793" s="1" t="n">
        <v>45006</v>
      </c>
      <c r="C793" s="1" t="n">
        <v>46087</v>
      </c>
      <c r="D793" t="inlineStr">
        <is>
          <t>VÄSTERBOTTENS LÄN</t>
        </is>
      </c>
      <c r="E793" t="inlineStr">
        <is>
          <t>UMEÅ</t>
        </is>
      </c>
      <c r="F793" t="inlineStr">
        <is>
          <t>Kommuner</t>
        </is>
      </c>
      <c r="G793" t="n">
        <v>1.1</v>
      </c>
      <c r="H793" t="n">
        <v>0</v>
      </c>
      <c r="I793" t="n">
        <v>0</v>
      </c>
      <c r="J793" t="n">
        <v>0</v>
      </c>
      <c r="K793" t="n">
        <v>0</v>
      </c>
      <c r="L793" t="n">
        <v>0</v>
      </c>
      <c r="M793" t="n">
        <v>0</v>
      </c>
      <c r="N793" t="n">
        <v>0</v>
      </c>
      <c r="O793" t="n">
        <v>0</v>
      </c>
      <c r="P793" t="n">
        <v>0</v>
      </c>
      <c r="Q793" t="n">
        <v>0</v>
      </c>
      <c r="R793" s="2" t="inlineStr"/>
    </row>
    <row r="794" ht="15" customHeight="1">
      <c r="A794" t="inlineStr">
        <is>
          <t>A 30263-2025</t>
        </is>
      </c>
      <c r="B794" s="1" t="n">
        <v>45827.43445601852</v>
      </c>
      <c r="C794" s="1" t="n">
        <v>46087</v>
      </c>
      <c r="D794" t="inlineStr">
        <is>
          <t>VÄSTERBOTTENS LÄN</t>
        </is>
      </c>
      <c r="E794" t="inlineStr">
        <is>
          <t>UMEÅ</t>
        </is>
      </c>
      <c r="G794" t="n">
        <v>2.2</v>
      </c>
      <c r="H794" t="n">
        <v>0</v>
      </c>
      <c r="I794" t="n">
        <v>0</v>
      </c>
      <c r="J794" t="n">
        <v>0</v>
      </c>
      <c r="K794" t="n">
        <v>0</v>
      </c>
      <c r="L794" t="n">
        <v>0</v>
      </c>
      <c r="M794" t="n">
        <v>0</v>
      </c>
      <c r="N794" t="n">
        <v>0</v>
      </c>
      <c r="O794" t="n">
        <v>0</v>
      </c>
      <c r="P794" t="n">
        <v>0</v>
      </c>
      <c r="Q794" t="n">
        <v>0</v>
      </c>
      <c r="R794" s="2" t="inlineStr"/>
    </row>
    <row r="795" ht="15" customHeight="1">
      <c r="A795" t="inlineStr">
        <is>
          <t>A 1508-2025</t>
        </is>
      </c>
      <c r="B795" s="1" t="n">
        <v>45670.4403587963</v>
      </c>
      <c r="C795" s="1" t="n">
        <v>46087</v>
      </c>
      <c r="D795" t="inlineStr">
        <is>
          <t>VÄSTERBOTTENS LÄN</t>
        </is>
      </c>
      <c r="E795" t="inlineStr">
        <is>
          <t>UMEÅ</t>
        </is>
      </c>
      <c r="G795" t="n">
        <v>1.4</v>
      </c>
      <c r="H795" t="n">
        <v>0</v>
      </c>
      <c r="I795" t="n">
        <v>0</v>
      </c>
      <c r="J795" t="n">
        <v>0</v>
      </c>
      <c r="K795" t="n">
        <v>0</v>
      </c>
      <c r="L795" t="n">
        <v>0</v>
      </c>
      <c r="M795" t="n">
        <v>0</v>
      </c>
      <c r="N795" t="n">
        <v>0</v>
      </c>
      <c r="O795" t="n">
        <v>0</v>
      </c>
      <c r="P795" t="n">
        <v>0</v>
      </c>
      <c r="Q795" t="n">
        <v>0</v>
      </c>
      <c r="R795" s="2" t="inlineStr"/>
    </row>
    <row r="796" ht="15" customHeight="1">
      <c r="A796" t="inlineStr">
        <is>
          <t>A 7373-2024</t>
        </is>
      </c>
      <c r="B796" s="1" t="n">
        <v>45345</v>
      </c>
      <c r="C796" s="1" t="n">
        <v>46087</v>
      </c>
      <c r="D796" t="inlineStr">
        <is>
          <t>VÄSTERBOTTENS LÄN</t>
        </is>
      </c>
      <c r="E796" t="inlineStr">
        <is>
          <t>UMEÅ</t>
        </is>
      </c>
      <c r="G796" t="n">
        <v>4.1</v>
      </c>
      <c r="H796" t="n">
        <v>0</v>
      </c>
      <c r="I796" t="n">
        <v>0</v>
      </c>
      <c r="J796" t="n">
        <v>0</v>
      </c>
      <c r="K796" t="n">
        <v>0</v>
      </c>
      <c r="L796" t="n">
        <v>0</v>
      </c>
      <c r="M796" t="n">
        <v>0</v>
      </c>
      <c r="N796" t="n">
        <v>0</v>
      </c>
      <c r="O796" t="n">
        <v>0</v>
      </c>
      <c r="P796" t="n">
        <v>0</v>
      </c>
      <c r="Q796" t="n">
        <v>0</v>
      </c>
      <c r="R796" s="2" t="inlineStr"/>
    </row>
    <row r="797" ht="15" customHeight="1">
      <c r="A797" t="inlineStr">
        <is>
          <t>A 15375-2025</t>
        </is>
      </c>
      <c r="B797" s="1" t="n">
        <v>45747.40652777778</v>
      </c>
      <c r="C797" s="1" t="n">
        <v>46087</v>
      </c>
      <c r="D797" t="inlineStr">
        <is>
          <t>VÄSTERBOTTENS LÄN</t>
        </is>
      </c>
      <c r="E797" t="inlineStr">
        <is>
          <t>UMEÅ</t>
        </is>
      </c>
      <c r="G797" t="n">
        <v>1.1</v>
      </c>
      <c r="H797" t="n">
        <v>0</v>
      </c>
      <c r="I797" t="n">
        <v>0</v>
      </c>
      <c r="J797" t="n">
        <v>0</v>
      </c>
      <c r="K797" t="n">
        <v>0</v>
      </c>
      <c r="L797" t="n">
        <v>0</v>
      </c>
      <c r="M797" t="n">
        <v>0</v>
      </c>
      <c r="N797" t="n">
        <v>0</v>
      </c>
      <c r="O797" t="n">
        <v>0</v>
      </c>
      <c r="P797" t="n">
        <v>0</v>
      </c>
      <c r="Q797" t="n">
        <v>0</v>
      </c>
      <c r="R797" s="2" t="inlineStr"/>
    </row>
    <row r="798" ht="15" customHeight="1">
      <c r="A798" t="inlineStr">
        <is>
          <t>A 1388-2026</t>
        </is>
      </c>
      <c r="B798" s="1" t="n">
        <v>46031.62766203703</v>
      </c>
      <c r="C798" s="1" t="n">
        <v>46087</v>
      </c>
      <c r="D798" t="inlineStr">
        <is>
          <t>VÄSTERBOTTENS LÄN</t>
        </is>
      </c>
      <c r="E798" t="inlineStr">
        <is>
          <t>UMEÅ</t>
        </is>
      </c>
      <c r="G798" t="n">
        <v>1.1</v>
      </c>
      <c r="H798" t="n">
        <v>0</v>
      </c>
      <c r="I798" t="n">
        <v>0</v>
      </c>
      <c r="J798" t="n">
        <v>0</v>
      </c>
      <c r="K798" t="n">
        <v>0</v>
      </c>
      <c r="L798" t="n">
        <v>0</v>
      </c>
      <c r="M798" t="n">
        <v>0</v>
      </c>
      <c r="N798" t="n">
        <v>0</v>
      </c>
      <c r="O798" t="n">
        <v>0</v>
      </c>
      <c r="P798" t="n">
        <v>0</v>
      </c>
      <c r="Q798" t="n">
        <v>0</v>
      </c>
      <c r="R798" s="2" t="inlineStr"/>
    </row>
    <row r="799" ht="15" customHeight="1">
      <c r="A799" t="inlineStr">
        <is>
          <t>A 15886-2023</t>
        </is>
      </c>
      <c r="B799" s="1" t="n">
        <v>45022</v>
      </c>
      <c r="C799" s="1" t="n">
        <v>46087</v>
      </c>
      <c r="D799" t="inlineStr">
        <is>
          <t>VÄSTERBOTTENS LÄN</t>
        </is>
      </c>
      <c r="E799" t="inlineStr">
        <is>
          <t>UMEÅ</t>
        </is>
      </c>
      <c r="F799" t="inlineStr">
        <is>
          <t>Holmen skog AB</t>
        </is>
      </c>
      <c r="G799" t="n">
        <v>0.4</v>
      </c>
      <c r="H799" t="n">
        <v>0</v>
      </c>
      <c r="I799" t="n">
        <v>0</v>
      </c>
      <c r="J799" t="n">
        <v>0</v>
      </c>
      <c r="K799" t="n">
        <v>0</v>
      </c>
      <c r="L799" t="n">
        <v>0</v>
      </c>
      <c r="M799" t="n">
        <v>0</v>
      </c>
      <c r="N799" t="n">
        <v>0</v>
      </c>
      <c r="O799" t="n">
        <v>0</v>
      </c>
      <c r="P799" t="n">
        <v>0</v>
      </c>
      <c r="Q799" t="n">
        <v>0</v>
      </c>
      <c r="R799" s="2" t="inlineStr"/>
    </row>
    <row r="800" ht="15" customHeight="1">
      <c r="A800" t="inlineStr">
        <is>
          <t>A 62538-2023</t>
        </is>
      </c>
      <c r="B800" s="1" t="n">
        <v>45267</v>
      </c>
      <c r="C800" s="1" t="n">
        <v>46087</v>
      </c>
      <c r="D800" t="inlineStr">
        <is>
          <t>VÄSTERBOTTENS LÄN</t>
        </is>
      </c>
      <c r="E800" t="inlineStr">
        <is>
          <t>UMEÅ</t>
        </is>
      </c>
      <c r="G800" t="n">
        <v>2.7</v>
      </c>
      <c r="H800" t="n">
        <v>0</v>
      </c>
      <c r="I800" t="n">
        <v>0</v>
      </c>
      <c r="J800" t="n">
        <v>0</v>
      </c>
      <c r="K800" t="n">
        <v>0</v>
      </c>
      <c r="L800" t="n">
        <v>0</v>
      </c>
      <c r="M800" t="n">
        <v>0</v>
      </c>
      <c r="N800" t="n">
        <v>0</v>
      </c>
      <c r="O800" t="n">
        <v>0</v>
      </c>
      <c r="P800" t="n">
        <v>0</v>
      </c>
      <c r="Q800" t="n">
        <v>0</v>
      </c>
      <c r="R800" s="2" t="inlineStr"/>
    </row>
    <row r="801" ht="15" customHeight="1">
      <c r="A801" t="inlineStr">
        <is>
          <t>A 42832-2025</t>
        </is>
      </c>
      <c r="B801" s="1" t="n">
        <v>45908</v>
      </c>
      <c r="C801" s="1" t="n">
        <v>46087</v>
      </c>
      <c r="D801" t="inlineStr">
        <is>
          <t>VÄSTERBOTTENS LÄN</t>
        </is>
      </c>
      <c r="E801" t="inlineStr">
        <is>
          <t>UMEÅ</t>
        </is>
      </c>
      <c r="G801" t="n">
        <v>1.9</v>
      </c>
      <c r="H801" t="n">
        <v>0</v>
      </c>
      <c r="I801" t="n">
        <v>0</v>
      </c>
      <c r="J801" t="n">
        <v>0</v>
      </c>
      <c r="K801" t="n">
        <v>0</v>
      </c>
      <c r="L801" t="n">
        <v>0</v>
      </c>
      <c r="M801" t="n">
        <v>0</v>
      </c>
      <c r="N801" t="n">
        <v>0</v>
      </c>
      <c r="O801" t="n">
        <v>0</v>
      </c>
      <c r="P801" t="n">
        <v>0</v>
      </c>
      <c r="Q801" t="n">
        <v>0</v>
      </c>
      <c r="R801" s="2" t="inlineStr"/>
    </row>
    <row r="802" ht="15" customHeight="1">
      <c r="A802" t="inlineStr">
        <is>
          <t>A 44481-2022</t>
        </is>
      </c>
      <c r="B802" s="1" t="n">
        <v>44840</v>
      </c>
      <c r="C802" s="1" t="n">
        <v>46087</v>
      </c>
      <c r="D802" t="inlineStr">
        <is>
          <t>VÄSTERBOTTENS LÄN</t>
        </is>
      </c>
      <c r="E802" t="inlineStr">
        <is>
          <t>UMEÅ</t>
        </is>
      </c>
      <c r="F802" t="inlineStr">
        <is>
          <t>Holmen skog AB</t>
        </is>
      </c>
      <c r="G802" t="n">
        <v>2.1</v>
      </c>
      <c r="H802" t="n">
        <v>0</v>
      </c>
      <c r="I802" t="n">
        <v>0</v>
      </c>
      <c r="J802" t="n">
        <v>0</v>
      </c>
      <c r="K802" t="n">
        <v>0</v>
      </c>
      <c r="L802" t="n">
        <v>0</v>
      </c>
      <c r="M802" t="n">
        <v>0</v>
      </c>
      <c r="N802" t="n">
        <v>0</v>
      </c>
      <c r="O802" t="n">
        <v>0</v>
      </c>
      <c r="P802" t="n">
        <v>0</v>
      </c>
      <c r="Q802" t="n">
        <v>0</v>
      </c>
      <c r="R802" s="2" t="inlineStr"/>
    </row>
    <row r="803" ht="15" customHeight="1">
      <c r="A803" t="inlineStr">
        <is>
          <t>A 10746-2026</t>
        </is>
      </c>
      <c r="B803" s="1" t="n">
        <v>46078.51724537037</v>
      </c>
      <c r="C803" s="1" t="n">
        <v>46087</v>
      </c>
      <c r="D803" t="inlineStr">
        <is>
          <t>VÄSTERBOTTENS LÄN</t>
        </is>
      </c>
      <c r="E803" t="inlineStr">
        <is>
          <t>UMEÅ</t>
        </is>
      </c>
      <c r="G803" t="n">
        <v>1.1</v>
      </c>
      <c r="H803" t="n">
        <v>0</v>
      </c>
      <c r="I803" t="n">
        <v>0</v>
      </c>
      <c r="J803" t="n">
        <v>0</v>
      </c>
      <c r="K803" t="n">
        <v>0</v>
      </c>
      <c r="L803" t="n">
        <v>0</v>
      </c>
      <c r="M803" t="n">
        <v>0</v>
      </c>
      <c r="N803" t="n">
        <v>0</v>
      </c>
      <c r="O803" t="n">
        <v>0</v>
      </c>
      <c r="P803" t="n">
        <v>0</v>
      </c>
      <c r="Q803" t="n">
        <v>0</v>
      </c>
      <c r="R803" s="2" t="inlineStr"/>
    </row>
    <row r="804" ht="15" customHeight="1">
      <c r="A804" t="inlineStr">
        <is>
          <t>A 10685-2026</t>
        </is>
      </c>
      <c r="B804" s="1" t="n">
        <v>46078.42490740741</v>
      </c>
      <c r="C804" s="1" t="n">
        <v>46087</v>
      </c>
      <c r="D804" t="inlineStr">
        <is>
          <t>VÄSTERBOTTENS LÄN</t>
        </is>
      </c>
      <c r="E804" t="inlineStr">
        <is>
          <t>UMEÅ</t>
        </is>
      </c>
      <c r="G804" t="n">
        <v>2.5</v>
      </c>
      <c r="H804" t="n">
        <v>0</v>
      </c>
      <c r="I804" t="n">
        <v>0</v>
      </c>
      <c r="J804" t="n">
        <v>0</v>
      </c>
      <c r="K804" t="n">
        <v>0</v>
      </c>
      <c r="L804" t="n">
        <v>0</v>
      </c>
      <c r="M804" t="n">
        <v>0</v>
      </c>
      <c r="N804" t="n">
        <v>0</v>
      </c>
      <c r="O804" t="n">
        <v>0</v>
      </c>
      <c r="P804" t="n">
        <v>0</v>
      </c>
      <c r="Q804" t="n">
        <v>0</v>
      </c>
      <c r="R804" s="2" t="inlineStr"/>
    </row>
    <row r="805" ht="15" customHeight="1">
      <c r="A805" t="inlineStr">
        <is>
          <t>A 41594-2023</t>
        </is>
      </c>
      <c r="B805" s="1" t="n">
        <v>45175</v>
      </c>
      <c r="C805" s="1" t="n">
        <v>46087</v>
      </c>
      <c r="D805" t="inlineStr">
        <is>
          <t>VÄSTERBOTTENS LÄN</t>
        </is>
      </c>
      <c r="E805" t="inlineStr">
        <is>
          <t>UMEÅ</t>
        </is>
      </c>
      <c r="F805" t="inlineStr">
        <is>
          <t>Holmen skog AB</t>
        </is>
      </c>
      <c r="G805" t="n">
        <v>3.1</v>
      </c>
      <c r="H805" t="n">
        <v>0</v>
      </c>
      <c r="I805" t="n">
        <v>0</v>
      </c>
      <c r="J805" t="n">
        <v>0</v>
      </c>
      <c r="K805" t="n">
        <v>0</v>
      </c>
      <c r="L805" t="n">
        <v>0</v>
      </c>
      <c r="M805" t="n">
        <v>0</v>
      </c>
      <c r="N805" t="n">
        <v>0</v>
      </c>
      <c r="O805" t="n">
        <v>0</v>
      </c>
      <c r="P805" t="n">
        <v>0</v>
      </c>
      <c r="Q805" t="n">
        <v>0</v>
      </c>
      <c r="R805" s="2" t="inlineStr"/>
    </row>
    <row r="806" ht="15" customHeight="1">
      <c r="A806" t="inlineStr">
        <is>
          <t>A 30803-2025</t>
        </is>
      </c>
      <c r="B806" s="1" t="n">
        <v>45831.65424768518</v>
      </c>
      <c r="C806" s="1" t="n">
        <v>46087</v>
      </c>
      <c r="D806" t="inlineStr">
        <is>
          <t>VÄSTERBOTTENS LÄN</t>
        </is>
      </c>
      <c r="E806" t="inlineStr">
        <is>
          <t>UMEÅ</t>
        </is>
      </c>
      <c r="G806" t="n">
        <v>6.3</v>
      </c>
      <c r="H806" t="n">
        <v>0</v>
      </c>
      <c r="I806" t="n">
        <v>0</v>
      </c>
      <c r="J806" t="n">
        <v>0</v>
      </c>
      <c r="K806" t="n">
        <v>0</v>
      </c>
      <c r="L806" t="n">
        <v>0</v>
      </c>
      <c r="M806" t="n">
        <v>0</v>
      </c>
      <c r="N806" t="n">
        <v>0</v>
      </c>
      <c r="O806" t="n">
        <v>0</v>
      </c>
      <c r="P806" t="n">
        <v>0</v>
      </c>
      <c r="Q806" t="n">
        <v>0</v>
      </c>
      <c r="R806" s="2" t="inlineStr"/>
    </row>
    <row r="807" ht="15" customHeight="1">
      <c r="A807" t="inlineStr">
        <is>
          <t>A 10265-2025</t>
        </is>
      </c>
      <c r="B807" s="1" t="n">
        <v>45720.38559027778</v>
      </c>
      <c r="C807" s="1" t="n">
        <v>46087</v>
      </c>
      <c r="D807" t="inlineStr">
        <is>
          <t>VÄSTERBOTTENS LÄN</t>
        </is>
      </c>
      <c r="E807" t="inlineStr">
        <is>
          <t>UMEÅ</t>
        </is>
      </c>
      <c r="G807" t="n">
        <v>10.6</v>
      </c>
      <c r="H807" t="n">
        <v>0</v>
      </c>
      <c r="I807" t="n">
        <v>0</v>
      </c>
      <c r="J807" t="n">
        <v>0</v>
      </c>
      <c r="K807" t="n">
        <v>0</v>
      </c>
      <c r="L807" t="n">
        <v>0</v>
      </c>
      <c r="M807" t="n">
        <v>0</v>
      </c>
      <c r="N807" t="n">
        <v>0</v>
      </c>
      <c r="O807" t="n">
        <v>0</v>
      </c>
      <c r="P807" t="n">
        <v>0</v>
      </c>
      <c r="Q807" t="n">
        <v>0</v>
      </c>
      <c r="R807" s="2" t="inlineStr"/>
    </row>
    <row r="808" ht="15" customHeight="1">
      <c r="A808" t="inlineStr">
        <is>
          <t>A 15337-2025</t>
        </is>
      </c>
      <c r="B808" s="1" t="n">
        <v>45747.36483796296</v>
      </c>
      <c r="C808" s="1" t="n">
        <v>46087</v>
      </c>
      <c r="D808" t="inlineStr">
        <is>
          <t>VÄSTERBOTTENS LÄN</t>
        </is>
      </c>
      <c r="E808" t="inlineStr">
        <is>
          <t>UMEÅ</t>
        </is>
      </c>
      <c r="G808" t="n">
        <v>8.6</v>
      </c>
      <c r="H808" t="n">
        <v>0</v>
      </c>
      <c r="I808" t="n">
        <v>0</v>
      </c>
      <c r="J808" t="n">
        <v>0</v>
      </c>
      <c r="K808" t="n">
        <v>0</v>
      </c>
      <c r="L808" t="n">
        <v>0</v>
      </c>
      <c r="M808" t="n">
        <v>0</v>
      </c>
      <c r="N808" t="n">
        <v>0</v>
      </c>
      <c r="O808" t="n">
        <v>0</v>
      </c>
      <c r="P808" t="n">
        <v>0</v>
      </c>
      <c r="Q808" t="n">
        <v>0</v>
      </c>
      <c r="R808" s="2" t="inlineStr"/>
    </row>
    <row r="809" ht="15" customHeight="1">
      <c r="A809" t="inlineStr">
        <is>
          <t>A 57603-2021</t>
        </is>
      </c>
      <c r="B809" s="1" t="n">
        <v>44483</v>
      </c>
      <c r="C809" s="1" t="n">
        <v>46087</v>
      </c>
      <c r="D809" t="inlineStr">
        <is>
          <t>VÄSTERBOTTENS LÄN</t>
        </is>
      </c>
      <c r="E809" t="inlineStr">
        <is>
          <t>UMEÅ</t>
        </is>
      </c>
      <c r="G809" t="n">
        <v>2.8</v>
      </c>
      <c r="H809" t="n">
        <v>0</v>
      </c>
      <c r="I809" t="n">
        <v>0</v>
      </c>
      <c r="J809" t="n">
        <v>0</v>
      </c>
      <c r="K809" t="n">
        <v>0</v>
      </c>
      <c r="L809" t="n">
        <v>0</v>
      </c>
      <c r="M809" t="n">
        <v>0</v>
      </c>
      <c r="N809" t="n">
        <v>0</v>
      </c>
      <c r="O809" t="n">
        <v>0</v>
      </c>
      <c r="P809" t="n">
        <v>0</v>
      </c>
      <c r="Q809" t="n">
        <v>0</v>
      </c>
      <c r="R809" s="2" t="inlineStr"/>
    </row>
    <row r="810" ht="15" customHeight="1">
      <c r="A810" t="inlineStr">
        <is>
          <t>A 30553-2023</t>
        </is>
      </c>
      <c r="B810" s="1" t="n">
        <v>45111</v>
      </c>
      <c r="C810" s="1" t="n">
        <v>46087</v>
      </c>
      <c r="D810" t="inlineStr">
        <is>
          <t>VÄSTERBOTTENS LÄN</t>
        </is>
      </c>
      <c r="E810" t="inlineStr">
        <is>
          <t>UMEÅ</t>
        </is>
      </c>
      <c r="G810" t="n">
        <v>5.1</v>
      </c>
      <c r="H810" t="n">
        <v>0</v>
      </c>
      <c r="I810" t="n">
        <v>0</v>
      </c>
      <c r="J810" t="n">
        <v>0</v>
      </c>
      <c r="K810" t="n">
        <v>0</v>
      </c>
      <c r="L810" t="n">
        <v>0</v>
      </c>
      <c r="M810" t="n">
        <v>0</v>
      </c>
      <c r="N810" t="n">
        <v>0</v>
      </c>
      <c r="O810" t="n">
        <v>0</v>
      </c>
      <c r="P810" t="n">
        <v>0</v>
      </c>
      <c r="Q810" t="n">
        <v>0</v>
      </c>
      <c r="R810" s="2" t="inlineStr"/>
    </row>
    <row r="811" ht="15" customHeight="1">
      <c r="A811" t="inlineStr">
        <is>
          <t>A 20425-2025</t>
        </is>
      </c>
      <c r="B811" s="1" t="n">
        <v>45775</v>
      </c>
      <c r="C811" s="1" t="n">
        <v>46087</v>
      </c>
      <c r="D811" t="inlineStr">
        <is>
          <t>VÄSTERBOTTENS LÄN</t>
        </is>
      </c>
      <c r="E811" t="inlineStr">
        <is>
          <t>UMEÅ</t>
        </is>
      </c>
      <c r="G811" t="n">
        <v>1.8</v>
      </c>
      <c r="H811" t="n">
        <v>0</v>
      </c>
      <c r="I811" t="n">
        <v>0</v>
      </c>
      <c r="J811" t="n">
        <v>0</v>
      </c>
      <c r="K811" t="n">
        <v>0</v>
      </c>
      <c r="L811" t="n">
        <v>0</v>
      </c>
      <c r="M811" t="n">
        <v>0</v>
      </c>
      <c r="N811" t="n">
        <v>0</v>
      </c>
      <c r="O811" t="n">
        <v>0</v>
      </c>
      <c r="P811" t="n">
        <v>0</v>
      </c>
      <c r="Q811" t="n">
        <v>0</v>
      </c>
      <c r="R811" s="2" t="inlineStr"/>
    </row>
    <row r="812" ht="15" customHeight="1">
      <c r="A812" t="inlineStr">
        <is>
          <t>A 9272-2025</t>
        </is>
      </c>
      <c r="B812" s="1" t="n">
        <v>45714</v>
      </c>
      <c r="C812" s="1" t="n">
        <v>46087</v>
      </c>
      <c r="D812" t="inlineStr">
        <is>
          <t>VÄSTERBOTTENS LÄN</t>
        </is>
      </c>
      <c r="E812" t="inlineStr">
        <is>
          <t>UMEÅ</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18026-2025</t>
        </is>
      </c>
      <c r="B813" s="1" t="n">
        <v>45761</v>
      </c>
      <c r="C813" s="1" t="n">
        <v>46087</v>
      </c>
      <c r="D813" t="inlineStr">
        <is>
          <t>VÄSTERBOTTENS LÄN</t>
        </is>
      </c>
      <c r="E813" t="inlineStr">
        <is>
          <t>UMEÅ</t>
        </is>
      </c>
      <c r="G813" t="n">
        <v>6.3</v>
      </c>
      <c r="H813" t="n">
        <v>0</v>
      </c>
      <c r="I813" t="n">
        <v>0</v>
      </c>
      <c r="J813" t="n">
        <v>0</v>
      </c>
      <c r="K813" t="n">
        <v>0</v>
      </c>
      <c r="L813" t="n">
        <v>0</v>
      </c>
      <c r="M813" t="n">
        <v>0</v>
      </c>
      <c r="N813" t="n">
        <v>0</v>
      </c>
      <c r="O813" t="n">
        <v>0</v>
      </c>
      <c r="P813" t="n">
        <v>0</v>
      </c>
      <c r="Q813" t="n">
        <v>0</v>
      </c>
      <c r="R813" s="2" t="inlineStr"/>
    </row>
    <row r="814" ht="15" customHeight="1">
      <c r="A814" t="inlineStr">
        <is>
          <t>A 10750-2026</t>
        </is>
      </c>
      <c r="B814" s="1" t="n">
        <v>46078.53337962963</v>
      </c>
      <c r="C814" s="1" t="n">
        <v>46087</v>
      </c>
      <c r="D814" t="inlineStr">
        <is>
          <t>VÄSTERBOTTENS LÄN</t>
        </is>
      </c>
      <c r="E814" t="inlineStr">
        <is>
          <t>UMEÅ</t>
        </is>
      </c>
      <c r="G814" t="n">
        <v>8.9</v>
      </c>
      <c r="H814" t="n">
        <v>0</v>
      </c>
      <c r="I814" t="n">
        <v>0</v>
      </c>
      <c r="J814" t="n">
        <v>0</v>
      </c>
      <c r="K814" t="n">
        <v>0</v>
      </c>
      <c r="L814" t="n">
        <v>0</v>
      </c>
      <c r="M814" t="n">
        <v>0</v>
      </c>
      <c r="N814" t="n">
        <v>0</v>
      </c>
      <c r="O814" t="n">
        <v>0</v>
      </c>
      <c r="P814" t="n">
        <v>0</v>
      </c>
      <c r="Q814" t="n">
        <v>0</v>
      </c>
      <c r="R814" s="2" t="inlineStr"/>
    </row>
    <row r="815" ht="15" customHeight="1">
      <c r="A815" t="inlineStr">
        <is>
          <t>A 21917-2023</t>
        </is>
      </c>
      <c r="B815" s="1" t="n">
        <v>45065</v>
      </c>
      <c r="C815" s="1" t="n">
        <v>46087</v>
      </c>
      <c r="D815" t="inlineStr">
        <is>
          <t>VÄSTERBOTTENS LÄN</t>
        </is>
      </c>
      <c r="E815" t="inlineStr">
        <is>
          <t>UMEÅ</t>
        </is>
      </c>
      <c r="G815" t="n">
        <v>2.9</v>
      </c>
      <c r="H815" t="n">
        <v>0</v>
      </c>
      <c r="I815" t="n">
        <v>0</v>
      </c>
      <c r="J815" t="n">
        <v>0</v>
      </c>
      <c r="K815" t="n">
        <v>0</v>
      </c>
      <c r="L815" t="n">
        <v>0</v>
      </c>
      <c r="M815" t="n">
        <v>0</v>
      </c>
      <c r="N815" t="n">
        <v>0</v>
      </c>
      <c r="O815" t="n">
        <v>0</v>
      </c>
      <c r="P815" t="n">
        <v>0</v>
      </c>
      <c r="Q815" t="n">
        <v>0</v>
      </c>
      <c r="R815" s="2" t="inlineStr"/>
    </row>
    <row r="816" ht="15" customHeight="1">
      <c r="A816" t="inlineStr">
        <is>
          <t>A 44042-2024</t>
        </is>
      </c>
      <c r="B816" s="1" t="n">
        <v>45572</v>
      </c>
      <c r="C816" s="1" t="n">
        <v>46087</v>
      </c>
      <c r="D816" t="inlineStr">
        <is>
          <t>VÄSTERBOTTENS LÄN</t>
        </is>
      </c>
      <c r="E816" t="inlineStr">
        <is>
          <t>UMEÅ</t>
        </is>
      </c>
      <c r="G816" t="n">
        <v>1.4</v>
      </c>
      <c r="H816" t="n">
        <v>0</v>
      </c>
      <c r="I816" t="n">
        <v>0</v>
      </c>
      <c r="J816" t="n">
        <v>0</v>
      </c>
      <c r="K816" t="n">
        <v>0</v>
      </c>
      <c r="L816" t="n">
        <v>0</v>
      </c>
      <c r="M816" t="n">
        <v>0</v>
      </c>
      <c r="N816" t="n">
        <v>0</v>
      </c>
      <c r="O816" t="n">
        <v>0</v>
      </c>
      <c r="P816" t="n">
        <v>0</v>
      </c>
      <c r="Q816" t="n">
        <v>0</v>
      </c>
      <c r="R816" s="2" t="inlineStr"/>
    </row>
    <row r="817" ht="15" customHeight="1">
      <c r="A817" t="inlineStr">
        <is>
          <t>A 49192-2023</t>
        </is>
      </c>
      <c r="B817" s="1" t="n">
        <v>45210.57967592592</v>
      </c>
      <c r="C817" s="1" t="n">
        <v>46087</v>
      </c>
      <c r="D817" t="inlineStr">
        <is>
          <t>VÄSTERBOTTENS LÄN</t>
        </is>
      </c>
      <c r="E817" t="inlineStr">
        <is>
          <t>UMEÅ</t>
        </is>
      </c>
      <c r="F817" t="inlineStr">
        <is>
          <t>Holmen skog AB</t>
        </is>
      </c>
      <c r="G817" t="n">
        <v>5.2</v>
      </c>
      <c r="H817" t="n">
        <v>0</v>
      </c>
      <c r="I817" t="n">
        <v>0</v>
      </c>
      <c r="J817" t="n">
        <v>0</v>
      </c>
      <c r="K817" t="n">
        <v>0</v>
      </c>
      <c r="L817" t="n">
        <v>0</v>
      </c>
      <c r="M817" t="n">
        <v>0</v>
      </c>
      <c r="N817" t="n">
        <v>0</v>
      </c>
      <c r="O817" t="n">
        <v>0</v>
      </c>
      <c r="P817" t="n">
        <v>0</v>
      </c>
      <c r="Q817" t="n">
        <v>0</v>
      </c>
      <c r="R817" s="2" t="inlineStr"/>
    </row>
    <row r="818" ht="15" customHeight="1">
      <c r="A818" t="inlineStr">
        <is>
          <t>A 31037-2025</t>
        </is>
      </c>
      <c r="B818" s="1" t="n">
        <v>45832.54769675926</v>
      </c>
      <c r="C818" s="1" t="n">
        <v>46087</v>
      </c>
      <c r="D818" t="inlineStr">
        <is>
          <t>VÄSTERBOTTENS LÄN</t>
        </is>
      </c>
      <c r="E818" t="inlineStr">
        <is>
          <t>UMEÅ</t>
        </is>
      </c>
      <c r="G818" t="n">
        <v>5</v>
      </c>
      <c r="H818" t="n">
        <v>0</v>
      </c>
      <c r="I818" t="n">
        <v>0</v>
      </c>
      <c r="J818" t="n">
        <v>0</v>
      </c>
      <c r="K818" t="n">
        <v>0</v>
      </c>
      <c r="L818" t="n">
        <v>0</v>
      </c>
      <c r="M818" t="n">
        <v>0</v>
      </c>
      <c r="N818" t="n">
        <v>0</v>
      </c>
      <c r="O818" t="n">
        <v>0</v>
      </c>
      <c r="P818" t="n">
        <v>0</v>
      </c>
      <c r="Q818" t="n">
        <v>0</v>
      </c>
      <c r="R818" s="2" t="inlineStr"/>
    </row>
    <row r="819" ht="15" customHeight="1">
      <c r="A819" t="inlineStr">
        <is>
          <t>A 31154-2025</t>
        </is>
      </c>
      <c r="B819" s="1" t="n">
        <v>45832.64778935185</v>
      </c>
      <c r="C819" s="1" t="n">
        <v>46087</v>
      </c>
      <c r="D819" t="inlineStr">
        <is>
          <t>VÄSTERBOTTENS LÄN</t>
        </is>
      </c>
      <c r="E819" t="inlineStr">
        <is>
          <t>UMEÅ</t>
        </is>
      </c>
      <c r="F819" t="inlineStr">
        <is>
          <t>Holmen skog AB</t>
        </is>
      </c>
      <c r="G819" t="n">
        <v>28.5</v>
      </c>
      <c r="H819" t="n">
        <v>0</v>
      </c>
      <c r="I819" t="n">
        <v>0</v>
      </c>
      <c r="J819" t="n">
        <v>0</v>
      </c>
      <c r="K819" t="n">
        <v>0</v>
      </c>
      <c r="L819" t="n">
        <v>0</v>
      </c>
      <c r="M819" t="n">
        <v>0</v>
      </c>
      <c r="N819" t="n">
        <v>0</v>
      </c>
      <c r="O819" t="n">
        <v>0</v>
      </c>
      <c r="P819" t="n">
        <v>0</v>
      </c>
      <c r="Q819" t="n">
        <v>0</v>
      </c>
      <c r="R819" s="2" t="inlineStr"/>
    </row>
    <row r="820" ht="15" customHeight="1">
      <c r="A820" t="inlineStr">
        <is>
          <t>A 30645-2025</t>
        </is>
      </c>
      <c r="B820" s="1" t="n">
        <v>45831.48987268518</v>
      </c>
      <c r="C820" s="1" t="n">
        <v>46087</v>
      </c>
      <c r="D820" t="inlineStr">
        <is>
          <t>VÄSTERBOTTENS LÄN</t>
        </is>
      </c>
      <c r="E820" t="inlineStr">
        <is>
          <t>UMEÅ</t>
        </is>
      </c>
      <c r="G820" t="n">
        <v>1.5</v>
      </c>
      <c r="H820" t="n">
        <v>0</v>
      </c>
      <c r="I820" t="n">
        <v>0</v>
      </c>
      <c r="J820" t="n">
        <v>0</v>
      </c>
      <c r="K820" t="n">
        <v>0</v>
      </c>
      <c r="L820" t="n">
        <v>0</v>
      </c>
      <c r="M820" t="n">
        <v>0</v>
      </c>
      <c r="N820" t="n">
        <v>0</v>
      </c>
      <c r="O820" t="n">
        <v>0</v>
      </c>
      <c r="P820" t="n">
        <v>0</v>
      </c>
      <c r="Q820" t="n">
        <v>0</v>
      </c>
      <c r="R820" s="2" t="inlineStr"/>
    </row>
    <row r="821" ht="15" customHeight="1">
      <c r="A821" t="inlineStr">
        <is>
          <t>A 30960-2025</t>
        </is>
      </c>
      <c r="B821" s="1" t="n">
        <v>45832.44204861111</v>
      </c>
      <c r="C821" s="1" t="n">
        <v>46087</v>
      </c>
      <c r="D821" t="inlineStr">
        <is>
          <t>VÄSTERBOTTENS LÄN</t>
        </is>
      </c>
      <c r="E821" t="inlineStr">
        <is>
          <t>UMEÅ</t>
        </is>
      </c>
      <c r="G821" t="n">
        <v>4</v>
      </c>
      <c r="H821" t="n">
        <v>0</v>
      </c>
      <c r="I821" t="n">
        <v>0</v>
      </c>
      <c r="J821" t="n">
        <v>0</v>
      </c>
      <c r="K821" t="n">
        <v>0</v>
      </c>
      <c r="L821" t="n">
        <v>0</v>
      </c>
      <c r="M821" t="n">
        <v>0</v>
      </c>
      <c r="N821" t="n">
        <v>0</v>
      </c>
      <c r="O821" t="n">
        <v>0</v>
      </c>
      <c r="P821" t="n">
        <v>0</v>
      </c>
      <c r="Q821" t="n">
        <v>0</v>
      </c>
      <c r="R821" s="2" t="inlineStr"/>
    </row>
    <row r="822" ht="15" customHeight="1">
      <c r="A822" t="inlineStr">
        <is>
          <t>A 6120-2025</t>
        </is>
      </c>
      <c r="B822" s="1" t="n">
        <v>45698.34443287037</v>
      </c>
      <c r="C822" s="1" t="n">
        <v>46087</v>
      </c>
      <c r="D822" t="inlineStr">
        <is>
          <t>VÄSTERBOTTENS LÄN</t>
        </is>
      </c>
      <c r="E822" t="inlineStr">
        <is>
          <t>UMEÅ</t>
        </is>
      </c>
      <c r="G822" t="n">
        <v>5.8</v>
      </c>
      <c r="H822" t="n">
        <v>0</v>
      </c>
      <c r="I822" t="n">
        <v>0</v>
      </c>
      <c r="J822" t="n">
        <v>0</v>
      </c>
      <c r="K822" t="n">
        <v>0</v>
      </c>
      <c r="L822" t="n">
        <v>0</v>
      </c>
      <c r="M822" t="n">
        <v>0</v>
      </c>
      <c r="N822" t="n">
        <v>0</v>
      </c>
      <c r="O822" t="n">
        <v>0</v>
      </c>
      <c r="P822" t="n">
        <v>0</v>
      </c>
      <c r="Q822" t="n">
        <v>0</v>
      </c>
      <c r="R822" s="2" t="inlineStr"/>
    </row>
    <row r="823" ht="15" customHeight="1">
      <c r="A823" t="inlineStr">
        <is>
          <t>A 60811-2022</t>
        </is>
      </c>
      <c r="B823" s="1" t="n">
        <v>44914.46180555555</v>
      </c>
      <c r="C823" s="1" t="n">
        <v>46087</v>
      </c>
      <c r="D823" t="inlineStr">
        <is>
          <t>VÄSTERBOTTENS LÄN</t>
        </is>
      </c>
      <c r="E823" t="inlineStr">
        <is>
          <t>UMEÅ</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2857-2026</t>
        </is>
      </c>
      <c r="B824" s="1" t="n">
        <v>46038</v>
      </c>
      <c r="C824" s="1" t="n">
        <v>46087</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2549-2026</t>
        </is>
      </c>
      <c r="B825" s="1" t="n">
        <v>46037.46994212963</v>
      </c>
      <c r="C825" s="1" t="n">
        <v>46087</v>
      </c>
      <c r="D825" t="inlineStr">
        <is>
          <t>VÄSTERBOTTENS LÄN</t>
        </is>
      </c>
      <c r="E825" t="inlineStr">
        <is>
          <t>UMEÅ</t>
        </is>
      </c>
      <c r="G825" t="n">
        <v>5.3</v>
      </c>
      <c r="H825" t="n">
        <v>0</v>
      </c>
      <c r="I825" t="n">
        <v>0</v>
      </c>
      <c r="J825" t="n">
        <v>0</v>
      </c>
      <c r="K825" t="n">
        <v>0</v>
      </c>
      <c r="L825" t="n">
        <v>0</v>
      </c>
      <c r="M825" t="n">
        <v>0</v>
      </c>
      <c r="N825" t="n">
        <v>0</v>
      </c>
      <c r="O825" t="n">
        <v>0</v>
      </c>
      <c r="P825" t="n">
        <v>0</v>
      </c>
      <c r="Q825" t="n">
        <v>0</v>
      </c>
      <c r="R825" s="2" t="inlineStr"/>
    </row>
    <row r="826" ht="15" customHeight="1">
      <c r="A826" t="inlineStr">
        <is>
          <t>A 16907-2025</t>
        </is>
      </c>
      <c r="B826" s="1" t="n">
        <v>45755.35048611111</v>
      </c>
      <c r="C826" s="1" t="n">
        <v>46087</v>
      </c>
      <c r="D826" t="inlineStr">
        <is>
          <t>VÄSTERBOTTENS LÄN</t>
        </is>
      </c>
      <c r="E826" t="inlineStr">
        <is>
          <t>UMEÅ</t>
        </is>
      </c>
      <c r="G826" t="n">
        <v>6.4</v>
      </c>
      <c r="H826" t="n">
        <v>0</v>
      </c>
      <c r="I826" t="n">
        <v>0</v>
      </c>
      <c r="J826" t="n">
        <v>0</v>
      </c>
      <c r="K826" t="n">
        <v>0</v>
      </c>
      <c r="L826" t="n">
        <v>0</v>
      </c>
      <c r="M826" t="n">
        <v>0</v>
      </c>
      <c r="N826" t="n">
        <v>0</v>
      </c>
      <c r="O826" t="n">
        <v>0</v>
      </c>
      <c r="P826" t="n">
        <v>0</v>
      </c>
      <c r="Q826" t="n">
        <v>0</v>
      </c>
      <c r="R826" s="2" t="inlineStr"/>
    </row>
    <row r="827" ht="15" customHeight="1">
      <c r="A827" t="inlineStr">
        <is>
          <t>A 16945-2025</t>
        </is>
      </c>
      <c r="B827" s="1" t="n">
        <v>45755.42978009259</v>
      </c>
      <c r="C827" s="1" t="n">
        <v>46087</v>
      </c>
      <c r="D827" t="inlineStr">
        <is>
          <t>VÄSTERBOTTENS LÄN</t>
        </is>
      </c>
      <c r="E827" t="inlineStr">
        <is>
          <t>UMEÅ</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26351-2024</t>
        </is>
      </c>
      <c r="B828" s="1" t="n">
        <v>45469.36478009259</v>
      </c>
      <c r="C828" s="1" t="n">
        <v>46087</v>
      </c>
      <c r="D828" t="inlineStr">
        <is>
          <t>VÄSTERBOTTENS LÄN</t>
        </is>
      </c>
      <c r="E828" t="inlineStr">
        <is>
          <t>UMEÅ</t>
        </is>
      </c>
      <c r="G828" t="n">
        <v>3.8</v>
      </c>
      <c r="H828" t="n">
        <v>0</v>
      </c>
      <c r="I828" t="n">
        <v>0</v>
      </c>
      <c r="J828" t="n">
        <v>0</v>
      </c>
      <c r="K828" t="n">
        <v>0</v>
      </c>
      <c r="L828" t="n">
        <v>0</v>
      </c>
      <c r="M828" t="n">
        <v>0</v>
      </c>
      <c r="N828" t="n">
        <v>0</v>
      </c>
      <c r="O828" t="n">
        <v>0</v>
      </c>
      <c r="P828" t="n">
        <v>0</v>
      </c>
      <c r="Q828" t="n">
        <v>0</v>
      </c>
      <c r="R828" s="2" t="inlineStr"/>
    </row>
    <row r="829" ht="15" customHeight="1">
      <c r="A829" t="inlineStr">
        <is>
          <t>A 29827-2023</t>
        </is>
      </c>
      <c r="B829" s="1" t="n">
        <v>45107</v>
      </c>
      <c r="C829" s="1" t="n">
        <v>46087</v>
      </c>
      <c r="D829" t="inlineStr">
        <is>
          <t>VÄSTERBOTTENS LÄN</t>
        </is>
      </c>
      <c r="E829" t="inlineStr">
        <is>
          <t>UMEÅ</t>
        </is>
      </c>
      <c r="G829" t="n">
        <v>11.9</v>
      </c>
      <c r="H829" t="n">
        <v>0</v>
      </c>
      <c r="I829" t="n">
        <v>0</v>
      </c>
      <c r="J829" t="n">
        <v>0</v>
      </c>
      <c r="K829" t="n">
        <v>0</v>
      </c>
      <c r="L829" t="n">
        <v>0</v>
      </c>
      <c r="M829" t="n">
        <v>0</v>
      </c>
      <c r="N829" t="n">
        <v>0</v>
      </c>
      <c r="O829" t="n">
        <v>0</v>
      </c>
      <c r="P829" t="n">
        <v>0</v>
      </c>
      <c r="Q829" t="n">
        <v>0</v>
      </c>
      <c r="R829" s="2" t="inlineStr"/>
    </row>
    <row r="830" ht="15" customHeight="1">
      <c r="A830" t="inlineStr">
        <is>
          <t>A 31599-2025</t>
        </is>
      </c>
      <c r="B830" s="1" t="n">
        <v>45833.72009259259</v>
      </c>
      <c r="C830" s="1" t="n">
        <v>46087</v>
      </c>
      <c r="D830" t="inlineStr">
        <is>
          <t>VÄSTERBOTTENS LÄN</t>
        </is>
      </c>
      <c r="E830" t="inlineStr">
        <is>
          <t>UMEÅ</t>
        </is>
      </c>
      <c r="G830" t="n">
        <v>0.9</v>
      </c>
      <c r="H830" t="n">
        <v>0</v>
      </c>
      <c r="I830" t="n">
        <v>0</v>
      </c>
      <c r="J830" t="n">
        <v>0</v>
      </c>
      <c r="K830" t="n">
        <v>0</v>
      </c>
      <c r="L830" t="n">
        <v>0</v>
      </c>
      <c r="M830" t="n">
        <v>0</v>
      </c>
      <c r="N830" t="n">
        <v>0</v>
      </c>
      <c r="O830" t="n">
        <v>0</v>
      </c>
      <c r="P830" t="n">
        <v>0</v>
      </c>
      <c r="Q830" t="n">
        <v>0</v>
      </c>
      <c r="R830" s="2" t="inlineStr"/>
    </row>
    <row r="831" ht="15" customHeight="1">
      <c r="A831" t="inlineStr">
        <is>
          <t>A 2603-2026</t>
        </is>
      </c>
      <c r="B831" s="1" t="n">
        <v>46037</v>
      </c>
      <c r="C831" s="1" t="n">
        <v>46087</v>
      </c>
      <c r="D831" t="inlineStr">
        <is>
          <t>VÄSTERBOTTENS LÄN</t>
        </is>
      </c>
      <c r="E831" t="inlineStr">
        <is>
          <t>UMEÅ</t>
        </is>
      </c>
      <c r="G831" t="n">
        <v>2.2</v>
      </c>
      <c r="H831" t="n">
        <v>0</v>
      </c>
      <c r="I831" t="n">
        <v>0</v>
      </c>
      <c r="J831" t="n">
        <v>0</v>
      </c>
      <c r="K831" t="n">
        <v>0</v>
      </c>
      <c r="L831" t="n">
        <v>0</v>
      </c>
      <c r="M831" t="n">
        <v>0</v>
      </c>
      <c r="N831" t="n">
        <v>0</v>
      </c>
      <c r="O831" t="n">
        <v>0</v>
      </c>
      <c r="P831" t="n">
        <v>0</v>
      </c>
      <c r="Q831" t="n">
        <v>0</v>
      </c>
      <c r="R831" s="2" t="inlineStr"/>
    </row>
    <row r="832" ht="15" customHeight="1">
      <c r="A832" t="inlineStr">
        <is>
          <t>A 24532-2023</t>
        </is>
      </c>
      <c r="B832" s="1" t="n">
        <v>45082.75269675926</v>
      </c>
      <c r="C832" s="1" t="n">
        <v>46087</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59860-2022</t>
        </is>
      </c>
      <c r="B833" s="1" t="n">
        <v>44908.65792824074</v>
      </c>
      <c r="C833" s="1" t="n">
        <v>46087</v>
      </c>
      <c r="D833" t="inlineStr">
        <is>
          <t>VÄSTERBOTTENS LÄN</t>
        </is>
      </c>
      <c r="E833" t="inlineStr">
        <is>
          <t>UMEÅ</t>
        </is>
      </c>
      <c r="G833" t="n">
        <v>8.1</v>
      </c>
      <c r="H833" t="n">
        <v>0</v>
      </c>
      <c r="I833" t="n">
        <v>0</v>
      </c>
      <c r="J833" t="n">
        <v>0</v>
      </c>
      <c r="K833" t="n">
        <v>0</v>
      </c>
      <c r="L833" t="n">
        <v>0</v>
      </c>
      <c r="M833" t="n">
        <v>0</v>
      </c>
      <c r="N833" t="n">
        <v>0</v>
      </c>
      <c r="O833" t="n">
        <v>0</v>
      </c>
      <c r="P833" t="n">
        <v>0</v>
      </c>
      <c r="Q833" t="n">
        <v>0</v>
      </c>
      <c r="R833" s="2" t="inlineStr"/>
    </row>
    <row r="834" ht="15" customHeight="1">
      <c r="A834" t="inlineStr">
        <is>
          <t>A 3371-2026</t>
        </is>
      </c>
      <c r="B834" s="1" t="n">
        <v>46042.34534722222</v>
      </c>
      <c r="C834" s="1" t="n">
        <v>46087</v>
      </c>
      <c r="D834" t="inlineStr">
        <is>
          <t>VÄSTERBOTTENS LÄN</t>
        </is>
      </c>
      <c r="E834" t="inlineStr">
        <is>
          <t>UMEÅ</t>
        </is>
      </c>
      <c r="F834" t="inlineStr">
        <is>
          <t>Holmen skog AB</t>
        </is>
      </c>
      <c r="G834" t="n">
        <v>3.9</v>
      </c>
      <c r="H834" t="n">
        <v>0</v>
      </c>
      <c r="I834" t="n">
        <v>0</v>
      </c>
      <c r="J834" t="n">
        <v>0</v>
      </c>
      <c r="K834" t="n">
        <v>0</v>
      </c>
      <c r="L834" t="n">
        <v>0</v>
      </c>
      <c r="M834" t="n">
        <v>0</v>
      </c>
      <c r="N834" t="n">
        <v>0</v>
      </c>
      <c r="O834" t="n">
        <v>0</v>
      </c>
      <c r="P834" t="n">
        <v>0</v>
      </c>
      <c r="Q834" t="n">
        <v>0</v>
      </c>
      <c r="R834" s="2" t="inlineStr"/>
    </row>
    <row r="835" ht="15" customHeight="1">
      <c r="A835" t="inlineStr">
        <is>
          <t>A 20795-2023</t>
        </is>
      </c>
      <c r="B835" s="1" t="n">
        <v>45055</v>
      </c>
      <c r="C835" s="1" t="n">
        <v>46087</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3150-2026</t>
        </is>
      </c>
      <c r="B836" s="1" t="n">
        <v>46041.42417824074</v>
      </c>
      <c r="C836" s="1" t="n">
        <v>46087</v>
      </c>
      <c r="D836" t="inlineStr">
        <is>
          <t>VÄSTERBOTTENS LÄN</t>
        </is>
      </c>
      <c r="E836" t="inlineStr">
        <is>
          <t>UMEÅ</t>
        </is>
      </c>
      <c r="G836" t="n">
        <v>0.6</v>
      </c>
      <c r="H836" t="n">
        <v>0</v>
      </c>
      <c r="I836" t="n">
        <v>0</v>
      </c>
      <c r="J836" t="n">
        <v>0</v>
      </c>
      <c r="K836" t="n">
        <v>0</v>
      </c>
      <c r="L836" t="n">
        <v>0</v>
      </c>
      <c r="M836" t="n">
        <v>0</v>
      </c>
      <c r="N836" t="n">
        <v>0</v>
      </c>
      <c r="O836" t="n">
        <v>0</v>
      </c>
      <c r="P836" t="n">
        <v>0</v>
      </c>
      <c r="Q836" t="n">
        <v>0</v>
      </c>
      <c r="R836" s="2" t="inlineStr"/>
    </row>
    <row r="837" ht="15" customHeight="1">
      <c r="A837" t="inlineStr">
        <is>
          <t>A 3154-2026</t>
        </is>
      </c>
      <c r="B837" s="1" t="n">
        <v>46041.42799768518</v>
      </c>
      <c r="C837" s="1" t="n">
        <v>46087</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3234-2026</t>
        </is>
      </c>
      <c r="B838" s="1" t="n">
        <v>46041.56347222222</v>
      </c>
      <c r="C838" s="1" t="n">
        <v>46087</v>
      </c>
      <c r="D838" t="inlineStr">
        <is>
          <t>VÄSTERBOTTENS LÄN</t>
        </is>
      </c>
      <c r="E838" t="inlineStr">
        <is>
          <t>UMEÅ</t>
        </is>
      </c>
      <c r="G838" t="n">
        <v>8.1</v>
      </c>
      <c r="H838" t="n">
        <v>0</v>
      </c>
      <c r="I838" t="n">
        <v>0</v>
      </c>
      <c r="J838" t="n">
        <v>0</v>
      </c>
      <c r="K838" t="n">
        <v>0</v>
      </c>
      <c r="L838" t="n">
        <v>0</v>
      </c>
      <c r="M838" t="n">
        <v>0</v>
      </c>
      <c r="N838" t="n">
        <v>0</v>
      </c>
      <c r="O838" t="n">
        <v>0</v>
      </c>
      <c r="P838" t="n">
        <v>0</v>
      </c>
      <c r="Q838" t="n">
        <v>0</v>
      </c>
      <c r="R838" s="2" t="inlineStr"/>
    </row>
    <row r="839" ht="15" customHeight="1">
      <c r="A839" t="inlineStr">
        <is>
          <t>A 489-2024</t>
        </is>
      </c>
      <c r="B839" s="1" t="n">
        <v>45298</v>
      </c>
      <c r="C839" s="1" t="n">
        <v>46087</v>
      </c>
      <c r="D839" t="inlineStr">
        <is>
          <t>VÄSTERBOTTENS LÄN</t>
        </is>
      </c>
      <c r="E839" t="inlineStr">
        <is>
          <t>UMEÅ</t>
        </is>
      </c>
      <c r="G839" t="n">
        <v>8.1</v>
      </c>
      <c r="H839" t="n">
        <v>0</v>
      </c>
      <c r="I839" t="n">
        <v>0</v>
      </c>
      <c r="J839" t="n">
        <v>0</v>
      </c>
      <c r="K839" t="n">
        <v>0</v>
      </c>
      <c r="L839" t="n">
        <v>0</v>
      </c>
      <c r="M839" t="n">
        <v>0</v>
      </c>
      <c r="N839" t="n">
        <v>0</v>
      </c>
      <c r="O839" t="n">
        <v>0</v>
      </c>
      <c r="P839" t="n">
        <v>0</v>
      </c>
      <c r="Q839" t="n">
        <v>0</v>
      </c>
      <c r="R839" s="2" t="inlineStr"/>
    </row>
    <row r="840" ht="15" customHeight="1">
      <c r="A840" t="inlineStr">
        <is>
          <t>A 31859-2025</t>
        </is>
      </c>
      <c r="B840" s="1" t="n">
        <v>45834.6284375</v>
      </c>
      <c r="C840" s="1" t="n">
        <v>46087</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41267-2022</t>
        </is>
      </c>
      <c r="B841" s="1" t="n">
        <v>44825</v>
      </c>
      <c r="C841" s="1" t="n">
        <v>46087</v>
      </c>
      <c r="D841" t="inlineStr">
        <is>
          <t>VÄSTERBOTTENS LÄN</t>
        </is>
      </c>
      <c r="E841" t="inlineStr">
        <is>
          <t>UMEÅ</t>
        </is>
      </c>
      <c r="G841" t="n">
        <v>13</v>
      </c>
      <c r="H841" t="n">
        <v>0</v>
      </c>
      <c r="I841" t="n">
        <v>0</v>
      </c>
      <c r="J841" t="n">
        <v>0</v>
      </c>
      <c r="K841" t="n">
        <v>0</v>
      </c>
      <c r="L841" t="n">
        <v>0</v>
      </c>
      <c r="M841" t="n">
        <v>0</v>
      </c>
      <c r="N841" t="n">
        <v>0</v>
      </c>
      <c r="O841" t="n">
        <v>0</v>
      </c>
      <c r="P841" t="n">
        <v>0</v>
      </c>
      <c r="Q841" t="n">
        <v>0</v>
      </c>
      <c r="R841" s="2" t="inlineStr"/>
    </row>
    <row r="842" ht="15" customHeight="1">
      <c r="A842" t="inlineStr">
        <is>
          <t>A 31241-2025</t>
        </is>
      </c>
      <c r="B842" s="1" t="n">
        <v>45832.86366898148</v>
      </c>
      <c r="C842" s="1" t="n">
        <v>46087</v>
      </c>
      <c r="D842" t="inlineStr">
        <is>
          <t>VÄSTERBOTTENS LÄN</t>
        </is>
      </c>
      <c r="E842" t="inlineStr">
        <is>
          <t>UMEÅ</t>
        </is>
      </c>
      <c r="F842" t="inlineStr">
        <is>
          <t>Holmen skog AB</t>
        </is>
      </c>
      <c r="G842" t="n">
        <v>3.4</v>
      </c>
      <c r="H842" t="n">
        <v>0</v>
      </c>
      <c r="I842" t="n">
        <v>0</v>
      </c>
      <c r="J842" t="n">
        <v>0</v>
      </c>
      <c r="K842" t="n">
        <v>0</v>
      </c>
      <c r="L842" t="n">
        <v>0</v>
      </c>
      <c r="M842" t="n">
        <v>0</v>
      </c>
      <c r="N842" t="n">
        <v>0</v>
      </c>
      <c r="O842" t="n">
        <v>0</v>
      </c>
      <c r="P842" t="n">
        <v>0</v>
      </c>
      <c r="Q842" t="n">
        <v>0</v>
      </c>
      <c r="R842" s="2" t="inlineStr"/>
    </row>
    <row r="843" ht="15" customHeight="1">
      <c r="A843" t="inlineStr">
        <is>
          <t>A 44817-2021</t>
        </is>
      </c>
      <c r="B843" s="1" t="n">
        <v>44438</v>
      </c>
      <c r="C843" s="1" t="n">
        <v>46087</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11954-2024</t>
        </is>
      </c>
      <c r="B844" s="1" t="n">
        <v>45376</v>
      </c>
      <c r="C844" s="1" t="n">
        <v>46087</v>
      </c>
      <c r="D844" t="inlineStr">
        <is>
          <t>VÄSTERBOTTENS LÄN</t>
        </is>
      </c>
      <c r="E844" t="inlineStr">
        <is>
          <t>UMEÅ</t>
        </is>
      </c>
      <c r="G844" t="n">
        <v>4</v>
      </c>
      <c r="H844" t="n">
        <v>0</v>
      </c>
      <c r="I844" t="n">
        <v>0</v>
      </c>
      <c r="J844" t="n">
        <v>0</v>
      </c>
      <c r="K844" t="n">
        <v>0</v>
      </c>
      <c r="L844" t="n">
        <v>0</v>
      </c>
      <c r="M844" t="n">
        <v>0</v>
      </c>
      <c r="N844" t="n">
        <v>0</v>
      </c>
      <c r="O844" t="n">
        <v>0</v>
      </c>
      <c r="P844" t="n">
        <v>0</v>
      </c>
      <c r="Q844" t="n">
        <v>0</v>
      </c>
      <c r="R844" s="2" t="inlineStr"/>
    </row>
    <row r="845" ht="15" customHeight="1">
      <c r="A845" t="inlineStr">
        <is>
          <t>A 34411-2024</t>
        </is>
      </c>
      <c r="B845" s="1" t="n">
        <v>45525.48208333334</v>
      </c>
      <c r="C845" s="1" t="n">
        <v>46087</v>
      </c>
      <c r="D845" t="inlineStr">
        <is>
          <t>VÄSTERBOTTENS LÄN</t>
        </is>
      </c>
      <c r="E845" t="inlineStr">
        <is>
          <t>UMEÅ</t>
        </is>
      </c>
      <c r="F845" t="inlineStr">
        <is>
          <t>Holmen skog AB</t>
        </is>
      </c>
      <c r="G845" t="n">
        <v>2.9</v>
      </c>
      <c r="H845" t="n">
        <v>0</v>
      </c>
      <c r="I845" t="n">
        <v>0</v>
      </c>
      <c r="J845" t="n">
        <v>0</v>
      </c>
      <c r="K845" t="n">
        <v>0</v>
      </c>
      <c r="L845" t="n">
        <v>0</v>
      </c>
      <c r="M845" t="n">
        <v>0</v>
      </c>
      <c r="N845" t="n">
        <v>0</v>
      </c>
      <c r="O845" t="n">
        <v>0</v>
      </c>
      <c r="P845" t="n">
        <v>0</v>
      </c>
      <c r="Q845" t="n">
        <v>0</v>
      </c>
      <c r="R845" s="2" t="inlineStr"/>
    </row>
    <row r="846" ht="15" customHeight="1">
      <c r="A846" t="inlineStr">
        <is>
          <t>A 3215-2026</t>
        </is>
      </c>
      <c r="B846" s="1" t="n">
        <v>46041.50340277778</v>
      </c>
      <c r="C846" s="1" t="n">
        <v>46087</v>
      </c>
      <c r="D846" t="inlineStr">
        <is>
          <t>VÄSTERBOTTENS LÄN</t>
        </is>
      </c>
      <c r="E846" t="inlineStr">
        <is>
          <t>UMEÅ</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52126-2022</t>
        </is>
      </c>
      <c r="B847" s="1" t="n">
        <v>44873.43465277777</v>
      </c>
      <c r="C847" s="1" t="n">
        <v>46087</v>
      </c>
      <c r="D847" t="inlineStr">
        <is>
          <t>VÄSTERBOTTENS LÄN</t>
        </is>
      </c>
      <c r="E847" t="inlineStr">
        <is>
          <t>UMEÅ</t>
        </is>
      </c>
      <c r="G847" t="n">
        <v>3.3</v>
      </c>
      <c r="H847" t="n">
        <v>0</v>
      </c>
      <c r="I847" t="n">
        <v>0</v>
      </c>
      <c r="J847" t="n">
        <v>0</v>
      </c>
      <c r="K847" t="n">
        <v>0</v>
      </c>
      <c r="L847" t="n">
        <v>0</v>
      </c>
      <c r="M847" t="n">
        <v>0</v>
      </c>
      <c r="N847" t="n">
        <v>0</v>
      </c>
      <c r="O847" t="n">
        <v>0</v>
      </c>
      <c r="P847" t="n">
        <v>0</v>
      </c>
      <c r="Q847" t="n">
        <v>0</v>
      </c>
      <c r="R847" s="2" t="inlineStr"/>
    </row>
    <row r="848" ht="15" customHeight="1">
      <c r="A848" t="inlineStr">
        <is>
          <t>A 28628-2023</t>
        </is>
      </c>
      <c r="B848" s="1" t="n">
        <v>45103</v>
      </c>
      <c r="C848" s="1" t="n">
        <v>46087</v>
      </c>
      <c r="D848" t="inlineStr">
        <is>
          <t>VÄSTERBOTTENS LÄN</t>
        </is>
      </c>
      <c r="E848" t="inlineStr">
        <is>
          <t>UMEÅ</t>
        </is>
      </c>
      <c r="G848" t="n">
        <v>0.5</v>
      </c>
      <c r="H848" t="n">
        <v>0</v>
      </c>
      <c r="I848" t="n">
        <v>0</v>
      </c>
      <c r="J848" t="n">
        <v>0</v>
      </c>
      <c r="K848" t="n">
        <v>0</v>
      </c>
      <c r="L848" t="n">
        <v>0</v>
      </c>
      <c r="M848" t="n">
        <v>0</v>
      </c>
      <c r="N848" t="n">
        <v>0</v>
      </c>
      <c r="O848" t="n">
        <v>0</v>
      </c>
      <c r="P848" t="n">
        <v>0</v>
      </c>
      <c r="Q848" t="n">
        <v>0</v>
      </c>
      <c r="R848" s="2" t="inlineStr"/>
    </row>
    <row r="849" ht="15" customHeight="1">
      <c r="A849" t="inlineStr">
        <is>
          <t>A 25505-2023</t>
        </is>
      </c>
      <c r="B849" s="1" t="n">
        <v>45089.49538194444</v>
      </c>
      <c r="C849" s="1" t="n">
        <v>46087</v>
      </c>
      <c r="D849" t="inlineStr">
        <is>
          <t>VÄSTERBOTTENS LÄN</t>
        </is>
      </c>
      <c r="E849" t="inlineStr">
        <is>
          <t>UMEÅ</t>
        </is>
      </c>
      <c r="G849" t="n">
        <v>0.5</v>
      </c>
      <c r="H849" t="n">
        <v>0</v>
      </c>
      <c r="I849" t="n">
        <v>0</v>
      </c>
      <c r="J849" t="n">
        <v>0</v>
      </c>
      <c r="K849" t="n">
        <v>0</v>
      </c>
      <c r="L849" t="n">
        <v>0</v>
      </c>
      <c r="M849" t="n">
        <v>0</v>
      </c>
      <c r="N849" t="n">
        <v>0</v>
      </c>
      <c r="O849" t="n">
        <v>0</v>
      </c>
      <c r="P849" t="n">
        <v>0</v>
      </c>
      <c r="Q849" t="n">
        <v>0</v>
      </c>
      <c r="R849" s="2" t="inlineStr"/>
    </row>
    <row r="850" ht="15" customHeight="1">
      <c r="A850" t="inlineStr">
        <is>
          <t>A 29640-2023</t>
        </is>
      </c>
      <c r="B850" s="1" t="n">
        <v>45106</v>
      </c>
      <c r="C850" s="1" t="n">
        <v>46087</v>
      </c>
      <c r="D850" t="inlineStr">
        <is>
          <t>VÄSTERBOTTENS LÄN</t>
        </is>
      </c>
      <c r="E850" t="inlineStr">
        <is>
          <t>UMEÅ</t>
        </is>
      </c>
      <c r="G850" t="n">
        <v>0.8</v>
      </c>
      <c r="H850" t="n">
        <v>0</v>
      </c>
      <c r="I850" t="n">
        <v>0</v>
      </c>
      <c r="J850" t="n">
        <v>0</v>
      </c>
      <c r="K850" t="n">
        <v>0</v>
      </c>
      <c r="L850" t="n">
        <v>0</v>
      </c>
      <c r="M850" t="n">
        <v>0</v>
      </c>
      <c r="N850" t="n">
        <v>0</v>
      </c>
      <c r="O850" t="n">
        <v>0</v>
      </c>
      <c r="P850" t="n">
        <v>0</v>
      </c>
      <c r="Q850" t="n">
        <v>0</v>
      </c>
      <c r="R850" s="2" t="inlineStr"/>
    </row>
    <row r="851" ht="15" customHeight="1">
      <c r="A851" t="inlineStr">
        <is>
          <t>A 3964-2026</t>
        </is>
      </c>
      <c r="B851" s="1" t="n">
        <v>46044.34483796296</v>
      </c>
      <c r="C851" s="1" t="n">
        <v>46087</v>
      </c>
      <c r="D851" t="inlineStr">
        <is>
          <t>VÄSTERBOTTENS LÄN</t>
        </is>
      </c>
      <c r="E851" t="inlineStr">
        <is>
          <t>UMEÅ</t>
        </is>
      </c>
      <c r="G851" t="n">
        <v>2.6</v>
      </c>
      <c r="H851" t="n">
        <v>0</v>
      </c>
      <c r="I851" t="n">
        <v>0</v>
      </c>
      <c r="J851" t="n">
        <v>0</v>
      </c>
      <c r="K851" t="n">
        <v>0</v>
      </c>
      <c r="L851" t="n">
        <v>0</v>
      </c>
      <c r="M851" t="n">
        <v>0</v>
      </c>
      <c r="N851" t="n">
        <v>0</v>
      </c>
      <c r="O851" t="n">
        <v>0</v>
      </c>
      <c r="P851" t="n">
        <v>0</v>
      </c>
      <c r="Q851" t="n">
        <v>0</v>
      </c>
      <c r="R851" s="2" t="inlineStr"/>
    </row>
    <row r="852" ht="15" customHeight="1">
      <c r="A852" t="inlineStr">
        <is>
          <t>A 3966-2026</t>
        </is>
      </c>
      <c r="B852" s="1" t="n">
        <v>46044.34902777777</v>
      </c>
      <c r="C852" s="1" t="n">
        <v>46087</v>
      </c>
      <c r="D852" t="inlineStr">
        <is>
          <t>VÄSTERBOTTENS LÄN</t>
        </is>
      </c>
      <c r="E852" t="inlineStr">
        <is>
          <t>UMEÅ</t>
        </is>
      </c>
      <c r="G852" t="n">
        <v>1.4</v>
      </c>
      <c r="H852" t="n">
        <v>0</v>
      </c>
      <c r="I852" t="n">
        <v>0</v>
      </c>
      <c r="J852" t="n">
        <v>0</v>
      </c>
      <c r="K852" t="n">
        <v>0</v>
      </c>
      <c r="L852" t="n">
        <v>0</v>
      </c>
      <c r="M852" t="n">
        <v>0</v>
      </c>
      <c r="N852" t="n">
        <v>0</v>
      </c>
      <c r="O852" t="n">
        <v>0</v>
      </c>
      <c r="P852" t="n">
        <v>0</v>
      </c>
      <c r="Q852" t="n">
        <v>0</v>
      </c>
      <c r="R852" s="2" t="inlineStr"/>
    </row>
    <row r="853" ht="15" customHeight="1">
      <c r="A853" t="inlineStr">
        <is>
          <t>A 32522-2025</t>
        </is>
      </c>
      <c r="B853" s="1" t="n">
        <v>45838.48564814815</v>
      </c>
      <c r="C853" s="1" t="n">
        <v>46087</v>
      </c>
      <c r="D853" t="inlineStr">
        <is>
          <t>VÄSTERBOTTENS LÄN</t>
        </is>
      </c>
      <c r="E853" t="inlineStr">
        <is>
          <t>UMEÅ</t>
        </is>
      </c>
      <c r="G853" t="n">
        <v>3.6</v>
      </c>
      <c r="H853" t="n">
        <v>0</v>
      </c>
      <c r="I853" t="n">
        <v>0</v>
      </c>
      <c r="J853" t="n">
        <v>0</v>
      </c>
      <c r="K853" t="n">
        <v>0</v>
      </c>
      <c r="L853" t="n">
        <v>0</v>
      </c>
      <c r="M853" t="n">
        <v>0</v>
      </c>
      <c r="N853" t="n">
        <v>0</v>
      </c>
      <c r="O853" t="n">
        <v>0</v>
      </c>
      <c r="P853" t="n">
        <v>0</v>
      </c>
      <c r="Q853" t="n">
        <v>0</v>
      </c>
      <c r="R853" s="2" t="inlineStr"/>
    </row>
    <row r="854" ht="15" customHeight="1">
      <c r="A854" t="inlineStr">
        <is>
          <t>A 3972-2026</t>
        </is>
      </c>
      <c r="B854" s="1" t="n">
        <v>46044.3530787037</v>
      </c>
      <c r="C854" s="1" t="n">
        <v>46087</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41177-2024</t>
        </is>
      </c>
      <c r="B855" s="1" t="n">
        <v>45559.49118055555</v>
      </c>
      <c r="C855" s="1" t="n">
        <v>46087</v>
      </c>
      <c r="D855" t="inlineStr">
        <is>
          <t>VÄSTERBOTTENS LÄN</t>
        </is>
      </c>
      <c r="E855" t="inlineStr">
        <is>
          <t>UMEÅ</t>
        </is>
      </c>
      <c r="G855" t="n">
        <v>9.6</v>
      </c>
      <c r="H855" t="n">
        <v>0</v>
      </c>
      <c r="I855" t="n">
        <v>0</v>
      </c>
      <c r="J855" t="n">
        <v>0</v>
      </c>
      <c r="K855" t="n">
        <v>0</v>
      </c>
      <c r="L855" t="n">
        <v>0</v>
      </c>
      <c r="M855" t="n">
        <v>0</v>
      </c>
      <c r="N855" t="n">
        <v>0</v>
      </c>
      <c r="O855" t="n">
        <v>0</v>
      </c>
      <c r="P855" t="n">
        <v>0</v>
      </c>
      <c r="Q855" t="n">
        <v>0</v>
      </c>
      <c r="R855" s="2" t="inlineStr"/>
    </row>
    <row r="856" ht="15" customHeight="1">
      <c r="A856" t="inlineStr">
        <is>
          <t>A 4110-2026</t>
        </is>
      </c>
      <c r="B856" s="1" t="n">
        <v>46043</v>
      </c>
      <c r="C856" s="1" t="n">
        <v>46087</v>
      </c>
      <c r="D856" t="inlineStr">
        <is>
          <t>VÄSTERBOTTENS LÄN</t>
        </is>
      </c>
      <c r="E856" t="inlineStr">
        <is>
          <t>UMEÅ</t>
        </is>
      </c>
      <c r="G856" t="n">
        <v>7.6</v>
      </c>
      <c r="H856" t="n">
        <v>0</v>
      </c>
      <c r="I856" t="n">
        <v>0</v>
      </c>
      <c r="J856" t="n">
        <v>0</v>
      </c>
      <c r="K856" t="n">
        <v>0</v>
      </c>
      <c r="L856" t="n">
        <v>0</v>
      </c>
      <c r="M856" t="n">
        <v>0</v>
      </c>
      <c r="N856" t="n">
        <v>0</v>
      </c>
      <c r="O856" t="n">
        <v>0</v>
      </c>
      <c r="P856" t="n">
        <v>0</v>
      </c>
      <c r="Q856" t="n">
        <v>0</v>
      </c>
      <c r="R856" s="2" t="inlineStr"/>
    </row>
    <row r="857" ht="15" customHeight="1">
      <c r="A857" t="inlineStr">
        <is>
          <t>A 32125-2025</t>
        </is>
      </c>
      <c r="B857" s="1" t="n">
        <v>45835.49601851852</v>
      </c>
      <c r="C857" s="1" t="n">
        <v>46087</v>
      </c>
      <c r="D857" t="inlineStr">
        <is>
          <t>VÄSTERBOTTENS LÄN</t>
        </is>
      </c>
      <c r="E857" t="inlineStr">
        <is>
          <t>UMEÅ</t>
        </is>
      </c>
      <c r="F857" t="inlineStr">
        <is>
          <t>Holmen skog AB</t>
        </is>
      </c>
      <c r="G857" t="n">
        <v>4.4</v>
      </c>
      <c r="H857" t="n">
        <v>0</v>
      </c>
      <c r="I857" t="n">
        <v>0</v>
      </c>
      <c r="J857" t="n">
        <v>0</v>
      </c>
      <c r="K857" t="n">
        <v>0</v>
      </c>
      <c r="L857" t="n">
        <v>0</v>
      </c>
      <c r="M857" t="n">
        <v>0</v>
      </c>
      <c r="N857" t="n">
        <v>0</v>
      </c>
      <c r="O857" t="n">
        <v>0</v>
      </c>
      <c r="P857" t="n">
        <v>0</v>
      </c>
      <c r="Q857" t="n">
        <v>0</v>
      </c>
      <c r="R857" s="2" t="inlineStr"/>
    </row>
    <row r="858" ht="15" customHeight="1">
      <c r="A858" t="inlineStr">
        <is>
          <t>A 3969-2026</t>
        </is>
      </c>
      <c r="B858" s="1" t="n">
        <v>46044.35217592592</v>
      </c>
      <c r="C858" s="1" t="n">
        <v>46087</v>
      </c>
      <c r="D858" t="inlineStr">
        <is>
          <t>VÄSTERBOTTENS LÄN</t>
        </is>
      </c>
      <c r="E858" t="inlineStr">
        <is>
          <t>UMEÅ</t>
        </is>
      </c>
      <c r="G858" t="n">
        <v>2.8</v>
      </c>
      <c r="H858" t="n">
        <v>0</v>
      </c>
      <c r="I858" t="n">
        <v>0</v>
      </c>
      <c r="J858" t="n">
        <v>0</v>
      </c>
      <c r="K858" t="n">
        <v>0</v>
      </c>
      <c r="L858" t="n">
        <v>0</v>
      </c>
      <c r="M858" t="n">
        <v>0</v>
      </c>
      <c r="N858" t="n">
        <v>0</v>
      </c>
      <c r="O858" t="n">
        <v>0</v>
      </c>
      <c r="P858" t="n">
        <v>0</v>
      </c>
      <c r="Q858" t="n">
        <v>0</v>
      </c>
      <c r="R858" s="2" t="inlineStr"/>
    </row>
    <row r="859" ht="15" customHeight="1">
      <c r="A859" t="inlineStr">
        <is>
          <t>A 32628-2023</t>
        </is>
      </c>
      <c r="B859" s="1" t="n">
        <v>45112</v>
      </c>
      <c r="C859" s="1" t="n">
        <v>46087</v>
      </c>
      <c r="D859" t="inlineStr">
        <is>
          <t>VÄSTERBOTTENS LÄN</t>
        </is>
      </c>
      <c r="E859" t="inlineStr">
        <is>
          <t>UMEÅ</t>
        </is>
      </c>
      <c r="G859" t="n">
        <v>2.5</v>
      </c>
      <c r="H859" t="n">
        <v>0</v>
      </c>
      <c r="I859" t="n">
        <v>0</v>
      </c>
      <c r="J859" t="n">
        <v>0</v>
      </c>
      <c r="K859" t="n">
        <v>0</v>
      </c>
      <c r="L859" t="n">
        <v>0</v>
      </c>
      <c r="M859" t="n">
        <v>0</v>
      </c>
      <c r="N859" t="n">
        <v>0</v>
      </c>
      <c r="O859" t="n">
        <v>0</v>
      </c>
      <c r="P859" t="n">
        <v>0</v>
      </c>
      <c r="Q859" t="n">
        <v>0</v>
      </c>
      <c r="R859" s="2" t="inlineStr"/>
    </row>
    <row r="860" ht="15" customHeight="1">
      <c r="A860" t="inlineStr">
        <is>
          <t>A 7910-2024</t>
        </is>
      </c>
      <c r="B860" s="1" t="n">
        <v>45349</v>
      </c>
      <c r="C860" s="1" t="n">
        <v>46087</v>
      </c>
      <c r="D860" t="inlineStr">
        <is>
          <t>VÄSTERBOTTENS LÄN</t>
        </is>
      </c>
      <c r="E860" t="inlineStr">
        <is>
          <t>UMEÅ</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3957-2026</t>
        </is>
      </c>
      <c r="B861" s="1" t="n">
        <v>46044.33671296296</v>
      </c>
      <c r="C861" s="1" t="n">
        <v>46087</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3829-2026</t>
        </is>
      </c>
      <c r="B862" s="1" t="n">
        <v>46043.58797453704</v>
      </c>
      <c r="C862" s="1" t="n">
        <v>46087</v>
      </c>
      <c r="D862" t="inlineStr">
        <is>
          <t>VÄSTERBOTTENS LÄN</t>
        </is>
      </c>
      <c r="E862" t="inlineStr">
        <is>
          <t>UMEÅ</t>
        </is>
      </c>
      <c r="G862" t="n">
        <v>3.4</v>
      </c>
      <c r="H862" t="n">
        <v>0</v>
      </c>
      <c r="I862" t="n">
        <v>0</v>
      </c>
      <c r="J862" t="n">
        <v>0</v>
      </c>
      <c r="K862" t="n">
        <v>0</v>
      </c>
      <c r="L862" t="n">
        <v>0</v>
      </c>
      <c r="M862" t="n">
        <v>0</v>
      </c>
      <c r="N862" t="n">
        <v>0</v>
      </c>
      <c r="O862" t="n">
        <v>0</v>
      </c>
      <c r="P862" t="n">
        <v>0</v>
      </c>
      <c r="Q862" t="n">
        <v>0</v>
      </c>
      <c r="R862" s="2" t="inlineStr"/>
    </row>
    <row r="863" ht="15" customHeight="1">
      <c r="A863" t="inlineStr">
        <is>
          <t>A 3726-2026</t>
        </is>
      </c>
      <c r="B863" s="1" t="n">
        <v>46043.50471064815</v>
      </c>
      <c r="C863" s="1" t="n">
        <v>46087</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61225-2024</t>
        </is>
      </c>
      <c r="B864" s="1" t="n">
        <v>45645.66707175926</v>
      </c>
      <c r="C864" s="1" t="n">
        <v>46087</v>
      </c>
      <c r="D864" t="inlineStr">
        <is>
          <t>VÄSTERBOTTENS LÄN</t>
        </is>
      </c>
      <c r="E864" t="inlineStr">
        <is>
          <t>UMEÅ</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30258-2023</t>
        </is>
      </c>
      <c r="B865" s="1" t="n">
        <v>45110.70980324074</v>
      </c>
      <c r="C865" s="1" t="n">
        <v>46087</v>
      </c>
      <c r="D865" t="inlineStr">
        <is>
          <t>VÄSTERBOTTENS LÄN</t>
        </is>
      </c>
      <c r="E865" t="inlineStr">
        <is>
          <t>UMEÅ</t>
        </is>
      </c>
      <c r="F865" t="inlineStr">
        <is>
          <t>Holmen skog AB</t>
        </is>
      </c>
      <c r="G865" t="n">
        <v>3</v>
      </c>
      <c r="H865" t="n">
        <v>0</v>
      </c>
      <c r="I865" t="n">
        <v>0</v>
      </c>
      <c r="J865" t="n">
        <v>0</v>
      </c>
      <c r="K865" t="n">
        <v>0</v>
      </c>
      <c r="L865" t="n">
        <v>0</v>
      </c>
      <c r="M865" t="n">
        <v>0</v>
      </c>
      <c r="N865" t="n">
        <v>0</v>
      </c>
      <c r="O865" t="n">
        <v>0</v>
      </c>
      <c r="P865" t="n">
        <v>0</v>
      </c>
      <c r="Q865" t="n">
        <v>0</v>
      </c>
      <c r="R865" s="2" t="inlineStr"/>
    </row>
    <row r="866" ht="15" customHeight="1">
      <c r="A866" t="inlineStr">
        <is>
          <t>A 33198-2025</t>
        </is>
      </c>
      <c r="B866" s="1" t="n">
        <v>45840.6047800926</v>
      </c>
      <c r="C866" s="1" t="n">
        <v>46087</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33085-2025</t>
        </is>
      </c>
      <c r="B867" s="1" t="n">
        <v>45840.46704861111</v>
      </c>
      <c r="C867" s="1" t="n">
        <v>46087</v>
      </c>
      <c r="D867" t="inlineStr">
        <is>
          <t>VÄSTERBOTTENS LÄN</t>
        </is>
      </c>
      <c r="E867" t="inlineStr">
        <is>
          <t>UMEÅ</t>
        </is>
      </c>
      <c r="G867" t="n">
        <v>3.6</v>
      </c>
      <c r="H867" t="n">
        <v>0</v>
      </c>
      <c r="I867" t="n">
        <v>0</v>
      </c>
      <c r="J867" t="n">
        <v>0</v>
      </c>
      <c r="K867" t="n">
        <v>0</v>
      </c>
      <c r="L867" t="n">
        <v>0</v>
      </c>
      <c r="M867" t="n">
        <v>0</v>
      </c>
      <c r="N867" t="n">
        <v>0</v>
      </c>
      <c r="O867" t="n">
        <v>0</v>
      </c>
      <c r="P867" t="n">
        <v>0</v>
      </c>
      <c r="Q867" t="n">
        <v>0</v>
      </c>
      <c r="R867" s="2" t="inlineStr"/>
    </row>
    <row r="868" ht="15" customHeight="1">
      <c r="A868" t="inlineStr">
        <is>
          <t>A 33193-2025</t>
        </is>
      </c>
      <c r="B868" s="1" t="n">
        <v>45840.60122685185</v>
      </c>
      <c r="C868" s="1" t="n">
        <v>46087</v>
      </c>
      <c r="D868" t="inlineStr">
        <is>
          <t>VÄSTERBOTTENS LÄN</t>
        </is>
      </c>
      <c r="E868" t="inlineStr">
        <is>
          <t>UMEÅ</t>
        </is>
      </c>
      <c r="G868" t="n">
        <v>2.2</v>
      </c>
      <c r="H868" t="n">
        <v>0</v>
      </c>
      <c r="I868" t="n">
        <v>0</v>
      </c>
      <c r="J868" t="n">
        <v>0</v>
      </c>
      <c r="K868" t="n">
        <v>0</v>
      </c>
      <c r="L868" t="n">
        <v>0</v>
      </c>
      <c r="M868" t="n">
        <v>0</v>
      </c>
      <c r="N868" t="n">
        <v>0</v>
      </c>
      <c r="O868" t="n">
        <v>0</v>
      </c>
      <c r="P868" t="n">
        <v>0</v>
      </c>
      <c r="Q868" t="n">
        <v>0</v>
      </c>
      <c r="R868" s="2" t="inlineStr"/>
    </row>
    <row r="869" ht="15" customHeight="1">
      <c r="A869" t="inlineStr">
        <is>
          <t>A 33210-2025</t>
        </is>
      </c>
      <c r="B869" s="1" t="n">
        <v>45840.62734953704</v>
      </c>
      <c r="C869" s="1" t="n">
        <v>46087</v>
      </c>
      <c r="D869" t="inlineStr">
        <is>
          <t>VÄSTERBOTTENS LÄN</t>
        </is>
      </c>
      <c r="E869" t="inlineStr">
        <is>
          <t>UMEÅ</t>
        </is>
      </c>
      <c r="G869" t="n">
        <v>1</v>
      </c>
      <c r="H869" t="n">
        <v>0</v>
      </c>
      <c r="I869" t="n">
        <v>0</v>
      </c>
      <c r="J869" t="n">
        <v>0</v>
      </c>
      <c r="K869" t="n">
        <v>0</v>
      </c>
      <c r="L869" t="n">
        <v>0</v>
      </c>
      <c r="M869" t="n">
        <v>0</v>
      </c>
      <c r="N869" t="n">
        <v>0</v>
      </c>
      <c r="O869" t="n">
        <v>0</v>
      </c>
      <c r="P869" t="n">
        <v>0</v>
      </c>
      <c r="Q869" t="n">
        <v>0</v>
      </c>
      <c r="R869" s="2" t="inlineStr"/>
    </row>
    <row r="870" ht="15" customHeight="1">
      <c r="A870" t="inlineStr">
        <is>
          <t>A 32464-2023</t>
        </is>
      </c>
      <c r="B870" s="1" t="n">
        <v>45120.92650462963</v>
      </c>
      <c r="C870" s="1" t="n">
        <v>46087</v>
      </c>
      <c r="D870" t="inlineStr">
        <is>
          <t>VÄSTERBOTTENS LÄN</t>
        </is>
      </c>
      <c r="E870" t="inlineStr">
        <is>
          <t>UMEÅ</t>
        </is>
      </c>
      <c r="G870" t="n">
        <v>1.9</v>
      </c>
      <c r="H870" t="n">
        <v>0</v>
      </c>
      <c r="I870" t="n">
        <v>0</v>
      </c>
      <c r="J870" t="n">
        <v>0</v>
      </c>
      <c r="K870" t="n">
        <v>0</v>
      </c>
      <c r="L870" t="n">
        <v>0</v>
      </c>
      <c r="M870" t="n">
        <v>0</v>
      </c>
      <c r="N870" t="n">
        <v>0</v>
      </c>
      <c r="O870" t="n">
        <v>0</v>
      </c>
      <c r="P870" t="n">
        <v>0</v>
      </c>
      <c r="Q870" t="n">
        <v>0</v>
      </c>
      <c r="R870" s="2" t="inlineStr"/>
    </row>
    <row r="871" ht="15" customHeight="1">
      <c r="A871" t="inlineStr">
        <is>
          <t>A 44836-2024</t>
        </is>
      </c>
      <c r="B871" s="1" t="n">
        <v>45574.70622685185</v>
      </c>
      <c r="C871" s="1" t="n">
        <v>46087</v>
      </c>
      <c r="D871" t="inlineStr">
        <is>
          <t>VÄSTERBOTTENS LÄN</t>
        </is>
      </c>
      <c r="E871" t="inlineStr">
        <is>
          <t>UMEÅ</t>
        </is>
      </c>
      <c r="F871" t="inlineStr">
        <is>
          <t>Holmen skog AB</t>
        </is>
      </c>
      <c r="G871" t="n">
        <v>2.1</v>
      </c>
      <c r="H871" t="n">
        <v>0</v>
      </c>
      <c r="I871" t="n">
        <v>0</v>
      </c>
      <c r="J871" t="n">
        <v>0</v>
      </c>
      <c r="K871" t="n">
        <v>0</v>
      </c>
      <c r="L871" t="n">
        <v>0</v>
      </c>
      <c r="M871" t="n">
        <v>0</v>
      </c>
      <c r="N871" t="n">
        <v>0</v>
      </c>
      <c r="O871" t="n">
        <v>0</v>
      </c>
      <c r="P871" t="n">
        <v>0</v>
      </c>
      <c r="Q871" t="n">
        <v>0</v>
      </c>
      <c r="R871" s="2" t="inlineStr"/>
    </row>
    <row r="872" ht="15" customHeight="1">
      <c r="A872" t="inlineStr">
        <is>
          <t>A 46287-2022</t>
        </is>
      </c>
      <c r="B872" s="1" t="n">
        <v>44847</v>
      </c>
      <c r="C872" s="1" t="n">
        <v>46087</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13090-2024</t>
        </is>
      </c>
      <c r="B873" s="1" t="n">
        <v>45385</v>
      </c>
      <c r="C873" s="1" t="n">
        <v>46087</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14928-2023</t>
        </is>
      </c>
      <c r="B874" s="1" t="n">
        <v>45014</v>
      </c>
      <c r="C874" s="1" t="n">
        <v>46087</v>
      </c>
      <c r="D874" t="inlineStr">
        <is>
          <t>VÄSTERBOTTENS LÄN</t>
        </is>
      </c>
      <c r="E874" t="inlineStr">
        <is>
          <t>UMEÅ</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11184-2024</t>
        </is>
      </c>
      <c r="B875" s="1" t="n">
        <v>45371</v>
      </c>
      <c r="C875" s="1" t="n">
        <v>46087</v>
      </c>
      <c r="D875" t="inlineStr">
        <is>
          <t>VÄSTERBOTTENS LÄN</t>
        </is>
      </c>
      <c r="E875" t="inlineStr">
        <is>
          <t>UMEÅ</t>
        </is>
      </c>
      <c r="F875" t="inlineStr">
        <is>
          <t>Övriga statliga verk och myndigheter</t>
        </is>
      </c>
      <c r="G875" t="n">
        <v>4.5</v>
      </c>
      <c r="H875" t="n">
        <v>0</v>
      </c>
      <c r="I875" t="n">
        <v>0</v>
      </c>
      <c r="J875" t="n">
        <v>0</v>
      </c>
      <c r="K875" t="n">
        <v>0</v>
      </c>
      <c r="L875" t="n">
        <v>0</v>
      </c>
      <c r="M875" t="n">
        <v>0</v>
      </c>
      <c r="N875" t="n">
        <v>0</v>
      </c>
      <c r="O875" t="n">
        <v>0</v>
      </c>
      <c r="P875" t="n">
        <v>0</v>
      </c>
      <c r="Q875" t="n">
        <v>0</v>
      </c>
      <c r="R875" s="2" t="inlineStr"/>
    </row>
    <row r="876" ht="15" customHeight="1">
      <c r="A876" t="inlineStr">
        <is>
          <t>A 30053-2025</t>
        </is>
      </c>
      <c r="B876" s="1" t="n">
        <v>45826.60013888889</v>
      </c>
      <c r="C876" s="1" t="n">
        <v>46087</v>
      </c>
      <c r="D876" t="inlineStr">
        <is>
          <t>VÄSTERBOTTENS LÄN</t>
        </is>
      </c>
      <c r="E876" t="inlineStr">
        <is>
          <t>UMEÅ</t>
        </is>
      </c>
      <c r="G876" t="n">
        <v>5.5</v>
      </c>
      <c r="H876" t="n">
        <v>0</v>
      </c>
      <c r="I876" t="n">
        <v>0</v>
      </c>
      <c r="J876" t="n">
        <v>0</v>
      </c>
      <c r="K876" t="n">
        <v>0</v>
      </c>
      <c r="L876" t="n">
        <v>0</v>
      </c>
      <c r="M876" t="n">
        <v>0</v>
      </c>
      <c r="N876" t="n">
        <v>0</v>
      </c>
      <c r="O876" t="n">
        <v>0</v>
      </c>
      <c r="P876" t="n">
        <v>0</v>
      </c>
      <c r="Q876" t="n">
        <v>0</v>
      </c>
      <c r="R876" s="2" t="inlineStr"/>
    </row>
    <row r="877" ht="15" customHeight="1">
      <c r="A877" t="inlineStr">
        <is>
          <t>A 31068-2023</t>
        </is>
      </c>
      <c r="B877" s="1" t="n">
        <v>45113</v>
      </c>
      <c r="C877" s="1" t="n">
        <v>46087</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14043-2024</t>
        </is>
      </c>
      <c r="B878" s="1" t="n">
        <v>45392</v>
      </c>
      <c r="C878" s="1" t="n">
        <v>46087</v>
      </c>
      <c r="D878" t="inlineStr">
        <is>
          <t>VÄSTERBOTTENS LÄN</t>
        </is>
      </c>
      <c r="E878" t="inlineStr">
        <is>
          <t>UMEÅ</t>
        </is>
      </c>
      <c r="G878" t="n">
        <v>0.6</v>
      </c>
      <c r="H878" t="n">
        <v>0</v>
      </c>
      <c r="I878" t="n">
        <v>0</v>
      </c>
      <c r="J878" t="n">
        <v>0</v>
      </c>
      <c r="K878" t="n">
        <v>0</v>
      </c>
      <c r="L878" t="n">
        <v>0</v>
      </c>
      <c r="M878" t="n">
        <v>0</v>
      </c>
      <c r="N878" t="n">
        <v>0</v>
      </c>
      <c r="O878" t="n">
        <v>0</v>
      </c>
      <c r="P878" t="n">
        <v>0</v>
      </c>
      <c r="Q878" t="n">
        <v>0</v>
      </c>
      <c r="R878" s="2" t="inlineStr"/>
    </row>
    <row r="879" ht="15" customHeight="1">
      <c r="A879" t="inlineStr">
        <is>
          <t>A 751-2023</t>
        </is>
      </c>
      <c r="B879" s="1" t="n">
        <v>44931.3587962963</v>
      </c>
      <c r="C879" s="1" t="n">
        <v>46087</v>
      </c>
      <c r="D879" t="inlineStr">
        <is>
          <t>VÄSTERBOTTENS LÄN</t>
        </is>
      </c>
      <c r="E879" t="inlineStr">
        <is>
          <t>UMEÅ</t>
        </is>
      </c>
      <c r="G879" t="n">
        <v>0.6</v>
      </c>
      <c r="H879" t="n">
        <v>0</v>
      </c>
      <c r="I879" t="n">
        <v>0</v>
      </c>
      <c r="J879" t="n">
        <v>0</v>
      </c>
      <c r="K879" t="n">
        <v>0</v>
      </c>
      <c r="L879" t="n">
        <v>0</v>
      </c>
      <c r="M879" t="n">
        <v>0</v>
      </c>
      <c r="N879" t="n">
        <v>0</v>
      </c>
      <c r="O879" t="n">
        <v>0</v>
      </c>
      <c r="P879" t="n">
        <v>0</v>
      </c>
      <c r="Q879" t="n">
        <v>0</v>
      </c>
      <c r="R879" s="2" t="inlineStr"/>
    </row>
    <row r="880" ht="15" customHeight="1">
      <c r="A880" t="inlineStr">
        <is>
          <t>A 23842-2024</t>
        </is>
      </c>
      <c r="B880" s="1" t="n">
        <v>45455.52168981481</v>
      </c>
      <c r="C880" s="1" t="n">
        <v>46087</v>
      </c>
      <c r="D880" t="inlineStr">
        <is>
          <t>VÄSTERBOTTENS LÄN</t>
        </is>
      </c>
      <c r="E880" t="inlineStr">
        <is>
          <t>UMEÅ</t>
        </is>
      </c>
      <c r="G880" t="n">
        <v>2.1</v>
      </c>
      <c r="H880" t="n">
        <v>0</v>
      </c>
      <c r="I880" t="n">
        <v>0</v>
      </c>
      <c r="J880" t="n">
        <v>0</v>
      </c>
      <c r="K880" t="n">
        <v>0</v>
      </c>
      <c r="L880" t="n">
        <v>0</v>
      </c>
      <c r="M880" t="n">
        <v>0</v>
      </c>
      <c r="N880" t="n">
        <v>0</v>
      </c>
      <c r="O880" t="n">
        <v>0</v>
      </c>
      <c r="P880" t="n">
        <v>0</v>
      </c>
      <c r="Q880" t="n">
        <v>0</v>
      </c>
      <c r="R880" s="2" t="inlineStr"/>
    </row>
    <row r="881" ht="15" customHeight="1">
      <c r="A881" t="inlineStr">
        <is>
          <t>A 33795-2025</t>
        </is>
      </c>
      <c r="B881" s="1" t="n">
        <v>45842.43515046296</v>
      </c>
      <c r="C881" s="1" t="n">
        <v>46087</v>
      </c>
      <c r="D881" t="inlineStr">
        <is>
          <t>VÄSTERBOTTENS LÄN</t>
        </is>
      </c>
      <c r="E881" t="inlineStr">
        <is>
          <t>UMEÅ</t>
        </is>
      </c>
      <c r="G881" t="n">
        <v>1</v>
      </c>
      <c r="H881" t="n">
        <v>0</v>
      </c>
      <c r="I881" t="n">
        <v>0</v>
      </c>
      <c r="J881" t="n">
        <v>0</v>
      </c>
      <c r="K881" t="n">
        <v>0</v>
      </c>
      <c r="L881" t="n">
        <v>0</v>
      </c>
      <c r="M881" t="n">
        <v>0</v>
      </c>
      <c r="N881" t="n">
        <v>0</v>
      </c>
      <c r="O881" t="n">
        <v>0</v>
      </c>
      <c r="P881" t="n">
        <v>0</v>
      </c>
      <c r="Q881" t="n">
        <v>0</v>
      </c>
      <c r="R881" s="2" t="inlineStr"/>
    </row>
    <row r="882" ht="15" customHeight="1">
      <c r="A882" t="inlineStr">
        <is>
          <t>A 65242-2021</t>
        </is>
      </c>
      <c r="B882" s="1" t="n">
        <v>44515.55709490741</v>
      </c>
      <c r="C882" s="1" t="n">
        <v>46087</v>
      </c>
      <c r="D882" t="inlineStr">
        <is>
          <t>VÄSTERBOTTENS LÄN</t>
        </is>
      </c>
      <c r="E882" t="inlineStr">
        <is>
          <t>UMEÅ</t>
        </is>
      </c>
      <c r="G882" t="n">
        <v>1.1</v>
      </c>
      <c r="H882" t="n">
        <v>0</v>
      </c>
      <c r="I882" t="n">
        <v>0</v>
      </c>
      <c r="J882" t="n">
        <v>0</v>
      </c>
      <c r="K882" t="n">
        <v>0</v>
      </c>
      <c r="L882" t="n">
        <v>0</v>
      </c>
      <c r="M882" t="n">
        <v>0</v>
      </c>
      <c r="N882" t="n">
        <v>0</v>
      </c>
      <c r="O882" t="n">
        <v>0</v>
      </c>
      <c r="P882" t="n">
        <v>0</v>
      </c>
      <c r="Q882" t="n">
        <v>0</v>
      </c>
      <c r="R882" s="2" t="inlineStr"/>
    </row>
    <row r="883" ht="15" customHeight="1">
      <c r="A883" t="inlineStr">
        <is>
          <t>A 34290-2025</t>
        </is>
      </c>
      <c r="B883" s="1" t="n">
        <v>45846.33505787037</v>
      </c>
      <c r="C883" s="1" t="n">
        <v>46087</v>
      </c>
      <c r="D883" t="inlineStr">
        <is>
          <t>VÄSTERBOTTENS LÄN</t>
        </is>
      </c>
      <c r="E883" t="inlineStr">
        <is>
          <t>UMEÅ</t>
        </is>
      </c>
      <c r="G883" t="n">
        <v>0.6</v>
      </c>
      <c r="H883" t="n">
        <v>0</v>
      </c>
      <c r="I883" t="n">
        <v>0</v>
      </c>
      <c r="J883" t="n">
        <v>0</v>
      </c>
      <c r="K883" t="n">
        <v>0</v>
      </c>
      <c r="L883" t="n">
        <v>0</v>
      </c>
      <c r="M883" t="n">
        <v>0</v>
      </c>
      <c r="N883" t="n">
        <v>0</v>
      </c>
      <c r="O883" t="n">
        <v>0</v>
      </c>
      <c r="P883" t="n">
        <v>0</v>
      </c>
      <c r="Q883" t="n">
        <v>0</v>
      </c>
      <c r="R883" s="2" t="inlineStr"/>
    </row>
    <row r="884" ht="15" customHeight="1">
      <c r="A884" t="inlineStr">
        <is>
          <t>A 43945-2024</t>
        </is>
      </c>
      <c r="B884" s="1" t="n">
        <v>45572.47104166666</v>
      </c>
      <c r="C884" s="1" t="n">
        <v>46087</v>
      </c>
      <c r="D884" t="inlineStr">
        <is>
          <t>VÄSTERBOTTENS LÄN</t>
        </is>
      </c>
      <c r="E884" t="inlineStr">
        <is>
          <t>UMEÅ</t>
        </is>
      </c>
      <c r="G884" t="n">
        <v>2.1</v>
      </c>
      <c r="H884" t="n">
        <v>0</v>
      </c>
      <c r="I884" t="n">
        <v>0</v>
      </c>
      <c r="J884" t="n">
        <v>0</v>
      </c>
      <c r="K884" t="n">
        <v>0</v>
      </c>
      <c r="L884" t="n">
        <v>0</v>
      </c>
      <c r="M884" t="n">
        <v>0</v>
      </c>
      <c r="N884" t="n">
        <v>0</v>
      </c>
      <c r="O884" t="n">
        <v>0</v>
      </c>
      <c r="P884" t="n">
        <v>0</v>
      </c>
      <c r="Q884" t="n">
        <v>0</v>
      </c>
      <c r="R884" s="2" t="inlineStr"/>
    </row>
    <row r="885" ht="15" customHeight="1">
      <c r="A885" t="inlineStr">
        <is>
          <t>A 34039-2025</t>
        </is>
      </c>
      <c r="B885" s="1" t="n">
        <v>45845.37259259259</v>
      </c>
      <c r="C885" s="1" t="n">
        <v>46087</v>
      </c>
      <c r="D885" t="inlineStr">
        <is>
          <t>VÄSTERBOTTENS LÄN</t>
        </is>
      </c>
      <c r="E885" t="inlineStr">
        <is>
          <t>UMEÅ</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34061-2025</t>
        </is>
      </c>
      <c r="B886" s="1" t="n">
        <v>45845.42341435186</v>
      </c>
      <c r="C886" s="1" t="n">
        <v>46087</v>
      </c>
      <c r="D886" t="inlineStr">
        <is>
          <t>VÄSTERBOTTENS LÄN</t>
        </is>
      </c>
      <c r="E886" t="inlineStr">
        <is>
          <t>UMEÅ</t>
        </is>
      </c>
      <c r="F886" t="inlineStr">
        <is>
          <t>Holmen skog AB</t>
        </is>
      </c>
      <c r="G886" t="n">
        <v>4.3</v>
      </c>
      <c r="H886" t="n">
        <v>0</v>
      </c>
      <c r="I886" t="n">
        <v>0</v>
      </c>
      <c r="J886" t="n">
        <v>0</v>
      </c>
      <c r="K886" t="n">
        <v>0</v>
      </c>
      <c r="L886" t="n">
        <v>0</v>
      </c>
      <c r="M886" t="n">
        <v>0</v>
      </c>
      <c r="N886" t="n">
        <v>0</v>
      </c>
      <c r="O886" t="n">
        <v>0</v>
      </c>
      <c r="P886" t="n">
        <v>0</v>
      </c>
      <c r="Q886" t="n">
        <v>0</v>
      </c>
      <c r="R886" s="2" t="inlineStr"/>
    </row>
    <row r="887" ht="15" customHeight="1">
      <c r="A887" t="inlineStr">
        <is>
          <t>A 34774-2025</t>
        </is>
      </c>
      <c r="B887" s="1" t="n">
        <v>45848.65680555555</v>
      </c>
      <c r="C887" s="1" t="n">
        <v>46087</v>
      </c>
      <c r="D887" t="inlineStr">
        <is>
          <t>VÄSTERBOTTENS LÄN</t>
        </is>
      </c>
      <c r="E887" t="inlineStr">
        <is>
          <t>UMEÅ</t>
        </is>
      </c>
      <c r="G887" t="n">
        <v>21.6</v>
      </c>
      <c r="H887" t="n">
        <v>0</v>
      </c>
      <c r="I887" t="n">
        <v>0</v>
      </c>
      <c r="J887" t="n">
        <v>0</v>
      </c>
      <c r="K887" t="n">
        <v>0</v>
      </c>
      <c r="L887" t="n">
        <v>0</v>
      </c>
      <c r="M887" t="n">
        <v>0</v>
      </c>
      <c r="N887" t="n">
        <v>0</v>
      </c>
      <c r="O887" t="n">
        <v>0</v>
      </c>
      <c r="P887" t="n">
        <v>0</v>
      </c>
      <c r="Q887" t="n">
        <v>0</v>
      </c>
      <c r="R887" s="2" t="inlineStr"/>
    </row>
    <row r="888" ht="15" customHeight="1">
      <c r="A888" t="inlineStr">
        <is>
          <t>A 61034-2022</t>
        </is>
      </c>
      <c r="B888" s="1" t="n">
        <v>44914</v>
      </c>
      <c r="C888" s="1" t="n">
        <v>46087</v>
      </c>
      <c r="D888" t="inlineStr">
        <is>
          <t>VÄSTERBOTTENS LÄN</t>
        </is>
      </c>
      <c r="E888" t="inlineStr">
        <is>
          <t>UMEÅ</t>
        </is>
      </c>
      <c r="G888" t="n">
        <v>16.7</v>
      </c>
      <c r="H888" t="n">
        <v>0</v>
      </c>
      <c r="I888" t="n">
        <v>0</v>
      </c>
      <c r="J888" t="n">
        <v>0</v>
      </c>
      <c r="K888" t="n">
        <v>0</v>
      </c>
      <c r="L888" t="n">
        <v>0</v>
      </c>
      <c r="M888" t="n">
        <v>0</v>
      </c>
      <c r="N888" t="n">
        <v>0</v>
      </c>
      <c r="O888" t="n">
        <v>0</v>
      </c>
      <c r="P888" t="n">
        <v>0</v>
      </c>
      <c r="Q888" t="n">
        <v>0</v>
      </c>
      <c r="R888" s="2" t="inlineStr"/>
    </row>
    <row r="889" ht="15" customHeight="1">
      <c r="A889" t="inlineStr">
        <is>
          <t>A 34787-2025</t>
        </is>
      </c>
      <c r="B889" s="1" t="n">
        <v>45848.67791666667</v>
      </c>
      <c r="C889" s="1" t="n">
        <v>46087</v>
      </c>
      <c r="D889" t="inlineStr">
        <is>
          <t>VÄSTERBOTTENS LÄN</t>
        </is>
      </c>
      <c r="E889" t="inlineStr">
        <is>
          <t>UMEÅ</t>
        </is>
      </c>
      <c r="G889" t="n">
        <v>8.6</v>
      </c>
      <c r="H889" t="n">
        <v>0</v>
      </c>
      <c r="I889" t="n">
        <v>0</v>
      </c>
      <c r="J889" t="n">
        <v>0</v>
      </c>
      <c r="K889" t="n">
        <v>0</v>
      </c>
      <c r="L889" t="n">
        <v>0</v>
      </c>
      <c r="M889" t="n">
        <v>0</v>
      </c>
      <c r="N889" t="n">
        <v>0</v>
      </c>
      <c r="O889" t="n">
        <v>0</v>
      </c>
      <c r="P889" t="n">
        <v>0</v>
      </c>
      <c r="Q889" t="n">
        <v>0</v>
      </c>
      <c r="R889" s="2" t="inlineStr"/>
    </row>
    <row r="890" ht="15" customHeight="1">
      <c r="A890" t="inlineStr">
        <is>
          <t>A 72125-2021</t>
        </is>
      </c>
      <c r="B890" s="1" t="n">
        <v>44543</v>
      </c>
      <c r="C890" s="1" t="n">
        <v>46087</v>
      </c>
      <c r="D890" t="inlineStr">
        <is>
          <t>VÄSTERBOTTENS LÄN</t>
        </is>
      </c>
      <c r="E890" t="inlineStr">
        <is>
          <t>UMEÅ</t>
        </is>
      </c>
      <c r="G890" t="n">
        <v>4.4</v>
      </c>
      <c r="H890" t="n">
        <v>0</v>
      </c>
      <c r="I890" t="n">
        <v>0</v>
      </c>
      <c r="J890" t="n">
        <v>0</v>
      </c>
      <c r="K890" t="n">
        <v>0</v>
      </c>
      <c r="L890" t="n">
        <v>0</v>
      </c>
      <c r="M890" t="n">
        <v>0</v>
      </c>
      <c r="N890" t="n">
        <v>0</v>
      </c>
      <c r="O890" t="n">
        <v>0</v>
      </c>
      <c r="P890" t="n">
        <v>0</v>
      </c>
      <c r="Q890" t="n">
        <v>0</v>
      </c>
      <c r="R890" s="2" t="inlineStr"/>
    </row>
    <row r="891" ht="15" customHeight="1">
      <c r="A891" t="inlineStr">
        <is>
          <t>A 35630-2024</t>
        </is>
      </c>
      <c r="B891" s="1" t="n">
        <v>45531</v>
      </c>
      <c r="C891" s="1" t="n">
        <v>46087</v>
      </c>
      <c r="D891" t="inlineStr">
        <is>
          <t>VÄSTERBOTTENS LÄN</t>
        </is>
      </c>
      <c r="E891" t="inlineStr">
        <is>
          <t>UMEÅ</t>
        </is>
      </c>
      <c r="G891" t="n">
        <v>4.7</v>
      </c>
      <c r="H891" t="n">
        <v>0</v>
      </c>
      <c r="I891" t="n">
        <v>0</v>
      </c>
      <c r="J891" t="n">
        <v>0</v>
      </c>
      <c r="K891" t="n">
        <v>0</v>
      </c>
      <c r="L891" t="n">
        <v>0</v>
      </c>
      <c r="M891" t="n">
        <v>0</v>
      </c>
      <c r="N891" t="n">
        <v>0</v>
      </c>
      <c r="O891" t="n">
        <v>0</v>
      </c>
      <c r="P891" t="n">
        <v>0</v>
      </c>
      <c r="Q891" t="n">
        <v>0</v>
      </c>
      <c r="R891" s="2" t="inlineStr"/>
    </row>
    <row r="892" ht="15" customHeight="1">
      <c r="A892" t="inlineStr">
        <is>
          <t>A 45259-2024</t>
        </is>
      </c>
      <c r="B892" s="1" t="n">
        <v>45576</v>
      </c>
      <c r="C892" s="1" t="n">
        <v>46087</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45770-2024</t>
        </is>
      </c>
      <c r="B893" s="1" t="n">
        <v>45579.64884259259</v>
      </c>
      <c r="C893" s="1" t="n">
        <v>46087</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32462-2023</t>
        </is>
      </c>
      <c r="B894" s="1" t="n">
        <v>45120.92637731481</v>
      </c>
      <c r="C894" s="1" t="n">
        <v>46087</v>
      </c>
      <c r="D894" t="inlineStr">
        <is>
          <t>VÄSTERBOTTENS LÄN</t>
        </is>
      </c>
      <c r="E894" t="inlineStr">
        <is>
          <t>UMEÅ</t>
        </is>
      </c>
      <c r="G894" t="n">
        <v>1.3</v>
      </c>
      <c r="H894" t="n">
        <v>0</v>
      </c>
      <c r="I894" t="n">
        <v>0</v>
      </c>
      <c r="J894" t="n">
        <v>0</v>
      </c>
      <c r="K894" t="n">
        <v>0</v>
      </c>
      <c r="L894" t="n">
        <v>0</v>
      </c>
      <c r="M894" t="n">
        <v>0</v>
      </c>
      <c r="N894" t="n">
        <v>0</v>
      </c>
      <c r="O894" t="n">
        <v>0</v>
      </c>
      <c r="P894" t="n">
        <v>0</v>
      </c>
      <c r="Q894" t="n">
        <v>0</v>
      </c>
      <c r="R894" s="2" t="inlineStr"/>
    </row>
    <row r="895" ht="15" customHeight="1">
      <c r="A895" t="inlineStr">
        <is>
          <t>A 54150-2024</t>
        </is>
      </c>
      <c r="B895" s="1" t="n">
        <v>45616</v>
      </c>
      <c r="C895" s="1" t="n">
        <v>46087</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14407-2023</t>
        </is>
      </c>
      <c r="B896" s="1" t="n">
        <v>45012.50180555556</v>
      </c>
      <c r="C896" s="1" t="n">
        <v>46087</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19831-2025</t>
        </is>
      </c>
      <c r="B897" s="1" t="n">
        <v>45771.46961805555</v>
      </c>
      <c r="C897" s="1" t="n">
        <v>46087</v>
      </c>
      <c r="D897" t="inlineStr">
        <is>
          <t>VÄSTERBOTTENS LÄN</t>
        </is>
      </c>
      <c r="E897" t="inlineStr">
        <is>
          <t>UMEÅ</t>
        </is>
      </c>
      <c r="G897" t="n">
        <v>1.5</v>
      </c>
      <c r="H897" t="n">
        <v>0</v>
      </c>
      <c r="I897" t="n">
        <v>0</v>
      </c>
      <c r="J897" t="n">
        <v>0</v>
      </c>
      <c r="K897" t="n">
        <v>0</v>
      </c>
      <c r="L897" t="n">
        <v>0</v>
      </c>
      <c r="M897" t="n">
        <v>0</v>
      </c>
      <c r="N897" t="n">
        <v>0</v>
      </c>
      <c r="O897" t="n">
        <v>0</v>
      </c>
      <c r="P897" t="n">
        <v>0</v>
      </c>
      <c r="Q897" t="n">
        <v>0</v>
      </c>
      <c r="R897" s="2" t="inlineStr"/>
    </row>
    <row r="898" ht="15" customHeight="1">
      <c r="A898" t="inlineStr">
        <is>
          <t>A 5280-2025</t>
        </is>
      </c>
      <c r="B898" s="1" t="n">
        <v>45692.43077546296</v>
      </c>
      <c r="C898" s="1" t="n">
        <v>46087</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10587-2023</t>
        </is>
      </c>
      <c r="B899" s="1" t="n">
        <v>44984</v>
      </c>
      <c r="C899" s="1" t="n">
        <v>46087</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18108-2025</t>
        </is>
      </c>
      <c r="B900" s="1" t="n">
        <v>45761.56107638889</v>
      </c>
      <c r="C900" s="1" t="n">
        <v>46087</v>
      </c>
      <c r="D900" t="inlineStr">
        <is>
          <t>VÄSTERBOTTENS LÄN</t>
        </is>
      </c>
      <c r="E900" t="inlineStr">
        <is>
          <t>UMEÅ</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16903-2025</t>
        </is>
      </c>
      <c r="B901" s="1" t="n">
        <v>45755.34568287037</v>
      </c>
      <c r="C901" s="1" t="n">
        <v>46087</v>
      </c>
      <c r="D901" t="inlineStr">
        <is>
          <t>VÄSTERBOTTENS LÄN</t>
        </is>
      </c>
      <c r="E901" t="inlineStr">
        <is>
          <t>UMEÅ</t>
        </is>
      </c>
      <c r="G901" t="n">
        <v>0.7</v>
      </c>
      <c r="H901" t="n">
        <v>0</v>
      </c>
      <c r="I901" t="n">
        <v>0</v>
      </c>
      <c r="J901" t="n">
        <v>0</v>
      </c>
      <c r="K901" t="n">
        <v>0</v>
      </c>
      <c r="L901" t="n">
        <v>0</v>
      </c>
      <c r="M901" t="n">
        <v>0</v>
      </c>
      <c r="N901" t="n">
        <v>0</v>
      </c>
      <c r="O901" t="n">
        <v>0</v>
      </c>
      <c r="P901" t="n">
        <v>0</v>
      </c>
      <c r="Q901" t="n">
        <v>0</v>
      </c>
      <c r="R901" s="2" t="inlineStr"/>
    </row>
    <row r="902" ht="15" customHeight="1">
      <c r="A902" t="inlineStr">
        <is>
          <t>A 17945-2023</t>
        </is>
      </c>
      <c r="B902" s="1" t="n">
        <v>45037</v>
      </c>
      <c r="C902" s="1" t="n">
        <v>46087</v>
      </c>
      <c r="D902" t="inlineStr">
        <is>
          <t>VÄSTERBOTTENS LÄN</t>
        </is>
      </c>
      <c r="E902" t="inlineStr">
        <is>
          <t>UMEÅ</t>
        </is>
      </c>
      <c r="F902" t="inlineStr">
        <is>
          <t>Kommuner</t>
        </is>
      </c>
      <c r="G902" t="n">
        <v>5.7</v>
      </c>
      <c r="H902" t="n">
        <v>0</v>
      </c>
      <c r="I902" t="n">
        <v>0</v>
      </c>
      <c r="J902" t="n">
        <v>0</v>
      </c>
      <c r="K902" t="n">
        <v>0</v>
      </c>
      <c r="L902" t="n">
        <v>0</v>
      </c>
      <c r="M902" t="n">
        <v>0</v>
      </c>
      <c r="N902" t="n">
        <v>0</v>
      </c>
      <c r="O902" t="n">
        <v>0</v>
      </c>
      <c r="P902" t="n">
        <v>0</v>
      </c>
      <c r="Q902" t="n">
        <v>0</v>
      </c>
      <c r="R902" s="2" t="inlineStr"/>
    </row>
    <row r="903" ht="15" customHeight="1">
      <c r="A903" t="inlineStr">
        <is>
          <t>A 18861-2024</t>
        </is>
      </c>
      <c r="B903" s="1" t="n">
        <v>45426</v>
      </c>
      <c r="C903" s="1" t="n">
        <v>46087</v>
      </c>
      <c r="D903" t="inlineStr">
        <is>
          <t>VÄSTERBOTTENS LÄN</t>
        </is>
      </c>
      <c r="E903" t="inlineStr">
        <is>
          <t>UMEÅ</t>
        </is>
      </c>
      <c r="G903" t="n">
        <v>7.4</v>
      </c>
      <c r="H903" t="n">
        <v>0</v>
      </c>
      <c r="I903" t="n">
        <v>0</v>
      </c>
      <c r="J903" t="n">
        <v>0</v>
      </c>
      <c r="K903" t="n">
        <v>0</v>
      </c>
      <c r="L903" t="n">
        <v>0</v>
      </c>
      <c r="M903" t="n">
        <v>0</v>
      </c>
      <c r="N903" t="n">
        <v>0</v>
      </c>
      <c r="O903" t="n">
        <v>0</v>
      </c>
      <c r="P903" t="n">
        <v>0</v>
      </c>
      <c r="Q903" t="n">
        <v>0</v>
      </c>
      <c r="R903" s="2" t="inlineStr"/>
    </row>
    <row r="904" ht="15" customHeight="1">
      <c r="A904" t="inlineStr">
        <is>
          <t>A 32221-2024</t>
        </is>
      </c>
      <c r="B904" s="1" t="n">
        <v>45511</v>
      </c>
      <c r="C904" s="1" t="n">
        <v>46087</v>
      </c>
      <c r="D904" t="inlineStr">
        <is>
          <t>VÄSTERBOTTENS LÄN</t>
        </is>
      </c>
      <c r="E904" t="inlineStr">
        <is>
          <t>UMEÅ</t>
        </is>
      </c>
      <c r="G904" t="n">
        <v>1.1</v>
      </c>
      <c r="H904" t="n">
        <v>0</v>
      </c>
      <c r="I904" t="n">
        <v>0</v>
      </c>
      <c r="J904" t="n">
        <v>0</v>
      </c>
      <c r="K904" t="n">
        <v>0</v>
      </c>
      <c r="L904" t="n">
        <v>0</v>
      </c>
      <c r="M904" t="n">
        <v>0</v>
      </c>
      <c r="N904" t="n">
        <v>0</v>
      </c>
      <c r="O904" t="n">
        <v>0</v>
      </c>
      <c r="P904" t="n">
        <v>0</v>
      </c>
      <c r="Q904" t="n">
        <v>0</v>
      </c>
      <c r="R904" s="2" t="inlineStr"/>
    </row>
    <row r="905" ht="15" customHeight="1">
      <c r="A905" t="inlineStr">
        <is>
          <t>A 35625-2024</t>
        </is>
      </c>
      <c r="B905" s="1" t="n">
        <v>45531.73709490741</v>
      </c>
      <c r="C905" s="1" t="n">
        <v>46087</v>
      </c>
      <c r="D905" t="inlineStr">
        <is>
          <t>VÄSTERBOTTENS LÄN</t>
        </is>
      </c>
      <c r="E905" t="inlineStr">
        <is>
          <t>UMEÅ</t>
        </is>
      </c>
      <c r="G905" t="n">
        <v>1.5</v>
      </c>
      <c r="H905" t="n">
        <v>0</v>
      </c>
      <c r="I905" t="n">
        <v>0</v>
      </c>
      <c r="J905" t="n">
        <v>0</v>
      </c>
      <c r="K905" t="n">
        <v>0</v>
      </c>
      <c r="L905" t="n">
        <v>0</v>
      </c>
      <c r="M905" t="n">
        <v>0</v>
      </c>
      <c r="N905" t="n">
        <v>0</v>
      </c>
      <c r="O905" t="n">
        <v>0</v>
      </c>
      <c r="P905" t="n">
        <v>0</v>
      </c>
      <c r="Q905" t="n">
        <v>0</v>
      </c>
      <c r="R905" s="2" t="inlineStr"/>
    </row>
    <row r="906" ht="15" customHeight="1">
      <c r="A906" t="inlineStr">
        <is>
          <t>A 25690-2025</t>
        </is>
      </c>
      <c r="B906" s="1" t="n">
        <v>45803.66153935185</v>
      </c>
      <c r="C906" s="1" t="n">
        <v>46087</v>
      </c>
      <c r="D906" t="inlineStr">
        <is>
          <t>VÄSTERBOTTENS LÄN</t>
        </is>
      </c>
      <c r="E906" t="inlineStr">
        <is>
          <t>UMEÅ</t>
        </is>
      </c>
      <c r="G906" t="n">
        <v>1.4</v>
      </c>
      <c r="H906" t="n">
        <v>0</v>
      </c>
      <c r="I906" t="n">
        <v>0</v>
      </c>
      <c r="J906" t="n">
        <v>0</v>
      </c>
      <c r="K906" t="n">
        <v>0</v>
      </c>
      <c r="L906" t="n">
        <v>0</v>
      </c>
      <c r="M906" t="n">
        <v>0</v>
      </c>
      <c r="N906" t="n">
        <v>0</v>
      </c>
      <c r="O906" t="n">
        <v>0</v>
      </c>
      <c r="P906" t="n">
        <v>0</v>
      </c>
      <c r="Q906" t="n">
        <v>0</v>
      </c>
      <c r="R906" s="2" t="inlineStr"/>
    </row>
    <row r="907" ht="15" customHeight="1">
      <c r="A907" t="inlineStr">
        <is>
          <t>A 56083-2024</t>
        </is>
      </c>
      <c r="B907" s="1" t="n">
        <v>45623</v>
      </c>
      <c r="C907" s="1" t="n">
        <v>46087</v>
      </c>
      <c r="D907" t="inlineStr">
        <is>
          <t>VÄSTERBOTTENS LÄN</t>
        </is>
      </c>
      <c r="E907" t="inlineStr">
        <is>
          <t>UMEÅ</t>
        </is>
      </c>
      <c r="G907" t="n">
        <v>1.9</v>
      </c>
      <c r="H907" t="n">
        <v>0</v>
      </c>
      <c r="I907" t="n">
        <v>0</v>
      </c>
      <c r="J907" t="n">
        <v>0</v>
      </c>
      <c r="K907" t="n">
        <v>0</v>
      </c>
      <c r="L907" t="n">
        <v>0</v>
      </c>
      <c r="M907" t="n">
        <v>0</v>
      </c>
      <c r="N907" t="n">
        <v>0</v>
      </c>
      <c r="O907" t="n">
        <v>0</v>
      </c>
      <c r="P907" t="n">
        <v>0</v>
      </c>
      <c r="Q907" t="n">
        <v>0</v>
      </c>
      <c r="R907" s="2" t="inlineStr"/>
    </row>
    <row r="908" ht="15" customHeight="1">
      <c r="A908" t="inlineStr">
        <is>
          <t>A 34991-2023</t>
        </is>
      </c>
      <c r="B908" s="1" t="n">
        <v>45142.80528935185</v>
      </c>
      <c r="C908" s="1" t="n">
        <v>46087</v>
      </c>
      <c r="D908" t="inlineStr">
        <is>
          <t>VÄSTERBOTTENS LÄN</t>
        </is>
      </c>
      <c r="E908" t="inlineStr">
        <is>
          <t>UMEÅ</t>
        </is>
      </c>
      <c r="G908" t="n">
        <v>6.9</v>
      </c>
      <c r="H908" t="n">
        <v>0</v>
      </c>
      <c r="I908" t="n">
        <v>0</v>
      </c>
      <c r="J908" t="n">
        <v>0</v>
      </c>
      <c r="K908" t="n">
        <v>0</v>
      </c>
      <c r="L908" t="n">
        <v>0</v>
      </c>
      <c r="M908" t="n">
        <v>0</v>
      </c>
      <c r="N908" t="n">
        <v>0</v>
      </c>
      <c r="O908" t="n">
        <v>0</v>
      </c>
      <c r="P908" t="n">
        <v>0</v>
      </c>
      <c r="Q908" t="n">
        <v>0</v>
      </c>
      <c r="R908" s="2" t="inlineStr"/>
    </row>
    <row r="909" ht="15" customHeight="1">
      <c r="A909" t="inlineStr">
        <is>
          <t>A 28860-2024</t>
        </is>
      </c>
      <c r="B909" s="1" t="n">
        <v>45478.92875</v>
      </c>
      <c r="C909" s="1" t="n">
        <v>46087</v>
      </c>
      <c r="D909" t="inlineStr">
        <is>
          <t>VÄSTERBOTTENS LÄN</t>
        </is>
      </c>
      <c r="E909" t="inlineStr">
        <is>
          <t>UMEÅ</t>
        </is>
      </c>
      <c r="G909" t="n">
        <v>1.3</v>
      </c>
      <c r="H909" t="n">
        <v>0</v>
      </c>
      <c r="I909" t="n">
        <v>0</v>
      </c>
      <c r="J909" t="n">
        <v>0</v>
      </c>
      <c r="K909" t="n">
        <v>0</v>
      </c>
      <c r="L909" t="n">
        <v>0</v>
      </c>
      <c r="M909" t="n">
        <v>0</v>
      </c>
      <c r="N909" t="n">
        <v>0</v>
      </c>
      <c r="O909" t="n">
        <v>0</v>
      </c>
      <c r="P909" t="n">
        <v>0</v>
      </c>
      <c r="Q909" t="n">
        <v>0</v>
      </c>
      <c r="R909" s="2" t="inlineStr"/>
    </row>
    <row r="910" ht="15" customHeight="1">
      <c r="A910" t="inlineStr">
        <is>
          <t>A 36056-2025</t>
        </is>
      </c>
      <c r="B910" s="1" t="n">
        <v>45866.39083333333</v>
      </c>
      <c r="C910" s="1" t="n">
        <v>46087</v>
      </c>
      <c r="D910" t="inlineStr">
        <is>
          <t>VÄSTERBOTTENS LÄN</t>
        </is>
      </c>
      <c r="E910" t="inlineStr">
        <is>
          <t>UMEÅ</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36084-2025</t>
        </is>
      </c>
      <c r="B911" s="1" t="n">
        <v>45866.460625</v>
      </c>
      <c r="C911" s="1" t="n">
        <v>46087</v>
      </c>
      <c r="D911" t="inlineStr">
        <is>
          <t>VÄSTERBOTTENS LÄN</t>
        </is>
      </c>
      <c r="E911" t="inlineStr">
        <is>
          <t>UMEÅ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36114-2025</t>
        </is>
      </c>
      <c r="B912" s="1" t="n">
        <v>45866.57740740741</v>
      </c>
      <c r="C912" s="1" t="n">
        <v>46087</v>
      </c>
      <c r="D912" t="inlineStr">
        <is>
          <t>VÄSTERBOTTENS LÄN</t>
        </is>
      </c>
      <c r="E912" t="inlineStr">
        <is>
          <t>UMEÅ</t>
        </is>
      </c>
      <c r="F912" t="inlineStr">
        <is>
          <t>Holmen skog AB</t>
        </is>
      </c>
      <c r="G912" t="n">
        <v>3</v>
      </c>
      <c r="H912" t="n">
        <v>0</v>
      </c>
      <c r="I912" t="n">
        <v>0</v>
      </c>
      <c r="J912" t="n">
        <v>0</v>
      </c>
      <c r="K912" t="n">
        <v>0</v>
      </c>
      <c r="L912" t="n">
        <v>0</v>
      </c>
      <c r="M912" t="n">
        <v>0</v>
      </c>
      <c r="N912" t="n">
        <v>0</v>
      </c>
      <c r="O912" t="n">
        <v>0</v>
      </c>
      <c r="P912" t="n">
        <v>0</v>
      </c>
      <c r="Q912" t="n">
        <v>0</v>
      </c>
      <c r="R912" s="2" t="inlineStr"/>
    </row>
    <row r="913" ht="15" customHeight="1">
      <c r="A913" t="inlineStr">
        <is>
          <t>A 29000-2024</t>
        </is>
      </c>
      <c r="B913" s="1" t="n">
        <v>45481.50622685185</v>
      </c>
      <c r="C913" s="1" t="n">
        <v>46087</v>
      </c>
      <c r="D913" t="inlineStr">
        <is>
          <t>VÄSTERBOTTENS LÄN</t>
        </is>
      </c>
      <c r="E913" t="inlineStr">
        <is>
          <t>UMEÅ</t>
        </is>
      </c>
      <c r="G913" t="n">
        <v>1</v>
      </c>
      <c r="H913" t="n">
        <v>0</v>
      </c>
      <c r="I913" t="n">
        <v>0</v>
      </c>
      <c r="J913" t="n">
        <v>0</v>
      </c>
      <c r="K913" t="n">
        <v>0</v>
      </c>
      <c r="L913" t="n">
        <v>0</v>
      </c>
      <c r="M913" t="n">
        <v>0</v>
      </c>
      <c r="N913" t="n">
        <v>0</v>
      </c>
      <c r="O913" t="n">
        <v>0</v>
      </c>
      <c r="P913" t="n">
        <v>0</v>
      </c>
      <c r="Q913" t="n">
        <v>0</v>
      </c>
      <c r="R913" s="2" t="inlineStr"/>
    </row>
    <row r="914" ht="15" customHeight="1">
      <c r="A914" t="inlineStr">
        <is>
          <t>A 23718-2024</t>
        </is>
      </c>
      <c r="B914" s="1" t="n">
        <v>45454.81177083333</v>
      </c>
      <c r="C914" s="1" t="n">
        <v>46087</v>
      </c>
      <c r="D914" t="inlineStr">
        <is>
          <t>VÄSTERBOTTENS LÄN</t>
        </is>
      </c>
      <c r="E914" t="inlineStr">
        <is>
          <t>UMEÅ</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43976-2024</t>
        </is>
      </c>
      <c r="B915" s="1" t="n">
        <v>45572</v>
      </c>
      <c r="C915" s="1" t="n">
        <v>46087</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43977-2024</t>
        </is>
      </c>
      <c r="B916" s="1" t="n">
        <v>45572.49082175926</v>
      </c>
      <c r="C916" s="1" t="n">
        <v>46087</v>
      </c>
      <c r="D916" t="inlineStr">
        <is>
          <t>VÄSTERBOTTENS LÄN</t>
        </is>
      </c>
      <c r="E916" t="inlineStr">
        <is>
          <t>UMEÅ</t>
        </is>
      </c>
      <c r="G916" t="n">
        <v>3.3</v>
      </c>
      <c r="H916" t="n">
        <v>0</v>
      </c>
      <c r="I916" t="n">
        <v>0</v>
      </c>
      <c r="J916" t="n">
        <v>0</v>
      </c>
      <c r="K916" t="n">
        <v>0</v>
      </c>
      <c r="L916" t="n">
        <v>0</v>
      </c>
      <c r="M916" t="n">
        <v>0</v>
      </c>
      <c r="N916" t="n">
        <v>0</v>
      </c>
      <c r="O916" t="n">
        <v>0</v>
      </c>
      <c r="P916" t="n">
        <v>0</v>
      </c>
      <c r="Q916" t="n">
        <v>0</v>
      </c>
      <c r="R916" s="2" t="inlineStr"/>
    </row>
    <row r="917" ht="15" customHeight="1">
      <c r="A917" t="inlineStr">
        <is>
          <t>A 17989-2023</t>
        </is>
      </c>
      <c r="B917" s="1" t="n">
        <v>45040</v>
      </c>
      <c r="C917" s="1" t="n">
        <v>46087</v>
      </c>
      <c r="D917" t="inlineStr">
        <is>
          <t>VÄSTERBOTTENS LÄN</t>
        </is>
      </c>
      <c r="E917" t="inlineStr">
        <is>
          <t>UMEÅ</t>
        </is>
      </c>
      <c r="F917" t="inlineStr">
        <is>
          <t>Kommuner</t>
        </is>
      </c>
      <c r="G917" t="n">
        <v>1.1</v>
      </c>
      <c r="H917" t="n">
        <v>0</v>
      </c>
      <c r="I917" t="n">
        <v>0</v>
      </c>
      <c r="J917" t="n">
        <v>0</v>
      </c>
      <c r="K917" t="n">
        <v>0</v>
      </c>
      <c r="L917" t="n">
        <v>0</v>
      </c>
      <c r="M917" t="n">
        <v>0</v>
      </c>
      <c r="N917" t="n">
        <v>0</v>
      </c>
      <c r="O917" t="n">
        <v>0</v>
      </c>
      <c r="P917" t="n">
        <v>0</v>
      </c>
      <c r="Q917" t="n">
        <v>0</v>
      </c>
      <c r="R917" s="2" t="inlineStr"/>
    </row>
    <row r="918" ht="15" customHeight="1">
      <c r="A918" t="inlineStr">
        <is>
          <t>A 36334-2025</t>
        </is>
      </c>
      <c r="B918" s="1" t="n">
        <v>45868.43071759259</v>
      </c>
      <c r="C918" s="1" t="n">
        <v>46087</v>
      </c>
      <c r="D918" t="inlineStr">
        <is>
          <t>VÄSTERBOTTENS LÄN</t>
        </is>
      </c>
      <c r="E918" t="inlineStr">
        <is>
          <t>UMEÅ</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36309-2025</t>
        </is>
      </c>
      <c r="B919" s="1" t="n">
        <v>45868.33694444445</v>
      </c>
      <c r="C919" s="1" t="n">
        <v>46087</v>
      </c>
      <c r="D919" t="inlineStr">
        <is>
          <t>VÄSTERBOTTENS LÄN</t>
        </is>
      </c>
      <c r="E919" t="inlineStr">
        <is>
          <t>UMEÅ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36217-2025</t>
        </is>
      </c>
      <c r="B920" s="1" t="n">
        <v>45867.49550925926</v>
      </c>
      <c r="C920" s="1" t="n">
        <v>46087</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36233-2025</t>
        </is>
      </c>
      <c r="B921" s="1" t="n">
        <v>45867.54707175926</v>
      </c>
      <c r="C921" s="1" t="n">
        <v>46087</v>
      </c>
      <c r="D921" t="inlineStr">
        <is>
          <t>VÄSTERBOTTENS LÄN</t>
        </is>
      </c>
      <c r="E921" t="inlineStr">
        <is>
          <t>UMEÅ</t>
        </is>
      </c>
      <c r="F921" t="inlineStr">
        <is>
          <t>Holmen skog AB</t>
        </is>
      </c>
      <c r="G921" t="n">
        <v>3.9</v>
      </c>
      <c r="H921" t="n">
        <v>0</v>
      </c>
      <c r="I921" t="n">
        <v>0</v>
      </c>
      <c r="J921" t="n">
        <v>0</v>
      </c>
      <c r="K921" t="n">
        <v>0</v>
      </c>
      <c r="L921" t="n">
        <v>0</v>
      </c>
      <c r="M921" t="n">
        <v>0</v>
      </c>
      <c r="N921" t="n">
        <v>0</v>
      </c>
      <c r="O921" t="n">
        <v>0</v>
      </c>
      <c r="P921" t="n">
        <v>0</v>
      </c>
      <c r="Q921" t="n">
        <v>0</v>
      </c>
      <c r="R921" s="2" t="inlineStr"/>
    </row>
    <row r="922" ht="15" customHeight="1">
      <c r="A922" t="inlineStr">
        <is>
          <t>A 64355-2021</t>
        </is>
      </c>
      <c r="B922" s="1" t="n">
        <v>44511</v>
      </c>
      <c r="C922" s="1" t="n">
        <v>46087</v>
      </c>
      <c r="D922" t="inlineStr">
        <is>
          <t>VÄSTERBOTTENS LÄN</t>
        </is>
      </c>
      <c r="E922" t="inlineStr">
        <is>
          <t>UMEÅ</t>
        </is>
      </c>
      <c r="G922" t="n">
        <v>2.3</v>
      </c>
      <c r="H922" t="n">
        <v>0</v>
      </c>
      <c r="I922" t="n">
        <v>0</v>
      </c>
      <c r="J922" t="n">
        <v>0</v>
      </c>
      <c r="K922" t="n">
        <v>0</v>
      </c>
      <c r="L922" t="n">
        <v>0</v>
      </c>
      <c r="M922" t="n">
        <v>0</v>
      </c>
      <c r="N922" t="n">
        <v>0</v>
      </c>
      <c r="O922" t="n">
        <v>0</v>
      </c>
      <c r="P922" t="n">
        <v>0</v>
      </c>
      <c r="Q922" t="n">
        <v>0</v>
      </c>
      <c r="R922" s="2" t="inlineStr"/>
    </row>
    <row r="923" ht="15" customHeight="1">
      <c r="A923" t="inlineStr">
        <is>
          <t>A 54152-2024</t>
        </is>
      </c>
      <c r="B923" s="1" t="n">
        <v>45616</v>
      </c>
      <c r="C923" s="1" t="n">
        <v>46087</v>
      </c>
      <c r="D923" t="inlineStr">
        <is>
          <t>VÄSTERBOTTENS LÄN</t>
        </is>
      </c>
      <c r="E923" t="inlineStr">
        <is>
          <t>UMEÅ</t>
        </is>
      </c>
      <c r="G923" t="n">
        <v>0.4</v>
      </c>
      <c r="H923" t="n">
        <v>0</v>
      </c>
      <c r="I923" t="n">
        <v>0</v>
      </c>
      <c r="J923" t="n">
        <v>0</v>
      </c>
      <c r="K923" t="n">
        <v>0</v>
      </c>
      <c r="L923" t="n">
        <v>0</v>
      </c>
      <c r="M923" t="n">
        <v>0</v>
      </c>
      <c r="N923" t="n">
        <v>0</v>
      </c>
      <c r="O923" t="n">
        <v>0</v>
      </c>
      <c r="P923" t="n">
        <v>0</v>
      </c>
      <c r="Q923" t="n">
        <v>0</v>
      </c>
      <c r="R923" s="2" t="inlineStr"/>
    </row>
    <row r="924" ht="15" customHeight="1">
      <c r="A924" t="inlineStr">
        <is>
          <t>A 48448-2024</t>
        </is>
      </c>
      <c r="B924" s="1" t="n">
        <v>45590.70138888889</v>
      </c>
      <c r="C924" s="1" t="n">
        <v>46087</v>
      </c>
      <c r="D924" t="inlineStr">
        <is>
          <t>VÄSTERBOTTENS LÄN</t>
        </is>
      </c>
      <c r="E924" t="inlineStr">
        <is>
          <t>UMEÅ</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1502-2025</t>
        </is>
      </c>
      <c r="B925" s="1" t="n">
        <v>45670.42223379629</v>
      </c>
      <c r="C925" s="1" t="n">
        <v>46087</v>
      </c>
      <c r="D925" t="inlineStr">
        <is>
          <t>VÄSTERBOTTENS LÄN</t>
        </is>
      </c>
      <c r="E925" t="inlineStr">
        <is>
          <t>UMEÅ</t>
        </is>
      </c>
      <c r="G925" t="n">
        <v>8.9</v>
      </c>
      <c r="H925" t="n">
        <v>0</v>
      </c>
      <c r="I925" t="n">
        <v>0</v>
      </c>
      <c r="J925" t="n">
        <v>0</v>
      </c>
      <c r="K925" t="n">
        <v>0</v>
      </c>
      <c r="L925" t="n">
        <v>0</v>
      </c>
      <c r="M925" t="n">
        <v>0</v>
      </c>
      <c r="N925" t="n">
        <v>0</v>
      </c>
      <c r="O925" t="n">
        <v>0</v>
      </c>
      <c r="P925" t="n">
        <v>0</v>
      </c>
      <c r="Q925" t="n">
        <v>0</v>
      </c>
      <c r="R925" s="2" t="inlineStr"/>
    </row>
    <row r="926" ht="15" customHeight="1">
      <c r="A926" t="inlineStr">
        <is>
          <t>A 36578-2025</t>
        </is>
      </c>
      <c r="B926" s="1" t="n">
        <v>45870.41876157407</v>
      </c>
      <c r="C926" s="1" t="n">
        <v>46087</v>
      </c>
      <c r="D926" t="inlineStr">
        <is>
          <t>VÄSTERBOTTENS LÄN</t>
        </is>
      </c>
      <c r="E926" t="inlineStr">
        <is>
          <t>UMEÅ</t>
        </is>
      </c>
      <c r="F926" t="inlineStr">
        <is>
          <t>Holmen skog AB</t>
        </is>
      </c>
      <c r="G926" t="n">
        <v>7.6</v>
      </c>
      <c r="H926" t="n">
        <v>0</v>
      </c>
      <c r="I926" t="n">
        <v>0</v>
      </c>
      <c r="J926" t="n">
        <v>0</v>
      </c>
      <c r="K926" t="n">
        <v>0</v>
      </c>
      <c r="L926" t="n">
        <v>0</v>
      </c>
      <c r="M926" t="n">
        <v>0</v>
      </c>
      <c r="N926" t="n">
        <v>0</v>
      </c>
      <c r="O926" t="n">
        <v>0</v>
      </c>
      <c r="P926" t="n">
        <v>0</v>
      </c>
      <c r="Q926" t="n">
        <v>0</v>
      </c>
      <c r="R926" s="2" t="inlineStr"/>
    </row>
    <row r="927" ht="15" customHeight="1">
      <c r="A927" t="inlineStr">
        <is>
          <t>A 36905-2025</t>
        </is>
      </c>
      <c r="B927" s="1" t="n">
        <v>45874.49083333334</v>
      </c>
      <c r="C927" s="1" t="n">
        <v>46087</v>
      </c>
      <c r="D927" t="inlineStr">
        <is>
          <t>VÄSTERBOTTENS LÄN</t>
        </is>
      </c>
      <c r="E927" t="inlineStr">
        <is>
          <t>UMEÅ</t>
        </is>
      </c>
      <c r="G927" t="n">
        <v>8</v>
      </c>
      <c r="H927" t="n">
        <v>0</v>
      </c>
      <c r="I927" t="n">
        <v>0</v>
      </c>
      <c r="J927" t="n">
        <v>0</v>
      </c>
      <c r="K927" t="n">
        <v>0</v>
      </c>
      <c r="L927" t="n">
        <v>0</v>
      </c>
      <c r="M927" t="n">
        <v>0</v>
      </c>
      <c r="N927" t="n">
        <v>0</v>
      </c>
      <c r="O927" t="n">
        <v>0</v>
      </c>
      <c r="P927" t="n">
        <v>0</v>
      </c>
      <c r="Q927" t="n">
        <v>0</v>
      </c>
      <c r="R927" s="2" t="inlineStr"/>
    </row>
    <row r="928" ht="15" customHeight="1">
      <c r="A928" t="inlineStr">
        <is>
          <t>A 36739-2025</t>
        </is>
      </c>
      <c r="B928" s="1" t="n">
        <v>45873.53224537037</v>
      </c>
      <c r="C928" s="1" t="n">
        <v>46087</v>
      </c>
      <c r="D928" t="inlineStr">
        <is>
          <t>VÄSTERBOTTENS LÄN</t>
        </is>
      </c>
      <c r="E928" t="inlineStr">
        <is>
          <t>UMEÅ</t>
        </is>
      </c>
      <c r="F928" t="inlineStr">
        <is>
          <t>Kommuner</t>
        </is>
      </c>
      <c r="G928" t="n">
        <v>2</v>
      </c>
      <c r="H928" t="n">
        <v>0</v>
      </c>
      <c r="I928" t="n">
        <v>0</v>
      </c>
      <c r="J928" t="n">
        <v>0</v>
      </c>
      <c r="K928" t="n">
        <v>0</v>
      </c>
      <c r="L928" t="n">
        <v>0</v>
      </c>
      <c r="M928" t="n">
        <v>0</v>
      </c>
      <c r="N928" t="n">
        <v>0</v>
      </c>
      <c r="O928" t="n">
        <v>0</v>
      </c>
      <c r="P928" t="n">
        <v>0</v>
      </c>
      <c r="Q928" t="n">
        <v>0</v>
      </c>
      <c r="R928" s="2" t="inlineStr"/>
    </row>
    <row r="929" ht="15" customHeight="1">
      <c r="A929" t="inlineStr">
        <is>
          <t>A 36902-2025</t>
        </is>
      </c>
      <c r="B929" s="1" t="n">
        <v>45874.48899305556</v>
      </c>
      <c r="C929" s="1" t="n">
        <v>46087</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58256-2023</t>
        </is>
      </c>
      <c r="B930" s="1" t="n">
        <v>45250.48440972222</v>
      </c>
      <c r="C930" s="1" t="n">
        <v>46087</v>
      </c>
      <c r="D930" t="inlineStr">
        <is>
          <t>VÄSTERBOTTENS LÄN</t>
        </is>
      </c>
      <c r="E930" t="inlineStr">
        <is>
          <t>UMEÅ</t>
        </is>
      </c>
      <c r="G930" t="n">
        <v>0.3</v>
      </c>
      <c r="H930" t="n">
        <v>0</v>
      </c>
      <c r="I930" t="n">
        <v>0</v>
      </c>
      <c r="J930" t="n">
        <v>0</v>
      </c>
      <c r="K930" t="n">
        <v>0</v>
      </c>
      <c r="L930" t="n">
        <v>0</v>
      </c>
      <c r="M930" t="n">
        <v>0</v>
      </c>
      <c r="N930" t="n">
        <v>0</v>
      </c>
      <c r="O930" t="n">
        <v>0</v>
      </c>
      <c r="P930" t="n">
        <v>0</v>
      </c>
      <c r="Q930" t="n">
        <v>0</v>
      </c>
      <c r="R930" s="2" t="inlineStr"/>
    </row>
    <row r="931" ht="15" customHeight="1">
      <c r="A931" t="inlineStr">
        <is>
          <t>A 48714-2024</t>
        </is>
      </c>
      <c r="B931" s="1" t="n">
        <v>45593.54328703704</v>
      </c>
      <c r="C931" s="1" t="n">
        <v>46087</v>
      </c>
      <c r="D931" t="inlineStr">
        <is>
          <t>VÄSTERBOTTENS LÄN</t>
        </is>
      </c>
      <c r="E931" t="inlineStr">
        <is>
          <t>UMEÅ</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18010-2025</t>
        </is>
      </c>
      <c r="B932" s="1" t="n">
        <v>45761.43072916667</v>
      </c>
      <c r="C932" s="1" t="n">
        <v>46087</v>
      </c>
      <c r="D932" t="inlineStr">
        <is>
          <t>VÄSTERBOTTENS LÄN</t>
        </is>
      </c>
      <c r="E932" t="inlineStr">
        <is>
          <t>UMEÅ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36746-2025</t>
        </is>
      </c>
      <c r="B933" s="1" t="n">
        <v>45873.54766203704</v>
      </c>
      <c r="C933" s="1" t="n">
        <v>46087</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36747-2025</t>
        </is>
      </c>
      <c r="B934" s="1" t="n">
        <v>45873.54780092592</v>
      </c>
      <c r="C934" s="1" t="n">
        <v>46087</v>
      </c>
      <c r="D934" t="inlineStr">
        <is>
          <t>VÄSTERBOTTENS LÄN</t>
        </is>
      </c>
      <c r="E934" t="inlineStr">
        <is>
          <t>UMEÅ</t>
        </is>
      </c>
      <c r="F934" t="inlineStr">
        <is>
          <t>Holmen skog AB</t>
        </is>
      </c>
      <c r="G934" t="n">
        <v>5.8</v>
      </c>
      <c r="H934" t="n">
        <v>0</v>
      </c>
      <c r="I934" t="n">
        <v>0</v>
      </c>
      <c r="J934" t="n">
        <v>0</v>
      </c>
      <c r="K934" t="n">
        <v>0</v>
      </c>
      <c r="L934" t="n">
        <v>0</v>
      </c>
      <c r="M934" t="n">
        <v>0</v>
      </c>
      <c r="N934" t="n">
        <v>0</v>
      </c>
      <c r="O934" t="n">
        <v>0</v>
      </c>
      <c r="P934" t="n">
        <v>0</v>
      </c>
      <c r="Q934" t="n">
        <v>0</v>
      </c>
      <c r="R934" s="2" t="inlineStr"/>
    </row>
    <row r="935" ht="15" customHeight="1">
      <c r="A935" t="inlineStr">
        <is>
          <t>A 8575-2025</t>
        </is>
      </c>
      <c r="B935" s="1" t="n">
        <v>45709.66362268518</v>
      </c>
      <c r="C935" s="1" t="n">
        <v>46087</v>
      </c>
      <c r="D935" t="inlineStr">
        <is>
          <t>VÄSTERBOTTENS LÄN</t>
        </is>
      </c>
      <c r="E935" t="inlineStr">
        <is>
          <t>UMEÅ</t>
        </is>
      </c>
      <c r="G935" t="n">
        <v>2.4</v>
      </c>
      <c r="H935" t="n">
        <v>0</v>
      </c>
      <c r="I935" t="n">
        <v>0</v>
      </c>
      <c r="J935" t="n">
        <v>0</v>
      </c>
      <c r="K935" t="n">
        <v>0</v>
      </c>
      <c r="L935" t="n">
        <v>0</v>
      </c>
      <c r="M935" t="n">
        <v>0</v>
      </c>
      <c r="N935" t="n">
        <v>0</v>
      </c>
      <c r="O935" t="n">
        <v>0</v>
      </c>
      <c r="P935" t="n">
        <v>0</v>
      </c>
      <c r="Q935" t="n">
        <v>0</v>
      </c>
      <c r="R935" s="2" t="inlineStr"/>
    </row>
    <row r="936" ht="15" customHeight="1">
      <c r="A936" t="inlineStr">
        <is>
          <t>A 5374-2022</t>
        </is>
      </c>
      <c r="B936" s="1" t="n">
        <v>44594.92151620371</v>
      </c>
      <c r="C936" s="1" t="n">
        <v>46087</v>
      </c>
      <c r="D936" t="inlineStr">
        <is>
          <t>VÄSTERBOTTENS LÄN</t>
        </is>
      </c>
      <c r="E936" t="inlineStr">
        <is>
          <t>UMEÅ</t>
        </is>
      </c>
      <c r="G936" t="n">
        <v>4.6</v>
      </c>
      <c r="H936" t="n">
        <v>0</v>
      </c>
      <c r="I936" t="n">
        <v>0</v>
      </c>
      <c r="J936" t="n">
        <v>0</v>
      </c>
      <c r="K936" t="n">
        <v>0</v>
      </c>
      <c r="L936" t="n">
        <v>0</v>
      </c>
      <c r="M936" t="n">
        <v>0</v>
      </c>
      <c r="N936" t="n">
        <v>0</v>
      </c>
      <c r="O936" t="n">
        <v>0</v>
      </c>
      <c r="P936" t="n">
        <v>0</v>
      </c>
      <c r="Q936" t="n">
        <v>0</v>
      </c>
      <c r="R936" s="2" t="inlineStr"/>
    </row>
    <row r="937" ht="15" customHeight="1">
      <c r="A937" t="inlineStr">
        <is>
          <t>A 11109-2022</t>
        </is>
      </c>
      <c r="B937" s="1" t="n">
        <v>44628.92515046296</v>
      </c>
      <c r="C937" s="1" t="n">
        <v>46087</v>
      </c>
      <c r="D937" t="inlineStr">
        <is>
          <t>VÄSTERBOTTENS LÄN</t>
        </is>
      </c>
      <c r="E937" t="inlineStr">
        <is>
          <t>UMEÅ</t>
        </is>
      </c>
      <c r="G937" t="n">
        <v>3.8</v>
      </c>
      <c r="H937" t="n">
        <v>0</v>
      </c>
      <c r="I937" t="n">
        <v>0</v>
      </c>
      <c r="J937" t="n">
        <v>0</v>
      </c>
      <c r="K937" t="n">
        <v>0</v>
      </c>
      <c r="L937" t="n">
        <v>0</v>
      </c>
      <c r="M937" t="n">
        <v>0</v>
      </c>
      <c r="N937" t="n">
        <v>0</v>
      </c>
      <c r="O937" t="n">
        <v>0</v>
      </c>
      <c r="P937" t="n">
        <v>0</v>
      </c>
      <c r="Q937" t="n">
        <v>0</v>
      </c>
      <c r="R937" s="2" t="inlineStr"/>
    </row>
    <row r="938" ht="15" customHeight="1">
      <c r="A938" t="inlineStr">
        <is>
          <t>A 37309-2025</t>
        </is>
      </c>
      <c r="B938" s="1" t="n">
        <v>45876.595</v>
      </c>
      <c r="C938" s="1" t="n">
        <v>46087</v>
      </c>
      <c r="D938" t="inlineStr">
        <is>
          <t>VÄSTERBOTTENS LÄN</t>
        </is>
      </c>
      <c r="E938" t="inlineStr">
        <is>
          <t>UMEÅ</t>
        </is>
      </c>
      <c r="G938" t="n">
        <v>1.7</v>
      </c>
      <c r="H938" t="n">
        <v>0</v>
      </c>
      <c r="I938" t="n">
        <v>0</v>
      </c>
      <c r="J938" t="n">
        <v>0</v>
      </c>
      <c r="K938" t="n">
        <v>0</v>
      </c>
      <c r="L938" t="n">
        <v>0</v>
      </c>
      <c r="M938" t="n">
        <v>0</v>
      </c>
      <c r="N938" t="n">
        <v>0</v>
      </c>
      <c r="O938" t="n">
        <v>0</v>
      </c>
      <c r="P938" t="n">
        <v>0</v>
      </c>
      <c r="Q938" t="n">
        <v>0</v>
      </c>
      <c r="R938" s="2" t="inlineStr"/>
    </row>
    <row r="939" ht="15" customHeight="1">
      <c r="A939" t="inlineStr">
        <is>
          <t>A 37039-2025</t>
        </is>
      </c>
      <c r="B939" s="1" t="n">
        <v>45875.32471064815</v>
      </c>
      <c r="C939" s="1" t="n">
        <v>46087</v>
      </c>
      <c r="D939" t="inlineStr">
        <is>
          <t>VÄSTERBOTTENS LÄN</t>
        </is>
      </c>
      <c r="E939" t="inlineStr">
        <is>
          <t>UMEÅ</t>
        </is>
      </c>
      <c r="F939" t="inlineStr">
        <is>
          <t>Holmen skog AB</t>
        </is>
      </c>
      <c r="G939" t="n">
        <v>4.8</v>
      </c>
      <c r="H939" t="n">
        <v>0</v>
      </c>
      <c r="I939" t="n">
        <v>0</v>
      </c>
      <c r="J939" t="n">
        <v>0</v>
      </c>
      <c r="K939" t="n">
        <v>0</v>
      </c>
      <c r="L939" t="n">
        <v>0</v>
      </c>
      <c r="M939" t="n">
        <v>0</v>
      </c>
      <c r="N939" t="n">
        <v>0</v>
      </c>
      <c r="O939" t="n">
        <v>0</v>
      </c>
      <c r="P939" t="n">
        <v>0</v>
      </c>
      <c r="Q939" t="n">
        <v>0</v>
      </c>
      <c r="R939" s="2" t="inlineStr"/>
    </row>
    <row r="940" ht="15" customHeight="1">
      <c r="A940" t="inlineStr">
        <is>
          <t>A 36814-2025</t>
        </is>
      </c>
      <c r="B940" s="1" t="n">
        <v>45872</v>
      </c>
      <c r="C940" s="1" t="n">
        <v>46087</v>
      </c>
      <c r="D940" t="inlineStr">
        <is>
          <t>VÄSTERBOTTENS LÄN</t>
        </is>
      </c>
      <c r="E940" t="inlineStr">
        <is>
          <t>UMEÅ</t>
        </is>
      </c>
      <c r="G940" t="n">
        <v>1.7</v>
      </c>
      <c r="H940" t="n">
        <v>0</v>
      </c>
      <c r="I940" t="n">
        <v>0</v>
      </c>
      <c r="J940" t="n">
        <v>0</v>
      </c>
      <c r="K940" t="n">
        <v>0</v>
      </c>
      <c r="L940" t="n">
        <v>0</v>
      </c>
      <c r="M940" t="n">
        <v>0</v>
      </c>
      <c r="N940" t="n">
        <v>0</v>
      </c>
      <c r="O940" t="n">
        <v>0</v>
      </c>
      <c r="P940" t="n">
        <v>0</v>
      </c>
      <c r="Q940" t="n">
        <v>0</v>
      </c>
      <c r="R940" s="2" t="inlineStr"/>
    </row>
    <row r="941" ht="15" customHeight="1">
      <c r="A941" t="inlineStr">
        <is>
          <t>A 60179-2024</t>
        </is>
      </c>
      <c r="B941" s="1" t="n">
        <v>45642.63862268518</v>
      </c>
      <c r="C941" s="1" t="n">
        <v>46087</v>
      </c>
      <c r="D941" t="inlineStr">
        <is>
          <t>VÄSTERBOTTENS LÄN</t>
        </is>
      </c>
      <c r="E941" t="inlineStr">
        <is>
          <t>UMEÅ</t>
        </is>
      </c>
      <c r="G941" t="n">
        <v>3.4</v>
      </c>
      <c r="H941" t="n">
        <v>0</v>
      </c>
      <c r="I941" t="n">
        <v>0</v>
      </c>
      <c r="J941" t="n">
        <v>0</v>
      </c>
      <c r="K941" t="n">
        <v>0</v>
      </c>
      <c r="L941" t="n">
        <v>0</v>
      </c>
      <c r="M941" t="n">
        <v>0</v>
      </c>
      <c r="N941" t="n">
        <v>0</v>
      </c>
      <c r="O941" t="n">
        <v>0</v>
      </c>
      <c r="P941" t="n">
        <v>0</v>
      </c>
      <c r="Q941" t="n">
        <v>0</v>
      </c>
      <c r="R941" s="2" t="inlineStr"/>
    </row>
    <row r="942" ht="15" customHeight="1">
      <c r="A942" t="inlineStr">
        <is>
          <t>A 16330-2023</t>
        </is>
      </c>
      <c r="B942" s="1" t="n">
        <v>45028</v>
      </c>
      <c r="C942" s="1" t="n">
        <v>46087</v>
      </c>
      <c r="D942" t="inlineStr">
        <is>
          <t>VÄSTERBOTTENS LÄN</t>
        </is>
      </c>
      <c r="E942" t="inlineStr">
        <is>
          <t>UMEÅ</t>
        </is>
      </c>
      <c r="F942" t="inlineStr">
        <is>
          <t>Holmen skog AB</t>
        </is>
      </c>
      <c r="G942" t="n">
        <v>3.7</v>
      </c>
      <c r="H942" t="n">
        <v>0</v>
      </c>
      <c r="I942" t="n">
        <v>0</v>
      </c>
      <c r="J942" t="n">
        <v>0</v>
      </c>
      <c r="K942" t="n">
        <v>0</v>
      </c>
      <c r="L942" t="n">
        <v>0</v>
      </c>
      <c r="M942" t="n">
        <v>0</v>
      </c>
      <c r="N942" t="n">
        <v>0</v>
      </c>
      <c r="O942" t="n">
        <v>0</v>
      </c>
      <c r="P942" t="n">
        <v>0</v>
      </c>
      <c r="Q942" t="n">
        <v>0</v>
      </c>
      <c r="R942" s="2" t="inlineStr"/>
    </row>
    <row r="943" ht="15" customHeight="1">
      <c r="A943" t="inlineStr">
        <is>
          <t>A 46849-2023</t>
        </is>
      </c>
      <c r="B943" s="1" t="n">
        <v>45199.87405092592</v>
      </c>
      <c r="C943" s="1" t="n">
        <v>46087</v>
      </c>
      <c r="D943" t="inlineStr">
        <is>
          <t>VÄSTERBOTTENS LÄN</t>
        </is>
      </c>
      <c r="E943" t="inlineStr">
        <is>
          <t>UMEÅ</t>
        </is>
      </c>
      <c r="G943" t="n">
        <v>1.6</v>
      </c>
      <c r="H943" t="n">
        <v>0</v>
      </c>
      <c r="I943" t="n">
        <v>0</v>
      </c>
      <c r="J943" t="n">
        <v>0</v>
      </c>
      <c r="K943" t="n">
        <v>0</v>
      </c>
      <c r="L943" t="n">
        <v>0</v>
      </c>
      <c r="M943" t="n">
        <v>0</v>
      </c>
      <c r="N943" t="n">
        <v>0</v>
      </c>
      <c r="O943" t="n">
        <v>0</v>
      </c>
      <c r="P943" t="n">
        <v>0</v>
      </c>
      <c r="Q943" t="n">
        <v>0</v>
      </c>
      <c r="R943" s="2" t="inlineStr"/>
    </row>
    <row r="944" ht="15" customHeight="1">
      <c r="A944" t="inlineStr">
        <is>
          <t>A 37038-2025</t>
        </is>
      </c>
      <c r="B944" s="1" t="n">
        <v>45875.31435185186</v>
      </c>
      <c r="C944" s="1" t="n">
        <v>46087</v>
      </c>
      <c r="D944" t="inlineStr">
        <is>
          <t>VÄSTERBOTTENS LÄN</t>
        </is>
      </c>
      <c r="E944" t="inlineStr">
        <is>
          <t>UMEÅ</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37308-2025</t>
        </is>
      </c>
      <c r="B945" s="1" t="n">
        <v>45876.59497685185</v>
      </c>
      <c r="C945" s="1" t="n">
        <v>46087</v>
      </c>
      <c r="D945" t="inlineStr">
        <is>
          <t>VÄSTERBOTTENS LÄN</t>
        </is>
      </c>
      <c r="E945" t="inlineStr">
        <is>
          <t>UMEÅ</t>
        </is>
      </c>
      <c r="G945" t="n">
        <v>1.4</v>
      </c>
      <c r="H945" t="n">
        <v>0</v>
      </c>
      <c r="I945" t="n">
        <v>0</v>
      </c>
      <c r="J945" t="n">
        <v>0</v>
      </c>
      <c r="K945" t="n">
        <v>0</v>
      </c>
      <c r="L945" t="n">
        <v>0</v>
      </c>
      <c r="M945" t="n">
        <v>0</v>
      </c>
      <c r="N945" t="n">
        <v>0</v>
      </c>
      <c r="O945" t="n">
        <v>0</v>
      </c>
      <c r="P945" t="n">
        <v>0</v>
      </c>
      <c r="Q945" t="n">
        <v>0</v>
      </c>
      <c r="R945" s="2" t="inlineStr"/>
    </row>
    <row r="946" ht="15" customHeight="1">
      <c r="A946" t="inlineStr">
        <is>
          <t>A 5994-2025</t>
        </is>
      </c>
      <c r="B946" s="1" t="n">
        <v>45695</v>
      </c>
      <c r="C946" s="1" t="n">
        <v>46087</v>
      </c>
      <c r="D946" t="inlineStr">
        <is>
          <t>VÄSTERBOTTENS LÄN</t>
        </is>
      </c>
      <c r="E946" t="inlineStr">
        <is>
          <t>UMEÅ</t>
        </is>
      </c>
      <c r="G946" t="n">
        <v>4.5</v>
      </c>
      <c r="H946" t="n">
        <v>0</v>
      </c>
      <c r="I946" t="n">
        <v>0</v>
      </c>
      <c r="J946" t="n">
        <v>0</v>
      </c>
      <c r="K946" t="n">
        <v>0</v>
      </c>
      <c r="L946" t="n">
        <v>0</v>
      </c>
      <c r="M946" t="n">
        <v>0</v>
      </c>
      <c r="N946" t="n">
        <v>0</v>
      </c>
      <c r="O946" t="n">
        <v>0</v>
      </c>
      <c r="P946" t="n">
        <v>0</v>
      </c>
      <c r="Q946" t="n">
        <v>0</v>
      </c>
      <c r="R946" s="2" t="inlineStr"/>
    </row>
    <row r="947" ht="15" customHeight="1">
      <c r="A947" t="inlineStr">
        <is>
          <t>A 28436-2025</t>
        </is>
      </c>
      <c r="B947" s="1" t="n">
        <v>45819.38614583333</v>
      </c>
      <c r="C947" s="1" t="n">
        <v>46087</v>
      </c>
      <c r="D947" t="inlineStr">
        <is>
          <t>VÄSTERBOTTENS LÄN</t>
        </is>
      </c>
      <c r="E947" t="inlineStr">
        <is>
          <t>UMEÅ</t>
        </is>
      </c>
      <c r="G947" t="n">
        <v>5.2</v>
      </c>
      <c r="H947" t="n">
        <v>0</v>
      </c>
      <c r="I947" t="n">
        <v>0</v>
      </c>
      <c r="J947" t="n">
        <v>0</v>
      </c>
      <c r="K947" t="n">
        <v>0</v>
      </c>
      <c r="L947" t="n">
        <v>0</v>
      </c>
      <c r="M947" t="n">
        <v>0</v>
      </c>
      <c r="N947" t="n">
        <v>0</v>
      </c>
      <c r="O947" t="n">
        <v>0</v>
      </c>
      <c r="P947" t="n">
        <v>0</v>
      </c>
      <c r="Q947" t="n">
        <v>0</v>
      </c>
      <c r="R947" s="2" t="inlineStr"/>
    </row>
    <row r="948" ht="15" customHeight="1">
      <c r="A948" t="inlineStr">
        <is>
          <t>A 37482-2025</t>
        </is>
      </c>
      <c r="B948" s="1" t="n">
        <v>45877.61789351852</v>
      </c>
      <c r="C948" s="1" t="n">
        <v>46087</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25699-2025</t>
        </is>
      </c>
      <c r="B949" s="1" t="n">
        <v>45803.66822916667</v>
      </c>
      <c r="C949" s="1" t="n">
        <v>46087</v>
      </c>
      <c r="D949" t="inlineStr">
        <is>
          <t>VÄSTERBOTTENS LÄN</t>
        </is>
      </c>
      <c r="E949" t="inlineStr">
        <is>
          <t>UMEÅ</t>
        </is>
      </c>
      <c r="G949" t="n">
        <v>1.8</v>
      </c>
      <c r="H949" t="n">
        <v>0</v>
      </c>
      <c r="I949" t="n">
        <v>0</v>
      </c>
      <c r="J949" t="n">
        <v>0</v>
      </c>
      <c r="K949" t="n">
        <v>0</v>
      </c>
      <c r="L949" t="n">
        <v>0</v>
      </c>
      <c r="M949" t="n">
        <v>0</v>
      </c>
      <c r="N949" t="n">
        <v>0</v>
      </c>
      <c r="O949" t="n">
        <v>0</v>
      </c>
      <c r="P949" t="n">
        <v>0</v>
      </c>
      <c r="Q949" t="n">
        <v>0</v>
      </c>
      <c r="R949" s="2" t="inlineStr"/>
    </row>
    <row r="950" ht="15" customHeight="1">
      <c r="A950" t="inlineStr">
        <is>
          <t>A 21084-2024</t>
        </is>
      </c>
      <c r="B950" s="1" t="n">
        <v>45439</v>
      </c>
      <c r="C950" s="1" t="n">
        <v>46087</v>
      </c>
      <c r="D950" t="inlineStr">
        <is>
          <t>VÄSTERBOTTENS LÄN</t>
        </is>
      </c>
      <c r="E950" t="inlineStr">
        <is>
          <t>UMEÅ</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25691-2025</t>
        </is>
      </c>
      <c r="B951" s="1" t="n">
        <v>45803.66194444444</v>
      </c>
      <c r="C951" s="1" t="n">
        <v>46087</v>
      </c>
      <c r="D951" t="inlineStr">
        <is>
          <t>VÄSTERBOTTENS LÄN</t>
        </is>
      </c>
      <c r="E951" t="inlineStr">
        <is>
          <t>UMEÅ</t>
        </is>
      </c>
      <c r="G951" t="n">
        <v>1.5</v>
      </c>
      <c r="H951" t="n">
        <v>0</v>
      </c>
      <c r="I951" t="n">
        <v>0</v>
      </c>
      <c r="J951" t="n">
        <v>0</v>
      </c>
      <c r="K951" t="n">
        <v>0</v>
      </c>
      <c r="L951" t="n">
        <v>0</v>
      </c>
      <c r="M951" t="n">
        <v>0</v>
      </c>
      <c r="N951" t="n">
        <v>0</v>
      </c>
      <c r="O951" t="n">
        <v>0</v>
      </c>
      <c r="P951" t="n">
        <v>0</v>
      </c>
      <c r="Q951" t="n">
        <v>0</v>
      </c>
      <c r="R951" s="2" t="inlineStr"/>
    </row>
    <row r="952" ht="15" customHeight="1">
      <c r="A952" t="inlineStr">
        <is>
          <t>A 22000-2023</t>
        </is>
      </c>
      <c r="B952" s="1" t="n">
        <v>45068.92700231481</v>
      </c>
      <c r="C952" s="1" t="n">
        <v>46087</v>
      </c>
      <c r="D952" t="inlineStr">
        <is>
          <t>VÄSTERBOTTENS LÄN</t>
        </is>
      </c>
      <c r="E952" t="inlineStr">
        <is>
          <t>UMEÅ</t>
        </is>
      </c>
      <c r="G952" t="n">
        <v>4.4</v>
      </c>
      <c r="H952" t="n">
        <v>0</v>
      </c>
      <c r="I952" t="n">
        <v>0</v>
      </c>
      <c r="J952" t="n">
        <v>0</v>
      </c>
      <c r="K952" t="n">
        <v>0</v>
      </c>
      <c r="L952" t="n">
        <v>0</v>
      </c>
      <c r="M952" t="n">
        <v>0</v>
      </c>
      <c r="N952" t="n">
        <v>0</v>
      </c>
      <c r="O952" t="n">
        <v>0</v>
      </c>
      <c r="P952" t="n">
        <v>0</v>
      </c>
      <c r="Q952" t="n">
        <v>0</v>
      </c>
      <c r="R952" s="2" t="inlineStr"/>
    </row>
    <row r="953" ht="15" customHeight="1">
      <c r="A953" t="inlineStr">
        <is>
          <t>A 2148-2024</t>
        </is>
      </c>
      <c r="B953" s="1" t="n">
        <v>45309</v>
      </c>
      <c r="C953" s="1" t="n">
        <v>46087</v>
      </c>
      <c r="D953" t="inlineStr">
        <is>
          <t>VÄSTERBOTTENS LÄN</t>
        </is>
      </c>
      <c r="E953" t="inlineStr">
        <is>
          <t>UMEÅ</t>
        </is>
      </c>
      <c r="G953" t="n">
        <v>2.9</v>
      </c>
      <c r="H953" t="n">
        <v>0</v>
      </c>
      <c r="I953" t="n">
        <v>0</v>
      </c>
      <c r="J953" t="n">
        <v>0</v>
      </c>
      <c r="K953" t="n">
        <v>0</v>
      </c>
      <c r="L953" t="n">
        <v>0</v>
      </c>
      <c r="M953" t="n">
        <v>0</v>
      </c>
      <c r="N953" t="n">
        <v>0</v>
      </c>
      <c r="O953" t="n">
        <v>0</v>
      </c>
      <c r="P953" t="n">
        <v>0</v>
      </c>
      <c r="Q953" t="n">
        <v>0</v>
      </c>
      <c r="R953" s="2" t="inlineStr"/>
    </row>
    <row r="954" ht="15" customHeight="1">
      <c r="A954" t="inlineStr">
        <is>
          <t>A 38192-2025</t>
        </is>
      </c>
      <c r="B954" s="1" t="n">
        <v>45882.65709490741</v>
      </c>
      <c r="C954" s="1" t="n">
        <v>46087</v>
      </c>
      <c r="D954" t="inlineStr">
        <is>
          <t>VÄSTERBOTTENS LÄN</t>
        </is>
      </c>
      <c r="E954" t="inlineStr">
        <is>
          <t>UMEÅ</t>
        </is>
      </c>
      <c r="G954" t="n">
        <v>2.5</v>
      </c>
      <c r="H954" t="n">
        <v>0</v>
      </c>
      <c r="I954" t="n">
        <v>0</v>
      </c>
      <c r="J954" t="n">
        <v>0</v>
      </c>
      <c r="K954" t="n">
        <v>0</v>
      </c>
      <c r="L954" t="n">
        <v>0</v>
      </c>
      <c r="M954" t="n">
        <v>0</v>
      </c>
      <c r="N954" t="n">
        <v>0</v>
      </c>
      <c r="O954" t="n">
        <v>0</v>
      </c>
      <c r="P954" t="n">
        <v>0</v>
      </c>
      <c r="Q954" t="n">
        <v>0</v>
      </c>
      <c r="R954" s="2" t="inlineStr"/>
    </row>
    <row r="955" ht="15" customHeight="1">
      <c r="A955" t="inlineStr">
        <is>
          <t>A 73537-2021</t>
        </is>
      </c>
      <c r="B955" s="1" t="n">
        <v>44550</v>
      </c>
      <c r="C955" s="1" t="n">
        <v>46087</v>
      </c>
      <c r="D955" t="inlineStr">
        <is>
          <t>VÄSTERBOTTENS LÄN</t>
        </is>
      </c>
      <c r="E955" t="inlineStr">
        <is>
          <t>UMEÅ</t>
        </is>
      </c>
      <c r="G955" t="n">
        <v>2.6</v>
      </c>
      <c r="H955" t="n">
        <v>0</v>
      </c>
      <c r="I955" t="n">
        <v>0</v>
      </c>
      <c r="J955" t="n">
        <v>0</v>
      </c>
      <c r="K955" t="n">
        <v>0</v>
      </c>
      <c r="L955" t="n">
        <v>0</v>
      </c>
      <c r="M955" t="n">
        <v>0</v>
      </c>
      <c r="N955" t="n">
        <v>0</v>
      </c>
      <c r="O955" t="n">
        <v>0</v>
      </c>
      <c r="P955" t="n">
        <v>0</v>
      </c>
      <c r="Q955" t="n">
        <v>0</v>
      </c>
      <c r="R955" s="2" t="inlineStr"/>
    </row>
    <row r="956" ht="15" customHeight="1">
      <c r="A956" t="inlineStr">
        <is>
          <t>A 19200-2023</t>
        </is>
      </c>
      <c r="B956" s="1" t="n">
        <v>45048</v>
      </c>
      <c r="C956" s="1" t="n">
        <v>46087</v>
      </c>
      <c r="D956" t="inlineStr">
        <is>
          <t>VÄSTERBOTTENS LÄN</t>
        </is>
      </c>
      <c r="E956" t="inlineStr">
        <is>
          <t>UMEÅ</t>
        </is>
      </c>
      <c r="G956" t="n">
        <v>0.2</v>
      </c>
      <c r="H956" t="n">
        <v>0</v>
      </c>
      <c r="I956" t="n">
        <v>0</v>
      </c>
      <c r="J956" t="n">
        <v>0</v>
      </c>
      <c r="K956" t="n">
        <v>0</v>
      </c>
      <c r="L956" t="n">
        <v>0</v>
      </c>
      <c r="M956" t="n">
        <v>0</v>
      </c>
      <c r="N956" t="n">
        <v>0</v>
      </c>
      <c r="O956" t="n">
        <v>0</v>
      </c>
      <c r="P956" t="n">
        <v>0</v>
      </c>
      <c r="Q956" t="n">
        <v>0</v>
      </c>
      <c r="R956" s="2" t="inlineStr"/>
    </row>
    <row r="957" ht="15" customHeight="1">
      <c r="A957" t="inlineStr">
        <is>
          <t>A 26617-2024</t>
        </is>
      </c>
      <c r="B957" s="1" t="n">
        <v>45469.73981481481</v>
      </c>
      <c r="C957" s="1" t="n">
        <v>46087</v>
      </c>
      <c r="D957" t="inlineStr">
        <is>
          <t>VÄSTERBOTTENS LÄN</t>
        </is>
      </c>
      <c r="E957" t="inlineStr">
        <is>
          <t>UMEÅ</t>
        </is>
      </c>
      <c r="F957" t="inlineStr">
        <is>
          <t>Holmen skog AB</t>
        </is>
      </c>
      <c r="G957" t="n">
        <v>6.2</v>
      </c>
      <c r="H957" t="n">
        <v>0</v>
      </c>
      <c r="I957" t="n">
        <v>0</v>
      </c>
      <c r="J957" t="n">
        <v>0</v>
      </c>
      <c r="K957" t="n">
        <v>0</v>
      </c>
      <c r="L957" t="n">
        <v>0</v>
      </c>
      <c r="M957" t="n">
        <v>0</v>
      </c>
      <c r="N957" t="n">
        <v>0</v>
      </c>
      <c r="O957" t="n">
        <v>0</v>
      </c>
      <c r="P957" t="n">
        <v>0</v>
      </c>
      <c r="Q957" t="n">
        <v>0</v>
      </c>
      <c r="R957" s="2" t="inlineStr"/>
    </row>
    <row r="958" ht="15" customHeight="1">
      <c r="A958" t="inlineStr">
        <is>
          <t>A 37814-2025</t>
        </is>
      </c>
      <c r="B958" s="1" t="n">
        <v>45881.3749537037</v>
      </c>
      <c r="C958" s="1" t="n">
        <v>46087</v>
      </c>
      <c r="D958" t="inlineStr">
        <is>
          <t>VÄSTERBOTTENS LÄN</t>
        </is>
      </c>
      <c r="E958" t="inlineStr">
        <is>
          <t>UMEÅ</t>
        </is>
      </c>
      <c r="G958" t="n">
        <v>6</v>
      </c>
      <c r="H958" t="n">
        <v>0</v>
      </c>
      <c r="I958" t="n">
        <v>0</v>
      </c>
      <c r="J958" t="n">
        <v>0</v>
      </c>
      <c r="K958" t="n">
        <v>0</v>
      </c>
      <c r="L958" t="n">
        <v>0</v>
      </c>
      <c r="M958" t="n">
        <v>0</v>
      </c>
      <c r="N958" t="n">
        <v>0</v>
      </c>
      <c r="O958" t="n">
        <v>0</v>
      </c>
      <c r="P958" t="n">
        <v>0</v>
      </c>
      <c r="Q958" t="n">
        <v>0</v>
      </c>
      <c r="R958" s="2" t="inlineStr"/>
    </row>
    <row r="959" ht="15" customHeight="1">
      <c r="A959" t="inlineStr">
        <is>
          <t>A 38669-2025</t>
        </is>
      </c>
      <c r="B959" s="1" t="n">
        <v>45884.62400462963</v>
      </c>
      <c r="C959" s="1" t="n">
        <v>46087</v>
      </c>
      <c r="D959" t="inlineStr">
        <is>
          <t>VÄSTERBOTTENS LÄN</t>
        </is>
      </c>
      <c r="E959" t="inlineStr">
        <is>
          <t>UMEÅ</t>
        </is>
      </c>
      <c r="G959" t="n">
        <v>4.9</v>
      </c>
      <c r="H959" t="n">
        <v>0</v>
      </c>
      <c r="I959" t="n">
        <v>0</v>
      </c>
      <c r="J959" t="n">
        <v>0</v>
      </c>
      <c r="K959" t="n">
        <v>0</v>
      </c>
      <c r="L959" t="n">
        <v>0</v>
      </c>
      <c r="M959" t="n">
        <v>0</v>
      </c>
      <c r="N959" t="n">
        <v>0</v>
      </c>
      <c r="O959" t="n">
        <v>0</v>
      </c>
      <c r="P959" t="n">
        <v>0</v>
      </c>
      <c r="Q959" t="n">
        <v>0</v>
      </c>
      <c r="R959" s="2" t="inlineStr"/>
    </row>
    <row r="960" ht="15" customHeight="1">
      <c r="A960" t="inlineStr">
        <is>
          <t>A 38236-2025</t>
        </is>
      </c>
      <c r="B960" s="1" t="n">
        <v>45883.36202546296</v>
      </c>
      <c r="C960" s="1" t="n">
        <v>46087</v>
      </c>
      <c r="D960" t="inlineStr">
        <is>
          <t>VÄSTERBOTTENS LÄN</t>
        </is>
      </c>
      <c r="E960" t="inlineStr">
        <is>
          <t>UMEÅ</t>
        </is>
      </c>
      <c r="G960" t="n">
        <v>3.6</v>
      </c>
      <c r="H960" t="n">
        <v>0</v>
      </c>
      <c r="I960" t="n">
        <v>0</v>
      </c>
      <c r="J960" t="n">
        <v>0</v>
      </c>
      <c r="K960" t="n">
        <v>0</v>
      </c>
      <c r="L960" t="n">
        <v>0</v>
      </c>
      <c r="M960" t="n">
        <v>0</v>
      </c>
      <c r="N960" t="n">
        <v>0</v>
      </c>
      <c r="O960" t="n">
        <v>0</v>
      </c>
      <c r="P960" t="n">
        <v>0</v>
      </c>
      <c r="Q960" t="n">
        <v>0</v>
      </c>
      <c r="R960" s="2" t="inlineStr"/>
    </row>
    <row r="961" ht="15" customHeight="1">
      <c r="A961" t="inlineStr">
        <is>
          <t>A 61604-2024</t>
        </is>
      </c>
      <c r="B961" s="1" t="n">
        <v>45646.64148148148</v>
      </c>
      <c r="C961" s="1" t="n">
        <v>46087</v>
      </c>
      <c r="D961" t="inlineStr">
        <is>
          <t>VÄSTERBOTTENS LÄN</t>
        </is>
      </c>
      <c r="E961" t="inlineStr">
        <is>
          <t>UMEÅ</t>
        </is>
      </c>
      <c r="G961" t="n">
        <v>0.8</v>
      </c>
      <c r="H961" t="n">
        <v>0</v>
      </c>
      <c r="I961" t="n">
        <v>0</v>
      </c>
      <c r="J961" t="n">
        <v>0</v>
      </c>
      <c r="K961" t="n">
        <v>0</v>
      </c>
      <c r="L961" t="n">
        <v>0</v>
      </c>
      <c r="M961" t="n">
        <v>0</v>
      </c>
      <c r="N961" t="n">
        <v>0</v>
      </c>
      <c r="O961" t="n">
        <v>0</v>
      </c>
      <c r="P961" t="n">
        <v>0</v>
      </c>
      <c r="Q961" t="n">
        <v>0</v>
      </c>
      <c r="R961" s="2" t="inlineStr"/>
    </row>
    <row r="962" ht="15" customHeight="1">
      <c r="A962" t="inlineStr">
        <is>
          <t>A 8716-2024</t>
        </is>
      </c>
      <c r="B962" s="1" t="n">
        <v>45356</v>
      </c>
      <c r="C962" s="1" t="n">
        <v>46087</v>
      </c>
      <c r="D962" t="inlineStr">
        <is>
          <t>VÄSTERBOTTENS LÄN</t>
        </is>
      </c>
      <c r="E962" t="inlineStr">
        <is>
          <t>UMEÅ</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8717-2024</t>
        </is>
      </c>
      <c r="B963" s="1" t="n">
        <v>45356.4062962963</v>
      </c>
      <c r="C963" s="1" t="n">
        <v>46087</v>
      </c>
      <c r="D963" t="inlineStr">
        <is>
          <t>VÄSTERBOTTENS LÄN</t>
        </is>
      </c>
      <c r="E963" t="inlineStr">
        <is>
          <t>UMEÅ</t>
        </is>
      </c>
      <c r="G963" t="n">
        <v>2.8</v>
      </c>
      <c r="H963" t="n">
        <v>0</v>
      </c>
      <c r="I963" t="n">
        <v>0</v>
      </c>
      <c r="J963" t="n">
        <v>0</v>
      </c>
      <c r="K963" t="n">
        <v>0</v>
      </c>
      <c r="L963" t="n">
        <v>0</v>
      </c>
      <c r="M963" t="n">
        <v>0</v>
      </c>
      <c r="N963" t="n">
        <v>0</v>
      </c>
      <c r="O963" t="n">
        <v>0</v>
      </c>
      <c r="P963" t="n">
        <v>0</v>
      </c>
      <c r="Q963" t="n">
        <v>0</v>
      </c>
      <c r="R963" s="2" t="inlineStr"/>
    </row>
    <row r="964" ht="15" customHeight="1">
      <c r="A964" t="inlineStr">
        <is>
          <t>A 2767-2025</t>
        </is>
      </c>
      <c r="B964" s="1" t="n">
        <v>45677</v>
      </c>
      <c r="C964" s="1" t="n">
        <v>46087</v>
      </c>
      <c r="D964" t="inlineStr">
        <is>
          <t>VÄSTERBOTTENS LÄN</t>
        </is>
      </c>
      <c r="E964" t="inlineStr">
        <is>
          <t>UMEÅ</t>
        </is>
      </c>
      <c r="G964" t="n">
        <v>0.6</v>
      </c>
      <c r="H964" t="n">
        <v>0</v>
      </c>
      <c r="I964" t="n">
        <v>0</v>
      </c>
      <c r="J964" t="n">
        <v>0</v>
      </c>
      <c r="K964" t="n">
        <v>0</v>
      </c>
      <c r="L964" t="n">
        <v>0</v>
      </c>
      <c r="M964" t="n">
        <v>0</v>
      </c>
      <c r="N964" t="n">
        <v>0</v>
      </c>
      <c r="O964" t="n">
        <v>0</v>
      </c>
      <c r="P964" t="n">
        <v>0</v>
      </c>
      <c r="Q964" t="n">
        <v>0</v>
      </c>
      <c r="R964" s="2" t="inlineStr"/>
    </row>
    <row r="965" ht="15" customHeight="1">
      <c r="A965" t="inlineStr">
        <is>
          <t>A 43649-2024</t>
        </is>
      </c>
      <c r="B965" s="1" t="n">
        <v>45569.53054398148</v>
      </c>
      <c r="C965" s="1" t="n">
        <v>46087</v>
      </c>
      <c r="D965" t="inlineStr">
        <is>
          <t>VÄSTERBOTTENS LÄN</t>
        </is>
      </c>
      <c r="E965" t="inlineStr">
        <is>
          <t>UMEÅ</t>
        </is>
      </c>
      <c r="F965" t="inlineStr">
        <is>
          <t>Kommuner</t>
        </is>
      </c>
      <c r="G965" t="n">
        <v>4.3</v>
      </c>
      <c r="H965" t="n">
        <v>0</v>
      </c>
      <c r="I965" t="n">
        <v>0</v>
      </c>
      <c r="J965" t="n">
        <v>0</v>
      </c>
      <c r="K965" t="n">
        <v>0</v>
      </c>
      <c r="L965" t="n">
        <v>0</v>
      </c>
      <c r="M965" t="n">
        <v>0</v>
      </c>
      <c r="N965" t="n">
        <v>0</v>
      </c>
      <c r="O965" t="n">
        <v>0</v>
      </c>
      <c r="P965" t="n">
        <v>0</v>
      </c>
      <c r="Q965" t="n">
        <v>0</v>
      </c>
      <c r="R965" s="2" t="inlineStr"/>
    </row>
    <row r="966" ht="15" customHeight="1">
      <c r="A966" t="inlineStr">
        <is>
          <t>A 44166-2024</t>
        </is>
      </c>
      <c r="B966" s="1" t="n">
        <v>45572.73465277778</v>
      </c>
      <c r="C966" s="1" t="n">
        <v>46087</v>
      </c>
      <c r="D966" t="inlineStr">
        <is>
          <t>VÄSTERBOTTENS LÄN</t>
        </is>
      </c>
      <c r="E966" t="inlineStr">
        <is>
          <t>UMEÅ</t>
        </is>
      </c>
      <c r="G966" t="n">
        <v>3.2</v>
      </c>
      <c r="H966" t="n">
        <v>0</v>
      </c>
      <c r="I966" t="n">
        <v>0</v>
      </c>
      <c r="J966" t="n">
        <v>0</v>
      </c>
      <c r="K966" t="n">
        <v>0</v>
      </c>
      <c r="L966" t="n">
        <v>0</v>
      </c>
      <c r="M966" t="n">
        <v>0</v>
      </c>
      <c r="N966" t="n">
        <v>0</v>
      </c>
      <c r="O966" t="n">
        <v>0</v>
      </c>
      <c r="P966" t="n">
        <v>0</v>
      </c>
      <c r="Q966" t="n">
        <v>0</v>
      </c>
      <c r="R966" s="2" t="inlineStr"/>
    </row>
    <row r="967" ht="15" customHeight="1">
      <c r="A967" t="inlineStr">
        <is>
          <t>A 32282-2024</t>
        </is>
      </c>
      <c r="B967" s="1" t="n">
        <v>45512</v>
      </c>
      <c r="C967" s="1" t="n">
        <v>46087</v>
      </c>
      <c r="D967" t="inlineStr">
        <is>
          <t>VÄSTERBOTTENS LÄN</t>
        </is>
      </c>
      <c r="E967" t="inlineStr">
        <is>
          <t>UMEÅ</t>
        </is>
      </c>
      <c r="G967" t="n">
        <v>9.5</v>
      </c>
      <c r="H967" t="n">
        <v>0</v>
      </c>
      <c r="I967" t="n">
        <v>0</v>
      </c>
      <c r="J967" t="n">
        <v>0</v>
      </c>
      <c r="K967" t="n">
        <v>0</v>
      </c>
      <c r="L967" t="n">
        <v>0</v>
      </c>
      <c r="M967" t="n">
        <v>0</v>
      </c>
      <c r="N967" t="n">
        <v>0</v>
      </c>
      <c r="O967" t="n">
        <v>0</v>
      </c>
      <c r="P967" t="n">
        <v>0</v>
      </c>
      <c r="Q967" t="n">
        <v>0</v>
      </c>
      <c r="R967" s="2" t="inlineStr"/>
    </row>
    <row r="968" ht="15" customHeight="1">
      <c r="A968" t="inlineStr">
        <is>
          <t>A 13822-2025</t>
        </is>
      </c>
      <c r="B968" s="1" t="n">
        <v>45737.53160879629</v>
      </c>
      <c r="C968" s="1" t="n">
        <v>46087</v>
      </c>
      <c r="D968" t="inlineStr">
        <is>
          <t>VÄSTERBOTTENS LÄN</t>
        </is>
      </c>
      <c r="E968" t="inlineStr">
        <is>
          <t>UMEÅ</t>
        </is>
      </c>
      <c r="G968" t="n">
        <v>3.4</v>
      </c>
      <c r="H968" t="n">
        <v>0</v>
      </c>
      <c r="I968" t="n">
        <v>0</v>
      </c>
      <c r="J968" t="n">
        <v>0</v>
      </c>
      <c r="K968" t="n">
        <v>0</v>
      </c>
      <c r="L968" t="n">
        <v>0</v>
      </c>
      <c r="M968" t="n">
        <v>0</v>
      </c>
      <c r="N968" t="n">
        <v>0</v>
      </c>
      <c r="O968" t="n">
        <v>0</v>
      </c>
      <c r="P968" t="n">
        <v>0</v>
      </c>
      <c r="Q968" t="n">
        <v>0</v>
      </c>
      <c r="R968" s="2" t="inlineStr"/>
    </row>
    <row r="969" ht="15" customHeight="1">
      <c r="A969" t="inlineStr">
        <is>
          <t>A 26967-2023</t>
        </is>
      </c>
      <c r="B969" s="1" t="n">
        <v>45091</v>
      </c>
      <c r="C969" s="1" t="n">
        <v>46087</v>
      </c>
      <c r="D969" t="inlineStr">
        <is>
          <t>VÄSTERBOTTENS LÄN</t>
        </is>
      </c>
      <c r="E969" t="inlineStr">
        <is>
          <t>UMEÅ</t>
        </is>
      </c>
      <c r="G969" t="n">
        <v>1.6</v>
      </c>
      <c r="H969" t="n">
        <v>0</v>
      </c>
      <c r="I969" t="n">
        <v>0</v>
      </c>
      <c r="J969" t="n">
        <v>0</v>
      </c>
      <c r="K969" t="n">
        <v>0</v>
      </c>
      <c r="L969" t="n">
        <v>0</v>
      </c>
      <c r="M969" t="n">
        <v>0</v>
      </c>
      <c r="N969" t="n">
        <v>0</v>
      </c>
      <c r="O969" t="n">
        <v>0</v>
      </c>
      <c r="P969" t="n">
        <v>0</v>
      </c>
      <c r="Q969" t="n">
        <v>0</v>
      </c>
      <c r="R969" s="2" t="inlineStr"/>
    </row>
    <row r="970" ht="15" customHeight="1">
      <c r="A970" t="inlineStr">
        <is>
          <t>A 13190-2025</t>
        </is>
      </c>
      <c r="B970" s="1" t="n">
        <v>45735.39761574074</v>
      </c>
      <c r="C970" s="1" t="n">
        <v>46087</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13197-2025</t>
        </is>
      </c>
      <c r="B971" s="1" t="n">
        <v>45735</v>
      </c>
      <c r="C971" s="1" t="n">
        <v>46087</v>
      </c>
      <c r="D971" t="inlineStr">
        <is>
          <t>VÄSTERBOTTENS LÄN</t>
        </is>
      </c>
      <c r="E971" t="inlineStr">
        <is>
          <t>UMEÅ</t>
        </is>
      </c>
      <c r="G971" t="n">
        <v>2.3</v>
      </c>
      <c r="H971" t="n">
        <v>0</v>
      </c>
      <c r="I971" t="n">
        <v>0</v>
      </c>
      <c r="J971" t="n">
        <v>0</v>
      </c>
      <c r="K971" t="n">
        <v>0</v>
      </c>
      <c r="L971" t="n">
        <v>0</v>
      </c>
      <c r="M971" t="n">
        <v>0</v>
      </c>
      <c r="N971" t="n">
        <v>0</v>
      </c>
      <c r="O971" t="n">
        <v>0</v>
      </c>
      <c r="P971" t="n">
        <v>0</v>
      </c>
      <c r="Q971" t="n">
        <v>0</v>
      </c>
      <c r="R971" s="2" t="inlineStr"/>
    </row>
    <row r="972" ht="15" customHeight="1">
      <c r="A972" t="inlineStr">
        <is>
          <t>A 45603-2023</t>
        </is>
      </c>
      <c r="B972" s="1" t="n">
        <v>45194.64578703704</v>
      </c>
      <c r="C972" s="1" t="n">
        <v>46087</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5078-2025</t>
        </is>
      </c>
      <c r="B973" s="1" t="n">
        <v>45691.50020833333</v>
      </c>
      <c r="C973" s="1" t="n">
        <v>46087</v>
      </c>
      <c r="D973" t="inlineStr">
        <is>
          <t>VÄSTERBOTTENS LÄN</t>
        </is>
      </c>
      <c r="E973" t="inlineStr">
        <is>
          <t>UMEÅ</t>
        </is>
      </c>
      <c r="G973" t="n">
        <v>1.2</v>
      </c>
      <c r="H973" t="n">
        <v>0</v>
      </c>
      <c r="I973" t="n">
        <v>0</v>
      </c>
      <c r="J973" t="n">
        <v>0</v>
      </c>
      <c r="K973" t="n">
        <v>0</v>
      </c>
      <c r="L973" t="n">
        <v>0</v>
      </c>
      <c r="M973" t="n">
        <v>0</v>
      </c>
      <c r="N973" t="n">
        <v>0</v>
      </c>
      <c r="O973" t="n">
        <v>0</v>
      </c>
      <c r="P973" t="n">
        <v>0</v>
      </c>
      <c r="Q973" t="n">
        <v>0</v>
      </c>
      <c r="R973" s="2" t="inlineStr"/>
    </row>
    <row r="974" ht="15" customHeight="1">
      <c r="A974" t="inlineStr">
        <is>
          <t>A 8317-2025</t>
        </is>
      </c>
      <c r="B974" s="1" t="n">
        <v>45708</v>
      </c>
      <c r="C974" s="1" t="n">
        <v>46087</v>
      </c>
      <c r="D974" t="inlineStr">
        <is>
          <t>VÄSTERBOTTENS LÄN</t>
        </is>
      </c>
      <c r="E974" t="inlineStr">
        <is>
          <t>UMEÅ</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16453-2024</t>
        </is>
      </c>
      <c r="B975" s="1" t="n">
        <v>45407</v>
      </c>
      <c r="C975" s="1" t="n">
        <v>46087</v>
      </c>
      <c r="D975" t="inlineStr">
        <is>
          <t>VÄSTERBOTTENS LÄN</t>
        </is>
      </c>
      <c r="E975" t="inlineStr">
        <is>
          <t>UMEÅ</t>
        </is>
      </c>
      <c r="G975" t="n">
        <v>2.8</v>
      </c>
      <c r="H975" t="n">
        <v>0</v>
      </c>
      <c r="I975" t="n">
        <v>0</v>
      </c>
      <c r="J975" t="n">
        <v>0</v>
      </c>
      <c r="K975" t="n">
        <v>0</v>
      </c>
      <c r="L975" t="n">
        <v>0</v>
      </c>
      <c r="M975" t="n">
        <v>0</v>
      </c>
      <c r="N975" t="n">
        <v>0</v>
      </c>
      <c r="O975" t="n">
        <v>0</v>
      </c>
      <c r="P975" t="n">
        <v>0</v>
      </c>
      <c r="Q975" t="n">
        <v>0</v>
      </c>
      <c r="R975" s="2" t="inlineStr"/>
    </row>
    <row r="976" ht="15" customHeight="1">
      <c r="A976" t="inlineStr">
        <is>
          <t>A 53731-2024</t>
        </is>
      </c>
      <c r="B976" s="1" t="n">
        <v>45615</v>
      </c>
      <c r="C976" s="1" t="n">
        <v>46087</v>
      </c>
      <c r="D976" t="inlineStr">
        <is>
          <t>VÄSTERBOTTENS LÄN</t>
        </is>
      </c>
      <c r="E976" t="inlineStr">
        <is>
          <t>UMEÅ</t>
        </is>
      </c>
      <c r="G976" t="n">
        <v>2.7</v>
      </c>
      <c r="H976" t="n">
        <v>0</v>
      </c>
      <c r="I976" t="n">
        <v>0</v>
      </c>
      <c r="J976" t="n">
        <v>0</v>
      </c>
      <c r="K976" t="n">
        <v>0</v>
      </c>
      <c r="L976" t="n">
        <v>0</v>
      </c>
      <c r="M976" t="n">
        <v>0</v>
      </c>
      <c r="N976" t="n">
        <v>0</v>
      </c>
      <c r="O976" t="n">
        <v>0</v>
      </c>
      <c r="P976" t="n">
        <v>0</v>
      </c>
      <c r="Q976" t="n">
        <v>0</v>
      </c>
      <c r="R976" s="2" t="inlineStr"/>
    </row>
    <row r="977" ht="15" customHeight="1">
      <c r="A977" t="inlineStr">
        <is>
          <t>A 39445-2023</t>
        </is>
      </c>
      <c r="B977" s="1" t="n">
        <v>45166</v>
      </c>
      <c r="C977" s="1" t="n">
        <v>46087</v>
      </c>
      <c r="D977" t="inlineStr">
        <is>
          <t>VÄSTERBOTTENS LÄN</t>
        </is>
      </c>
      <c r="E977" t="inlineStr">
        <is>
          <t>UMEÅ</t>
        </is>
      </c>
      <c r="G977" t="n">
        <v>33.4</v>
      </c>
      <c r="H977" t="n">
        <v>0</v>
      </c>
      <c r="I977" t="n">
        <v>0</v>
      </c>
      <c r="J977" t="n">
        <v>0</v>
      </c>
      <c r="K977" t="n">
        <v>0</v>
      </c>
      <c r="L977" t="n">
        <v>0</v>
      </c>
      <c r="M977" t="n">
        <v>0</v>
      </c>
      <c r="N977" t="n">
        <v>0</v>
      </c>
      <c r="O977" t="n">
        <v>0</v>
      </c>
      <c r="P977" t="n">
        <v>0</v>
      </c>
      <c r="Q977" t="n">
        <v>0</v>
      </c>
      <c r="R977" s="2" t="inlineStr"/>
    </row>
    <row r="978" ht="15" customHeight="1">
      <c r="A978" t="inlineStr">
        <is>
          <t>A 8184-2025</t>
        </is>
      </c>
      <c r="B978" s="1" t="n">
        <v>45708</v>
      </c>
      <c r="C978" s="1" t="n">
        <v>46087</v>
      </c>
      <c r="D978" t="inlineStr">
        <is>
          <t>VÄSTERBOTTENS LÄN</t>
        </is>
      </c>
      <c r="E978" t="inlineStr">
        <is>
          <t>UMEÅ</t>
        </is>
      </c>
      <c r="F978" t="inlineStr">
        <is>
          <t>Holmen skog AB</t>
        </is>
      </c>
      <c r="G978" t="n">
        <v>3</v>
      </c>
      <c r="H978" t="n">
        <v>0</v>
      </c>
      <c r="I978" t="n">
        <v>0</v>
      </c>
      <c r="J978" t="n">
        <v>0</v>
      </c>
      <c r="K978" t="n">
        <v>0</v>
      </c>
      <c r="L978" t="n">
        <v>0</v>
      </c>
      <c r="M978" t="n">
        <v>0</v>
      </c>
      <c r="N978" t="n">
        <v>0</v>
      </c>
      <c r="O978" t="n">
        <v>0</v>
      </c>
      <c r="P978" t="n">
        <v>0</v>
      </c>
      <c r="Q978" t="n">
        <v>0</v>
      </c>
      <c r="R978" s="2" t="inlineStr"/>
    </row>
    <row r="979" ht="15" customHeight="1">
      <c r="A979" t="inlineStr">
        <is>
          <t>A 8581-2025</t>
        </is>
      </c>
      <c r="B979" s="1" t="n">
        <v>45709.67219907408</v>
      </c>
      <c r="C979" s="1" t="n">
        <v>46087</v>
      </c>
      <c r="D979" t="inlineStr">
        <is>
          <t>VÄSTERBOTTENS LÄN</t>
        </is>
      </c>
      <c r="E979" t="inlineStr">
        <is>
          <t>UMEÅ</t>
        </is>
      </c>
      <c r="G979" t="n">
        <v>0.8</v>
      </c>
      <c r="H979" t="n">
        <v>0</v>
      </c>
      <c r="I979" t="n">
        <v>0</v>
      </c>
      <c r="J979" t="n">
        <v>0</v>
      </c>
      <c r="K979" t="n">
        <v>0</v>
      </c>
      <c r="L979" t="n">
        <v>0</v>
      </c>
      <c r="M979" t="n">
        <v>0</v>
      </c>
      <c r="N979" t="n">
        <v>0</v>
      </c>
      <c r="O979" t="n">
        <v>0</v>
      </c>
      <c r="P979" t="n">
        <v>0</v>
      </c>
      <c r="Q979" t="n">
        <v>0</v>
      </c>
      <c r="R979" s="2" t="inlineStr"/>
    </row>
    <row r="980" ht="15" customHeight="1">
      <c r="A980" t="inlineStr">
        <is>
          <t>A 8584-2025</t>
        </is>
      </c>
      <c r="B980" s="1" t="n">
        <v>45709.67657407407</v>
      </c>
      <c r="C980" s="1" t="n">
        <v>46087</v>
      </c>
      <c r="D980" t="inlineStr">
        <is>
          <t>VÄSTERBOTTENS LÄN</t>
        </is>
      </c>
      <c r="E980" t="inlineStr">
        <is>
          <t>UMEÅ</t>
        </is>
      </c>
      <c r="G980" t="n">
        <v>1.2</v>
      </c>
      <c r="H980" t="n">
        <v>0</v>
      </c>
      <c r="I980" t="n">
        <v>0</v>
      </c>
      <c r="J980" t="n">
        <v>0</v>
      </c>
      <c r="K980" t="n">
        <v>0</v>
      </c>
      <c r="L980" t="n">
        <v>0</v>
      </c>
      <c r="M980" t="n">
        <v>0</v>
      </c>
      <c r="N980" t="n">
        <v>0</v>
      </c>
      <c r="O980" t="n">
        <v>0</v>
      </c>
      <c r="P980" t="n">
        <v>0</v>
      </c>
      <c r="Q980" t="n">
        <v>0</v>
      </c>
      <c r="R980" s="2" t="inlineStr"/>
    </row>
    <row r="981" ht="15" customHeight="1">
      <c r="A981" t="inlineStr">
        <is>
          <t>A 8586-2025</t>
        </is>
      </c>
      <c r="B981" s="1" t="n">
        <v>45709.67998842592</v>
      </c>
      <c r="C981" s="1" t="n">
        <v>46087</v>
      </c>
      <c r="D981" t="inlineStr">
        <is>
          <t>VÄSTERBOTTENS LÄN</t>
        </is>
      </c>
      <c r="E981" t="inlineStr">
        <is>
          <t>UMEÅ</t>
        </is>
      </c>
      <c r="G981" t="n">
        <v>0.3</v>
      </c>
      <c r="H981" t="n">
        <v>0</v>
      </c>
      <c r="I981" t="n">
        <v>0</v>
      </c>
      <c r="J981" t="n">
        <v>0</v>
      </c>
      <c r="K981" t="n">
        <v>0</v>
      </c>
      <c r="L981" t="n">
        <v>0</v>
      </c>
      <c r="M981" t="n">
        <v>0</v>
      </c>
      <c r="N981" t="n">
        <v>0</v>
      </c>
      <c r="O981" t="n">
        <v>0</v>
      </c>
      <c r="P981" t="n">
        <v>0</v>
      </c>
      <c r="Q981" t="n">
        <v>0</v>
      </c>
      <c r="R981" s="2" t="inlineStr"/>
    </row>
    <row r="982" ht="15" customHeight="1">
      <c r="A982" t="inlineStr">
        <is>
          <t>A 8618-2025</t>
        </is>
      </c>
      <c r="B982" s="1" t="n">
        <v>45711</v>
      </c>
      <c r="C982" s="1" t="n">
        <v>46087</v>
      </c>
      <c r="D982" t="inlineStr">
        <is>
          <t>VÄSTERBOTTENS LÄN</t>
        </is>
      </c>
      <c r="E982" t="inlineStr">
        <is>
          <t>UMEÅ</t>
        </is>
      </c>
      <c r="G982" t="n">
        <v>1</v>
      </c>
      <c r="H982" t="n">
        <v>0</v>
      </c>
      <c r="I982" t="n">
        <v>0</v>
      </c>
      <c r="J982" t="n">
        <v>0</v>
      </c>
      <c r="K982" t="n">
        <v>0</v>
      </c>
      <c r="L982" t="n">
        <v>0</v>
      </c>
      <c r="M982" t="n">
        <v>0</v>
      </c>
      <c r="N982" t="n">
        <v>0</v>
      </c>
      <c r="O982" t="n">
        <v>0</v>
      </c>
      <c r="P982" t="n">
        <v>0</v>
      </c>
      <c r="Q982" t="n">
        <v>0</v>
      </c>
      <c r="R982" s="2" t="inlineStr"/>
    </row>
    <row r="983" ht="15" customHeight="1">
      <c r="A983" t="inlineStr">
        <is>
          <t>A 14039-2024</t>
        </is>
      </c>
      <c r="B983" s="1" t="n">
        <v>45392</v>
      </c>
      <c r="C983" s="1" t="n">
        <v>46087</v>
      </c>
      <c r="D983" t="inlineStr">
        <is>
          <t>VÄSTERBOTTENS LÄN</t>
        </is>
      </c>
      <c r="E983" t="inlineStr">
        <is>
          <t>UMEÅ</t>
        </is>
      </c>
      <c r="G983" t="n">
        <v>6.1</v>
      </c>
      <c r="H983" t="n">
        <v>0</v>
      </c>
      <c r="I983" t="n">
        <v>0</v>
      </c>
      <c r="J983" t="n">
        <v>0</v>
      </c>
      <c r="K983" t="n">
        <v>0</v>
      </c>
      <c r="L983" t="n">
        <v>0</v>
      </c>
      <c r="M983" t="n">
        <v>0</v>
      </c>
      <c r="N983" t="n">
        <v>0</v>
      </c>
      <c r="O983" t="n">
        <v>0</v>
      </c>
      <c r="P983" t="n">
        <v>0</v>
      </c>
      <c r="Q983" t="n">
        <v>0</v>
      </c>
      <c r="R983" s="2" t="inlineStr"/>
    </row>
    <row r="984" ht="15" customHeight="1">
      <c r="A984" t="inlineStr">
        <is>
          <t>A 28099-2023</t>
        </is>
      </c>
      <c r="B984" s="1" t="n">
        <v>45099</v>
      </c>
      <c r="C984" s="1" t="n">
        <v>46087</v>
      </c>
      <c r="D984" t="inlineStr">
        <is>
          <t>VÄSTERBOTTENS LÄN</t>
        </is>
      </c>
      <c r="E984" t="inlineStr">
        <is>
          <t>UMEÅ</t>
        </is>
      </c>
      <c r="F984" t="inlineStr">
        <is>
          <t>Holmen skog AB</t>
        </is>
      </c>
      <c r="G984" t="n">
        <v>3.9</v>
      </c>
      <c r="H984" t="n">
        <v>0</v>
      </c>
      <c r="I984" t="n">
        <v>0</v>
      </c>
      <c r="J984" t="n">
        <v>0</v>
      </c>
      <c r="K984" t="n">
        <v>0</v>
      </c>
      <c r="L984" t="n">
        <v>0</v>
      </c>
      <c r="M984" t="n">
        <v>0</v>
      </c>
      <c r="N984" t="n">
        <v>0</v>
      </c>
      <c r="O984" t="n">
        <v>0</v>
      </c>
      <c r="P984" t="n">
        <v>0</v>
      </c>
      <c r="Q984" t="n">
        <v>0</v>
      </c>
      <c r="R984" s="2" t="inlineStr"/>
    </row>
    <row r="985" ht="15" customHeight="1">
      <c r="A985" t="inlineStr">
        <is>
          <t>A 7438-2022</t>
        </is>
      </c>
      <c r="B985" s="1" t="n">
        <v>44606.93429398148</v>
      </c>
      <c r="C985" s="1" t="n">
        <v>46087</v>
      </c>
      <c r="D985" t="inlineStr">
        <is>
          <t>VÄSTERBOTTENS LÄN</t>
        </is>
      </c>
      <c r="E985" t="inlineStr">
        <is>
          <t>UMEÅ</t>
        </is>
      </c>
      <c r="G985" t="n">
        <v>3.1</v>
      </c>
      <c r="H985" t="n">
        <v>0</v>
      </c>
      <c r="I985" t="n">
        <v>0</v>
      </c>
      <c r="J985" t="n">
        <v>0</v>
      </c>
      <c r="K985" t="n">
        <v>0</v>
      </c>
      <c r="L985" t="n">
        <v>0</v>
      </c>
      <c r="M985" t="n">
        <v>0</v>
      </c>
      <c r="N985" t="n">
        <v>0</v>
      </c>
      <c r="O985" t="n">
        <v>0</v>
      </c>
      <c r="P985" t="n">
        <v>0</v>
      </c>
      <c r="Q985" t="n">
        <v>0</v>
      </c>
      <c r="R985" s="2" t="inlineStr"/>
    </row>
    <row r="986" ht="15" customHeight="1">
      <c r="A986" t="inlineStr">
        <is>
          <t>A 46372-2023</t>
        </is>
      </c>
      <c r="B986" s="1" t="n">
        <v>45197</v>
      </c>
      <c r="C986" s="1" t="n">
        <v>46087</v>
      </c>
      <c r="D986" t="inlineStr">
        <is>
          <t>VÄSTERBOTTENS LÄN</t>
        </is>
      </c>
      <c r="E986" t="inlineStr">
        <is>
          <t>UMEÅ</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4650-2025</t>
        </is>
      </c>
      <c r="B987" s="1" t="n">
        <v>45687.66449074074</v>
      </c>
      <c r="C987" s="1" t="n">
        <v>46087</v>
      </c>
      <c r="D987" t="inlineStr">
        <is>
          <t>VÄSTERBOTTENS LÄN</t>
        </is>
      </c>
      <c r="E987" t="inlineStr">
        <is>
          <t>UMEÅ</t>
        </is>
      </c>
      <c r="F987" t="inlineStr">
        <is>
          <t>Holmen skog AB</t>
        </is>
      </c>
      <c r="G987" t="n">
        <v>20.8</v>
      </c>
      <c r="H987" t="n">
        <v>0</v>
      </c>
      <c r="I987" t="n">
        <v>0</v>
      </c>
      <c r="J987" t="n">
        <v>0</v>
      </c>
      <c r="K987" t="n">
        <v>0</v>
      </c>
      <c r="L987" t="n">
        <v>0</v>
      </c>
      <c r="M987" t="n">
        <v>0</v>
      </c>
      <c r="N987" t="n">
        <v>0</v>
      </c>
      <c r="O987" t="n">
        <v>0</v>
      </c>
      <c r="P987" t="n">
        <v>0</v>
      </c>
      <c r="Q987" t="n">
        <v>0</v>
      </c>
      <c r="R987" s="2" t="inlineStr"/>
    </row>
    <row r="988" ht="15" customHeight="1">
      <c r="A988" t="inlineStr">
        <is>
          <t>A 21440-2024</t>
        </is>
      </c>
      <c r="B988" s="1" t="n">
        <v>45441</v>
      </c>
      <c r="C988" s="1" t="n">
        <v>46087</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3828-2025</t>
        </is>
      </c>
      <c r="B989" s="1" t="n">
        <v>45681.82818287037</v>
      </c>
      <c r="C989" s="1" t="n">
        <v>46087</v>
      </c>
      <c r="D989" t="inlineStr">
        <is>
          <t>VÄSTERBOTTENS LÄN</t>
        </is>
      </c>
      <c r="E989" t="inlineStr">
        <is>
          <t>UMEÅ</t>
        </is>
      </c>
      <c r="G989" t="n">
        <v>1.2</v>
      </c>
      <c r="H989" t="n">
        <v>0</v>
      </c>
      <c r="I989" t="n">
        <v>0</v>
      </c>
      <c r="J989" t="n">
        <v>0</v>
      </c>
      <c r="K989" t="n">
        <v>0</v>
      </c>
      <c r="L989" t="n">
        <v>0</v>
      </c>
      <c r="M989" t="n">
        <v>0</v>
      </c>
      <c r="N989" t="n">
        <v>0</v>
      </c>
      <c r="O989" t="n">
        <v>0</v>
      </c>
      <c r="P989" t="n">
        <v>0</v>
      </c>
      <c r="Q989" t="n">
        <v>0</v>
      </c>
      <c r="R989" s="2" t="inlineStr"/>
    </row>
    <row r="990" ht="15" customHeight="1">
      <c r="A990" t="inlineStr">
        <is>
          <t>A 3829-2025</t>
        </is>
      </c>
      <c r="B990" s="1" t="n">
        <v>45681.83350694444</v>
      </c>
      <c r="C990" s="1" t="n">
        <v>46087</v>
      </c>
      <c r="D990" t="inlineStr">
        <is>
          <t>VÄSTERBOTTENS LÄN</t>
        </is>
      </c>
      <c r="E990" t="inlineStr">
        <is>
          <t>UMEÅ</t>
        </is>
      </c>
      <c r="G990" t="n">
        <v>0.5</v>
      </c>
      <c r="H990" t="n">
        <v>0</v>
      </c>
      <c r="I990" t="n">
        <v>0</v>
      </c>
      <c r="J990" t="n">
        <v>0</v>
      </c>
      <c r="K990" t="n">
        <v>0</v>
      </c>
      <c r="L990" t="n">
        <v>0</v>
      </c>
      <c r="M990" t="n">
        <v>0</v>
      </c>
      <c r="N990" t="n">
        <v>0</v>
      </c>
      <c r="O990" t="n">
        <v>0</v>
      </c>
      <c r="P990" t="n">
        <v>0</v>
      </c>
      <c r="Q990" t="n">
        <v>0</v>
      </c>
      <c r="R990" s="2" t="inlineStr"/>
    </row>
    <row r="991" ht="15" customHeight="1">
      <c r="A991" t="inlineStr">
        <is>
          <t>A 9769-2022</t>
        </is>
      </c>
      <c r="B991" s="1" t="n">
        <v>44619.71880787037</v>
      </c>
      <c r="C991" s="1" t="n">
        <v>46087</v>
      </c>
      <c r="D991" t="inlineStr">
        <is>
          <t>VÄSTERBOTTENS LÄN</t>
        </is>
      </c>
      <c r="E991" t="inlineStr">
        <is>
          <t>UMEÅ</t>
        </is>
      </c>
      <c r="G991" t="n">
        <v>12.6</v>
      </c>
      <c r="H991" t="n">
        <v>0</v>
      </c>
      <c r="I991" t="n">
        <v>0</v>
      </c>
      <c r="J991" t="n">
        <v>0</v>
      </c>
      <c r="K991" t="n">
        <v>0</v>
      </c>
      <c r="L991" t="n">
        <v>0</v>
      </c>
      <c r="M991" t="n">
        <v>0</v>
      </c>
      <c r="N991" t="n">
        <v>0</v>
      </c>
      <c r="O991" t="n">
        <v>0</v>
      </c>
      <c r="P991" t="n">
        <v>0</v>
      </c>
      <c r="Q991" t="n">
        <v>0</v>
      </c>
      <c r="R991" s="2" t="inlineStr"/>
    </row>
    <row r="992" ht="15" customHeight="1">
      <c r="A992" t="inlineStr">
        <is>
          <t>A 39594-2023</t>
        </is>
      </c>
      <c r="B992" s="1" t="n">
        <v>45167</v>
      </c>
      <c r="C992" s="1" t="n">
        <v>46087</v>
      </c>
      <c r="D992" t="inlineStr">
        <is>
          <t>VÄSTERBOTTENS LÄN</t>
        </is>
      </c>
      <c r="E992" t="inlineStr">
        <is>
          <t>UMEÅ</t>
        </is>
      </c>
      <c r="F992" t="inlineStr">
        <is>
          <t>Sveaskog</t>
        </is>
      </c>
      <c r="G992" t="n">
        <v>8.6</v>
      </c>
      <c r="H992" t="n">
        <v>0</v>
      </c>
      <c r="I992" t="n">
        <v>0</v>
      </c>
      <c r="J992" t="n">
        <v>0</v>
      </c>
      <c r="K992" t="n">
        <v>0</v>
      </c>
      <c r="L992" t="n">
        <v>0</v>
      </c>
      <c r="M992" t="n">
        <v>0</v>
      </c>
      <c r="N992" t="n">
        <v>0</v>
      </c>
      <c r="O992" t="n">
        <v>0</v>
      </c>
      <c r="P992" t="n">
        <v>0</v>
      </c>
      <c r="Q992" t="n">
        <v>0</v>
      </c>
      <c r="R992" s="2" t="inlineStr"/>
    </row>
    <row r="993" ht="15" customHeight="1">
      <c r="A993" t="inlineStr">
        <is>
          <t>A 44121-2022</t>
        </is>
      </c>
      <c r="B993" s="1" t="n">
        <v>44839</v>
      </c>
      <c r="C993" s="1" t="n">
        <v>46087</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55082-2023</t>
        </is>
      </c>
      <c r="B994" s="1" t="n">
        <v>45230</v>
      </c>
      <c r="C994" s="1" t="n">
        <v>46087</v>
      </c>
      <c r="D994" t="inlineStr">
        <is>
          <t>VÄSTERBOTTENS LÄN</t>
        </is>
      </c>
      <c r="E994" t="inlineStr">
        <is>
          <t>UMEÅ</t>
        </is>
      </c>
      <c r="G994" t="n">
        <v>1.3</v>
      </c>
      <c r="H994" t="n">
        <v>0</v>
      </c>
      <c r="I994" t="n">
        <v>0</v>
      </c>
      <c r="J994" t="n">
        <v>0</v>
      </c>
      <c r="K994" t="n">
        <v>0</v>
      </c>
      <c r="L994" t="n">
        <v>0</v>
      </c>
      <c r="M994" t="n">
        <v>0</v>
      </c>
      <c r="N994" t="n">
        <v>0</v>
      </c>
      <c r="O994" t="n">
        <v>0</v>
      </c>
      <c r="P994" t="n">
        <v>0</v>
      </c>
      <c r="Q994" t="n">
        <v>0</v>
      </c>
      <c r="R994" s="2" t="inlineStr"/>
    </row>
    <row r="995" ht="15" customHeight="1">
      <c r="A995" t="inlineStr">
        <is>
          <t>A 7853-2025</t>
        </is>
      </c>
      <c r="B995" s="1" t="n">
        <v>45706.67732638889</v>
      </c>
      <c r="C995" s="1" t="n">
        <v>46087</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14380-2025</t>
        </is>
      </c>
      <c r="B996" s="1" t="n">
        <v>45741.41429398148</v>
      </c>
      <c r="C996" s="1" t="n">
        <v>46087</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46727-2023</t>
        </is>
      </c>
      <c r="B997" s="1" t="n">
        <v>45198</v>
      </c>
      <c r="C997" s="1" t="n">
        <v>46087</v>
      </c>
      <c r="D997" t="inlineStr">
        <is>
          <t>VÄSTERBOTTENS LÄN</t>
        </is>
      </c>
      <c r="E997" t="inlineStr">
        <is>
          <t>UMEÅ</t>
        </is>
      </c>
      <c r="G997" t="n">
        <v>4.3</v>
      </c>
      <c r="H997" t="n">
        <v>0</v>
      </c>
      <c r="I997" t="n">
        <v>0</v>
      </c>
      <c r="J997" t="n">
        <v>0</v>
      </c>
      <c r="K997" t="n">
        <v>0</v>
      </c>
      <c r="L997" t="n">
        <v>0</v>
      </c>
      <c r="M997" t="n">
        <v>0</v>
      </c>
      <c r="N997" t="n">
        <v>0</v>
      </c>
      <c r="O997" t="n">
        <v>0</v>
      </c>
      <c r="P997" t="n">
        <v>0</v>
      </c>
      <c r="Q997" t="n">
        <v>0</v>
      </c>
      <c r="R997" s="2" t="inlineStr"/>
    </row>
    <row r="998" ht="15" customHeight="1">
      <c r="A998" t="inlineStr">
        <is>
          <t>A 16606-2022</t>
        </is>
      </c>
      <c r="B998" s="1" t="n">
        <v>44672</v>
      </c>
      <c r="C998" s="1" t="n">
        <v>46087</v>
      </c>
      <c r="D998" t="inlineStr">
        <is>
          <t>VÄSTERBOTTENS LÄN</t>
        </is>
      </c>
      <c r="E998" t="inlineStr">
        <is>
          <t>UMEÅ</t>
        </is>
      </c>
      <c r="G998" t="n">
        <v>1.8</v>
      </c>
      <c r="H998" t="n">
        <v>0</v>
      </c>
      <c r="I998" t="n">
        <v>0</v>
      </c>
      <c r="J998" t="n">
        <v>0</v>
      </c>
      <c r="K998" t="n">
        <v>0</v>
      </c>
      <c r="L998" t="n">
        <v>0</v>
      </c>
      <c r="M998" t="n">
        <v>0</v>
      </c>
      <c r="N998" t="n">
        <v>0</v>
      </c>
      <c r="O998" t="n">
        <v>0</v>
      </c>
      <c r="P998" t="n">
        <v>0</v>
      </c>
      <c r="Q998" t="n">
        <v>0</v>
      </c>
      <c r="R998" s="2" t="inlineStr"/>
    </row>
    <row r="999" ht="15" customHeight="1">
      <c r="A999" t="inlineStr">
        <is>
          <t>A 59289-2023</t>
        </is>
      </c>
      <c r="B999" s="1" t="n">
        <v>45252</v>
      </c>
      <c r="C999" s="1" t="n">
        <v>46087</v>
      </c>
      <c r="D999" t="inlineStr">
        <is>
          <t>VÄSTERBOTTENS LÄN</t>
        </is>
      </c>
      <c r="E999" t="inlineStr">
        <is>
          <t>UMEÅ</t>
        </is>
      </c>
      <c r="G999" t="n">
        <v>2</v>
      </c>
      <c r="H999" t="n">
        <v>0</v>
      </c>
      <c r="I999" t="n">
        <v>0</v>
      </c>
      <c r="J999" t="n">
        <v>0</v>
      </c>
      <c r="K999" t="n">
        <v>0</v>
      </c>
      <c r="L999" t="n">
        <v>0</v>
      </c>
      <c r="M999" t="n">
        <v>0</v>
      </c>
      <c r="N999" t="n">
        <v>0</v>
      </c>
      <c r="O999" t="n">
        <v>0</v>
      </c>
      <c r="P999" t="n">
        <v>0</v>
      </c>
      <c r="Q999" t="n">
        <v>0</v>
      </c>
      <c r="R999" s="2" t="inlineStr"/>
    </row>
    <row r="1000" ht="15" customHeight="1">
      <c r="A1000" t="inlineStr">
        <is>
          <t>A 42463-2023</t>
        </is>
      </c>
      <c r="B1000" s="1" t="n">
        <v>45180.67883101852</v>
      </c>
      <c r="C1000" s="1" t="n">
        <v>46087</v>
      </c>
      <c r="D1000" t="inlineStr">
        <is>
          <t>VÄSTERBOTTENS LÄN</t>
        </is>
      </c>
      <c r="E1000" t="inlineStr">
        <is>
          <t>UMEÅ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6130-2025</t>
        </is>
      </c>
      <c r="B1001" s="1" t="n">
        <v>45698.36478009259</v>
      </c>
      <c r="C1001" s="1" t="n">
        <v>46087</v>
      </c>
      <c r="D1001" t="inlineStr">
        <is>
          <t>VÄSTERBOTTENS LÄN</t>
        </is>
      </c>
      <c r="E1001" t="inlineStr">
        <is>
          <t>UMEÅ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39945-2023</t>
        </is>
      </c>
      <c r="B1002" s="1" t="n">
        <v>45168</v>
      </c>
      <c r="C1002" s="1" t="n">
        <v>46087</v>
      </c>
      <c r="D1002" t="inlineStr">
        <is>
          <t>VÄSTERBOTTENS LÄN</t>
        </is>
      </c>
      <c r="E1002" t="inlineStr">
        <is>
          <t>UMEÅ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29027-2022</t>
        </is>
      </c>
      <c r="B1003" s="1" t="n">
        <v>44749.9266087963</v>
      </c>
      <c r="C1003" s="1" t="n">
        <v>46087</v>
      </c>
      <c r="D1003" t="inlineStr">
        <is>
          <t>VÄSTERBOTTENS LÄN</t>
        </is>
      </c>
      <c r="E1003" t="inlineStr">
        <is>
          <t>UMEÅ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52529-2023</t>
        </is>
      </c>
      <c r="B1004" s="1" t="n">
        <v>45225.53422453703</v>
      </c>
      <c r="C1004" s="1" t="n">
        <v>46087</v>
      </c>
      <c r="D1004" t="inlineStr">
        <is>
          <t>VÄSTERBOTTENS LÄN</t>
        </is>
      </c>
      <c r="E1004" t="inlineStr">
        <is>
          <t>UMEÅ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26352-2024</t>
        </is>
      </c>
      <c r="B1005" s="1" t="n">
        <v>45469.36628472222</v>
      </c>
      <c r="C1005" s="1" t="n">
        <v>46087</v>
      </c>
      <c r="D1005" t="inlineStr">
        <is>
          <t>VÄSTERBOTTENS LÄN</t>
        </is>
      </c>
      <c r="E1005" t="inlineStr">
        <is>
          <t>UMEÅ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25346-2024</t>
        </is>
      </c>
      <c r="B1006" s="1" t="n">
        <v>45462</v>
      </c>
      <c r="C1006" s="1" t="n">
        <v>46087</v>
      </c>
      <c r="D1006" t="inlineStr">
        <is>
          <t>VÄSTERBOTTENS LÄN</t>
        </is>
      </c>
      <c r="E1006" t="inlineStr">
        <is>
          <t>UMEÅ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10422-2025</t>
        </is>
      </c>
      <c r="B1007" s="1" t="n">
        <v>45720.64917824074</v>
      </c>
      <c r="C1007" s="1" t="n">
        <v>46087</v>
      </c>
      <c r="D1007" t="inlineStr">
        <is>
          <t>VÄSTERBOTTENS LÄN</t>
        </is>
      </c>
      <c r="E1007" t="inlineStr">
        <is>
          <t>UMEÅ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9159-2025</t>
        </is>
      </c>
      <c r="B1008" s="1" t="n">
        <v>45714.35774305555</v>
      </c>
      <c r="C1008" s="1" t="n">
        <v>46087</v>
      </c>
      <c r="D1008" t="inlineStr">
        <is>
          <t>VÄSTERBOTTENS LÄN</t>
        </is>
      </c>
      <c r="E1008" t="inlineStr">
        <is>
          <t>UMEÅ</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51709-2023</t>
        </is>
      </c>
      <c r="B1009" s="1" t="n">
        <v>45215</v>
      </c>
      <c r="C1009" s="1" t="n">
        <v>46087</v>
      </c>
      <c r="D1009" t="inlineStr">
        <is>
          <t>VÄSTERBOTTENS LÄN</t>
        </is>
      </c>
      <c r="E1009" t="inlineStr">
        <is>
          <t>UMEÅ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61749-2023</t>
        </is>
      </c>
      <c r="B1010" s="1" t="n">
        <v>45264</v>
      </c>
      <c r="C1010" s="1" t="n">
        <v>46087</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44459-2023</t>
        </is>
      </c>
      <c r="B1011" s="1" t="n">
        <v>45189</v>
      </c>
      <c r="C1011" s="1" t="n">
        <v>46087</v>
      </c>
      <c r="D1011" t="inlineStr">
        <is>
          <t>VÄSTERBOTTENS LÄN</t>
        </is>
      </c>
      <c r="E1011" t="inlineStr">
        <is>
          <t>UMEÅ</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59080-2022</t>
        </is>
      </c>
      <c r="B1012" s="1" t="n">
        <v>44904</v>
      </c>
      <c r="C1012" s="1" t="n">
        <v>46087</v>
      </c>
      <c r="D1012" t="inlineStr">
        <is>
          <t>VÄSTERBOTTENS LÄN</t>
        </is>
      </c>
      <c r="E1012" t="inlineStr">
        <is>
          <t>UMEÅ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50725-2023</t>
        </is>
      </c>
      <c r="B1013" s="1" t="n">
        <v>45217</v>
      </c>
      <c r="C1013" s="1" t="n">
        <v>46087</v>
      </c>
      <c r="D1013" t="inlineStr">
        <is>
          <t>VÄSTERBOTTENS LÄN</t>
        </is>
      </c>
      <c r="E1013" t="inlineStr">
        <is>
          <t>UMEÅ</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50726-2023</t>
        </is>
      </c>
      <c r="B1014" s="1" t="n">
        <v>45217</v>
      </c>
      <c r="C1014" s="1" t="n">
        <v>46087</v>
      </c>
      <c r="D1014" t="inlineStr">
        <is>
          <t>VÄSTERBOTTENS LÄN</t>
        </is>
      </c>
      <c r="E1014" t="inlineStr">
        <is>
          <t>UMEÅ</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36816-2022</t>
        </is>
      </c>
      <c r="B1015" s="1" t="n">
        <v>44805.5507175926</v>
      </c>
      <c r="C1015" s="1" t="n">
        <v>46087</v>
      </c>
      <c r="D1015" t="inlineStr">
        <is>
          <t>VÄSTERBOTTENS LÄN</t>
        </is>
      </c>
      <c r="E1015" t="inlineStr">
        <is>
          <t>UMEÅ</t>
        </is>
      </c>
      <c r="F1015" t="inlineStr">
        <is>
          <t>Holmen skog AB</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6998-2024</t>
        </is>
      </c>
      <c r="B1016" s="1" t="n">
        <v>45343</v>
      </c>
      <c r="C1016" s="1" t="n">
        <v>46087</v>
      </c>
      <c r="D1016" t="inlineStr">
        <is>
          <t>VÄSTERBOTTENS LÄN</t>
        </is>
      </c>
      <c r="E1016" t="inlineStr">
        <is>
          <t>UMEÅ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27307-2022</t>
        </is>
      </c>
      <c r="B1017" s="1" t="n">
        <v>44742.3241550926</v>
      </c>
      <c r="C1017" s="1" t="n">
        <v>46087</v>
      </c>
      <c r="D1017" t="inlineStr">
        <is>
          <t>VÄSTERBOTTENS LÄN</t>
        </is>
      </c>
      <c r="E1017" t="inlineStr">
        <is>
          <t>UMEÅ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17081-2025</t>
        </is>
      </c>
      <c r="B1018" s="1" t="n">
        <v>45755</v>
      </c>
      <c r="C1018" s="1" t="n">
        <v>46087</v>
      </c>
      <c r="D1018" t="inlineStr">
        <is>
          <t>VÄSTERBOTTENS LÄN</t>
        </is>
      </c>
      <c r="E1018" t="inlineStr">
        <is>
          <t>UMEÅ</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62648-2021</t>
        </is>
      </c>
      <c r="B1019" s="1" t="n">
        <v>44503</v>
      </c>
      <c r="C1019" s="1" t="n">
        <v>46087</v>
      </c>
      <c r="D1019" t="inlineStr">
        <is>
          <t>VÄSTERBOTTENS LÄN</t>
        </is>
      </c>
      <c r="E1019" t="inlineStr">
        <is>
          <t>UMEÅ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50084-2021</t>
        </is>
      </c>
      <c r="B1020" s="1" t="n">
        <v>44456.59263888889</v>
      </c>
      <c r="C1020" s="1" t="n">
        <v>46087</v>
      </c>
      <c r="D1020" t="inlineStr">
        <is>
          <t>VÄSTERBOTTENS LÄN</t>
        </is>
      </c>
      <c r="E1020" t="inlineStr">
        <is>
          <t>UMEÅ</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3366-2024</t>
        </is>
      </c>
      <c r="B1021" s="1" t="n">
        <v>45317</v>
      </c>
      <c r="C1021" s="1" t="n">
        <v>46087</v>
      </c>
      <c r="D1021" t="inlineStr">
        <is>
          <t>VÄSTERBOTTENS LÄN</t>
        </is>
      </c>
      <c r="E1021" t="inlineStr">
        <is>
          <t>UMEÅ</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14286-2025</t>
        </is>
      </c>
      <c r="B1022" s="1" t="n">
        <v>45740.66287037037</v>
      </c>
      <c r="C1022" s="1" t="n">
        <v>46087</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40024-2022</t>
        </is>
      </c>
      <c r="B1023" s="1" t="n">
        <v>44820.41207175926</v>
      </c>
      <c r="C1023" s="1" t="n">
        <v>46087</v>
      </c>
      <c r="D1023" t="inlineStr">
        <is>
          <t>VÄSTERBOTTENS LÄN</t>
        </is>
      </c>
      <c r="E1023" t="inlineStr">
        <is>
          <t>UMEÅ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7440-2024</t>
        </is>
      </c>
      <c r="B1024" s="1" t="n">
        <v>45345</v>
      </c>
      <c r="C1024" s="1" t="n">
        <v>46087</v>
      </c>
      <c r="D1024" t="inlineStr">
        <is>
          <t>VÄSTERBOTTENS LÄN</t>
        </is>
      </c>
      <c r="E1024" t="inlineStr">
        <is>
          <t>UMEÅ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37023-2024</t>
        </is>
      </c>
      <c r="B1025" s="1" t="n">
        <v>45539</v>
      </c>
      <c r="C1025" s="1" t="n">
        <v>46087</v>
      </c>
      <c r="D1025" t="inlineStr">
        <is>
          <t>VÄSTERBOTTENS LÄN</t>
        </is>
      </c>
      <c r="E1025" t="inlineStr">
        <is>
          <t>UMEÅ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23840-2024</t>
        </is>
      </c>
      <c r="B1026" s="1" t="n">
        <v>45455</v>
      </c>
      <c r="C1026" s="1" t="n">
        <v>46087</v>
      </c>
      <c r="D1026" t="inlineStr">
        <is>
          <t>VÄSTERBOTTENS LÄN</t>
        </is>
      </c>
      <c r="E1026" t="inlineStr">
        <is>
          <t>UMEÅ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41525-2023</t>
        </is>
      </c>
      <c r="B1027" s="1" t="n">
        <v>45173</v>
      </c>
      <c r="C1027" s="1" t="n">
        <v>46087</v>
      </c>
      <c r="D1027" t="inlineStr">
        <is>
          <t>VÄSTERBOTTENS LÄN</t>
        </is>
      </c>
      <c r="E1027" t="inlineStr">
        <is>
          <t>UMEÅ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40032-2023</t>
        </is>
      </c>
      <c r="B1028" s="1" t="n">
        <v>45167</v>
      </c>
      <c r="C1028" s="1" t="n">
        <v>46087</v>
      </c>
      <c r="D1028" t="inlineStr">
        <is>
          <t>VÄSTERBOTTENS LÄN</t>
        </is>
      </c>
      <c r="E1028" t="inlineStr">
        <is>
          <t>UMEÅ</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50287-2023</t>
        </is>
      </c>
      <c r="B1029" s="1" t="n">
        <v>45216</v>
      </c>
      <c r="C1029" s="1" t="n">
        <v>46087</v>
      </c>
      <c r="D1029" t="inlineStr">
        <is>
          <t>VÄSTERBOTTENS LÄN</t>
        </is>
      </c>
      <c r="E1029" t="inlineStr">
        <is>
          <t>UMEÅ</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14403-2025</t>
        </is>
      </c>
      <c r="B1030" s="1" t="n">
        <v>45741.46083333333</v>
      </c>
      <c r="C1030" s="1" t="n">
        <v>46087</v>
      </c>
      <c r="D1030" t="inlineStr">
        <is>
          <t>VÄSTERBOTTENS LÄN</t>
        </is>
      </c>
      <c r="E1030" t="inlineStr">
        <is>
          <t>UMEÅ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12723-2025</t>
        </is>
      </c>
      <c r="B1031" s="1" t="n">
        <v>45733.49011574074</v>
      </c>
      <c r="C1031" s="1" t="n">
        <v>46087</v>
      </c>
      <c r="D1031" t="inlineStr">
        <is>
          <t>VÄSTERBOTTENS LÄN</t>
        </is>
      </c>
      <c r="E1031" t="inlineStr">
        <is>
          <t>UMEÅ</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49525-2023</t>
        </is>
      </c>
      <c r="B1032" s="1" t="n">
        <v>45205</v>
      </c>
      <c r="C1032" s="1" t="n">
        <v>46087</v>
      </c>
      <c r="D1032" t="inlineStr">
        <is>
          <t>VÄSTERBOTTENS LÄN</t>
        </is>
      </c>
      <c r="E1032" t="inlineStr">
        <is>
          <t>UMEÅ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26861-2024</t>
        </is>
      </c>
      <c r="B1033" s="1" t="n">
        <v>45470</v>
      </c>
      <c r="C1033" s="1" t="n">
        <v>46087</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31903-2024</t>
        </is>
      </c>
      <c r="B1034" s="1" t="n">
        <v>45510.32447916667</v>
      </c>
      <c r="C1034" s="1" t="n">
        <v>46087</v>
      </c>
      <c r="D1034" t="inlineStr">
        <is>
          <t>VÄSTERBOTTENS LÄN</t>
        </is>
      </c>
      <c r="E1034" t="inlineStr">
        <is>
          <t>UMEÅ</t>
        </is>
      </c>
      <c r="F1034" t="inlineStr">
        <is>
          <t>Holmen skog AB</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57914-2022</t>
        </is>
      </c>
      <c r="B1035" s="1" t="n">
        <v>44900.36453703704</v>
      </c>
      <c r="C1035" s="1" t="n">
        <v>46087</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9671-2024</t>
        </is>
      </c>
      <c r="B1036" s="1" t="n">
        <v>45362.46013888889</v>
      </c>
      <c r="C1036" s="1" t="n">
        <v>46087</v>
      </c>
      <c r="D1036" t="inlineStr">
        <is>
          <t>VÄSTERBOTTENS LÄN</t>
        </is>
      </c>
      <c r="E1036" t="inlineStr">
        <is>
          <t>UMEÅ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7384-2022</t>
        </is>
      </c>
      <c r="B1037" s="1" t="n">
        <v>44606.62334490741</v>
      </c>
      <c r="C1037" s="1" t="n">
        <v>46087</v>
      </c>
      <c r="D1037" t="inlineStr">
        <is>
          <t>VÄSTERBOTTENS LÄN</t>
        </is>
      </c>
      <c r="E1037" t="inlineStr">
        <is>
          <t>UMEÅ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38750-2021</t>
        </is>
      </c>
      <c r="B1038" s="1" t="n">
        <v>44410</v>
      </c>
      <c r="C1038" s="1" t="n">
        <v>46087</v>
      </c>
      <c r="D1038" t="inlineStr">
        <is>
          <t>VÄSTERBOTTENS LÄN</t>
        </is>
      </c>
      <c r="E1038" t="inlineStr">
        <is>
          <t>UMEÅ</t>
        </is>
      </c>
      <c r="F1038" t="inlineStr">
        <is>
          <t>Kommuner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43975-2024</t>
        </is>
      </c>
      <c r="B1039" s="1" t="n">
        <v>45572.49075231481</v>
      </c>
      <c r="C1039" s="1" t="n">
        <v>46087</v>
      </c>
      <c r="D1039" t="inlineStr">
        <is>
          <t>VÄSTERBOTTENS LÄN</t>
        </is>
      </c>
      <c r="E1039" t="inlineStr">
        <is>
          <t>UMEÅ</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45343-2024</t>
        </is>
      </c>
      <c r="B1040" s="1" t="n">
        <v>45576.47199074074</v>
      </c>
      <c r="C1040" s="1" t="n">
        <v>46087</v>
      </c>
      <c r="D1040" t="inlineStr">
        <is>
          <t>VÄSTERBOTTENS LÄN</t>
        </is>
      </c>
      <c r="E1040" t="inlineStr">
        <is>
          <t>UMEÅ</t>
        </is>
      </c>
      <c r="F1040" t="inlineStr">
        <is>
          <t>Holmen skog AB</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52900-2023</t>
        </is>
      </c>
      <c r="B1041" s="1" t="n">
        <v>45226</v>
      </c>
      <c r="C1041" s="1" t="n">
        <v>46087</v>
      </c>
      <c r="D1041" t="inlineStr">
        <is>
          <t>VÄSTERBOTTENS LÄN</t>
        </is>
      </c>
      <c r="E1041" t="inlineStr">
        <is>
          <t>UMEÅ</t>
        </is>
      </c>
      <c r="F1041" t="inlineStr">
        <is>
          <t>Holmen skog AB</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3411-2023</t>
        </is>
      </c>
      <c r="B1042" s="1" t="n">
        <v>44949.55421296296</v>
      </c>
      <c r="C1042" s="1" t="n">
        <v>46087</v>
      </c>
      <c r="D1042" t="inlineStr">
        <is>
          <t>VÄSTERBOTTENS LÄN</t>
        </is>
      </c>
      <c r="E1042" t="inlineStr">
        <is>
          <t>UMEÅ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42010-2024</t>
        </is>
      </c>
      <c r="B1043" s="1" t="n">
        <v>45561</v>
      </c>
      <c r="C1043" s="1" t="n">
        <v>46087</v>
      </c>
      <c r="D1043" t="inlineStr">
        <is>
          <t>VÄSTERBOTTENS LÄN</t>
        </is>
      </c>
      <c r="E1043" t="inlineStr">
        <is>
          <t>UMEÅ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8409-2022</t>
        </is>
      </c>
      <c r="B1044" s="1" t="n">
        <v>44610.92238425926</v>
      </c>
      <c r="C1044" s="1" t="n">
        <v>46087</v>
      </c>
      <c r="D1044" t="inlineStr">
        <is>
          <t>VÄSTERBOTTENS LÄN</t>
        </is>
      </c>
      <c r="E1044" t="inlineStr">
        <is>
          <t>UMEÅ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17484-2022</t>
        </is>
      </c>
      <c r="B1045" s="1" t="n">
        <v>44679</v>
      </c>
      <c r="C1045" s="1" t="n">
        <v>46087</v>
      </c>
      <c r="D1045" t="inlineStr">
        <is>
          <t>VÄSTERBOTTENS LÄN</t>
        </is>
      </c>
      <c r="E1045" t="inlineStr">
        <is>
          <t>UMEÅ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26933-2024</t>
        </is>
      </c>
      <c r="B1046" s="1" t="n">
        <v>45470</v>
      </c>
      <c r="C1046" s="1" t="n">
        <v>46087</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60645-2023</t>
        </is>
      </c>
      <c r="B1047" s="1" t="n">
        <v>45260.41273148148</v>
      </c>
      <c r="C1047" s="1" t="n">
        <v>46087</v>
      </c>
      <c r="D1047" t="inlineStr">
        <is>
          <t>VÄSTERBOTTENS LÄN</t>
        </is>
      </c>
      <c r="E1047" t="inlineStr">
        <is>
          <t>UMEÅ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52364-2024</t>
        </is>
      </c>
      <c r="B1048" s="1" t="n">
        <v>45609.38349537037</v>
      </c>
      <c r="C1048" s="1" t="n">
        <v>46087</v>
      </c>
      <c r="D1048" t="inlineStr">
        <is>
          <t>VÄSTERBOTTENS LÄN</t>
        </is>
      </c>
      <c r="E1048" t="inlineStr">
        <is>
          <t>UMEÅ</t>
        </is>
      </c>
      <c r="F1048" t="inlineStr">
        <is>
          <t>Holmen skog AB</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42000-2024</t>
        </is>
      </c>
      <c r="B1049" s="1" t="n">
        <v>45561.65799768519</v>
      </c>
      <c r="C1049" s="1" t="n">
        <v>46087</v>
      </c>
      <c r="D1049" t="inlineStr">
        <is>
          <t>VÄSTERBOTTENS LÄN</t>
        </is>
      </c>
      <c r="E1049" t="inlineStr">
        <is>
          <t>UMEÅ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32791-2024</t>
        </is>
      </c>
      <c r="B1050" s="1" t="n">
        <v>45516.54195601852</v>
      </c>
      <c r="C1050" s="1" t="n">
        <v>46087</v>
      </c>
      <c r="D1050" t="inlineStr">
        <is>
          <t>VÄSTERBOTTENS LÄN</t>
        </is>
      </c>
      <c r="E1050" t="inlineStr">
        <is>
          <t>UMEÅ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26872-2022</t>
        </is>
      </c>
      <c r="B1051" s="1" t="n">
        <v>44740</v>
      </c>
      <c r="C1051" s="1" t="n">
        <v>46087</v>
      </c>
      <c r="D1051" t="inlineStr">
        <is>
          <t>VÄSTERBOTTENS LÄN</t>
        </is>
      </c>
      <c r="E1051" t="inlineStr">
        <is>
          <t>UMEÅ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9924-2022</t>
        </is>
      </c>
      <c r="B1052" s="1" t="n">
        <v>44620.92203703704</v>
      </c>
      <c r="C1052" s="1" t="n">
        <v>46087</v>
      </c>
      <c r="D1052" t="inlineStr">
        <is>
          <t>VÄSTERBOTTENS LÄN</t>
        </is>
      </c>
      <c r="E1052" t="inlineStr">
        <is>
          <t>UMEÅ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25367-2023</t>
        </is>
      </c>
      <c r="B1053" s="1" t="n">
        <v>45088.92412037037</v>
      </c>
      <c r="C1053" s="1" t="n">
        <v>46087</v>
      </c>
      <c r="D1053" t="inlineStr">
        <is>
          <t>VÄSTERBOTTENS LÄN</t>
        </is>
      </c>
      <c r="E1053" t="inlineStr">
        <is>
          <t>UMEÅ</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22632-2024</t>
        </is>
      </c>
      <c r="B1054" s="1" t="n">
        <v>45447.67429398148</v>
      </c>
      <c r="C1054" s="1" t="n">
        <v>46087</v>
      </c>
      <c r="D1054" t="inlineStr">
        <is>
          <t>VÄSTERBOTTENS LÄN</t>
        </is>
      </c>
      <c r="E1054" t="inlineStr">
        <is>
          <t>UMEÅ</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44132-2022</t>
        </is>
      </c>
      <c r="B1055" s="1" t="n">
        <v>44839.40086805556</v>
      </c>
      <c r="C1055" s="1" t="n">
        <v>46087</v>
      </c>
      <c r="D1055" t="inlineStr">
        <is>
          <t>VÄSTERBOTTENS LÄN</t>
        </is>
      </c>
      <c r="E1055" t="inlineStr">
        <is>
          <t>UMEÅ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20459-2021</t>
        </is>
      </c>
      <c r="B1056" s="1" t="n">
        <v>44314</v>
      </c>
      <c r="C1056" s="1" t="n">
        <v>46087</v>
      </c>
      <c r="D1056" t="inlineStr">
        <is>
          <t>VÄSTERBOTTENS LÄN</t>
        </is>
      </c>
      <c r="E1056" t="inlineStr">
        <is>
          <t>UMEÅ</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48586-2024</t>
        </is>
      </c>
      <c r="B1057" s="1" t="n">
        <v>45593.42652777778</v>
      </c>
      <c r="C1057" s="1" t="n">
        <v>46087</v>
      </c>
      <c r="D1057" t="inlineStr">
        <is>
          <t>VÄSTERBOTTENS LÄN</t>
        </is>
      </c>
      <c r="E1057" t="inlineStr">
        <is>
          <t>UMEÅ</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2737-2023</t>
        </is>
      </c>
      <c r="B1058" s="1" t="n">
        <v>44944</v>
      </c>
      <c r="C1058" s="1" t="n">
        <v>46087</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24586-2022</t>
        </is>
      </c>
      <c r="B1059" s="1" t="n">
        <v>44727.45271990741</v>
      </c>
      <c r="C1059" s="1" t="n">
        <v>46087</v>
      </c>
      <c r="D1059" t="inlineStr">
        <is>
          <t>VÄSTERBOTTENS LÄN</t>
        </is>
      </c>
      <c r="E1059" t="inlineStr">
        <is>
          <t>UMEÅ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9531-2023</t>
        </is>
      </c>
      <c r="B1060" s="1" t="n">
        <v>44981</v>
      </c>
      <c r="C1060" s="1" t="n">
        <v>46087</v>
      </c>
      <c r="D1060" t="inlineStr">
        <is>
          <t>VÄSTERBOTTENS LÄN</t>
        </is>
      </c>
      <c r="E1060" t="inlineStr">
        <is>
          <t>UMEÅ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2632-2023</t>
        </is>
      </c>
      <c r="B1061" s="1" t="n">
        <v>44944</v>
      </c>
      <c r="C1061" s="1" t="n">
        <v>46087</v>
      </c>
      <c r="D1061" t="inlineStr">
        <is>
          <t>VÄSTERBOTTENS LÄN</t>
        </is>
      </c>
      <c r="E1061" t="inlineStr">
        <is>
          <t>UMEÅ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2634-2023</t>
        </is>
      </c>
      <c r="B1062" s="1" t="n">
        <v>44944.4013425926</v>
      </c>
      <c r="C1062" s="1" t="n">
        <v>46087</v>
      </c>
      <c r="D1062" t="inlineStr">
        <is>
          <t>VÄSTERBOTTENS LÄN</t>
        </is>
      </c>
      <c r="E1062" t="inlineStr">
        <is>
          <t>UMEÅ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14432-2022</t>
        </is>
      </c>
      <c r="B1063" s="1" t="n">
        <v>44652.92743055556</v>
      </c>
      <c r="C1063" s="1" t="n">
        <v>46087</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29454-2023</t>
        </is>
      </c>
      <c r="B1064" s="1" t="n">
        <v>45098</v>
      </c>
      <c r="C1064" s="1" t="n">
        <v>46087</v>
      </c>
      <c r="D1064" t="inlineStr">
        <is>
          <t>VÄSTERBOTTENS LÄN</t>
        </is>
      </c>
      <c r="E1064" t="inlineStr">
        <is>
          <t>UMEÅ</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2695-2023</t>
        </is>
      </c>
      <c r="B1065" s="1" t="n">
        <v>44944</v>
      </c>
      <c r="C1065" s="1" t="n">
        <v>46087</v>
      </c>
      <c r="D1065" t="inlineStr">
        <is>
          <t>VÄSTERBOTTENS LÄN</t>
        </is>
      </c>
      <c r="E1065" t="inlineStr">
        <is>
          <t>UMEÅ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36955-2023</t>
        </is>
      </c>
      <c r="B1066" s="1" t="n">
        <v>45154</v>
      </c>
      <c r="C1066" s="1" t="n">
        <v>46087</v>
      </c>
      <c r="D1066" t="inlineStr">
        <is>
          <t>VÄSTERBOTTENS LÄN</t>
        </is>
      </c>
      <c r="E1066" t="inlineStr">
        <is>
          <t>UMEÅ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37443-2023</t>
        </is>
      </c>
      <c r="B1067" s="1" t="n">
        <v>45147</v>
      </c>
      <c r="C1067" s="1" t="n">
        <v>46087</v>
      </c>
      <c r="D1067" t="inlineStr">
        <is>
          <t>VÄSTERBOTTENS LÄN</t>
        </is>
      </c>
      <c r="E1067" t="inlineStr">
        <is>
          <t>UMEÅ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2073-2024</t>
        </is>
      </c>
      <c r="B1068" s="1" t="n">
        <v>45309</v>
      </c>
      <c r="C1068" s="1" t="n">
        <v>46087</v>
      </c>
      <c r="D1068" t="inlineStr">
        <is>
          <t>VÄSTERBOTTENS LÄN</t>
        </is>
      </c>
      <c r="E1068" t="inlineStr">
        <is>
          <t>UMEÅ</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10357-2023</t>
        </is>
      </c>
      <c r="B1069" s="1" t="n">
        <v>44980</v>
      </c>
      <c r="C1069" s="1" t="n">
        <v>46087</v>
      </c>
      <c r="D1069" t="inlineStr">
        <is>
          <t>VÄSTERBOTTENS LÄN</t>
        </is>
      </c>
      <c r="E1069" t="inlineStr">
        <is>
          <t>UMEÅ</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18448-2023</t>
        </is>
      </c>
      <c r="B1070" s="1" t="n">
        <v>45042</v>
      </c>
      <c r="C1070" s="1" t="n">
        <v>46087</v>
      </c>
      <c r="D1070" t="inlineStr">
        <is>
          <t>VÄSTERBOTTENS LÄN</t>
        </is>
      </c>
      <c r="E1070" t="inlineStr">
        <is>
          <t>UMEÅ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48751-2023</t>
        </is>
      </c>
      <c r="B1071" s="1" t="n">
        <v>45208.89429398148</v>
      </c>
      <c r="C1071" s="1" t="n">
        <v>46087</v>
      </c>
      <c r="D1071" t="inlineStr">
        <is>
          <t>VÄSTERBOTTENS LÄN</t>
        </is>
      </c>
      <c r="E1071" t="inlineStr">
        <is>
          <t>UMEÅ</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37629-2024</t>
        </is>
      </c>
      <c r="B1072" s="1" t="n">
        <v>45541.53135416667</v>
      </c>
      <c r="C1072" s="1" t="n">
        <v>46087</v>
      </c>
      <c r="D1072" t="inlineStr">
        <is>
          <t>VÄSTERBOTTENS LÄN</t>
        </is>
      </c>
      <c r="E1072" t="inlineStr">
        <is>
          <t>UMEÅ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49793-2024</t>
        </is>
      </c>
      <c r="B1073" s="1" t="n">
        <v>45597.3706712963</v>
      </c>
      <c r="C1073" s="1" t="n">
        <v>46087</v>
      </c>
      <c r="D1073" t="inlineStr">
        <is>
          <t>VÄSTERBOTTENS LÄN</t>
        </is>
      </c>
      <c r="E1073" t="inlineStr">
        <is>
          <t>UMEÅ</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57883-2023</t>
        </is>
      </c>
      <c r="B1074" s="1" t="n">
        <v>45247.47055555556</v>
      </c>
      <c r="C1074" s="1" t="n">
        <v>46087</v>
      </c>
      <c r="D1074" t="inlineStr">
        <is>
          <t>VÄSTERBOTTENS LÄN</t>
        </is>
      </c>
      <c r="E1074" t="inlineStr">
        <is>
          <t>UMEÅ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17110-2023</t>
        </is>
      </c>
      <c r="B1075" s="1" t="n">
        <v>45030</v>
      </c>
      <c r="C1075" s="1" t="n">
        <v>46087</v>
      </c>
      <c r="D1075" t="inlineStr">
        <is>
          <t>VÄSTERBOTTENS LÄN</t>
        </is>
      </c>
      <c r="E1075" t="inlineStr">
        <is>
          <t>UMEÅ</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24875-2023</t>
        </is>
      </c>
      <c r="B1076" s="1" t="n">
        <v>45078</v>
      </c>
      <c r="C1076" s="1" t="n">
        <v>46087</v>
      </c>
      <c r="D1076" t="inlineStr">
        <is>
          <t>VÄSTERBOTTENS LÄN</t>
        </is>
      </c>
      <c r="E1076" t="inlineStr">
        <is>
          <t>UMEÅ</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58440-2024</t>
        </is>
      </c>
      <c r="B1077" s="1" t="n">
        <v>45635.31018518518</v>
      </c>
      <c r="C1077" s="1" t="n">
        <v>46087</v>
      </c>
      <c r="D1077" t="inlineStr">
        <is>
          <t>VÄSTERBOTTENS LÄN</t>
        </is>
      </c>
      <c r="E1077" t="inlineStr">
        <is>
          <t>UMEÅ</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15430-2024</t>
        </is>
      </c>
      <c r="B1078" s="1" t="n">
        <v>45401</v>
      </c>
      <c r="C1078" s="1" t="n">
        <v>46087</v>
      </c>
      <c r="D1078" t="inlineStr">
        <is>
          <t>VÄSTERBOTTENS LÄN</t>
        </is>
      </c>
      <c r="E1078" t="inlineStr">
        <is>
          <t>UMEÅ</t>
        </is>
      </c>
      <c r="F1078" t="inlineStr">
        <is>
          <t>Holmen skog AB</t>
        </is>
      </c>
      <c r="G1078" t="n">
        <v>37.4</v>
      </c>
      <c r="H1078" t="n">
        <v>0</v>
      </c>
      <c r="I1078" t="n">
        <v>0</v>
      </c>
      <c r="J1078" t="n">
        <v>0</v>
      </c>
      <c r="K1078" t="n">
        <v>0</v>
      </c>
      <c r="L1078" t="n">
        <v>0</v>
      </c>
      <c r="M1078" t="n">
        <v>0</v>
      </c>
      <c r="N1078" t="n">
        <v>0</v>
      </c>
      <c r="O1078" t="n">
        <v>0</v>
      </c>
      <c r="P1078" t="n">
        <v>0</v>
      </c>
      <c r="Q1078" t="n">
        <v>0</v>
      </c>
      <c r="R1078" s="2" t="inlineStr"/>
    </row>
    <row r="1079" ht="15" customHeight="1">
      <c r="A1079" t="inlineStr">
        <is>
          <t>A 54509-2024</t>
        </is>
      </c>
      <c r="B1079" s="1" t="n">
        <v>45617.58597222222</v>
      </c>
      <c r="C1079" s="1" t="n">
        <v>46087</v>
      </c>
      <c r="D1079" t="inlineStr">
        <is>
          <t>VÄSTERBOTTENS LÄN</t>
        </is>
      </c>
      <c r="E1079" t="inlineStr">
        <is>
          <t>UMEÅ</t>
        </is>
      </c>
      <c r="F1079" t="inlineStr">
        <is>
          <t>Holmen skog AB</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5302-2025</t>
        </is>
      </c>
      <c r="B1080" s="1" t="n">
        <v>45692.47335648148</v>
      </c>
      <c r="C1080" s="1" t="n">
        <v>46087</v>
      </c>
      <c r="D1080" t="inlineStr">
        <is>
          <t>VÄSTERBOTTENS LÄN</t>
        </is>
      </c>
      <c r="E1080" t="inlineStr">
        <is>
          <t>UMEÅ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45325-2024</t>
        </is>
      </c>
      <c r="B1081" s="1" t="n">
        <v>45576.45346064815</v>
      </c>
      <c r="C1081" s="1" t="n">
        <v>46087</v>
      </c>
      <c r="D1081" t="inlineStr">
        <is>
          <t>VÄSTERBOTTENS LÄN</t>
        </is>
      </c>
      <c r="E1081" t="inlineStr">
        <is>
          <t>UMEÅ</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759-2023</t>
        </is>
      </c>
      <c r="B1082" s="1" t="n">
        <v>44931</v>
      </c>
      <c r="C1082" s="1" t="n">
        <v>46087</v>
      </c>
      <c r="D1082" t="inlineStr">
        <is>
          <t>VÄSTERBOTTENS LÄN</t>
        </is>
      </c>
      <c r="E1082" t="inlineStr">
        <is>
          <t>UMEÅ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17352-2023</t>
        </is>
      </c>
      <c r="B1083" s="1" t="n">
        <v>45033</v>
      </c>
      <c r="C1083" s="1" t="n">
        <v>46087</v>
      </c>
      <c r="D1083" t="inlineStr">
        <is>
          <t>VÄSTERBOTTENS LÄN</t>
        </is>
      </c>
      <c r="E1083" t="inlineStr">
        <is>
          <t>UMEÅ</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23983-2023</t>
        </is>
      </c>
      <c r="B1084" s="1" t="n">
        <v>45078</v>
      </c>
      <c r="C1084" s="1" t="n">
        <v>46087</v>
      </c>
      <c r="D1084" t="inlineStr">
        <is>
          <t>VÄSTERBOTTENS LÄN</t>
        </is>
      </c>
      <c r="E1084" t="inlineStr">
        <is>
          <t>UMEÅ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58130-2023</t>
        </is>
      </c>
      <c r="B1085" s="1" t="n">
        <v>45249.95226851852</v>
      </c>
      <c r="C1085" s="1" t="n">
        <v>46087</v>
      </c>
      <c r="D1085" t="inlineStr">
        <is>
          <t>VÄSTERBOTTENS LÄN</t>
        </is>
      </c>
      <c r="E1085" t="inlineStr">
        <is>
          <t>UMEÅ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9169-2025</t>
        </is>
      </c>
      <c r="B1086" s="1" t="n">
        <v>45714.39142361111</v>
      </c>
      <c r="C1086" s="1" t="n">
        <v>46087</v>
      </c>
      <c r="D1086" t="inlineStr">
        <is>
          <t>VÄSTERBOTTENS LÄN</t>
        </is>
      </c>
      <c r="E1086" t="inlineStr">
        <is>
          <t>UMEÅ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59333-2023</t>
        </is>
      </c>
      <c r="B1087" s="1" t="n">
        <v>45252</v>
      </c>
      <c r="C1087" s="1" t="n">
        <v>46087</v>
      </c>
      <c r="D1087" t="inlineStr">
        <is>
          <t>VÄSTERBOTTENS LÄN</t>
        </is>
      </c>
      <c r="E1087" t="inlineStr">
        <is>
          <t>UMEÅ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11063-2025</t>
        </is>
      </c>
      <c r="B1088" s="1" t="n">
        <v>45723.52046296297</v>
      </c>
      <c r="C1088" s="1" t="n">
        <v>46087</v>
      </c>
      <c r="D1088" t="inlineStr">
        <is>
          <t>VÄSTERBOTTENS LÄN</t>
        </is>
      </c>
      <c r="E1088" t="inlineStr">
        <is>
          <t>UMEÅ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2258-2025</t>
        </is>
      </c>
      <c r="B1089" s="1" t="n">
        <v>45673.51619212963</v>
      </c>
      <c r="C1089" s="1" t="n">
        <v>46087</v>
      </c>
      <c r="D1089" t="inlineStr">
        <is>
          <t>VÄSTERBOTTENS LÄN</t>
        </is>
      </c>
      <c r="E1089" t="inlineStr">
        <is>
          <t>UMEÅ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57510-2024</t>
        </is>
      </c>
      <c r="B1090" s="1" t="n">
        <v>45630.3946875</v>
      </c>
      <c r="C1090" s="1" t="n">
        <v>46087</v>
      </c>
      <c r="D1090" t="inlineStr">
        <is>
          <t>VÄSTERBOTTENS LÄN</t>
        </is>
      </c>
      <c r="E1090" t="inlineStr">
        <is>
          <t>UMEÅ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7263-2022</t>
        </is>
      </c>
      <c r="B1091" s="1" t="n">
        <v>44606.44032407407</v>
      </c>
      <c r="C1091" s="1" t="n">
        <v>46087</v>
      </c>
      <c r="D1091" t="inlineStr">
        <is>
          <t>VÄSTERBOTTENS LÄN</t>
        </is>
      </c>
      <c r="E1091" t="inlineStr">
        <is>
          <t>UMEÅ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10532-2023</t>
        </is>
      </c>
      <c r="B1092" s="1" t="n">
        <v>44987</v>
      </c>
      <c r="C1092" s="1" t="n">
        <v>46087</v>
      </c>
      <c r="D1092" t="inlineStr">
        <is>
          <t>VÄSTERBOTTENS LÄN</t>
        </is>
      </c>
      <c r="E1092" t="inlineStr">
        <is>
          <t>UMEÅ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22291-2023</t>
        </is>
      </c>
      <c r="B1093" s="1" t="n">
        <v>45070</v>
      </c>
      <c r="C1093" s="1" t="n">
        <v>46087</v>
      </c>
      <c r="D1093" t="inlineStr">
        <is>
          <t>VÄSTERBOTTENS LÄN</t>
        </is>
      </c>
      <c r="E1093" t="inlineStr">
        <is>
          <t>UMEÅ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53787-2024</t>
        </is>
      </c>
      <c r="B1094" s="1" t="n">
        <v>45615</v>
      </c>
      <c r="C1094" s="1" t="n">
        <v>46087</v>
      </c>
      <c r="D1094" t="inlineStr">
        <is>
          <t>VÄSTERBOTTENS LÄN</t>
        </is>
      </c>
      <c r="E1094" t="inlineStr">
        <is>
          <t>UMEÅ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2766-2025</t>
        </is>
      </c>
      <c r="B1095" s="1" t="n">
        <v>45677.49140046296</v>
      </c>
      <c r="C1095" s="1" t="n">
        <v>46087</v>
      </c>
      <c r="D1095" t="inlineStr">
        <is>
          <t>VÄSTERBOTTENS LÄN</t>
        </is>
      </c>
      <c r="E1095" t="inlineStr">
        <is>
          <t>UMEÅ</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61105-2023</t>
        </is>
      </c>
      <c r="B1096" s="1" t="n">
        <v>45261.66517361111</v>
      </c>
      <c r="C1096" s="1" t="n">
        <v>46087</v>
      </c>
      <c r="D1096" t="inlineStr">
        <is>
          <t>VÄSTERBOTTENS LÄN</t>
        </is>
      </c>
      <c r="E1096" t="inlineStr">
        <is>
          <t>UMEÅ</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43163-2023</t>
        </is>
      </c>
      <c r="B1097" s="1" t="n">
        <v>45183</v>
      </c>
      <c r="C1097" s="1" t="n">
        <v>46087</v>
      </c>
      <c r="D1097" t="inlineStr">
        <is>
          <t>VÄSTERBOTTENS LÄN</t>
        </is>
      </c>
      <c r="E1097" t="inlineStr">
        <is>
          <t>UMEÅ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25966-2022</t>
        </is>
      </c>
      <c r="B1098" s="1" t="n">
        <v>44734</v>
      </c>
      <c r="C1098" s="1" t="n">
        <v>46087</v>
      </c>
      <c r="D1098" t="inlineStr">
        <is>
          <t>VÄSTERBOTTENS LÄN</t>
        </is>
      </c>
      <c r="E1098" t="inlineStr">
        <is>
          <t>UMEÅ</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7213-2025</t>
        </is>
      </c>
      <c r="B1099" s="1" t="n">
        <v>45702.47341435185</v>
      </c>
      <c r="C1099" s="1" t="n">
        <v>46087</v>
      </c>
      <c r="D1099" t="inlineStr">
        <is>
          <t>VÄSTERBOTTENS LÄN</t>
        </is>
      </c>
      <c r="E1099" t="inlineStr">
        <is>
          <t>UMEÅ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20142-2025</t>
        </is>
      </c>
      <c r="B1100" s="1" t="n">
        <v>45772.52554398148</v>
      </c>
      <c r="C1100" s="1" t="n">
        <v>46087</v>
      </c>
      <c r="D1100" t="inlineStr">
        <is>
          <t>VÄSTERBOTTENS LÄN</t>
        </is>
      </c>
      <c r="E1100" t="inlineStr">
        <is>
          <t>UMEÅ</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26738-2024</t>
        </is>
      </c>
      <c r="B1101" s="1" t="n">
        <v>45470.44721064815</v>
      </c>
      <c r="C1101" s="1" t="n">
        <v>46087</v>
      </c>
      <c r="D1101" t="inlineStr">
        <is>
          <t>VÄSTERBOTTENS LÄN</t>
        </is>
      </c>
      <c r="E1101" t="inlineStr">
        <is>
          <t>UMEÅ</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4629-2022</t>
        </is>
      </c>
      <c r="B1102" s="1" t="n">
        <v>44592.40050925926</v>
      </c>
      <c r="C1102" s="1" t="n">
        <v>46087</v>
      </c>
      <c r="D1102" t="inlineStr">
        <is>
          <t>VÄSTERBOTTENS LÄN</t>
        </is>
      </c>
      <c r="E1102" t="inlineStr">
        <is>
          <t>UMEÅ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18907-2023</t>
        </is>
      </c>
      <c r="B1103" s="1" t="n">
        <v>45043</v>
      </c>
      <c r="C1103" s="1" t="n">
        <v>46087</v>
      </c>
      <c r="D1103" t="inlineStr">
        <is>
          <t>VÄSTERBOTTENS LÄN</t>
        </is>
      </c>
      <c r="E1103" t="inlineStr">
        <is>
          <t>UMEÅ</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51390-2024</t>
        </is>
      </c>
      <c r="B1104" s="1" t="n">
        <v>45604.40876157407</v>
      </c>
      <c r="C1104" s="1" t="n">
        <v>46087</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35808-2022</t>
        </is>
      </c>
      <c r="B1105" s="1" t="n">
        <v>44802.31871527778</v>
      </c>
      <c r="C1105" s="1" t="n">
        <v>46087</v>
      </c>
      <c r="D1105" t="inlineStr">
        <is>
          <t>VÄSTERBOTTENS LÄN</t>
        </is>
      </c>
      <c r="E1105" t="inlineStr">
        <is>
          <t>UMEÅ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51544-2023</t>
        </is>
      </c>
      <c r="B1106" s="1" t="n">
        <v>45222.41521990741</v>
      </c>
      <c r="C1106" s="1" t="n">
        <v>46087</v>
      </c>
      <c r="D1106" t="inlineStr">
        <is>
          <t>VÄSTERBOTTENS LÄN</t>
        </is>
      </c>
      <c r="E1106" t="inlineStr">
        <is>
          <t>UMEÅ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45797-2024</t>
        </is>
      </c>
      <c r="B1107" s="1" t="n">
        <v>45579.67520833333</v>
      </c>
      <c r="C1107" s="1" t="n">
        <v>46087</v>
      </c>
      <c r="D1107" t="inlineStr">
        <is>
          <t>VÄSTERBOTTENS LÄN</t>
        </is>
      </c>
      <c r="E1107" t="inlineStr">
        <is>
          <t>UMEÅ</t>
        </is>
      </c>
      <c r="F1107" t="inlineStr">
        <is>
          <t>Holmen skog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1089-2024</t>
        </is>
      </c>
      <c r="B1108" s="1" t="n">
        <v>45301</v>
      </c>
      <c r="C1108" s="1" t="n">
        <v>46087</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15701-2025</t>
        </is>
      </c>
      <c r="B1109" s="1" t="n">
        <v>45748.47508101852</v>
      </c>
      <c r="C1109" s="1" t="n">
        <v>46087</v>
      </c>
      <c r="D1109" t="inlineStr">
        <is>
          <t>VÄSTERBOTTENS LÄN</t>
        </is>
      </c>
      <c r="E1109" t="inlineStr">
        <is>
          <t>UMEÅ</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63136-2023</t>
        </is>
      </c>
      <c r="B1110" s="1" t="n">
        <v>45273.46479166667</v>
      </c>
      <c r="C1110" s="1" t="n">
        <v>46087</v>
      </c>
      <c r="D1110" t="inlineStr">
        <is>
          <t>VÄSTERBOTTENS LÄN</t>
        </is>
      </c>
      <c r="E1110" t="inlineStr">
        <is>
          <t>UMEÅ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17345-2025</t>
        </is>
      </c>
      <c r="B1111" s="1" t="n">
        <v>45756.67292824074</v>
      </c>
      <c r="C1111" s="1" t="n">
        <v>46087</v>
      </c>
      <c r="D1111" t="inlineStr">
        <is>
          <t>VÄSTERBOTTENS LÄN</t>
        </is>
      </c>
      <c r="E1111" t="inlineStr">
        <is>
          <t>UMEÅ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3830-2025</t>
        </is>
      </c>
      <c r="B1112" s="1" t="n">
        <v>45681.84473379629</v>
      </c>
      <c r="C1112" s="1" t="n">
        <v>46087</v>
      </c>
      <c r="D1112" t="inlineStr">
        <is>
          <t>VÄSTERBOTTENS LÄN</t>
        </is>
      </c>
      <c r="E1112" t="inlineStr">
        <is>
          <t>UMEÅ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4251-2025</t>
        </is>
      </c>
      <c r="B1113" s="1" t="n">
        <v>45685.60450231482</v>
      </c>
      <c r="C1113" s="1" t="n">
        <v>46087</v>
      </c>
      <c r="D1113" t="inlineStr">
        <is>
          <t>VÄSTERBOTTENS LÄN</t>
        </is>
      </c>
      <c r="E1113" t="inlineStr">
        <is>
          <t>UMEÅ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7693-2025</t>
        </is>
      </c>
      <c r="B1114" s="1" t="n">
        <v>45706.39457175926</v>
      </c>
      <c r="C1114" s="1" t="n">
        <v>46087</v>
      </c>
      <c r="D1114" t="inlineStr">
        <is>
          <t>VÄSTERBOTTENS LÄN</t>
        </is>
      </c>
      <c r="E1114" t="inlineStr">
        <is>
          <t>UMEÅ</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7696-2025</t>
        </is>
      </c>
      <c r="B1115" s="1" t="n">
        <v>45706.39914351852</v>
      </c>
      <c r="C1115" s="1" t="n">
        <v>46087</v>
      </c>
      <c r="D1115" t="inlineStr">
        <is>
          <t>VÄSTERBOTTENS LÄN</t>
        </is>
      </c>
      <c r="E1115" t="inlineStr">
        <is>
          <t>UMEÅ</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13766-2025</t>
        </is>
      </c>
      <c r="B1116" s="1" t="n">
        <v>45737.43314814815</v>
      </c>
      <c r="C1116" s="1" t="n">
        <v>46087</v>
      </c>
      <c r="D1116" t="inlineStr">
        <is>
          <t>VÄSTERBOTTENS LÄN</t>
        </is>
      </c>
      <c r="E1116" t="inlineStr">
        <is>
          <t>UMEÅ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5232-2025</t>
        </is>
      </c>
      <c r="B1117" s="1" t="n">
        <v>45691</v>
      </c>
      <c r="C1117" s="1" t="n">
        <v>46087</v>
      </c>
      <c r="D1117" t="inlineStr">
        <is>
          <t>VÄSTERBOTTENS LÄN</t>
        </is>
      </c>
      <c r="E1117" t="inlineStr">
        <is>
          <t>UMEÅ</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62106-2022</t>
        </is>
      </c>
      <c r="B1118" s="1" t="n">
        <v>44920</v>
      </c>
      <c r="C1118" s="1" t="n">
        <v>46087</v>
      </c>
      <c r="D1118" t="inlineStr">
        <is>
          <t>VÄSTERBOTTENS LÄN</t>
        </is>
      </c>
      <c r="E1118" t="inlineStr">
        <is>
          <t>UMEÅ</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31031-2024</t>
        </is>
      </c>
      <c r="B1119" s="1" t="n">
        <v>45501.40922453703</v>
      </c>
      <c r="C1119" s="1" t="n">
        <v>46087</v>
      </c>
      <c r="D1119" t="inlineStr">
        <is>
          <t>VÄSTERBOTTENS LÄN</t>
        </is>
      </c>
      <c r="E1119" t="inlineStr">
        <is>
          <t>UMEÅ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23718-2023</t>
        </is>
      </c>
      <c r="B1120" s="1" t="n">
        <v>45077.66282407408</v>
      </c>
      <c r="C1120" s="1" t="n">
        <v>46087</v>
      </c>
      <c r="D1120" t="inlineStr">
        <is>
          <t>VÄSTERBOTTENS LÄN</t>
        </is>
      </c>
      <c r="E1120" t="inlineStr">
        <is>
          <t>UMEÅ</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54143-2024</t>
        </is>
      </c>
      <c r="B1121" s="1" t="n">
        <v>45616</v>
      </c>
      <c r="C1121" s="1" t="n">
        <v>46087</v>
      </c>
      <c r="D1121" t="inlineStr">
        <is>
          <t>VÄSTERBOTTENS LÄN</t>
        </is>
      </c>
      <c r="E1121" t="inlineStr">
        <is>
          <t>UMEÅ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10899-2025</t>
        </is>
      </c>
      <c r="B1122" s="1" t="n">
        <v>45722</v>
      </c>
      <c r="C1122" s="1" t="n">
        <v>46087</v>
      </c>
      <c r="D1122" t="inlineStr">
        <is>
          <t>VÄSTERBOTTENS LÄN</t>
        </is>
      </c>
      <c r="E1122" t="inlineStr">
        <is>
          <t>UMEÅ</t>
        </is>
      </c>
      <c r="G1122" t="n">
        <v>6.8</v>
      </c>
      <c r="H1122" t="n">
        <v>0</v>
      </c>
      <c r="I1122" t="n">
        <v>0</v>
      </c>
      <c r="J1122" t="n">
        <v>0</v>
      </c>
      <c r="K1122" t="n">
        <v>0</v>
      </c>
      <c r="L1122" t="n">
        <v>0</v>
      </c>
      <c r="M1122" t="n">
        <v>0</v>
      </c>
      <c r="N1122" t="n">
        <v>0</v>
      </c>
      <c r="O1122" t="n">
        <v>0</v>
      </c>
      <c r="P1122" t="n">
        <v>0</v>
      </c>
      <c r="Q1122" t="n">
        <v>0</v>
      </c>
      <c r="R1122" s="2" t="inlineStr"/>
    </row>
    <row r="1123">
      <c r="A1123" t="inlineStr">
        <is>
          <t>A 15358-2023</t>
        </is>
      </c>
      <c r="B1123" s="1" t="n">
        <v>45016</v>
      </c>
      <c r="C1123" s="1" t="n">
        <v>46087</v>
      </c>
      <c r="D1123" t="inlineStr">
        <is>
          <t>VÄSTERBOTTENS LÄN</t>
        </is>
      </c>
      <c r="E1123" t="inlineStr">
        <is>
          <t>UMEÅ</t>
        </is>
      </c>
      <c r="F1123" t="inlineStr">
        <is>
          <t>Kommuner</t>
        </is>
      </c>
      <c r="G1123" t="n">
        <v>4.4</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2026-03-06T11:18:43Z</dcterms:created>
  <dcterms:modified xmlns:dcterms="http://purl.org/dc/terms/" xmlns:xsi="http://www.w3.org/2001/XMLSchema-instance" xsi:type="dcterms:W3CDTF">2026-03-06T11:18:44Z</dcterms:modified>
</cp:coreProperties>
</file>