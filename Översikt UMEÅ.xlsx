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45279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45279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45279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45279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45279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45279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45279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45279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45279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45279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45279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45279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45279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45279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45279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45279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45279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45279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45279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45279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45279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45279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45279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45279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45279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45279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45279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45279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45279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45279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45279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45279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45279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45279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45279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45279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45279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45279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45279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45279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45279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45279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45279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45279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45279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45279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45279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45279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45279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45279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45279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45279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45279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45279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45279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45279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45279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45279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45279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45279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45279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45279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45279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18248-2021</t>
        </is>
      </c>
      <c r="B65" s="1" t="n">
        <v>44305</v>
      </c>
      <c r="C65" s="1" t="n">
        <v>45279</v>
      </c>
      <c r="D65" t="inlineStr">
        <is>
          <t>VÄSTERBOTTENS LÄN</t>
        </is>
      </c>
      <c r="E65" t="inlineStr">
        <is>
          <t>UMEÅ</t>
        </is>
      </c>
      <c r="G65" t="n">
        <v>22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Bivråk</t>
        </is>
      </c>
      <c r="S65">
        <f>HYPERLINK("https://klasma.github.io/Logging_2480/artfynd/A 18248-2021 artfynd.xlsx", "A 18248-2021")</f>
        <v/>
      </c>
      <c r="T65">
        <f>HYPERLINK("https://klasma.github.io/Logging_2480/kartor/A 18248-2021 karta.png", "A 18248-2021")</f>
        <v/>
      </c>
      <c r="V65">
        <f>HYPERLINK("https://klasma.github.io/Logging_2480/klagomål/A 18248-2021 FSC-klagomål.docx", "A 18248-2021")</f>
        <v/>
      </c>
      <c r="W65">
        <f>HYPERLINK("https://klasma.github.io/Logging_2480/klagomålsmail/A 18248-2021 FSC-klagomål mail.docx", "A 18248-2021")</f>
        <v/>
      </c>
      <c r="X65">
        <f>HYPERLINK("https://klasma.github.io/Logging_2480/tillsyn/A 18248-2021 tillsynsbegäran.docx", "A 18248-2021")</f>
        <v/>
      </c>
      <c r="Y65">
        <f>HYPERLINK("https://klasma.github.io/Logging_2480/tillsynsmail/A 18248-2021 tillsynsbegäran mail.docx", "A 18248-2021")</f>
        <v/>
      </c>
    </row>
    <row r="66" ht="15" customHeight="1">
      <c r="A66" t="inlineStr">
        <is>
          <t>A 38396-2021</t>
        </is>
      </c>
      <c r="B66" s="1" t="n">
        <v>44406</v>
      </c>
      <c r="C66" s="1" t="n">
        <v>45279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1.7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HYPERLINK("https://klasma.github.io/Logging_2480/artfynd/A 38396-2021 artfynd.xlsx", "A 38396-2021")</f>
        <v/>
      </c>
      <c r="T66">
        <f>HYPERLINK("https://klasma.github.io/Logging_2480/kartor/A 38396-2021 karta.png", "A 38396-2021")</f>
        <v/>
      </c>
      <c r="V66">
        <f>HYPERLINK("https://klasma.github.io/Logging_2480/klagomål/A 38396-2021 FSC-klagomål.docx", "A 38396-2021")</f>
        <v/>
      </c>
      <c r="W66">
        <f>HYPERLINK("https://klasma.github.io/Logging_2480/klagomålsmail/A 38396-2021 FSC-klagomål mail.docx", "A 38396-2021")</f>
        <v/>
      </c>
      <c r="X66">
        <f>HYPERLINK("https://klasma.github.io/Logging_2480/tillsyn/A 38396-2021 tillsynsbegäran.docx", "A 38396-2021")</f>
        <v/>
      </c>
      <c r="Y66">
        <f>HYPERLINK("https://klasma.github.io/Logging_2480/tillsynsmail/A 38396-2021 tillsynsbegäran mail.docx", "A 38396-2021")</f>
        <v/>
      </c>
    </row>
    <row r="67" ht="15" customHeight="1">
      <c r="A67" t="inlineStr">
        <is>
          <t>A 38393-2021</t>
        </is>
      </c>
      <c r="B67" s="1" t="n">
        <v>44406</v>
      </c>
      <c r="C67" s="1" t="n">
        <v>45279</v>
      </c>
      <c r="D67" t="inlineStr">
        <is>
          <t>VÄSTERBOTTENS LÄN</t>
        </is>
      </c>
      <c r="E67" t="inlineStr">
        <is>
          <t>UMEÅ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HYPERLINK("https://klasma.github.io/Logging_2480/artfynd/A 38393-2021 artfynd.xlsx", "A 38393-2021")</f>
        <v/>
      </c>
      <c r="T67">
        <f>HYPERLINK("https://klasma.github.io/Logging_2480/kartor/A 38393-2021 karta.png", "A 38393-2021")</f>
        <v/>
      </c>
      <c r="V67">
        <f>HYPERLINK("https://klasma.github.io/Logging_2480/klagomål/A 38393-2021 FSC-klagomål.docx", "A 38393-2021")</f>
        <v/>
      </c>
      <c r="W67">
        <f>HYPERLINK("https://klasma.github.io/Logging_2480/klagomålsmail/A 38393-2021 FSC-klagomål mail.docx", "A 38393-2021")</f>
        <v/>
      </c>
      <c r="X67">
        <f>HYPERLINK("https://klasma.github.io/Logging_2480/tillsyn/A 38393-2021 tillsynsbegäran.docx", "A 38393-2021")</f>
        <v/>
      </c>
      <c r="Y67">
        <f>HYPERLINK("https://klasma.github.io/Logging_2480/tillsynsmail/A 38393-2021 tillsynsbegäran mail.docx", "A 38393-2021")</f>
        <v/>
      </c>
    </row>
    <row r="68" ht="15" customHeight="1">
      <c r="A68" t="inlineStr">
        <is>
          <t>A 38390-2021</t>
        </is>
      </c>
      <c r="B68" s="1" t="n">
        <v>44406</v>
      </c>
      <c r="C68" s="1" t="n">
        <v>45279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HYPERLINK("https://klasma.github.io/Logging_2480/artfynd/A 38390-2021 artfynd.xlsx", "A 38390-2021")</f>
        <v/>
      </c>
      <c r="T68">
        <f>HYPERLINK("https://klasma.github.io/Logging_2480/kartor/A 38390-2021 karta.png", "A 38390-2021")</f>
        <v/>
      </c>
      <c r="V68">
        <f>HYPERLINK("https://klasma.github.io/Logging_2480/klagomål/A 38390-2021 FSC-klagomål.docx", "A 38390-2021")</f>
        <v/>
      </c>
      <c r="W68">
        <f>HYPERLINK("https://klasma.github.io/Logging_2480/klagomålsmail/A 38390-2021 FSC-klagomål mail.docx", "A 38390-2021")</f>
        <v/>
      </c>
      <c r="X68">
        <f>HYPERLINK("https://klasma.github.io/Logging_2480/tillsyn/A 38390-2021 tillsynsbegäran.docx", "A 38390-2021")</f>
        <v/>
      </c>
      <c r="Y68">
        <f>HYPERLINK("https://klasma.github.io/Logging_2480/tillsynsmail/A 38390-2021 tillsynsbegäran mail.docx", "A 38390-2021")</f>
        <v/>
      </c>
    </row>
    <row r="69" ht="15" customHeight="1">
      <c r="A69" t="inlineStr">
        <is>
          <t>A 38437-2021</t>
        </is>
      </c>
      <c r="B69" s="1" t="n">
        <v>44406</v>
      </c>
      <c r="C69" s="1" t="n">
        <v>45279</v>
      </c>
      <c r="D69" t="inlineStr">
        <is>
          <t>VÄSTERBOTTENS LÄN</t>
        </is>
      </c>
      <c r="E69" t="inlineStr">
        <is>
          <t>UMEÅ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HYPERLINK("https://klasma.github.io/Logging_2480/artfynd/A 38437-2021 artfynd.xlsx", "A 38437-2021")</f>
        <v/>
      </c>
      <c r="T69">
        <f>HYPERLINK("https://klasma.github.io/Logging_2480/kartor/A 38437-2021 karta.png", "A 38437-2021")</f>
        <v/>
      </c>
      <c r="V69">
        <f>HYPERLINK("https://klasma.github.io/Logging_2480/klagomål/A 38437-2021 FSC-klagomål.docx", "A 38437-2021")</f>
        <v/>
      </c>
      <c r="W69">
        <f>HYPERLINK("https://klasma.github.io/Logging_2480/klagomålsmail/A 38437-2021 FSC-klagomål mail.docx", "A 38437-2021")</f>
        <v/>
      </c>
      <c r="X69">
        <f>HYPERLINK("https://klasma.github.io/Logging_2480/tillsyn/A 38437-2021 tillsynsbegäran.docx", "A 38437-2021")</f>
        <v/>
      </c>
      <c r="Y69">
        <f>HYPERLINK("https://klasma.github.io/Logging_2480/tillsynsmail/A 38437-2021 tillsynsbegäran mail.docx", "A 38437-2021")</f>
        <v/>
      </c>
    </row>
    <row r="70" ht="15" customHeight="1">
      <c r="A70" t="inlineStr">
        <is>
          <t>A 38545-2021</t>
        </is>
      </c>
      <c r="B70" s="1" t="n">
        <v>44407</v>
      </c>
      <c r="C70" s="1" t="n">
        <v>45279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HYPERLINK("https://klasma.github.io/Logging_2480/artfynd/A 38545-2021 artfynd.xlsx", "A 38545-2021")</f>
        <v/>
      </c>
      <c r="T70">
        <f>HYPERLINK("https://klasma.github.io/Logging_2480/kartor/A 38545-2021 karta.png", "A 38545-2021")</f>
        <v/>
      </c>
      <c r="V70">
        <f>HYPERLINK("https://klasma.github.io/Logging_2480/klagomål/A 38545-2021 FSC-klagomål.docx", "A 38545-2021")</f>
        <v/>
      </c>
      <c r="W70">
        <f>HYPERLINK("https://klasma.github.io/Logging_2480/klagomålsmail/A 38545-2021 FSC-klagomål mail.docx", "A 38545-2021")</f>
        <v/>
      </c>
      <c r="X70">
        <f>HYPERLINK("https://klasma.github.io/Logging_2480/tillsyn/A 38545-2021 tillsynsbegäran.docx", "A 38545-2021")</f>
        <v/>
      </c>
      <c r="Y70">
        <f>HYPERLINK("https://klasma.github.io/Logging_2480/tillsynsmail/A 38545-2021 tillsynsbegäran mail.docx", "A 38545-2021")</f>
        <v/>
      </c>
    </row>
    <row r="71" ht="15" customHeight="1">
      <c r="A71" t="inlineStr">
        <is>
          <t>A 38719-2021</t>
        </is>
      </c>
      <c r="B71" s="1" t="n">
        <v>44410</v>
      </c>
      <c r="C71" s="1" t="n">
        <v>45279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HYPERLINK("https://klasma.github.io/Logging_2480/artfynd/A 38719-2021 artfynd.xlsx", "A 38719-2021")</f>
        <v/>
      </c>
      <c r="T71">
        <f>HYPERLINK("https://klasma.github.io/Logging_2480/kartor/A 38719-2021 karta.png", "A 38719-2021")</f>
        <v/>
      </c>
      <c r="V71">
        <f>HYPERLINK("https://klasma.github.io/Logging_2480/klagomål/A 38719-2021 FSC-klagomål.docx", "A 38719-2021")</f>
        <v/>
      </c>
      <c r="W71">
        <f>HYPERLINK("https://klasma.github.io/Logging_2480/klagomålsmail/A 38719-2021 FSC-klagomål mail.docx", "A 38719-2021")</f>
        <v/>
      </c>
      <c r="X71">
        <f>HYPERLINK("https://klasma.github.io/Logging_2480/tillsyn/A 38719-2021 tillsynsbegäran.docx", "A 38719-2021")</f>
        <v/>
      </c>
      <c r="Y71">
        <f>HYPERLINK("https://klasma.github.io/Logging_2480/tillsynsmail/A 38719-2021 tillsynsbegäran mail.docx", "A 38719-2021")</f>
        <v/>
      </c>
    </row>
    <row r="72" ht="15" customHeight="1">
      <c r="A72" t="inlineStr">
        <is>
          <t>A 38700-2021</t>
        </is>
      </c>
      <c r="B72" s="1" t="n">
        <v>44410</v>
      </c>
      <c r="C72" s="1" t="n">
        <v>45279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HYPERLINK("https://klasma.github.io/Logging_2480/artfynd/A 38700-2021 artfynd.xlsx", "A 38700-2021")</f>
        <v/>
      </c>
      <c r="T72">
        <f>HYPERLINK("https://klasma.github.io/Logging_2480/kartor/A 38700-2021 karta.png", "A 38700-2021")</f>
        <v/>
      </c>
      <c r="V72">
        <f>HYPERLINK("https://klasma.github.io/Logging_2480/klagomål/A 38700-2021 FSC-klagomål.docx", "A 38700-2021")</f>
        <v/>
      </c>
      <c r="W72">
        <f>HYPERLINK("https://klasma.github.io/Logging_2480/klagomålsmail/A 38700-2021 FSC-klagomål mail.docx", "A 38700-2021")</f>
        <v/>
      </c>
      <c r="X72">
        <f>HYPERLINK("https://klasma.github.io/Logging_2480/tillsyn/A 38700-2021 tillsynsbegäran.docx", "A 38700-2021")</f>
        <v/>
      </c>
      <c r="Y72">
        <f>HYPERLINK("https://klasma.github.io/Logging_2480/tillsynsmail/A 38700-2021 tillsynsbegäran mail.docx", "A 38700-2021")</f>
        <v/>
      </c>
    </row>
    <row r="73" ht="15" customHeight="1">
      <c r="A73" t="inlineStr">
        <is>
          <t>A 38742-2021</t>
        </is>
      </c>
      <c r="B73" s="1" t="n">
        <v>44410</v>
      </c>
      <c r="C73" s="1" t="n">
        <v>45279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3.6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Stubbträfluga</t>
        </is>
      </c>
      <c r="S73">
        <f>HYPERLINK("https://klasma.github.io/Logging_2480/artfynd/A 38742-2021 artfynd.xlsx", "A 38742-2021")</f>
        <v/>
      </c>
      <c r="T73">
        <f>HYPERLINK("https://klasma.github.io/Logging_2480/kartor/A 38742-2021 karta.png", "A 38742-2021")</f>
        <v/>
      </c>
      <c r="V73">
        <f>HYPERLINK("https://klasma.github.io/Logging_2480/klagomål/A 38742-2021 FSC-klagomål.docx", "A 38742-2021")</f>
        <v/>
      </c>
      <c r="W73">
        <f>HYPERLINK("https://klasma.github.io/Logging_2480/klagomålsmail/A 38742-2021 FSC-klagomål mail.docx", "A 38742-2021")</f>
        <v/>
      </c>
      <c r="X73">
        <f>HYPERLINK("https://klasma.github.io/Logging_2480/tillsyn/A 38742-2021 tillsynsbegäran.docx", "A 38742-2021")</f>
        <v/>
      </c>
      <c r="Y73">
        <f>HYPERLINK("https://klasma.github.io/Logging_2480/tillsynsmail/A 38742-2021 tillsynsbegäran mail.docx", "A 38742-2021")</f>
        <v/>
      </c>
    </row>
    <row r="74" ht="15" customHeight="1">
      <c r="A74" t="inlineStr">
        <is>
          <t>A 47038-2021</t>
        </is>
      </c>
      <c r="B74" s="1" t="n">
        <v>44446</v>
      </c>
      <c r="C74" s="1" t="n">
        <v>45279</v>
      </c>
      <c r="D74" t="inlineStr">
        <is>
          <t>VÄSTERBOTTENS LÄN</t>
        </is>
      </c>
      <c r="E74" t="inlineStr">
        <is>
          <t>UMEÅ</t>
        </is>
      </c>
      <c r="G74" t="n">
        <v>22.3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HYPERLINK("https://klasma.github.io/Logging_2480/artfynd/A 47038-2021 artfynd.xlsx", "A 47038-2021")</f>
        <v/>
      </c>
      <c r="T74">
        <f>HYPERLINK("https://klasma.github.io/Logging_2480/kartor/A 47038-2021 karta.png", "A 47038-2021")</f>
        <v/>
      </c>
      <c r="V74">
        <f>HYPERLINK("https://klasma.github.io/Logging_2480/klagomål/A 47038-2021 FSC-klagomål.docx", "A 47038-2021")</f>
        <v/>
      </c>
      <c r="W74">
        <f>HYPERLINK("https://klasma.github.io/Logging_2480/klagomålsmail/A 47038-2021 FSC-klagomål mail.docx", "A 47038-2021")</f>
        <v/>
      </c>
      <c r="X74">
        <f>HYPERLINK("https://klasma.github.io/Logging_2480/tillsyn/A 47038-2021 tillsynsbegäran.docx", "A 47038-2021")</f>
        <v/>
      </c>
      <c r="Y74">
        <f>HYPERLINK("https://klasma.github.io/Logging_2480/tillsynsmail/A 47038-2021 tillsynsbegäran mail.docx", "A 47038-2021")</f>
        <v/>
      </c>
    </row>
    <row r="75" ht="15" customHeight="1">
      <c r="A75" t="inlineStr">
        <is>
          <t>A 49774-2021</t>
        </is>
      </c>
      <c r="B75" s="1" t="n">
        <v>44455</v>
      </c>
      <c r="C75" s="1" t="n">
        <v>45279</v>
      </c>
      <c r="D75" t="inlineStr">
        <is>
          <t>VÄSTERBOTTENS LÄN</t>
        </is>
      </c>
      <c r="E75" t="inlineStr">
        <is>
          <t>UMEÅ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HYPERLINK("https://klasma.github.io/Logging_2480/artfynd/A 49774-2021 artfynd.xlsx", "A 49774-2021")</f>
        <v/>
      </c>
      <c r="T75">
        <f>HYPERLINK("https://klasma.github.io/Logging_2480/kartor/A 49774-2021 karta.png", "A 49774-2021")</f>
        <v/>
      </c>
      <c r="V75">
        <f>HYPERLINK("https://klasma.github.io/Logging_2480/klagomål/A 49774-2021 FSC-klagomål.docx", "A 49774-2021")</f>
        <v/>
      </c>
      <c r="W75">
        <f>HYPERLINK("https://klasma.github.io/Logging_2480/klagomålsmail/A 49774-2021 FSC-klagomål mail.docx", "A 49774-2021")</f>
        <v/>
      </c>
      <c r="X75">
        <f>HYPERLINK("https://klasma.github.io/Logging_2480/tillsyn/A 49774-2021 tillsynsbegäran.docx", "A 49774-2021")</f>
        <v/>
      </c>
      <c r="Y75">
        <f>HYPERLINK("https://klasma.github.io/Logging_2480/tillsynsmail/A 49774-2021 tillsynsbegäran mail.docx", "A 49774-2021")</f>
        <v/>
      </c>
    </row>
    <row r="76" ht="15" customHeight="1">
      <c r="A76" t="inlineStr">
        <is>
          <t>A 11502-2022</t>
        </is>
      </c>
      <c r="B76" s="1" t="n">
        <v>44631</v>
      </c>
      <c r="C76" s="1" t="n">
        <v>45279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HYPERLINK("https://klasma.github.io/Logging_2480/artfynd/A 11502-2022 artfynd.xlsx", "A 11502-2022")</f>
        <v/>
      </c>
      <c r="T76">
        <f>HYPERLINK("https://klasma.github.io/Logging_2480/kartor/A 11502-2022 karta.png", "A 11502-2022")</f>
        <v/>
      </c>
      <c r="V76">
        <f>HYPERLINK("https://klasma.github.io/Logging_2480/klagomål/A 11502-2022 FSC-klagomål.docx", "A 11502-2022")</f>
        <v/>
      </c>
      <c r="W76">
        <f>HYPERLINK("https://klasma.github.io/Logging_2480/klagomålsmail/A 11502-2022 FSC-klagomål mail.docx", "A 11502-2022")</f>
        <v/>
      </c>
      <c r="X76">
        <f>HYPERLINK("https://klasma.github.io/Logging_2480/tillsyn/A 11502-2022 tillsynsbegäran.docx", "A 11502-2022")</f>
        <v/>
      </c>
      <c r="Y76">
        <f>HYPERLINK("https://klasma.github.io/Logging_2480/tillsynsmail/A 11502-2022 tillsynsbegäran mail.docx", "A 11502-2022")</f>
        <v/>
      </c>
    </row>
    <row r="77" ht="15" customHeight="1">
      <c r="A77" t="inlineStr">
        <is>
          <t>A 16839-2022</t>
        </is>
      </c>
      <c r="B77" s="1" t="n">
        <v>44673</v>
      </c>
      <c r="C77" s="1" t="n">
        <v>45279</v>
      </c>
      <c r="D77" t="inlineStr">
        <is>
          <t>VÄSTERBOTTENS LÄN</t>
        </is>
      </c>
      <c r="E77" t="inlineStr">
        <is>
          <t>UMEÅ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Kråka</t>
        </is>
      </c>
      <c r="S77">
        <f>HYPERLINK("https://klasma.github.io/Logging_2480/artfynd/A 16839-2022 artfynd.xlsx", "A 16839-2022")</f>
        <v/>
      </c>
      <c r="T77">
        <f>HYPERLINK("https://klasma.github.io/Logging_2480/kartor/A 16839-2022 karta.png", "A 16839-2022")</f>
        <v/>
      </c>
      <c r="V77">
        <f>HYPERLINK("https://klasma.github.io/Logging_2480/klagomål/A 16839-2022 FSC-klagomål.docx", "A 16839-2022")</f>
        <v/>
      </c>
      <c r="W77">
        <f>HYPERLINK("https://klasma.github.io/Logging_2480/klagomålsmail/A 16839-2022 FSC-klagomål mail.docx", "A 16839-2022")</f>
        <v/>
      </c>
      <c r="X77">
        <f>HYPERLINK("https://klasma.github.io/Logging_2480/tillsyn/A 16839-2022 tillsynsbegäran.docx", "A 16839-2022")</f>
        <v/>
      </c>
      <c r="Y77">
        <f>HYPERLINK("https://klasma.github.io/Logging_2480/tillsynsmail/A 16839-2022 tillsynsbegäran mail.docx", "A 16839-2022")</f>
        <v/>
      </c>
    </row>
    <row r="78" ht="15" customHeight="1">
      <c r="A78" t="inlineStr">
        <is>
          <t>A 23035-2022</t>
        </is>
      </c>
      <c r="B78" s="1" t="n">
        <v>44715</v>
      </c>
      <c r="C78" s="1" t="n">
        <v>45279</v>
      </c>
      <c r="D78" t="inlineStr">
        <is>
          <t>VÄSTERBOTTENS LÄN</t>
        </is>
      </c>
      <c r="E78" t="inlineStr">
        <is>
          <t>UMEÅ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23035-2022 artfynd.xlsx", "A 23035-2022")</f>
        <v/>
      </c>
      <c r="T78">
        <f>HYPERLINK("https://klasma.github.io/Logging_2480/kartor/A 23035-2022 karta.png", "A 23035-2022")</f>
        <v/>
      </c>
      <c r="V78">
        <f>HYPERLINK("https://klasma.github.io/Logging_2480/klagomål/A 23035-2022 FSC-klagomål.docx", "A 23035-2022")</f>
        <v/>
      </c>
      <c r="W78">
        <f>HYPERLINK("https://klasma.github.io/Logging_2480/klagomålsmail/A 23035-2022 FSC-klagomål mail.docx", "A 23035-2022")</f>
        <v/>
      </c>
      <c r="X78">
        <f>HYPERLINK("https://klasma.github.io/Logging_2480/tillsyn/A 23035-2022 tillsynsbegäran.docx", "A 23035-2022")</f>
        <v/>
      </c>
      <c r="Y78">
        <f>HYPERLINK("https://klasma.github.io/Logging_2480/tillsynsmail/A 23035-2022 tillsynsbegäran mail.docx", "A 23035-2022")</f>
        <v/>
      </c>
    </row>
    <row r="79" ht="15" customHeight="1">
      <c r="A79" t="inlineStr">
        <is>
          <t>A 25702-2022</t>
        </is>
      </c>
      <c r="B79" s="1" t="n">
        <v>44733</v>
      </c>
      <c r="C79" s="1" t="n">
        <v>45279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8.5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HYPERLINK("https://klasma.github.io/Logging_2480/artfynd/A 25702-2022 artfynd.xlsx", "A 25702-2022")</f>
        <v/>
      </c>
      <c r="T79">
        <f>HYPERLINK("https://klasma.github.io/Logging_2480/kartor/A 25702-2022 karta.png", "A 25702-2022")</f>
        <v/>
      </c>
      <c r="V79">
        <f>HYPERLINK("https://klasma.github.io/Logging_2480/klagomål/A 25702-2022 FSC-klagomål.docx", "A 25702-2022")</f>
        <v/>
      </c>
      <c r="W79">
        <f>HYPERLINK("https://klasma.github.io/Logging_2480/klagomålsmail/A 25702-2022 FSC-klagomål mail.docx", "A 25702-2022")</f>
        <v/>
      </c>
      <c r="X79">
        <f>HYPERLINK("https://klasma.github.io/Logging_2480/tillsyn/A 25702-2022 tillsynsbegäran.docx", "A 25702-2022")</f>
        <v/>
      </c>
      <c r="Y79">
        <f>HYPERLINK("https://klasma.github.io/Logging_2480/tillsynsmail/A 25702-2022 tillsynsbegäran mail.docx", "A 25702-2022")</f>
        <v/>
      </c>
    </row>
    <row r="80" ht="15" customHeight="1">
      <c r="A80" t="inlineStr">
        <is>
          <t>A 43519-2022</t>
        </is>
      </c>
      <c r="B80" s="1" t="n">
        <v>44837</v>
      </c>
      <c r="C80" s="1" t="n">
        <v>45279</v>
      </c>
      <c r="D80" t="inlineStr">
        <is>
          <t>VÄSTERBOTTENS LÄN</t>
        </is>
      </c>
      <c r="E80" t="inlineStr">
        <is>
          <t>UMEÅ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HYPERLINK("https://klasma.github.io/Logging_2480/artfynd/A 43519-2022 artfynd.xlsx", "A 43519-2022")</f>
        <v/>
      </c>
      <c r="T80">
        <f>HYPERLINK("https://klasma.github.io/Logging_2480/kartor/A 43519-2022 karta.png", "A 43519-2022")</f>
        <v/>
      </c>
      <c r="V80">
        <f>HYPERLINK("https://klasma.github.io/Logging_2480/klagomål/A 43519-2022 FSC-klagomål.docx", "A 43519-2022")</f>
        <v/>
      </c>
      <c r="W80">
        <f>HYPERLINK("https://klasma.github.io/Logging_2480/klagomålsmail/A 43519-2022 FSC-klagomål mail.docx", "A 43519-2022")</f>
        <v/>
      </c>
      <c r="X80">
        <f>HYPERLINK("https://klasma.github.io/Logging_2480/tillsyn/A 43519-2022 tillsynsbegäran.docx", "A 43519-2022")</f>
        <v/>
      </c>
      <c r="Y80">
        <f>HYPERLINK("https://klasma.github.io/Logging_2480/tillsynsmail/A 43519-2022 tillsynsbegäran mail.docx", "A 43519-2022")</f>
        <v/>
      </c>
    </row>
    <row r="81" ht="15" customHeight="1">
      <c r="A81" t="inlineStr">
        <is>
          <t>A 49658-2022</t>
        </is>
      </c>
      <c r="B81" s="1" t="n">
        <v>44862</v>
      </c>
      <c r="C81" s="1" t="n">
        <v>45279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HYPERLINK("https://klasma.github.io/Logging_2480/artfynd/A 49658-2022 artfynd.xlsx", "A 49658-2022")</f>
        <v/>
      </c>
      <c r="T81">
        <f>HYPERLINK("https://klasma.github.io/Logging_2480/kartor/A 49658-2022 karta.png", "A 49658-2022")</f>
        <v/>
      </c>
      <c r="V81">
        <f>HYPERLINK("https://klasma.github.io/Logging_2480/klagomål/A 49658-2022 FSC-klagomål.docx", "A 49658-2022")</f>
        <v/>
      </c>
      <c r="W81">
        <f>HYPERLINK("https://klasma.github.io/Logging_2480/klagomålsmail/A 49658-2022 FSC-klagomål mail.docx", "A 49658-2022")</f>
        <v/>
      </c>
      <c r="X81">
        <f>HYPERLINK("https://klasma.github.io/Logging_2480/tillsyn/A 49658-2022 tillsynsbegäran.docx", "A 49658-2022")</f>
        <v/>
      </c>
      <c r="Y81">
        <f>HYPERLINK("https://klasma.github.io/Logging_2480/tillsynsmail/A 49658-2022 tillsynsbegäran mail.docx", "A 49658-2022")</f>
        <v/>
      </c>
    </row>
    <row r="82" ht="15" customHeight="1">
      <c r="A82" t="inlineStr">
        <is>
          <t>A 59075-2022</t>
        </is>
      </c>
      <c r="B82" s="1" t="n">
        <v>44904</v>
      </c>
      <c r="C82" s="1" t="n">
        <v>45279</v>
      </c>
      <c r="D82" t="inlineStr">
        <is>
          <t>VÄSTERBOTTENS LÄN</t>
        </is>
      </c>
      <c r="E82" t="inlineStr">
        <is>
          <t>UMEÅ</t>
        </is>
      </c>
      <c r="G82" t="n">
        <v>0.4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HYPERLINK("https://klasma.github.io/Logging_2480/artfynd/A 59075-2022 artfynd.xlsx", "A 59075-2022")</f>
        <v/>
      </c>
      <c r="T82">
        <f>HYPERLINK("https://klasma.github.io/Logging_2480/kartor/A 59075-2022 karta.png", "A 59075-2022")</f>
        <v/>
      </c>
      <c r="V82">
        <f>HYPERLINK("https://klasma.github.io/Logging_2480/klagomål/A 59075-2022 FSC-klagomål.docx", "A 59075-2022")</f>
        <v/>
      </c>
      <c r="W82">
        <f>HYPERLINK("https://klasma.github.io/Logging_2480/klagomålsmail/A 59075-2022 FSC-klagomål mail.docx", "A 59075-2022")</f>
        <v/>
      </c>
      <c r="X82">
        <f>HYPERLINK("https://klasma.github.io/Logging_2480/tillsyn/A 59075-2022 tillsynsbegäran.docx", "A 59075-2022")</f>
        <v/>
      </c>
      <c r="Y82">
        <f>HYPERLINK("https://klasma.github.io/Logging_2480/tillsynsmail/A 59075-2022 tillsynsbegäran mail.docx", "A 59075-2022")</f>
        <v/>
      </c>
    </row>
    <row r="83" ht="15" customHeight="1">
      <c r="A83" t="inlineStr">
        <is>
          <t>A 11395-2023</t>
        </is>
      </c>
      <c r="B83" s="1" t="n">
        <v>44993</v>
      </c>
      <c r="C83" s="1" t="n">
        <v>45279</v>
      </c>
      <c r="D83" t="inlineStr">
        <is>
          <t>VÄSTERBOTTENS LÄN</t>
        </is>
      </c>
      <c r="E83" t="inlineStr">
        <is>
          <t>UMEÅ</t>
        </is>
      </c>
      <c r="G83" t="n">
        <v>6.1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HYPERLINK("https://klasma.github.io/Logging_2480/artfynd/A 11395-2023 artfynd.xlsx", "A 11395-2023")</f>
        <v/>
      </c>
      <c r="T83">
        <f>HYPERLINK("https://klasma.github.io/Logging_2480/kartor/A 11395-2023 karta.png", "A 11395-2023")</f>
        <v/>
      </c>
      <c r="V83">
        <f>HYPERLINK("https://klasma.github.io/Logging_2480/klagomål/A 11395-2023 FSC-klagomål.docx", "A 11395-2023")</f>
        <v/>
      </c>
      <c r="W83">
        <f>HYPERLINK("https://klasma.github.io/Logging_2480/klagomålsmail/A 11395-2023 FSC-klagomål mail.docx", "A 11395-2023")</f>
        <v/>
      </c>
      <c r="X83">
        <f>HYPERLINK("https://klasma.github.io/Logging_2480/tillsyn/A 11395-2023 tillsynsbegäran.docx", "A 11395-2023")</f>
        <v/>
      </c>
      <c r="Y83">
        <f>HYPERLINK("https://klasma.github.io/Logging_2480/tillsynsmail/A 11395-2023 tillsynsbegäran mail.docx", "A 11395-2023")</f>
        <v/>
      </c>
    </row>
    <row r="84" ht="15" customHeight="1">
      <c r="A84" t="inlineStr">
        <is>
          <t>A 15654-2023</t>
        </is>
      </c>
      <c r="B84" s="1" t="n">
        <v>45019</v>
      </c>
      <c r="C84" s="1" t="n">
        <v>45279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HYPERLINK("https://klasma.github.io/Logging_2480/artfynd/A 15654-2023 artfynd.xlsx", "A 15654-2023")</f>
        <v/>
      </c>
      <c r="T84">
        <f>HYPERLINK("https://klasma.github.io/Logging_2480/kartor/A 15654-2023 karta.png", "A 15654-2023")</f>
        <v/>
      </c>
      <c r="V84">
        <f>HYPERLINK("https://klasma.github.io/Logging_2480/klagomål/A 15654-2023 FSC-klagomål.docx", "A 15654-2023")</f>
        <v/>
      </c>
      <c r="W84">
        <f>HYPERLINK("https://klasma.github.io/Logging_2480/klagomålsmail/A 15654-2023 FSC-klagomål mail.docx", "A 15654-2023")</f>
        <v/>
      </c>
      <c r="X84">
        <f>HYPERLINK("https://klasma.github.io/Logging_2480/tillsyn/A 15654-2023 tillsynsbegäran.docx", "A 15654-2023")</f>
        <v/>
      </c>
      <c r="Y84">
        <f>HYPERLINK("https://klasma.github.io/Logging_2480/tillsynsmail/A 15654-2023 tillsynsbegäran mail.docx", "A 15654-2023")</f>
        <v/>
      </c>
    </row>
    <row r="85" ht="15" customHeight="1">
      <c r="A85" t="inlineStr">
        <is>
          <t>A 28262-2023</t>
        </is>
      </c>
      <c r="B85" s="1" t="n">
        <v>45099</v>
      </c>
      <c r="C85" s="1" t="n">
        <v>45279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2.6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Gulskölding</t>
        </is>
      </c>
      <c r="S85">
        <f>HYPERLINK("https://klasma.github.io/Logging_2480/artfynd/A 28262-2023 artfynd.xlsx", "A 28262-2023")</f>
        <v/>
      </c>
      <c r="T85">
        <f>HYPERLINK("https://klasma.github.io/Logging_2480/kartor/A 28262-2023 karta.png", "A 28262-2023")</f>
        <v/>
      </c>
      <c r="V85">
        <f>HYPERLINK("https://klasma.github.io/Logging_2480/klagomål/A 28262-2023 FSC-klagomål.docx", "A 28262-2023")</f>
        <v/>
      </c>
      <c r="W85">
        <f>HYPERLINK("https://klasma.github.io/Logging_2480/klagomålsmail/A 28262-2023 FSC-klagomål mail.docx", "A 28262-2023")</f>
        <v/>
      </c>
      <c r="X85">
        <f>HYPERLINK("https://klasma.github.io/Logging_2480/tillsyn/A 28262-2023 tillsynsbegäran.docx", "A 28262-2023")</f>
        <v/>
      </c>
      <c r="Y85">
        <f>HYPERLINK("https://klasma.github.io/Logging_2480/tillsynsmail/A 28262-2023 tillsynsbegäran mail.docx", "A 28262-2023")</f>
        <v/>
      </c>
    </row>
    <row r="86" ht="15" customHeight="1">
      <c r="A86" t="inlineStr">
        <is>
          <t>A 31311-2023</t>
        </is>
      </c>
      <c r="B86" s="1" t="n">
        <v>45104</v>
      </c>
      <c r="C86" s="1" t="n">
        <v>45279</v>
      </c>
      <c r="D86" t="inlineStr">
        <is>
          <t>VÄSTERBOTTENS LÄN</t>
        </is>
      </c>
      <c r="E86" t="inlineStr">
        <is>
          <t>UMEÅ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HYPERLINK("https://klasma.github.io/Logging_2480/artfynd/A 31311-2023 artfynd.xlsx", "A 31311-2023")</f>
        <v/>
      </c>
      <c r="T86">
        <f>HYPERLINK("https://klasma.github.io/Logging_2480/kartor/A 31311-2023 karta.png", "A 31311-2023")</f>
        <v/>
      </c>
      <c r="V86">
        <f>HYPERLINK("https://klasma.github.io/Logging_2480/klagomål/A 31311-2023 FSC-klagomål.docx", "A 31311-2023")</f>
        <v/>
      </c>
      <c r="W86">
        <f>HYPERLINK("https://klasma.github.io/Logging_2480/klagomålsmail/A 31311-2023 FSC-klagomål mail.docx", "A 31311-2023")</f>
        <v/>
      </c>
      <c r="X86">
        <f>HYPERLINK("https://klasma.github.io/Logging_2480/tillsyn/A 31311-2023 tillsynsbegäran.docx", "A 31311-2023")</f>
        <v/>
      </c>
      <c r="Y86">
        <f>HYPERLINK("https://klasma.github.io/Logging_2480/tillsynsmail/A 31311-2023 tillsynsbegäran mail.docx", "A 31311-2023")</f>
        <v/>
      </c>
    </row>
    <row r="87" ht="15" customHeight="1">
      <c r="A87" t="inlineStr">
        <is>
          <t>A 33419-2023</t>
        </is>
      </c>
      <c r="B87" s="1" t="n">
        <v>45128</v>
      </c>
      <c r="C87" s="1" t="n">
        <v>45279</v>
      </c>
      <c r="D87" t="inlineStr">
        <is>
          <t>VÄSTERBOTTENS LÄN</t>
        </is>
      </c>
      <c r="E87" t="inlineStr">
        <is>
          <t>UMEÅ</t>
        </is>
      </c>
      <c r="G87" t="n">
        <v>6.7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Goliatmusseron</t>
        </is>
      </c>
      <c r="S87">
        <f>HYPERLINK("https://klasma.github.io/Logging_2480/artfynd/A 33419-2023 artfynd.xlsx", "A 33419-2023")</f>
        <v/>
      </c>
      <c r="T87">
        <f>HYPERLINK("https://klasma.github.io/Logging_2480/kartor/A 33419-2023 karta.png", "A 33419-2023")</f>
        <v/>
      </c>
      <c r="V87">
        <f>HYPERLINK("https://klasma.github.io/Logging_2480/klagomål/A 33419-2023 FSC-klagomål.docx", "A 33419-2023")</f>
        <v/>
      </c>
      <c r="W87">
        <f>HYPERLINK("https://klasma.github.io/Logging_2480/klagomålsmail/A 33419-2023 FSC-klagomål mail.docx", "A 33419-2023")</f>
        <v/>
      </c>
      <c r="X87">
        <f>HYPERLINK("https://klasma.github.io/Logging_2480/tillsyn/A 33419-2023 tillsynsbegäran.docx", "A 33419-2023")</f>
        <v/>
      </c>
      <c r="Y87">
        <f>HYPERLINK("https://klasma.github.io/Logging_2480/tillsynsmail/A 33419-2023 tillsynsbegäran mail.docx", "A 33419-2023")</f>
        <v/>
      </c>
    </row>
    <row r="88" ht="15" customHeight="1">
      <c r="A88" t="inlineStr">
        <is>
          <t>A 36528-2023</t>
        </is>
      </c>
      <c r="B88" s="1" t="n">
        <v>45152</v>
      </c>
      <c r="C88" s="1" t="n">
        <v>45279</v>
      </c>
      <c r="D88" t="inlineStr">
        <is>
          <t>VÄSTERBOTTENS LÄN</t>
        </is>
      </c>
      <c r="E88" t="inlineStr">
        <is>
          <t>UMEÅ</t>
        </is>
      </c>
      <c r="G88" t="n">
        <v>2.4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HYPERLINK("https://klasma.github.io/Logging_2480/artfynd/A 36528-2023 artfynd.xlsx", "A 36528-2023")</f>
        <v/>
      </c>
      <c r="T88">
        <f>HYPERLINK("https://klasma.github.io/Logging_2480/kartor/A 36528-2023 karta.png", "A 36528-2023")</f>
        <v/>
      </c>
      <c r="U88">
        <f>HYPERLINK("https://klasma.github.io/Logging_2480/knärot/A 36528-2023 karta knärot.png", "A 36528-2023")</f>
        <v/>
      </c>
      <c r="V88">
        <f>HYPERLINK("https://klasma.github.io/Logging_2480/klagomål/A 36528-2023 FSC-klagomål.docx", "A 36528-2023")</f>
        <v/>
      </c>
      <c r="W88">
        <f>HYPERLINK("https://klasma.github.io/Logging_2480/klagomålsmail/A 36528-2023 FSC-klagomål mail.docx", "A 36528-2023")</f>
        <v/>
      </c>
      <c r="X88">
        <f>HYPERLINK("https://klasma.github.io/Logging_2480/tillsyn/A 36528-2023 tillsynsbegäran.docx", "A 36528-2023")</f>
        <v/>
      </c>
      <c r="Y88">
        <f>HYPERLINK("https://klasma.github.io/Logging_2480/tillsynsmail/A 36528-2023 tillsynsbegäran mail.docx", "A 36528-2023")</f>
        <v/>
      </c>
    </row>
    <row r="89" ht="15" customHeight="1">
      <c r="A89" t="inlineStr">
        <is>
          <t>A 39118-2023</t>
        </is>
      </c>
      <c r="B89" s="1" t="n">
        <v>45165</v>
      </c>
      <c r="C89" s="1" t="n">
        <v>45279</v>
      </c>
      <c r="D89" t="inlineStr">
        <is>
          <t>VÄSTERBOTTENS LÄN</t>
        </is>
      </c>
      <c r="E89" t="inlineStr">
        <is>
          <t>UMEÅ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HYPERLINK("https://klasma.github.io/Logging_2480/artfynd/A 39118-2023 artfynd.xlsx", "A 39118-2023")</f>
        <v/>
      </c>
      <c r="T89">
        <f>HYPERLINK("https://klasma.github.io/Logging_2480/kartor/A 39118-2023 karta.png", "A 39118-2023")</f>
        <v/>
      </c>
      <c r="V89">
        <f>HYPERLINK("https://klasma.github.io/Logging_2480/klagomål/A 39118-2023 FSC-klagomål.docx", "A 39118-2023")</f>
        <v/>
      </c>
      <c r="W89">
        <f>HYPERLINK("https://klasma.github.io/Logging_2480/klagomålsmail/A 39118-2023 FSC-klagomål mail.docx", "A 39118-2023")</f>
        <v/>
      </c>
      <c r="X89">
        <f>HYPERLINK("https://klasma.github.io/Logging_2480/tillsyn/A 39118-2023 tillsynsbegäran.docx", "A 39118-2023")</f>
        <v/>
      </c>
      <c r="Y89">
        <f>HYPERLINK("https://klasma.github.io/Logging_2480/tillsynsmail/A 39118-2023 tillsynsbegäran mail.docx", "A 39118-2023")</f>
        <v/>
      </c>
    </row>
    <row r="90" ht="15" customHeight="1">
      <c r="A90" t="inlineStr">
        <is>
          <t>A 41674-2023</t>
        </is>
      </c>
      <c r="B90" s="1" t="n">
        <v>45176</v>
      </c>
      <c r="C90" s="1" t="n">
        <v>45279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Nordfladdermus</t>
        </is>
      </c>
      <c r="S90">
        <f>HYPERLINK("https://klasma.github.io/Logging_2480/artfynd/A 41674-2023 artfynd.xlsx", "A 41674-2023")</f>
        <v/>
      </c>
      <c r="T90">
        <f>HYPERLINK("https://klasma.github.io/Logging_2480/kartor/A 41674-2023 karta.png", "A 41674-2023")</f>
        <v/>
      </c>
      <c r="V90">
        <f>HYPERLINK("https://klasma.github.io/Logging_2480/klagomål/A 41674-2023 FSC-klagomål.docx", "A 41674-2023")</f>
        <v/>
      </c>
      <c r="W90">
        <f>HYPERLINK("https://klasma.github.io/Logging_2480/klagomålsmail/A 41674-2023 FSC-klagomål mail.docx", "A 41674-2023")</f>
        <v/>
      </c>
      <c r="X90">
        <f>HYPERLINK("https://klasma.github.io/Logging_2480/tillsyn/A 41674-2023 tillsynsbegäran.docx", "A 41674-2023")</f>
        <v/>
      </c>
      <c r="Y90">
        <f>HYPERLINK("https://klasma.github.io/Logging_2480/tillsynsmail/A 41674-2023 tillsynsbegäran mail.docx", "A 41674-2023")</f>
        <v/>
      </c>
    </row>
    <row r="91" ht="15" customHeight="1">
      <c r="A91" t="inlineStr">
        <is>
          <t>A 44521-2023</t>
        </is>
      </c>
      <c r="B91" s="1" t="n">
        <v>45189</v>
      </c>
      <c r="C91" s="1" t="n">
        <v>45279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6.7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HYPERLINK("https://klasma.github.io/Logging_2480/artfynd/A 44521-2023 artfynd.xlsx", "A 44521-2023")</f>
        <v/>
      </c>
      <c r="T91">
        <f>HYPERLINK("https://klasma.github.io/Logging_2480/kartor/A 44521-2023 karta.png", "A 44521-2023")</f>
        <v/>
      </c>
      <c r="V91">
        <f>HYPERLINK("https://klasma.github.io/Logging_2480/klagomål/A 44521-2023 FSC-klagomål.docx", "A 44521-2023")</f>
        <v/>
      </c>
      <c r="W91">
        <f>HYPERLINK("https://klasma.github.io/Logging_2480/klagomålsmail/A 44521-2023 FSC-klagomål mail.docx", "A 44521-2023")</f>
        <v/>
      </c>
      <c r="X91">
        <f>HYPERLINK("https://klasma.github.io/Logging_2480/tillsyn/A 44521-2023 tillsynsbegäran.docx", "A 44521-2023")</f>
        <v/>
      </c>
      <c r="Y91">
        <f>HYPERLINK("https://klasma.github.io/Logging_2480/tillsynsmail/A 44521-2023 tillsynsbegäran mail.docx", "A 44521-2023")</f>
        <v/>
      </c>
    </row>
    <row r="92" ht="15" customHeight="1">
      <c r="A92" t="inlineStr">
        <is>
          <t>A 58670-2023</t>
        </is>
      </c>
      <c r="B92" s="1" t="n">
        <v>45251</v>
      </c>
      <c r="C92" s="1" t="n">
        <v>45279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HYPERLINK("https://klasma.github.io/Logging_2480/artfynd/A 58670-2023 artfynd.xlsx", "A 58670-2023")</f>
        <v/>
      </c>
      <c r="T92">
        <f>HYPERLINK("https://klasma.github.io/Logging_2480/kartor/A 58670-2023 karta.png", "A 58670-2023")</f>
        <v/>
      </c>
      <c r="V92">
        <f>HYPERLINK("https://klasma.github.io/Logging_2480/klagomål/A 58670-2023 FSC-klagomål.docx", "A 58670-2023")</f>
        <v/>
      </c>
      <c r="W92">
        <f>HYPERLINK("https://klasma.github.io/Logging_2480/klagomålsmail/A 58670-2023 FSC-klagomål mail.docx", "A 58670-2023")</f>
        <v/>
      </c>
      <c r="X92">
        <f>HYPERLINK("https://klasma.github.io/Logging_2480/tillsyn/A 58670-2023 tillsynsbegäran.docx", "A 58670-2023")</f>
        <v/>
      </c>
      <c r="Y92">
        <f>HYPERLINK("https://klasma.github.io/Logging_2480/tillsynsmail/A 58670-2023 tillsynsbegäran mail.docx", "A 58670-2023")</f>
        <v/>
      </c>
    </row>
    <row r="93" ht="15" customHeight="1">
      <c r="A93" t="inlineStr">
        <is>
          <t>A 36912-2018</t>
        </is>
      </c>
      <c r="B93" s="1" t="n">
        <v>43332</v>
      </c>
      <c r="C93" s="1" t="n">
        <v>45279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41203-2018</t>
        </is>
      </c>
      <c r="B94" s="1" t="n">
        <v>43346</v>
      </c>
      <c r="C94" s="1" t="n">
        <v>45279</v>
      </c>
      <c r="D94" t="inlineStr">
        <is>
          <t>VÄSTERBOTTENS LÄN</t>
        </is>
      </c>
      <c r="E94" t="inlineStr">
        <is>
          <t>UMEÅ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42534-2018</t>
        </is>
      </c>
      <c r="B95" s="1" t="n">
        <v>43350</v>
      </c>
      <c r="C95" s="1" t="n">
        <v>45279</v>
      </c>
      <c r="D95" t="inlineStr">
        <is>
          <t>VÄSTERBOTTENS LÄN</t>
        </is>
      </c>
      <c r="E95" t="inlineStr">
        <is>
          <t>UMEÅ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42471-2018</t>
        </is>
      </c>
      <c r="B96" s="1" t="n">
        <v>43353</v>
      </c>
      <c r="C96" s="1" t="n">
        <v>45279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42998-2018</t>
        </is>
      </c>
      <c r="B97" s="1" t="n">
        <v>43353</v>
      </c>
      <c r="C97" s="1" t="n">
        <v>45279</v>
      </c>
      <c r="D97" t="inlineStr">
        <is>
          <t>VÄSTERBOTTENS LÄN</t>
        </is>
      </c>
      <c r="E97" t="inlineStr">
        <is>
          <t>UMEÅ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43396-2018</t>
        </is>
      </c>
      <c r="B98" s="1" t="n">
        <v>43354</v>
      </c>
      <c r="C98" s="1" t="n">
        <v>45279</v>
      </c>
      <c r="D98" t="inlineStr">
        <is>
          <t>VÄSTERBOTTENS LÄN</t>
        </is>
      </c>
      <c r="E98" t="inlineStr">
        <is>
          <t>UMEÅ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44196-2018</t>
        </is>
      </c>
      <c r="B99" s="1" t="n">
        <v>43355</v>
      </c>
      <c r="C99" s="1" t="n">
        <v>45279</v>
      </c>
      <c r="D99" t="inlineStr">
        <is>
          <t>VÄSTERBOTTENS LÄN</t>
        </is>
      </c>
      <c r="E99" t="inlineStr">
        <is>
          <t>UMEÅ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46699-2018</t>
        </is>
      </c>
      <c r="B100" s="1" t="n">
        <v>43364</v>
      </c>
      <c r="C100" s="1" t="n">
        <v>45279</v>
      </c>
      <c r="D100" t="inlineStr">
        <is>
          <t>VÄSTERBOTTENS LÄN</t>
        </is>
      </c>
      <c r="E100" t="inlineStr">
        <is>
          <t>UMEÅ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47620-2018</t>
        </is>
      </c>
      <c r="B101" s="1" t="n">
        <v>43368</v>
      </c>
      <c r="C101" s="1" t="n">
        <v>45279</v>
      </c>
      <c r="D101" t="inlineStr">
        <is>
          <t>VÄSTERBOTTENS LÄN</t>
        </is>
      </c>
      <c r="E101" t="inlineStr">
        <is>
          <t>UMEÅ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47610-2018</t>
        </is>
      </c>
      <c r="B102" s="1" t="n">
        <v>43368</v>
      </c>
      <c r="C102" s="1" t="n">
        <v>45279</v>
      </c>
      <c r="D102" t="inlineStr">
        <is>
          <t>VÄSTERBOTTENS LÄN</t>
        </is>
      </c>
      <c r="E102" t="inlineStr">
        <is>
          <t>UMEÅ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47523-2018</t>
        </is>
      </c>
      <c r="B103" s="1" t="n">
        <v>43368</v>
      </c>
      <c r="C103" s="1" t="n">
        <v>45279</v>
      </c>
      <c r="D103" t="inlineStr">
        <is>
          <t>VÄSTERBOTTENS LÄN</t>
        </is>
      </c>
      <c r="E103" t="inlineStr">
        <is>
          <t>UMEÅ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47588-2018</t>
        </is>
      </c>
      <c r="B104" s="1" t="n">
        <v>43368</v>
      </c>
      <c r="C104" s="1" t="n">
        <v>45279</v>
      </c>
      <c r="D104" t="inlineStr">
        <is>
          <t>VÄSTERBOTTENS LÄN</t>
        </is>
      </c>
      <c r="E104" t="inlineStr">
        <is>
          <t>UMEÅ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48177-2018</t>
        </is>
      </c>
      <c r="B105" s="1" t="n">
        <v>43370</v>
      </c>
      <c r="C105" s="1" t="n">
        <v>45279</v>
      </c>
      <c r="D105" t="inlineStr">
        <is>
          <t>VÄSTERBOTTENS LÄN</t>
        </is>
      </c>
      <c r="E105" t="inlineStr">
        <is>
          <t>UMEÅ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48186-2018</t>
        </is>
      </c>
      <c r="B106" s="1" t="n">
        <v>43370</v>
      </c>
      <c r="C106" s="1" t="n">
        <v>45279</v>
      </c>
      <c r="D106" t="inlineStr">
        <is>
          <t>VÄSTERBOTTENS LÄN</t>
        </is>
      </c>
      <c r="E106" t="inlineStr">
        <is>
          <t>UMEÅ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48997-2018</t>
        </is>
      </c>
      <c r="B107" s="1" t="n">
        <v>43374</v>
      </c>
      <c r="C107" s="1" t="n">
        <v>45279</v>
      </c>
      <c r="D107" t="inlineStr">
        <is>
          <t>VÄSTERBOTTENS LÄN</t>
        </is>
      </c>
      <c r="E107" t="inlineStr">
        <is>
          <t>UMEÅ</t>
        </is>
      </c>
      <c r="G107" t="n">
        <v>30.2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52858-2018</t>
        </is>
      </c>
      <c r="B108" s="1" t="n">
        <v>43384</v>
      </c>
      <c r="C108" s="1" t="n">
        <v>45279</v>
      </c>
      <c r="D108" t="inlineStr">
        <is>
          <t>VÄSTERBOTTENS LÄN</t>
        </is>
      </c>
      <c r="E108" t="inlineStr">
        <is>
          <t>UMEÅ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52872-2018</t>
        </is>
      </c>
      <c r="B109" s="1" t="n">
        <v>43384</v>
      </c>
      <c r="C109" s="1" t="n">
        <v>45279</v>
      </c>
      <c r="D109" t="inlineStr">
        <is>
          <t>VÄSTERBOTTENS LÄN</t>
        </is>
      </c>
      <c r="E109" t="inlineStr">
        <is>
          <t>UMEÅ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53506-2018</t>
        </is>
      </c>
      <c r="B110" s="1" t="n">
        <v>43385</v>
      </c>
      <c r="C110" s="1" t="n">
        <v>45279</v>
      </c>
      <c r="D110" t="inlineStr">
        <is>
          <t>VÄSTERBOTTENS LÄN</t>
        </is>
      </c>
      <c r="E110" t="inlineStr">
        <is>
          <t>UMEÅ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53718-2018</t>
        </is>
      </c>
      <c r="B111" s="1" t="n">
        <v>43385</v>
      </c>
      <c r="C111" s="1" t="n">
        <v>45279</v>
      </c>
      <c r="D111" t="inlineStr">
        <is>
          <t>VÄSTERBOTTENS LÄN</t>
        </is>
      </c>
      <c r="E111" t="inlineStr">
        <is>
          <t>UMEÅ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55839-2018</t>
        </is>
      </c>
      <c r="B112" s="1" t="n">
        <v>43392</v>
      </c>
      <c r="C112" s="1" t="n">
        <v>45279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55858-2018</t>
        </is>
      </c>
      <c r="B113" s="1" t="n">
        <v>43392</v>
      </c>
      <c r="C113" s="1" t="n">
        <v>45279</v>
      </c>
      <c r="D113" t="inlineStr">
        <is>
          <t>VÄSTERBOTTENS LÄN</t>
        </is>
      </c>
      <c r="E113" t="inlineStr">
        <is>
          <t>UMEÅ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55871-2018</t>
        </is>
      </c>
      <c r="B114" s="1" t="n">
        <v>43392</v>
      </c>
      <c r="C114" s="1" t="n">
        <v>45279</v>
      </c>
      <c r="D114" t="inlineStr">
        <is>
          <t>VÄSTERBOTTENS LÄN</t>
        </is>
      </c>
      <c r="E114" t="inlineStr">
        <is>
          <t>UMEÅ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59852-2018</t>
        </is>
      </c>
      <c r="B115" s="1" t="n">
        <v>43405</v>
      </c>
      <c r="C115" s="1" t="n">
        <v>45279</v>
      </c>
      <c r="D115" t="inlineStr">
        <is>
          <t>VÄSTERBOTTENS LÄN</t>
        </is>
      </c>
      <c r="E115" t="inlineStr">
        <is>
          <t>UMEÅ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60604-2018</t>
        </is>
      </c>
      <c r="B116" s="1" t="n">
        <v>43406</v>
      </c>
      <c r="C116" s="1" t="n">
        <v>45279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60731-2018</t>
        </is>
      </c>
      <c r="B117" s="1" t="n">
        <v>43409</v>
      </c>
      <c r="C117" s="1" t="n">
        <v>45279</v>
      </c>
      <c r="D117" t="inlineStr">
        <is>
          <t>VÄSTERBOTTENS LÄN</t>
        </is>
      </c>
      <c r="E117" t="inlineStr">
        <is>
          <t>UMEÅ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60209-2018</t>
        </is>
      </c>
      <c r="B118" s="1" t="n">
        <v>43412</v>
      </c>
      <c r="C118" s="1" t="n">
        <v>45279</v>
      </c>
      <c r="D118" t="inlineStr">
        <is>
          <t>VÄSTERBOTTENS LÄN</t>
        </is>
      </c>
      <c r="E118" t="inlineStr">
        <is>
          <t>UMEÅ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60279-2018</t>
        </is>
      </c>
      <c r="B119" s="1" t="n">
        <v>43413</v>
      </c>
      <c r="C119" s="1" t="n">
        <v>45279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62720-2018</t>
        </is>
      </c>
      <c r="B120" s="1" t="n">
        <v>43413</v>
      </c>
      <c r="C120" s="1" t="n">
        <v>45279</v>
      </c>
      <c r="D120" t="inlineStr">
        <is>
          <t>VÄSTERBOTTENS LÄN</t>
        </is>
      </c>
      <c r="E120" t="inlineStr">
        <is>
          <t>UMEÅ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62480-2018</t>
        </is>
      </c>
      <c r="B121" s="1" t="n">
        <v>43415</v>
      </c>
      <c r="C121" s="1" t="n">
        <v>45279</v>
      </c>
      <c r="D121" t="inlineStr">
        <is>
          <t>VÄSTERBOTTENS LÄN</t>
        </is>
      </c>
      <c r="E121" t="inlineStr">
        <is>
          <t>UMEÅ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64042-2018</t>
        </is>
      </c>
      <c r="B122" s="1" t="n">
        <v>43416</v>
      </c>
      <c r="C122" s="1" t="n">
        <v>45279</v>
      </c>
      <c r="D122" t="inlineStr">
        <is>
          <t>VÄSTERBOTTENS LÄN</t>
        </is>
      </c>
      <c r="E122" t="inlineStr">
        <is>
          <t>UMEÅ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64054-2018</t>
        </is>
      </c>
      <c r="B123" s="1" t="n">
        <v>43416</v>
      </c>
      <c r="C123" s="1" t="n">
        <v>45279</v>
      </c>
      <c r="D123" t="inlineStr">
        <is>
          <t>VÄSTERBOTTENS LÄN</t>
        </is>
      </c>
      <c r="E123" t="inlineStr">
        <is>
          <t>UMEÅ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59735-2018</t>
        </is>
      </c>
      <c r="B124" s="1" t="n">
        <v>43419</v>
      </c>
      <c r="C124" s="1" t="n">
        <v>45279</v>
      </c>
      <c r="D124" t="inlineStr">
        <is>
          <t>VÄSTERBOTTENS LÄN</t>
        </is>
      </c>
      <c r="E124" t="inlineStr">
        <is>
          <t>UMEÅ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64352-2018</t>
        </is>
      </c>
      <c r="B125" s="1" t="n">
        <v>43419</v>
      </c>
      <c r="C125" s="1" t="n">
        <v>45279</v>
      </c>
      <c r="D125" t="inlineStr">
        <is>
          <t>VÄSTERBOTTENS LÄN</t>
        </is>
      </c>
      <c r="E125" t="inlineStr">
        <is>
          <t>UMEÅ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59679-2018</t>
        </is>
      </c>
      <c r="B126" s="1" t="n">
        <v>43419</v>
      </c>
      <c r="C126" s="1" t="n">
        <v>45279</v>
      </c>
      <c r="D126" t="inlineStr">
        <is>
          <t>VÄSTERBOTTENS LÄN</t>
        </is>
      </c>
      <c r="E126" t="inlineStr">
        <is>
          <t>UMEÅ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64702-2018</t>
        </is>
      </c>
      <c r="B127" s="1" t="n">
        <v>43422</v>
      </c>
      <c r="C127" s="1" t="n">
        <v>45279</v>
      </c>
      <c r="D127" t="inlineStr">
        <is>
          <t>VÄSTERBOTTENS LÄN</t>
        </is>
      </c>
      <c r="E127" t="inlineStr">
        <is>
          <t>UMEÅ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64670-2018</t>
        </is>
      </c>
      <c r="B128" s="1" t="n">
        <v>43422</v>
      </c>
      <c r="C128" s="1" t="n">
        <v>45279</v>
      </c>
      <c r="D128" t="inlineStr">
        <is>
          <t>VÄSTERBOTTENS LÄN</t>
        </is>
      </c>
      <c r="E128" t="inlineStr">
        <is>
          <t>UMEÅ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60947-2018</t>
        </is>
      </c>
      <c r="B129" s="1" t="n">
        <v>43423</v>
      </c>
      <c r="C129" s="1" t="n">
        <v>45279</v>
      </c>
      <c r="D129" t="inlineStr">
        <is>
          <t>VÄSTERBOTTENS LÄN</t>
        </is>
      </c>
      <c r="E129" t="inlineStr">
        <is>
          <t>UMEÅ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61543-2018</t>
        </is>
      </c>
      <c r="B130" s="1" t="n">
        <v>43424</v>
      </c>
      <c r="C130" s="1" t="n">
        <v>45279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65480-2018</t>
        </is>
      </c>
      <c r="B131" s="1" t="n">
        <v>43424</v>
      </c>
      <c r="C131" s="1" t="n">
        <v>45279</v>
      </c>
      <c r="D131" t="inlineStr">
        <is>
          <t>VÄSTERBOTTENS LÄN</t>
        </is>
      </c>
      <c r="E131" t="inlineStr">
        <is>
          <t>UMEÅ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61321-2018</t>
        </is>
      </c>
      <c r="B132" s="1" t="n">
        <v>43424</v>
      </c>
      <c r="C132" s="1" t="n">
        <v>45279</v>
      </c>
      <c r="D132" t="inlineStr">
        <is>
          <t>VÄSTERBOTTENS LÄN</t>
        </is>
      </c>
      <c r="E132" t="inlineStr">
        <is>
          <t>UMEÅ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62864-2018</t>
        </is>
      </c>
      <c r="B133" s="1" t="n">
        <v>43426</v>
      </c>
      <c r="C133" s="1" t="n">
        <v>45279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63394-2018</t>
        </is>
      </c>
      <c r="B134" s="1" t="n">
        <v>43427</v>
      </c>
      <c r="C134" s="1" t="n">
        <v>45279</v>
      </c>
      <c r="D134" t="inlineStr">
        <is>
          <t>VÄSTERBOTTENS LÄN</t>
        </is>
      </c>
      <c r="E134" t="inlineStr">
        <is>
          <t>UMEÅ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67691-2018</t>
        </is>
      </c>
      <c r="B135" s="1" t="n">
        <v>43433</v>
      </c>
      <c r="C135" s="1" t="n">
        <v>45279</v>
      </c>
      <c r="D135" t="inlineStr">
        <is>
          <t>VÄSTERBOTTENS LÄN</t>
        </is>
      </c>
      <c r="E135" t="inlineStr">
        <is>
          <t>UMEÅ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67785-2018</t>
        </is>
      </c>
      <c r="B136" s="1" t="n">
        <v>43440</v>
      </c>
      <c r="C136" s="1" t="n">
        <v>45279</v>
      </c>
      <c r="D136" t="inlineStr">
        <is>
          <t>VÄSTERBOTTENS LÄN</t>
        </is>
      </c>
      <c r="E136" t="inlineStr">
        <is>
          <t>UMEÅ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69747-2018</t>
        </is>
      </c>
      <c r="B137" s="1" t="n">
        <v>43444</v>
      </c>
      <c r="C137" s="1" t="n">
        <v>45279</v>
      </c>
      <c r="D137" t="inlineStr">
        <is>
          <t>VÄSTERBOTTENS LÄN</t>
        </is>
      </c>
      <c r="E137" t="inlineStr">
        <is>
          <t>UMEÅ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70049-2018</t>
        </is>
      </c>
      <c r="B138" s="1" t="n">
        <v>43448</v>
      </c>
      <c r="C138" s="1" t="n">
        <v>45279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71444-2018</t>
        </is>
      </c>
      <c r="B139" s="1" t="n">
        <v>43451</v>
      </c>
      <c r="C139" s="1" t="n">
        <v>45279</v>
      </c>
      <c r="D139" t="inlineStr">
        <is>
          <t>VÄSTERBOTTENS LÄN</t>
        </is>
      </c>
      <c r="E139" t="inlineStr">
        <is>
          <t>UMEÅ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71448-2018</t>
        </is>
      </c>
      <c r="B140" s="1" t="n">
        <v>43451</v>
      </c>
      <c r="C140" s="1" t="n">
        <v>45279</v>
      </c>
      <c r="D140" t="inlineStr">
        <is>
          <t>VÄSTERBOTTENS LÄN</t>
        </is>
      </c>
      <c r="E140" t="inlineStr">
        <is>
          <t>UMEÅ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70733-2018</t>
        </is>
      </c>
      <c r="B141" s="1" t="n">
        <v>43451</v>
      </c>
      <c r="C141" s="1" t="n">
        <v>45279</v>
      </c>
      <c r="D141" t="inlineStr">
        <is>
          <t>VÄSTERBOTTENS LÄN</t>
        </is>
      </c>
      <c r="E141" t="inlineStr">
        <is>
          <t>UMEÅ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71678-2018</t>
        </is>
      </c>
      <c r="B142" s="1" t="n">
        <v>43452</v>
      </c>
      <c r="C142" s="1" t="n">
        <v>45279</v>
      </c>
      <c r="D142" t="inlineStr">
        <is>
          <t>VÄSTERBOTTENS LÄN</t>
        </is>
      </c>
      <c r="E142" t="inlineStr">
        <is>
          <t>UMEÅ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71811-2018</t>
        </is>
      </c>
      <c r="B143" s="1" t="n">
        <v>43454</v>
      </c>
      <c r="C143" s="1" t="n">
        <v>45279</v>
      </c>
      <c r="D143" t="inlineStr">
        <is>
          <t>VÄSTERBOTTENS LÄN</t>
        </is>
      </c>
      <c r="E143" t="inlineStr">
        <is>
          <t>UMEÅ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650-2019</t>
        </is>
      </c>
      <c r="B144" s="1" t="n">
        <v>43455</v>
      </c>
      <c r="C144" s="1" t="n">
        <v>45279</v>
      </c>
      <c r="D144" t="inlineStr">
        <is>
          <t>VÄSTERBOTTENS LÄN</t>
        </is>
      </c>
      <c r="E144" t="inlineStr">
        <is>
          <t>UMEÅ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799-2019</t>
        </is>
      </c>
      <c r="B145" s="1" t="n">
        <v>43455</v>
      </c>
      <c r="C145" s="1" t="n">
        <v>45279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72624-2018</t>
        </is>
      </c>
      <c r="B146" s="1" t="n">
        <v>43464</v>
      </c>
      <c r="C146" s="1" t="n">
        <v>45279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202-2019</t>
        </is>
      </c>
      <c r="B147" s="1" t="n">
        <v>43467</v>
      </c>
      <c r="C147" s="1" t="n">
        <v>45279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122-2019</t>
        </is>
      </c>
      <c r="B148" s="1" t="n">
        <v>43467</v>
      </c>
      <c r="C148" s="1" t="n">
        <v>45279</v>
      </c>
      <c r="D148" t="inlineStr">
        <is>
          <t>VÄSTERBOTTENS LÄN</t>
        </is>
      </c>
      <c r="E148" t="inlineStr">
        <is>
          <t>UMEÅ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1354-2019</t>
        </is>
      </c>
      <c r="B149" s="1" t="n">
        <v>43473</v>
      </c>
      <c r="C149" s="1" t="n">
        <v>45279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1635-2019</t>
        </is>
      </c>
      <c r="B150" s="1" t="n">
        <v>43474</v>
      </c>
      <c r="C150" s="1" t="n">
        <v>45279</v>
      </c>
      <c r="D150" t="inlineStr">
        <is>
          <t>VÄSTERBOTTENS LÄN</t>
        </is>
      </c>
      <c r="E150" t="inlineStr">
        <is>
          <t>UMEÅ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1803-2019</t>
        </is>
      </c>
      <c r="B151" s="1" t="n">
        <v>43474</v>
      </c>
      <c r="C151" s="1" t="n">
        <v>45279</v>
      </c>
      <c r="D151" t="inlineStr">
        <is>
          <t>VÄSTERBOTTENS LÄN</t>
        </is>
      </c>
      <c r="E151" t="inlineStr">
        <is>
          <t>UMEÅ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2268-2019</t>
        </is>
      </c>
      <c r="B152" s="1" t="n">
        <v>43475</v>
      </c>
      <c r="C152" s="1" t="n">
        <v>45279</v>
      </c>
      <c r="D152" t="inlineStr">
        <is>
          <t>VÄSTERBOTTENS LÄN</t>
        </is>
      </c>
      <c r="E152" t="inlineStr">
        <is>
          <t>UMEÅ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1938-2019</t>
        </is>
      </c>
      <c r="B153" s="1" t="n">
        <v>43475</v>
      </c>
      <c r="C153" s="1" t="n">
        <v>45279</v>
      </c>
      <c r="D153" t="inlineStr">
        <is>
          <t>VÄSTERBOTTENS LÄN</t>
        </is>
      </c>
      <c r="E153" t="inlineStr">
        <is>
          <t>UMEÅ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2194-2019</t>
        </is>
      </c>
      <c r="B154" s="1" t="n">
        <v>43475</v>
      </c>
      <c r="C154" s="1" t="n">
        <v>45279</v>
      </c>
      <c r="D154" t="inlineStr">
        <is>
          <t>VÄSTERBOTTENS LÄN</t>
        </is>
      </c>
      <c r="E154" t="inlineStr">
        <is>
          <t>UMEÅ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4175-2019</t>
        </is>
      </c>
      <c r="B155" s="1" t="n">
        <v>43476</v>
      </c>
      <c r="C155" s="1" t="n">
        <v>45279</v>
      </c>
      <c r="D155" t="inlineStr">
        <is>
          <t>VÄSTERBOTTENS LÄN</t>
        </is>
      </c>
      <c r="E155" t="inlineStr">
        <is>
          <t>UMEÅ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3453-2019</t>
        </is>
      </c>
      <c r="B156" s="1" t="n">
        <v>43481</v>
      </c>
      <c r="C156" s="1" t="n">
        <v>45279</v>
      </c>
      <c r="D156" t="inlineStr">
        <is>
          <t>VÄSTERBOTTENS LÄN</t>
        </is>
      </c>
      <c r="E156" t="inlineStr">
        <is>
          <t>UMEÅ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3948-2019</t>
        </is>
      </c>
      <c r="B157" s="1" t="n">
        <v>43482</v>
      </c>
      <c r="C157" s="1" t="n">
        <v>45279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4873-2019</t>
        </is>
      </c>
      <c r="B158" s="1" t="n">
        <v>43487</v>
      </c>
      <c r="C158" s="1" t="n">
        <v>45279</v>
      </c>
      <c r="D158" t="inlineStr">
        <is>
          <t>VÄSTERBOTTENS LÄN</t>
        </is>
      </c>
      <c r="E158" t="inlineStr">
        <is>
          <t>UMEÅ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6941-2019</t>
        </is>
      </c>
      <c r="B159" s="1" t="n">
        <v>43495</v>
      </c>
      <c r="C159" s="1" t="n">
        <v>45279</v>
      </c>
      <c r="D159" t="inlineStr">
        <is>
          <t>VÄSTERBOTTENS LÄN</t>
        </is>
      </c>
      <c r="E159" t="inlineStr">
        <is>
          <t>UMEÅ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6974-2019</t>
        </is>
      </c>
      <c r="B160" s="1" t="n">
        <v>43495</v>
      </c>
      <c r="C160" s="1" t="n">
        <v>45279</v>
      </c>
      <c r="D160" t="inlineStr">
        <is>
          <t>VÄSTERBOTTENS LÄN</t>
        </is>
      </c>
      <c r="E160" t="inlineStr">
        <is>
          <t>UMEÅ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9112-2019</t>
        </is>
      </c>
      <c r="B161" s="1" t="n">
        <v>43504</v>
      </c>
      <c r="C161" s="1" t="n">
        <v>45279</v>
      </c>
      <c r="D161" t="inlineStr">
        <is>
          <t>VÄSTERBOTTENS LÄN</t>
        </is>
      </c>
      <c r="E161" t="inlineStr">
        <is>
          <t>UMEÅ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9935-2019</t>
        </is>
      </c>
      <c r="B162" s="1" t="n">
        <v>43509</v>
      </c>
      <c r="C162" s="1" t="n">
        <v>45279</v>
      </c>
      <c r="D162" t="inlineStr">
        <is>
          <t>VÄSTERBOTTENS LÄN</t>
        </is>
      </c>
      <c r="E162" t="inlineStr">
        <is>
          <t>UMEÅ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9941-2019</t>
        </is>
      </c>
      <c r="B163" s="1" t="n">
        <v>43509</v>
      </c>
      <c r="C163" s="1" t="n">
        <v>45279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11421-2019</t>
        </is>
      </c>
      <c r="B164" s="1" t="n">
        <v>43516</v>
      </c>
      <c r="C164" s="1" t="n">
        <v>45279</v>
      </c>
      <c r="D164" t="inlineStr">
        <is>
          <t>VÄSTERBOTTENS LÄN</t>
        </is>
      </c>
      <c r="E164" t="inlineStr">
        <is>
          <t>UMEÅ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11777-2019</t>
        </is>
      </c>
      <c r="B165" s="1" t="n">
        <v>43518</v>
      </c>
      <c r="C165" s="1" t="n">
        <v>45279</v>
      </c>
      <c r="D165" t="inlineStr">
        <is>
          <t>VÄSTERBOTTENS LÄN</t>
        </is>
      </c>
      <c r="E165" t="inlineStr">
        <is>
          <t>UMEÅ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11776-2019</t>
        </is>
      </c>
      <c r="B166" s="1" t="n">
        <v>43518</v>
      </c>
      <c r="C166" s="1" t="n">
        <v>45279</v>
      </c>
      <c r="D166" t="inlineStr">
        <is>
          <t>VÄSTERBOTTENS LÄN</t>
        </is>
      </c>
      <c r="E166" t="inlineStr">
        <is>
          <t>UMEÅ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11778-2019</t>
        </is>
      </c>
      <c r="B167" s="1" t="n">
        <v>43518</v>
      </c>
      <c r="C167" s="1" t="n">
        <v>45279</v>
      </c>
      <c r="D167" t="inlineStr">
        <is>
          <t>VÄSTERBOTTENS LÄN</t>
        </is>
      </c>
      <c r="E167" t="inlineStr">
        <is>
          <t>UMEÅ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12040-2019</t>
        </is>
      </c>
      <c r="B168" s="1" t="n">
        <v>43522</v>
      </c>
      <c r="C168" s="1" t="n">
        <v>45279</v>
      </c>
      <c r="D168" t="inlineStr">
        <is>
          <t>VÄSTERBOTTENS LÄN</t>
        </is>
      </c>
      <c r="E168" t="inlineStr">
        <is>
          <t>UMEÅ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14287-2019</t>
        </is>
      </c>
      <c r="B169" s="1" t="n">
        <v>43535</v>
      </c>
      <c r="C169" s="1" t="n">
        <v>45279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15049-2019</t>
        </is>
      </c>
      <c r="B170" s="1" t="n">
        <v>43537</v>
      </c>
      <c r="C170" s="1" t="n">
        <v>45279</v>
      </c>
      <c r="D170" t="inlineStr">
        <is>
          <t>VÄSTERBOTTENS LÄN</t>
        </is>
      </c>
      <c r="E170" t="inlineStr">
        <is>
          <t>UMEÅ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14850-2019</t>
        </is>
      </c>
      <c r="B171" s="1" t="n">
        <v>43538</v>
      </c>
      <c r="C171" s="1" t="n">
        <v>45279</v>
      </c>
      <c r="D171" t="inlineStr">
        <is>
          <t>VÄSTERBOTTENS LÄN</t>
        </is>
      </c>
      <c r="E171" t="inlineStr">
        <is>
          <t>UMEÅ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15411-2019</t>
        </is>
      </c>
      <c r="B172" s="1" t="n">
        <v>43539</v>
      </c>
      <c r="C172" s="1" t="n">
        <v>45279</v>
      </c>
      <c r="D172" t="inlineStr">
        <is>
          <t>VÄSTERBOTTENS LÄN</t>
        </is>
      </c>
      <c r="E172" t="inlineStr">
        <is>
          <t>UMEÅ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17094-2019</t>
        </is>
      </c>
      <c r="B173" s="1" t="n">
        <v>43549</v>
      </c>
      <c r="C173" s="1" t="n">
        <v>45279</v>
      </c>
      <c r="D173" t="inlineStr">
        <is>
          <t>VÄSTERBOTTENS LÄN</t>
        </is>
      </c>
      <c r="E173" t="inlineStr">
        <is>
          <t>UMEÅ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16964-2019</t>
        </is>
      </c>
      <c r="B174" s="1" t="n">
        <v>43550</v>
      </c>
      <c r="C174" s="1" t="n">
        <v>45279</v>
      </c>
      <c r="D174" t="inlineStr">
        <is>
          <t>VÄSTERBOTTENS LÄN</t>
        </is>
      </c>
      <c r="E174" t="inlineStr">
        <is>
          <t>UMEÅ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17870-2019</t>
        </is>
      </c>
      <c r="B175" s="1" t="n">
        <v>43553</v>
      </c>
      <c r="C175" s="1" t="n">
        <v>45279</v>
      </c>
      <c r="D175" t="inlineStr">
        <is>
          <t>VÄSTERBOTTENS LÄN</t>
        </is>
      </c>
      <c r="E175" t="inlineStr">
        <is>
          <t>UMEÅ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17877-2019</t>
        </is>
      </c>
      <c r="B176" s="1" t="n">
        <v>43553</v>
      </c>
      <c r="C176" s="1" t="n">
        <v>45279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17665-2019</t>
        </is>
      </c>
      <c r="B177" s="1" t="n">
        <v>43556</v>
      </c>
      <c r="C177" s="1" t="n">
        <v>45279</v>
      </c>
      <c r="D177" t="inlineStr">
        <is>
          <t>VÄSTERBOTTENS LÄN</t>
        </is>
      </c>
      <c r="E177" t="inlineStr">
        <is>
          <t>UMEÅ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18151-2019</t>
        </is>
      </c>
      <c r="B178" s="1" t="n">
        <v>43556</v>
      </c>
      <c r="C178" s="1" t="n">
        <v>45279</v>
      </c>
      <c r="D178" t="inlineStr">
        <is>
          <t>VÄSTERBOTTENS LÄN</t>
        </is>
      </c>
      <c r="E178" t="inlineStr">
        <is>
          <t>UMEÅ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20458-2019</t>
        </is>
      </c>
      <c r="B179" s="1" t="n">
        <v>43572</v>
      </c>
      <c r="C179" s="1" t="n">
        <v>45279</v>
      </c>
      <c r="D179" t="inlineStr">
        <is>
          <t>VÄSTERBOTTENS LÄN</t>
        </is>
      </c>
      <c r="E179" t="inlineStr">
        <is>
          <t>UMEÅ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22739-2019</t>
        </is>
      </c>
      <c r="B180" s="1" t="n">
        <v>43588</v>
      </c>
      <c r="C180" s="1" t="n">
        <v>45279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23098-2019</t>
        </is>
      </c>
      <c r="B181" s="1" t="n">
        <v>43591</v>
      </c>
      <c r="C181" s="1" t="n">
        <v>45279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23510-2019</t>
        </is>
      </c>
      <c r="B182" s="1" t="n">
        <v>43593</v>
      </c>
      <c r="C182" s="1" t="n">
        <v>45279</v>
      </c>
      <c r="D182" t="inlineStr">
        <is>
          <t>VÄSTERBOTTENS LÄN</t>
        </is>
      </c>
      <c r="E182" t="inlineStr">
        <is>
          <t>UMEÅ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23491-2019</t>
        </is>
      </c>
      <c r="B183" s="1" t="n">
        <v>43593</v>
      </c>
      <c r="C183" s="1" t="n">
        <v>45279</v>
      </c>
      <c r="D183" t="inlineStr">
        <is>
          <t>VÄSTERBOTTENS LÄN</t>
        </is>
      </c>
      <c r="E183" t="inlineStr">
        <is>
          <t>UMEÅ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23796-2019</t>
        </is>
      </c>
      <c r="B184" s="1" t="n">
        <v>43595</v>
      </c>
      <c r="C184" s="1" t="n">
        <v>45279</v>
      </c>
      <c r="D184" t="inlineStr">
        <is>
          <t>VÄSTERBOTTENS LÄN</t>
        </is>
      </c>
      <c r="E184" t="inlineStr">
        <is>
          <t>UMEÅ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25273-2019</t>
        </is>
      </c>
      <c r="B185" s="1" t="n">
        <v>43605</v>
      </c>
      <c r="C185" s="1" t="n">
        <v>45279</v>
      </c>
      <c r="D185" t="inlineStr">
        <is>
          <t>VÄSTERBOTTENS LÄN</t>
        </is>
      </c>
      <c r="E185" t="inlineStr">
        <is>
          <t>UMEÅ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25787-2019</t>
        </is>
      </c>
      <c r="B186" s="1" t="n">
        <v>43605</v>
      </c>
      <c r="C186" s="1" t="n">
        <v>45279</v>
      </c>
      <c r="D186" t="inlineStr">
        <is>
          <t>VÄSTERBOTTENS LÄN</t>
        </is>
      </c>
      <c r="E186" t="inlineStr">
        <is>
          <t>UMEÅ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25514-2019</t>
        </is>
      </c>
      <c r="B187" s="1" t="n">
        <v>43606</v>
      </c>
      <c r="C187" s="1" t="n">
        <v>45279</v>
      </c>
      <c r="D187" t="inlineStr">
        <is>
          <t>VÄSTERBOTTENS LÄN</t>
        </is>
      </c>
      <c r="E187" t="inlineStr">
        <is>
          <t>UMEÅ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26382-2019</t>
        </is>
      </c>
      <c r="B188" s="1" t="n">
        <v>43606</v>
      </c>
      <c r="C188" s="1" t="n">
        <v>45279</v>
      </c>
      <c r="D188" t="inlineStr">
        <is>
          <t>VÄSTERBOTTENS LÄN</t>
        </is>
      </c>
      <c r="E188" t="inlineStr">
        <is>
          <t>UMEÅ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28147-2019</t>
        </is>
      </c>
      <c r="B189" s="1" t="n">
        <v>43613</v>
      </c>
      <c r="C189" s="1" t="n">
        <v>45279</v>
      </c>
      <c r="D189" t="inlineStr">
        <is>
          <t>VÄSTERBOTTENS LÄN</t>
        </is>
      </c>
      <c r="E189" t="inlineStr">
        <is>
          <t>UMEÅ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28995-2019</t>
        </is>
      </c>
      <c r="B190" s="1" t="n">
        <v>43620</v>
      </c>
      <c r="C190" s="1" t="n">
        <v>45279</v>
      </c>
      <c r="D190" t="inlineStr">
        <is>
          <t>VÄSTERBOTTENS LÄN</t>
        </is>
      </c>
      <c r="E190" t="inlineStr">
        <is>
          <t>UMEÅ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29281-2019</t>
        </is>
      </c>
      <c r="B191" s="1" t="n">
        <v>43623</v>
      </c>
      <c r="C191" s="1" t="n">
        <v>45279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29128-2019</t>
        </is>
      </c>
      <c r="B192" s="1" t="n">
        <v>43628</v>
      </c>
      <c r="C192" s="1" t="n">
        <v>45279</v>
      </c>
      <c r="D192" t="inlineStr">
        <is>
          <t>VÄSTERBOTTENS LÄN</t>
        </is>
      </c>
      <c r="E192" t="inlineStr">
        <is>
          <t>UMEÅ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29126-2019</t>
        </is>
      </c>
      <c r="B193" s="1" t="n">
        <v>43628</v>
      </c>
      <c r="C193" s="1" t="n">
        <v>45279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30440-2019</t>
        </is>
      </c>
      <c r="B194" s="1" t="n">
        <v>43633</v>
      </c>
      <c r="C194" s="1" t="n">
        <v>45279</v>
      </c>
      <c r="D194" t="inlineStr">
        <is>
          <t>VÄSTERBOTTENS LÄN</t>
        </is>
      </c>
      <c r="E194" t="inlineStr">
        <is>
          <t>UMEÅ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30187-2019</t>
        </is>
      </c>
      <c r="B195" s="1" t="n">
        <v>43634</v>
      </c>
      <c r="C195" s="1" t="n">
        <v>45279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30964-2019</t>
        </is>
      </c>
      <c r="B196" s="1" t="n">
        <v>43639</v>
      </c>
      <c r="C196" s="1" t="n">
        <v>45279</v>
      </c>
      <c r="D196" t="inlineStr">
        <is>
          <t>VÄSTERBOTTENS LÄN</t>
        </is>
      </c>
      <c r="E196" t="inlineStr">
        <is>
          <t>UMEÅ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30966-2019</t>
        </is>
      </c>
      <c r="B197" s="1" t="n">
        <v>43639</v>
      </c>
      <c r="C197" s="1" t="n">
        <v>45279</v>
      </c>
      <c r="D197" t="inlineStr">
        <is>
          <t>VÄSTERBOTTENS LÄN</t>
        </is>
      </c>
      <c r="E197" t="inlineStr">
        <is>
          <t>UMEÅ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30965-2019</t>
        </is>
      </c>
      <c r="B198" s="1" t="n">
        <v>43639</v>
      </c>
      <c r="C198" s="1" t="n">
        <v>45279</v>
      </c>
      <c r="D198" t="inlineStr">
        <is>
          <t>VÄSTERBOTTENS LÄN</t>
        </is>
      </c>
      <c r="E198" t="inlineStr">
        <is>
          <t>UMEÅ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31265-2019</t>
        </is>
      </c>
      <c r="B199" s="1" t="n">
        <v>43640</v>
      </c>
      <c r="C199" s="1" t="n">
        <v>45279</v>
      </c>
      <c r="D199" t="inlineStr">
        <is>
          <t>VÄSTERBOTTENS LÄN</t>
        </is>
      </c>
      <c r="E199" t="inlineStr">
        <is>
          <t>UMEÅ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31919-2019</t>
        </is>
      </c>
      <c r="B200" s="1" t="n">
        <v>43641</v>
      </c>
      <c r="C200" s="1" t="n">
        <v>45279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32079-2019</t>
        </is>
      </c>
      <c r="B201" s="1" t="n">
        <v>43642</v>
      </c>
      <c r="C201" s="1" t="n">
        <v>45279</v>
      </c>
      <c r="D201" t="inlineStr">
        <is>
          <t>VÄSTERBOTTENS LÄN</t>
        </is>
      </c>
      <c r="E201" t="inlineStr">
        <is>
          <t>UMEÅ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31938-2019</t>
        </is>
      </c>
      <c r="B202" s="1" t="n">
        <v>43643</v>
      </c>
      <c r="C202" s="1" t="n">
        <v>45279</v>
      </c>
      <c r="D202" t="inlineStr">
        <is>
          <t>VÄSTERBOTTENS LÄN</t>
        </is>
      </c>
      <c r="E202" t="inlineStr">
        <is>
          <t>UMEÅ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33033-2019</t>
        </is>
      </c>
      <c r="B203" s="1" t="n">
        <v>43649</v>
      </c>
      <c r="C203" s="1" t="n">
        <v>45279</v>
      </c>
      <c r="D203" t="inlineStr">
        <is>
          <t>VÄSTERBOTTENS LÄN</t>
        </is>
      </c>
      <c r="E203" t="inlineStr">
        <is>
          <t>UMEÅ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33029-2019</t>
        </is>
      </c>
      <c r="B204" s="1" t="n">
        <v>43649</v>
      </c>
      <c r="C204" s="1" t="n">
        <v>45279</v>
      </c>
      <c r="D204" t="inlineStr">
        <is>
          <t>VÄSTERBOTTENS LÄN</t>
        </is>
      </c>
      <c r="E204" t="inlineStr">
        <is>
          <t>UMEÅ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33034-2019</t>
        </is>
      </c>
      <c r="B205" s="1" t="n">
        <v>43650</v>
      </c>
      <c r="C205" s="1" t="n">
        <v>45279</v>
      </c>
      <c r="D205" t="inlineStr">
        <is>
          <t>VÄSTERBOTTENS LÄN</t>
        </is>
      </c>
      <c r="E205" t="inlineStr">
        <is>
          <t>UMEÅ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35451-2019</t>
        </is>
      </c>
      <c r="B206" s="1" t="n">
        <v>43651</v>
      </c>
      <c r="C206" s="1" t="n">
        <v>45279</v>
      </c>
      <c r="D206" t="inlineStr">
        <is>
          <t>VÄSTERBOTTENS LÄN</t>
        </is>
      </c>
      <c r="E206" t="inlineStr">
        <is>
          <t>UMEÅ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35450-2019</t>
        </is>
      </c>
      <c r="B207" s="1" t="n">
        <v>43651</v>
      </c>
      <c r="C207" s="1" t="n">
        <v>45279</v>
      </c>
      <c r="D207" t="inlineStr">
        <is>
          <t>VÄSTERBOTTENS LÄN</t>
        </is>
      </c>
      <c r="E207" t="inlineStr">
        <is>
          <t>UMEÅ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35380-2019</t>
        </is>
      </c>
      <c r="B208" s="1" t="n">
        <v>43651</v>
      </c>
      <c r="C208" s="1" t="n">
        <v>45279</v>
      </c>
      <c r="D208" t="inlineStr">
        <is>
          <t>VÄSTERBOTTENS LÄN</t>
        </is>
      </c>
      <c r="E208" t="inlineStr">
        <is>
          <t>UMEÅ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41058-2019</t>
        </is>
      </c>
      <c r="B209" s="1" t="n">
        <v>43693</v>
      </c>
      <c r="C209" s="1" t="n">
        <v>45279</v>
      </c>
      <c r="D209" t="inlineStr">
        <is>
          <t>VÄSTERBOTTENS LÄN</t>
        </is>
      </c>
      <c r="E209" t="inlineStr">
        <is>
          <t>UMEÅ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40120-2019</t>
        </is>
      </c>
      <c r="B210" s="1" t="n">
        <v>43693</v>
      </c>
      <c r="C210" s="1" t="n">
        <v>45279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41352-2019</t>
        </is>
      </c>
      <c r="B211" s="1" t="n">
        <v>43698</v>
      </c>
      <c r="C211" s="1" t="n">
        <v>45279</v>
      </c>
      <c r="D211" t="inlineStr">
        <is>
          <t>VÄSTERBOTTENS LÄN</t>
        </is>
      </c>
      <c r="E211" t="inlineStr">
        <is>
          <t>UMEÅ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41754-2019</t>
        </is>
      </c>
      <c r="B212" s="1" t="n">
        <v>43699</v>
      </c>
      <c r="C212" s="1" t="n">
        <v>45279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42477-2019</t>
        </is>
      </c>
      <c r="B213" s="1" t="n">
        <v>43704</v>
      </c>
      <c r="C213" s="1" t="n">
        <v>45279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42721-2019</t>
        </is>
      </c>
      <c r="B214" s="1" t="n">
        <v>43704</v>
      </c>
      <c r="C214" s="1" t="n">
        <v>45279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42599-2019</t>
        </is>
      </c>
      <c r="B215" s="1" t="n">
        <v>43704</v>
      </c>
      <c r="C215" s="1" t="n">
        <v>45279</v>
      </c>
      <c r="D215" t="inlineStr">
        <is>
          <t>VÄSTERBOTTENS LÄN</t>
        </is>
      </c>
      <c r="E215" t="inlineStr">
        <is>
          <t>UMEÅ</t>
        </is>
      </c>
      <c r="F215" t="inlineStr">
        <is>
          <t>Övriga Aktiebolag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43613-2019</t>
        </is>
      </c>
      <c r="B216" s="1" t="n">
        <v>43704</v>
      </c>
      <c r="C216" s="1" t="n">
        <v>45279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44537-2019</t>
        </is>
      </c>
      <c r="B217" s="1" t="n">
        <v>43706</v>
      </c>
      <c r="C217" s="1" t="n">
        <v>45279</v>
      </c>
      <c r="D217" t="inlineStr">
        <is>
          <t>VÄSTERBOTTENS LÄN</t>
        </is>
      </c>
      <c r="E217" t="inlineStr">
        <is>
          <t>UMEÅ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45322-2019</t>
        </is>
      </c>
      <c r="B218" s="1" t="n">
        <v>43707</v>
      </c>
      <c r="C218" s="1" t="n">
        <v>45279</v>
      </c>
      <c r="D218" t="inlineStr">
        <is>
          <t>VÄSTERBOTTENS LÄN</t>
        </is>
      </c>
      <c r="E218" t="inlineStr">
        <is>
          <t>UMEÅ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45536-2019</t>
        </is>
      </c>
      <c r="B219" s="1" t="n">
        <v>43714</v>
      </c>
      <c r="C219" s="1" t="n">
        <v>45279</v>
      </c>
      <c r="D219" t="inlineStr">
        <is>
          <t>VÄSTERBOTTENS LÄN</t>
        </is>
      </c>
      <c r="E219" t="inlineStr">
        <is>
          <t>UMEÅ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45905-2019</t>
        </is>
      </c>
      <c r="B220" s="1" t="n">
        <v>43717</v>
      </c>
      <c r="C220" s="1" t="n">
        <v>45279</v>
      </c>
      <c r="D220" t="inlineStr">
        <is>
          <t>VÄSTERBOTTENS LÄN</t>
        </is>
      </c>
      <c r="E220" t="inlineStr">
        <is>
          <t>UMEÅ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45906-2019</t>
        </is>
      </c>
      <c r="B221" s="1" t="n">
        <v>43717</v>
      </c>
      <c r="C221" s="1" t="n">
        <v>45279</v>
      </c>
      <c r="D221" t="inlineStr">
        <is>
          <t>VÄSTERBOTTENS LÄN</t>
        </is>
      </c>
      <c r="E221" t="inlineStr">
        <is>
          <t>UMEÅ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46601-2019</t>
        </is>
      </c>
      <c r="B222" s="1" t="n">
        <v>43719</v>
      </c>
      <c r="C222" s="1" t="n">
        <v>45279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47110-2019</t>
        </is>
      </c>
      <c r="B223" s="1" t="n">
        <v>43720</v>
      </c>
      <c r="C223" s="1" t="n">
        <v>45279</v>
      </c>
      <c r="D223" t="inlineStr">
        <is>
          <t>VÄSTERBOTTENS LÄN</t>
        </is>
      </c>
      <c r="E223" t="inlineStr">
        <is>
          <t>UMEÅ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47111-2019</t>
        </is>
      </c>
      <c r="B224" s="1" t="n">
        <v>43720</v>
      </c>
      <c r="C224" s="1" t="n">
        <v>45279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47601-2019</t>
        </is>
      </c>
      <c r="B225" s="1" t="n">
        <v>43724</v>
      </c>
      <c r="C225" s="1" t="n">
        <v>45279</v>
      </c>
      <c r="D225" t="inlineStr">
        <is>
          <t>VÄSTERBOTTENS LÄN</t>
        </is>
      </c>
      <c r="E225" t="inlineStr">
        <is>
          <t>UMEÅ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47573-2019</t>
        </is>
      </c>
      <c r="B226" s="1" t="n">
        <v>43724</v>
      </c>
      <c r="C226" s="1" t="n">
        <v>45279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47708-2019</t>
        </is>
      </c>
      <c r="B227" s="1" t="n">
        <v>43724</v>
      </c>
      <c r="C227" s="1" t="n">
        <v>45279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48558-2019</t>
        </is>
      </c>
      <c r="B228" s="1" t="n">
        <v>43727</v>
      </c>
      <c r="C228" s="1" t="n">
        <v>45279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51751-2019</t>
        </is>
      </c>
      <c r="B229" s="1" t="n">
        <v>43734</v>
      </c>
      <c r="C229" s="1" t="n">
        <v>45279</v>
      </c>
      <c r="D229" t="inlineStr">
        <is>
          <t>VÄSTERBOTTENS LÄN</t>
        </is>
      </c>
      <c r="E229" t="inlineStr">
        <is>
          <t>UMEÅ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51743-2019</t>
        </is>
      </c>
      <c r="B230" s="1" t="n">
        <v>43734</v>
      </c>
      <c r="C230" s="1" t="n">
        <v>45279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51555-2019</t>
        </is>
      </c>
      <c r="B231" s="1" t="n">
        <v>43734</v>
      </c>
      <c r="C231" s="1" t="n">
        <v>45279</v>
      </c>
      <c r="D231" t="inlineStr">
        <is>
          <t>VÄSTERBOTTENS LÄN</t>
        </is>
      </c>
      <c r="E231" t="inlineStr">
        <is>
          <t>UMEÅ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53203-2019</t>
        </is>
      </c>
      <c r="B232" s="1" t="n">
        <v>43735</v>
      </c>
      <c r="C232" s="1" t="n">
        <v>45279</v>
      </c>
      <c r="D232" t="inlineStr">
        <is>
          <t>VÄSTERBOTTENS LÄN</t>
        </is>
      </c>
      <c r="E232" t="inlineStr">
        <is>
          <t>UMEÅ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50793-2019</t>
        </is>
      </c>
      <c r="B233" s="1" t="n">
        <v>43738</v>
      </c>
      <c r="C233" s="1" t="n">
        <v>45279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51077-2019</t>
        </is>
      </c>
      <c r="B234" s="1" t="n">
        <v>43739</v>
      </c>
      <c r="C234" s="1" t="n">
        <v>45279</v>
      </c>
      <c r="D234" t="inlineStr">
        <is>
          <t>VÄSTERBOTTENS LÄN</t>
        </is>
      </c>
      <c r="E234" t="inlineStr">
        <is>
          <t>UMEÅ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51087-2019</t>
        </is>
      </c>
      <c r="B235" s="1" t="n">
        <v>43739</v>
      </c>
      <c r="C235" s="1" t="n">
        <v>45279</v>
      </c>
      <c r="D235" t="inlineStr">
        <is>
          <t>VÄSTERBOTTENS LÄN</t>
        </is>
      </c>
      <c r="E235" t="inlineStr">
        <is>
          <t>UMEÅ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51124-2019</t>
        </is>
      </c>
      <c r="B236" s="1" t="n">
        <v>43739</v>
      </c>
      <c r="C236" s="1" t="n">
        <v>45279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51767-2019</t>
        </is>
      </c>
      <c r="B237" s="1" t="n">
        <v>43741</v>
      </c>
      <c r="C237" s="1" t="n">
        <v>45279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52024-2019</t>
        </is>
      </c>
      <c r="B238" s="1" t="n">
        <v>43742</v>
      </c>
      <c r="C238" s="1" t="n">
        <v>45279</v>
      </c>
      <c r="D238" t="inlineStr">
        <is>
          <t>VÄSTERBOTTENS LÄN</t>
        </is>
      </c>
      <c r="E238" t="inlineStr">
        <is>
          <t>UMEÅ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52475-2019</t>
        </is>
      </c>
      <c r="B239" s="1" t="n">
        <v>43745</v>
      </c>
      <c r="C239" s="1" t="n">
        <v>45279</v>
      </c>
      <c r="D239" t="inlineStr">
        <is>
          <t>VÄSTERBOTTENS LÄN</t>
        </is>
      </c>
      <c r="E239" t="inlineStr">
        <is>
          <t>UMEÅ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53268-2019</t>
        </is>
      </c>
      <c r="B240" s="1" t="n">
        <v>43748</v>
      </c>
      <c r="C240" s="1" t="n">
        <v>45279</v>
      </c>
      <c r="D240" t="inlineStr">
        <is>
          <t>VÄSTERBOTTENS LÄN</t>
        </is>
      </c>
      <c r="E240" t="inlineStr">
        <is>
          <t>UMEÅ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53410-2019</t>
        </is>
      </c>
      <c r="B241" s="1" t="n">
        <v>43748</v>
      </c>
      <c r="C241" s="1" t="n">
        <v>45279</v>
      </c>
      <c r="D241" t="inlineStr">
        <is>
          <t>VÄSTERBOTTENS LÄN</t>
        </is>
      </c>
      <c r="E241" t="inlineStr">
        <is>
          <t>UMEÅ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53813-2019</t>
        </is>
      </c>
      <c r="B242" s="1" t="n">
        <v>43751</v>
      </c>
      <c r="C242" s="1" t="n">
        <v>45279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55275-2019</t>
        </is>
      </c>
      <c r="B243" s="1" t="n">
        <v>43753</v>
      </c>
      <c r="C243" s="1" t="n">
        <v>45279</v>
      </c>
      <c r="D243" t="inlineStr">
        <is>
          <t>VÄSTERBOTTENS LÄN</t>
        </is>
      </c>
      <c r="E243" t="inlineStr">
        <is>
          <t>UMEÅ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54880-2019</t>
        </is>
      </c>
      <c r="B244" s="1" t="n">
        <v>43755</v>
      </c>
      <c r="C244" s="1" t="n">
        <v>45279</v>
      </c>
      <c r="D244" t="inlineStr">
        <is>
          <t>VÄSTERBOTTENS LÄN</t>
        </is>
      </c>
      <c r="E244" t="inlineStr">
        <is>
          <t>UMEÅ</t>
        </is>
      </c>
      <c r="F244" t="inlineStr">
        <is>
          <t>Holmen skog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55906-2019</t>
        </is>
      </c>
      <c r="B245" s="1" t="n">
        <v>43755</v>
      </c>
      <c r="C245" s="1" t="n">
        <v>45279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56088-2019</t>
        </is>
      </c>
      <c r="B246" s="1" t="n">
        <v>43755</v>
      </c>
      <c r="C246" s="1" t="n">
        <v>45279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58338-2019</t>
        </is>
      </c>
      <c r="B247" s="1" t="n">
        <v>43770</v>
      </c>
      <c r="C247" s="1" t="n">
        <v>45279</v>
      </c>
      <c r="D247" t="inlineStr">
        <is>
          <t>VÄSTERBOTTENS LÄN</t>
        </is>
      </c>
      <c r="E247" t="inlineStr">
        <is>
          <t>UMEÅ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59459-2019</t>
        </is>
      </c>
      <c r="B248" s="1" t="n">
        <v>43776</v>
      </c>
      <c r="C248" s="1" t="n">
        <v>45279</v>
      </c>
      <c r="D248" t="inlineStr">
        <is>
          <t>VÄSTERBOTTENS LÄN</t>
        </is>
      </c>
      <c r="E248" t="inlineStr">
        <is>
          <t>UMEÅ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59757-2019</t>
        </is>
      </c>
      <c r="B249" s="1" t="n">
        <v>43776</v>
      </c>
      <c r="C249" s="1" t="n">
        <v>45279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62298-2019</t>
        </is>
      </c>
      <c r="B250" s="1" t="n">
        <v>43782</v>
      </c>
      <c r="C250" s="1" t="n">
        <v>45279</v>
      </c>
      <c r="D250" t="inlineStr">
        <is>
          <t>VÄSTERBOTTENS LÄN</t>
        </is>
      </c>
      <c r="E250" t="inlineStr">
        <is>
          <t>UMEÅ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62219-2019</t>
        </is>
      </c>
      <c r="B251" s="1" t="n">
        <v>43782</v>
      </c>
      <c r="C251" s="1" t="n">
        <v>45279</v>
      </c>
      <c r="D251" t="inlineStr">
        <is>
          <t>VÄSTERBOTTENS LÄN</t>
        </is>
      </c>
      <c r="E251" t="inlineStr">
        <is>
          <t>UMEÅ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61231-2019</t>
        </is>
      </c>
      <c r="B252" s="1" t="n">
        <v>43782</v>
      </c>
      <c r="C252" s="1" t="n">
        <v>45279</v>
      </c>
      <c r="D252" t="inlineStr">
        <is>
          <t>VÄSTERBOTTENS LÄN</t>
        </is>
      </c>
      <c r="E252" t="inlineStr">
        <is>
          <t>UMEÅ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61491-2019</t>
        </is>
      </c>
      <c r="B253" s="1" t="n">
        <v>43783</v>
      </c>
      <c r="C253" s="1" t="n">
        <v>45279</v>
      </c>
      <c r="D253" t="inlineStr">
        <is>
          <t>VÄSTERBOTTENS LÄN</t>
        </is>
      </c>
      <c r="E253" t="inlineStr">
        <is>
          <t>UMEÅ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61485-2019</t>
        </is>
      </c>
      <c r="B254" s="1" t="n">
        <v>43783</v>
      </c>
      <c r="C254" s="1" t="n">
        <v>45279</v>
      </c>
      <c r="D254" t="inlineStr">
        <is>
          <t>VÄSTERBOTTENS LÄN</t>
        </is>
      </c>
      <c r="E254" t="inlineStr">
        <is>
          <t>UMEÅ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61251-2019</t>
        </is>
      </c>
      <c r="B255" s="1" t="n">
        <v>43783</v>
      </c>
      <c r="C255" s="1" t="n">
        <v>45279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63424-2019</t>
        </is>
      </c>
      <c r="B256" s="1" t="n">
        <v>43787</v>
      </c>
      <c r="C256" s="1" t="n">
        <v>45279</v>
      </c>
      <c r="D256" t="inlineStr">
        <is>
          <t>VÄSTERBOTTENS LÄN</t>
        </is>
      </c>
      <c r="E256" t="inlineStr">
        <is>
          <t>UMEÅ</t>
        </is>
      </c>
      <c r="F256" t="inlineStr">
        <is>
          <t>SCA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62268-2019</t>
        </is>
      </c>
      <c r="B257" s="1" t="n">
        <v>43788</v>
      </c>
      <c r="C257" s="1" t="n">
        <v>45279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62202-2019</t>
        </is>
      </c>
      <c r="B258" s="1" t="n">
        <v>43788</v>
      </c>
      <c r="C258" s="1" t="n">
        <v>45279</v>
      </c>
      <c r="D258" t="inlineStr">
        <is>
          <t>VÄSTERBOTTENS LÄN</t>
        </is>
      </c>
      <c r="E258" t="inlineStr">
        <is>
          <t>UMEÅ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62229-2019</t>
        </is>
      </c>
      <c r="B259" s="1" t="n">
        <v>43788</v>
      </c>
      <c r="C259" s="1" t="n">
        <v>45279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63617-2019</t>
        </is>
      </c>
      <c r="B260" s="1" t="n">
        <v>43788</v>
      </c>
      <c r="C260" s="1" t="n">
        <v>45279</v>
      </c>
      <c r="D260" t="inlineStr">
        <is>
          <t>VÄSTERBOTTENS LÄN</t>
        </is>
      </c>
      <c r="E260" t="inlineStr">
        <is>
          <t>UMEÅ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63559-2019</t>
        </is>
      </c>
      <c r="B261" s="1" t="n">
        <v>43795</v>
      </c>
      <c r="C261" s="1" t="n">
        <v>45279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64785-2019</t>
        </is>
      </c>
      <c r="B262" s="1" t="n">
        <v>43801</v>
      </c>
      <c r="C262" s="1" t="n">
        <v>45279</v>
      </c>
      <c r="D262" t="inlineStr">
        <is>
          <t>VÄSTERBOTTENS LÄN</t>
        </is>
      </c>
      <c r="E262" t="inlineStr">
        <is>
          <t>UMEÅ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65020-2019</t>
        </is>
      </c>
      <c r="B263" s="1" t="n">
        <v>43801</v>
      </c>
      <c r="C263" s="1" t="n">
        <v>45279</v>
      </c>
      <c r="D263" t="inlineStr">
        <is>
          <t>VÄSTERBOTTENS LÄN</t>
        </is>
      </c>
      <c r="E263" t="inlineStr">
        <is>
          <t>UMEÅ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66124-2019</t>
        </is>
      </c>
      <c r="B264" s="1" t="n">
        <v>43801</v>
      </c>
      <c r="C264" s="1" t="n">
        <v>45279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66120-2019</t>
        </is>
      </c>
      <c r="B265" s="1" t="n">
        <v>43801</v>
      </c>
      <c r="C265" s="1" t="n">
        <v>45279</v>
      </c>
      <c r="D265" t="inlineStr">
        <is>
          <t>VÄSTERBOTTENS LÄN</t>
        </is>
      </c>
      <c r="E265" t="inlineStr">
        <is>
          <t>UMEÅ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65227-2019</t>
        </is>
      </c>
      <c r="B266" s="1" t="n">
        <v>43802</v>
      </c>
      <c r="C266" s="1" t="n">
        <v>45279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66455-2019</t>
        </is>
      </c>
      <c r="B267" s="1" t="n">
        <v>43802</v>
      </c>
      <c r="C267" s="1" t="n">
        <v>45279</v>
      </c>
      <c r="D267" t="inlineStr">
        <is>
          <t>VÄSTERBOTTENS LÄN</t>
        </is>
      </c>
      <c r="E267" t="inlineStr">
        <is>
          <t>UMEÅ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66471-2019</t>
        </is>
      </c>
      <c r="B268" s="1" t="n">
        <v>43802</v>
      </c>
      <c r="C268" s="1" t="n">
        <v>45279</v>
      </c>
      <c r="D268" t="inlineStr">
        <is>
          <t>VÄSTERBOTTENS LÄN</t>
        </is>
      </c>
      <c r="E268" t="inlineStr">
        <is>
          <t>UMEÅ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65576-2019</t>
        </is>
      </c>
      <c r="B269" s="1" t="n">
        <v>43804</v>
      </c>
      <c r="C269" s="1" t="n">
        <v>45279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65840-2019</t>
        </is>
      </c>
      <c r="B270" s="1" t="n">
        <v>43805</v>
      </c>
      <c r="C270" s="1" t="n">
        <v>45279</v>
      </c>
      <c r="D270" t="inlineStr">
        <is>
          <t>VÄSTERBOTTENS LÄN</t>
        </is>
      </c>
      <c r="E270" t="inlineStr">
        <is>
          <t>UMEÅ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65851-2019</t>
        </is>
      </c>
      <c r="B271" s="1" t="n">
        <v>43805</v>
      </c>
      <c r="C271" s="1" t="n">
        <v>45279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66990-2019</t>
        </is>
      </c>
      <c r="B272" s="1" t="n">
        <v>43805</v>
      </c>
      <c r="C272" s="1" t="n">
        <v>45279</v>
      </c>
      <c r="D272" t="inlineStr">
        <is>
          <t>VÄSTERBOTTENS LÄN</t>
        </is>
      </c>
      <c r="E272" t="inlineStr">
        <is>
          <t>UMEÅ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67659-2019</t>
        </is>
      </c>
      <c r="B273" s="1" t="n">
        <v>43815</v>
      </c>
      <c r="C273" s="1" t="n">
        <v>45279</v>
      </c>
      <c r="D273" t="inlineStr">
        <is>
          <t>VÄSTERBOTTENS LÄN</t>
        </is>
      </c>
      <c r="E273" t="inlineStr">
        <is>
          <t>UMEÅ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68623-2019</t>
        </is>
      </c>
      <c r="B274" s="1" t="n">
        <v>43818</v>
      </c>
      <c r="C274" s="1" t="n">
        <v>45279</v>
      </c>
      <c r="D274" t="inlineStr">
        <is>
          <t>VÄSTERBOTTENS LÄN</t>
        </is>
      </c>
      <c r="E274" t="inlineStr">
        <is>
          <t>UMEÅ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68858-2019</t>
        </is>
      </c>
      <c r="B275" s="1" t="n">
        <v>43820</v>
      </c>
      <c r="C275" s="1" t="n">
        <v>45279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3108-2020</t>
        </is>
      </c>
      <c r="B276" s="1" t="n">
        <v>43843</v>
      </c>
      <c r="C276" s="1" t="n">
        <v>45279</v>
      </c>
      <c r="D276" t="inlineStr">
        <is>
          <t>VÄSTERBOTTENS LÄN</t>
        </is>
      </c>
      <c r="E276" t="inlineStr">
        <is>
          <t>UMEÅ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1601-2020</t>
        </is>
      </c>
      <c r="B277" s="1" t="n">
        <v>43844</v>
      </c>
      <c r="C277" s="1" t="n">
        <v>45279</v>
      </c>
      <c r="D277" t="inlineStr">
        <is>
          <t>VÄSTERBOTTENS LÄN</t>
        </is>
      </c>
      <c r="E277" t="inlineStr">
        <is>
          <t>UMEÅ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5022-2020</t>
        </is>
      </c>
      <c r="B278" s="1" t="n">
        <v>43853</v>
      </c>
      <c r="C278" s="1" t="n">
        <v>45279</v>
      </c>
      <c r="D278" t="inlineStr">
        <is>
          <t>VÄSTERBOTTENS LÄN</t>
        </is>
      </c>
      <c r="E278" t="inlineStr">
        <is>
          <t>UMEÅ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4771-2020</t>
        </is>
      </c>
      <c r="B279" s="1" t="n">
        <v>43859</v>
      </c>
      <c r="C279" s="1" t="n">
        <v>45279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8187-2020</t>
        </is>
      </c>
      <c r="B280" s="1" t="n">
        <v>43873</v>
      </c>
      <c r="C280" s="1" t="n">
        <v>45279</v>
      </c>
      <c r="D280" t="inlineStr">
        <is>
          <t>VÄSTERBOTTENS LÄN</t>
        </is>
      </c>
      <c r="E280" t="inlineStr">
        <is>
          <t>UMEÅ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11085-2020</t>
        </is>
      </c>
      <c r="B281" s="1" t="n">
        <v>43885</v>
      </c>
      <c r="C281" s="1" t="n">
        <v>45279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11084-2020</t>
        </is>
      </c>
      <c r="B282" s="1" t="n">
        <v>43885</v>
      </c>
      <c r="C282" s="1" t="n">
        <v>45279</v>
      </c>
      <c r="D282" t="inlineStr">
        <is>
          <t>VÄSTERBOTTENS LÄN</t>
        </is>
      </c>
      <c r="E282" t="inlineStr">
        <is>
          <t>UMEÅ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11087-2020</t>
        </is>
      </c>
      <c r="B283" s="1" t="n">
        <v>43885</v>
      </c>
      <c r="C283" s="1" t="n">
        <v>45279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11495-2020</t>
        </is>
      </c>
      <c r="B284" s="1" t="n">
        <v>43887</v>
      </c>
      <c r="C284" s="1" t="n">
        <v>45279</v>
      </c>
      <c r="D284" t="inlineStr">
        <is>
          <t>VÄSTERBOTTENS LÄN</t>
        </is>
      </c>
      <c r="E284" t="inlineStr">
        <is>
          <t>UMEÅ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10745-2020</t>
        </is>
      </c>
      <c r="B285" s="1" t="n">
        <v>43888</v>
      </c>
      <c r="C285" s="1" t="n">
        <v>45279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29.5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11888-2020</t>
        </is>
      </c>
      <c r="B286" s="1" t="n">
        <v>43888</v>
      </c>
      <c r="C286" s="1" t="n">
        <v>45279</v>
      </c>
      <c r="D286" t="inlineStr">
        <is>
          <t>VÄSTERBOTTENS LÄN</t>
        </is>
      </c>
      <c r="E286" t="inlineStr">
        <is>
          <t>UMEÅ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11947-2020</t>
        </is>
      </c>
      <c r="B287" s="1" t="n">
        <v>43889</v>
      </c>
      <c r="C287" s="1" t="n">
        <v>45279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16540-2020</t>
        </is>
      </c>
      <c r="B288" s="1" t="n">
        <v>43909</v>
      </c>
      <c r="C288" s="1" t="n">
        <v>45279</v>
      </c>
      <c r="D288" t="inlineStr">
        <is>
          <t>VÄSTERBOTTENS LÄN</t>
        </is>
      </c>
      <c r="E288" t="inlineStr">
        <is>
          <t>UMEÅ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15095-2020</t>
        </is>
      </c>
      <c r="B289" s="1" t="n">
        <v>43910</v>
      </c>
      <c r="C289" s="1" t="n">
        <v>45279</v>
      </c>
      <c r="D289" t="inlineStr">
        <is>
          <t>VÄSTERBOTTENS LÄN</t>
        </is>
      </c>
      <c r="E289" t="inlineStr">
        <is>
          <t>UMEÅ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16823-2020</t>
        </is>
      </c>
      <c r="B290" s="1" t="n">
        <v>43913</v>
      </c>
      <c r="C290" s="1" t="n">
        <v>45279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16871-2020</t>
        </is>
      </c>
      <c r="B291" s="1" t="n">
        <v>43921</v>
      </c>
      <c r="C291" s="1" t="n">
        <v>45279</v>
      </c>
      <c r="D291" t="inlineStr">
        <is>
          <t>VÄSTERBOTTENS LÄN</t>
        </is>
      </c>
      <c r="E291" t="inlineStr">
        <is>
          <t>UMEÅ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16868-2020</t>
        </is>
      </c>
      <c r="B292" s="1" t="n">
        <v>43921</v>
      </c>
      <c r="C292" s="1" t="n">
        <v>45279</v>
      </c>
      <c r="D292" t="inlineStr">
        <is>
          <t>VÄSTERBOTTENS LÄN</t>
        </is>
      </c>
      <c r="E292" t="inlineStr">
        <is>
          <t>UMEÅ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17016-2020</t>
        </is>
      </c>
      <c r="B293" s="1" t="n">
        <v>43921</v>
      </c>
      <c r="C293" s="1" t="n">
        <v>45279</v>
      </c>
      <c r="D293" t="inlineStr">
        <is>
          <t>VÄSTERBOTTENS LÄN</t>
        </is>
      </c>
      <c r="E293" t="inlineStr">
        <is>
          <t>UMEÅ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17092-2020</t>
        </is>
      </c>
      <c r="B294" s="1" t="n">
        <v>43922</v>
      </c>
      <c r="C294" s="1" t="n">
        <v>45279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18233-2020</t>
        </is>
      </c>
      <c r="B295" s="1" t="n">
        <v>43928</v>
      </c>
      <c r="C295" s="1" t="n">
        <v>45279</v>
      </c>
      <c r="D295" t="inlineStr">
        <is>
          <t>VÄSTERBOTTENS LÄN</t>
        </is>
      </c>
      <c r="E295" t="inlineStr">
        <is>
          <t>UMEÅ</t>
        </is>
      </c>
      <c r="G295" t="n">
        <v>26.8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18636-2020</t>
        </is>
      </c>
      <c r="B296" s="1" t="n">
        <v>43928</v>
      </c>
      <c r="C296" s="1" t="n">
        <v>45279</v>
      </c>
      <c r="D296" t="inlineStr">
        <is>
          <t>VÄSTERBOTTENS LÄN</t>
        </is>
      </c>
      <c r="E296" t="inlineStr">
        <is>
          <t>UMEÅ</t>
        </is>
      </c>
      <c r="G296" t="n">
        <v>15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18908-2020</t>
        </is>
      </c>
      <c r="B297" s="1" t="n">
        <v>43930</v>
      </c>
      <c r="C297" s="1" t="n">
        <v>45279</v>
      </c>
      <c r="D297" t="inlineStr">
        <is>
          <t>VÄSTERBOTTENS LÄN</t>
        </is>
      </c>
      <c r="E297" t="inlineStr">
        <is>
          <t>UMEÅ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19580-2020</t>
        </is>
      </c>
      <c r="B298" s="1" t="n">
        <v>43941</v>
      </c>
      <c r="C298" s="1" t="n">
        <v>45279</v>
      </c>
      <c r="D298" t="inlineStr">
        <is>
          <t>VÄSTERBOTTENS LÄN</t>
        </is>
      </c>
      <c r="E298" t="inlineStr">
        <is>
          <t>UMEÅ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19541-2020</t>
        </is>
      </c>
      <c r="B299" s="1" t="n">
        <v>43941</v>
      </c>
      <c r="C299" s="1" t="n">
        <v>45279</v>
      </c>
      <c r="D299" t="inlineStr">
        <is>
          <t>VÄSTERBOTTENS LÄN</t>
        </is>
      </c>
      <c r="E299" t="inlineStr">
        <is>
          <t>UMEÅ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19767-2020</t>
        </is>
      </c>
      <c r="B300" s="1" t="n">
        <v>43942</v>
      </c>
      <c r="C300" s="1" t="n">
        <v>45279</v>
      </c>
      <c r="D300" t="inlineStr">
        <is>
          <t>VÄSTERBOTTENS LÄN</t>
        </is>
      </c>
      <c r="E300" t="inlineStr">
        <is>
          <t>UMEÅ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20288-2020</t>
        </is>
      </c>
      <c r="B301" s="1" t="n">
        <v>43945</v>
      </c>
      <c r="C301" s="1" t="n">
        <v>45279</v>
      </c>
      <c r="D301" t="inlineStr">
        <is>
          <t>VÄSTERBOTTENS LÄN</t>
        </is>
      </c>
      <c r="E301" t="inlineStr">
        <is>
          <t>UMEÅ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20956-2020</t>
        </is>
      </c>
      <c r="B302" s="1" t="n">
        <v>43950</v>
      </c>
      <c r="C302" s="1" t="n">
        <v>45279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21235-2020</t>
        </is>
      </c>
      <c r="B303" s="1" t="n">
        <v>43952</v>
      </c>
      <c r="C303" s="1" t="n">
        <v>45279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21282-2020</t>
        </is>
      </c>
      <c r="B304" s="1" t="n">
        <v>43955</v>
      </c>
      <c r="C304" s="1" t="n">
        <v>45279</v>
      </c>
      <c r="D304" t="inlineStr">
        <is>
          <t>VÄSTERBOTTENS LÄN</t>
        </is>
      </c>
      <c r="E304" t="inlineStr">
        <is>
          <t>UMEÅ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21288-2020</t>
        </is>
      </c>
      <c r="B305" s="1" t="n">
        <v>43955</v>
      </c>
      <c r="C305" s="1" t="n">
        <v>45279</v>
      </c>
      <c r="D305" t="inlineStr">
        <is>
          <t>VÄSTERBOTTENS LÄN</t>
        </is>
      </c>
      <c r="E305" t="inlineStr">
        <is>
          <t>UMEÅ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21283-2020</t>
        </is>
      </c>
      <c r="B306" s="1" t="n">
        <v>43955</v>
      </c>
      <c r="C306" s="1" t="n">
        <v>45279</v>
      </c>
      <c r="D306" t="inlineStr">
        <is>
          <t>VÄSTERBOTTENS LÄN</t>
        </is>
      </c>
      <c r="E306" t="inlineStr">
        <is>
          <t>UMEÅ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22030-2020</t>
        </is>
      </c>
      <c r="B307" s="1" t="n">
        <v>43959</v>
      </c>
      <c r="C307" s="1" t="n">
        <v>45279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22142-2020</t>
        </is>
      </c>
      <c r="B308" s="1" t="n">
        <v>43961</v>
      </c>
      <c r="C308" s="1" t="n">
        <v>45279</v>
      </c>
      <c r="D308" t="inlineStr">
        <is>
          <t>VÄSTERBOTTENS LÄN</t>
        </is>
      </c>
      <c r="E308" t="inlineStr">
        <is>
          <t>UMEÅ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22136-2020</t>
        </is>
      </c>
      <c r="B309" s="1" t="n">
        <v>43961</v>
      </c>
      <c r="C309" s="1" t="n">
        <v>45279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22442-2020</t>
        </is>
      </c>
      <c r="B310" s="1" t="n">
        <v>43963</v>
      </c>
      <c r="C310" s="1" t="n">
        <v>45279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22423-2020</t>
        </is>
      </c>
      <c r="B311" s="1" t="n">
        <v>43963</v>
      </c>
      <c r="C311" s="1" t="n">
        <v>45279</v>
      </c>
      <c r="D311" t="inlineStr">
        <is>
          <t>VÄSTERBOTTENS LÄN</t>
        </is>
      </c>
      <c r="E311" t="inlineStr">
        <is>
          <t>UMEÅ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22436-2020</t>
        </is>
      </c>
      <c r="B312" s="1" t="n">
        <v>43963</v>
      </c>
      <c r="C312" s="1" t="n">
        <v>45279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22956-2020</t>
        </is>
      </c>
      <c r="B313" s="1" t="n">
        <v>43965</v>
      </c>
      <c r="C313" s="1" t="n">
        <v>45279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23106-2020</t>
        </is>
      </c>
      <c r="B314" s="1" t="n">
        <v>43965</v>
      </c>
      <c r="C314" s="1" t="n">
        <v>45279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22975-2020</t>
        </is>
      </c>
      <c r="B315" s="1" t="n">
        <v>43965</v>
      </c>
      <c r="C315" s="1" t="n">
        <v>45279</v>
      </c>
      <c r="D315" t="inlineStr">
        <is>
          <t>VÄSTERBOTTENS LÄN</t>
        </is>
      </c>
      <c r="E315" t="inlineStr">
        <is>
          <t>UMEÅ</t>
        </is>
      </c>
      <c r="G315" t="n">
        <v>27.5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23193-2020</t>
        </is>
      </c>
      <c r="B316" s="1" t="n">
        <v>43966</v>
      </c>
      <c r="C316" s="1" t="n">
        <v>45279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25.9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23489-2020</t>
        </is>
      </c>
      <c r="B317" s="1" t="n">
        <v>43966</v>
      </c>
      <c r="C317" s="1" t="n">
        <v>45279</v>
      </c>
      <c r="D317" t="inlineStr">
        <is>
          <t>VÄSTERBOTTENS LÄN</t>
        </is>
      </c>
      <c r="E317" t="inlineStr">
        <is>
          <t>UMEÅ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23487-2020</t>
        </is>
      </c>
      <c r="B318" s="1" t="n">
        <v>43966</v>
      </c>
      <c r="C318" s="1" t="n">
        <v>45279</v>
      </c>
      <c r="D318" t="inlineStr">
        <is>
          <t>VÄSTERBOTTENS LÄN</t>
        </is>
      </c>
      <c r="E318" t="inlineStr">
        <is>
          <t>UMEÅ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24258-2020</t>
        </is>
      </c>
      <c r="B319" s="1" t="n">
        <v>43976</v>
      </c>
      <c r="C319" s="1" t="n">
        <v>45279</v>
      </c>
      <c r="D319" t="inlineStr">
        <is>
          <t>VÄSTERBOTTENS LÄN</t>
        </is>
      </c>
      <c r="E319" t="inlineStr">
        <is>
          <t>UMEÅ</t>
        </is>
      </c>
      <c r="F319" t="inlineStr">
        <is>
          <t>Kommuner</t>
        </is>
      </c>
      <c r="G319" t="n">
        <v>17.4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24702-2020</t>
        </is>
      </c>
      <c r="B320" s="1" t="n">
        <v>43978</v>
      </c>
      <c r="C320" s="1" t="n">
        <v>45279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24715-2020</t>
        </is>
      </c>
      <c r="B321" s="1" t="n">
        <v>43978</v>
      </c>
      <c r="C321" s="1" t="n">
        <v>45279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25178-2020</t>
        </is>
      </c>
      <c r="B322" s="1" t="n">
        <v>43980</v>
      </c>
      <c r="C322" s="1" t="n">
        <v>45279</v>
      </c>
      <c r="D322" t="inlineStr">
        <is>
          <t>VÄSTERBOTTENS LÄN</t>
        </is>
      </c>
      <c r="E322" t="inlineStr">
        <is>
          <t>UMEÅ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26580-2020</t>
        </is>
      </c>
      <c r="B323" s="1" t="n">
        <v>43986</v>
      </c>
      <c r="C323" s="1" t="n">
        <v>45279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26362-2020</t>
        </is>
      </c>
      <c r="B324" s="1" t="n">
        <v>43986</v>
      </c>
      <c r="C324" s="1" t="n">
        <v>45279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26988-2020</t>
        </is>
      </c>
      <c r="B325" s="1" t="n">
        <v>43991</v>
      </c>
      <c r="C325" s="1" t="n">
        <v>45279</v>
      </c>
      <c r="D325" t="inlineStr">
        <is>
          <t>VÄSTERBOTTENS LÄN</t>
        </is>
      </c>
      <c r="E325" t="inlineStr">
        <is>
          <t>UMEÅ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28039-2020</t>
        </is>
      </c>
      <c r="B326" s="1" t="n">
        <v>43993</v>
      </c>
      <c r="C326" s="1" t="n">
        <v>45279</v>
      </c>
      <c r="D326" t="inlineStr">
        <is>
          <t>VÄSTERBOTTENS LÄN</t>
        </is>
      </c>
      <c r="E326" t="inlineStr">
        <is>
          <t>UMEÅ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29026-2020</t>
        </is>
      </c>
      <c r="B327" s="1" t="n">
        <v>43999</v>
      </c>
      <c r="C327" s="1" t="n">
        <v>45279</v>
      </c>
      <c r="D327" t="inlineStr">
        <is>
          <t>VÄSTERBOTTENS LÄN</t>
        </is>
      </c>
      <c r="E327" t="inlineStr">
        <is>
          <t>UMEÅ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29252-2020</t>
        </is>
      </c>
      <c r="B328" s="1" t="n">
        <v>44000</v>
      </c>
      <c r="C328" s="1" t="n">
        <v>45279</v>
      </c>
      <c r="D328" t="inlineStr">
        <is>
          <t>VÄSTERBOTTENS LÄN</t>
        </is>
      </c>
      <c r="E328" t="inlineStr">
        <is>
          <t>UMEÅ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29720-2020</t>
        </is>
      </c>
      <c r="B329" s="1" t="n">
        <v>44005</v>
      </c>
      <c r="C329" s="1" t="n">
        <v>45279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29735-2020</t>
        </is>
      </c>
      <c r="B330" s="1" t="n">
        <v>44005</v>
      </c>
      <c r="C330" s="1" t="n">
        <v>45279</v>
      </c>
      <c r="D330" t="inlineStr">
        <is>
          <t>VÄSTERBOTTENS LÄN</t>
        </is>
      </c>
      <c r="E330" t="inlineStr">
        <is>
          <t>UMEÅ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29734-2020</t>
        </is>
      </c>
      <c r="B331" s="1" t="n">
        <v>44005</v>
      </c>
      <c r="C331" s="1" t="n">
        <v>45279</v>
      </c>
      <c r="D331" t="inlineStr">
        <is>
          <t>VÄSTERBOTTENS LÄN</t>
        </is>
      </c>
      <c r="E331" t="inlineStr">
        <is>
          <t>UMEÅ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30234-2020</t>
        </is>
      </c>
      <c r="B332" s="1" t="n">
        <v>44006</v>
      </c>
      <c r="C332" s="1" t="n">
        <v>45279</v>
      </c>
      <c r="D332" t="inlineStr">
        <is>
          <t>VÄSTERBOTTENS LÄN</t>
        </is>
      </c>
      <c r="E332" t="inlineStr">
        <is>
          <t>UMEÅ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30632-2020</t>
        </is>
      </c>
      <c r="B333" s="1" t="n">
        <v>44008</v>
      </c>
      <c r="C333" s="1" t="n">
        <v>45279</v>
      </c>
      <c r="D333" t="inlineStr">
        <is>
          <t>VÄSTERBOTTENS LÄN</t>
        </is>
      </c>
      <c r="E333" t="inlineStr">
        <is>
          <t>UMEÅ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30555-2020</t>
        </is>
      </c>
      <c r="B334" s="1" t="n">
        <v>44008</v>
      </c>
      <c r="C334" s="1" t="n">
        <v>45279</v>
      </c>
      <c r="D334" t="inlineStr">
        <is>
          <t>VÄSTERBOTTENS LÄN</t>
        </is>
      </c>
      <c r="E334" t="inlineStr">
        <is>
          <t>UMEÅ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30861-2020</t>
        </is>
      </c>
      <c r="B335" s="1" t="n">
        <v>44011</v>
      </c>
      <c r="C335" s="1" t="n">
        <v>45279</v>
      </c>
      <c r="D335" t="inlineStr">
        <is>
          <t>VÄSTERBOTTENS LÄN</t>
        </is>
      </c>
      <c r="E335" t="inlineStr">
        <is>
          <t>UMEÅ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31057-2020</t>
        </is>
      </c>
      <c r="B336" s="1" t="n">
        <v>44012</v>
      </c>
      <c r="C336" s="1" t="n">
        <v>45279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31237-2020</t>
        </is>
      </c>
      <c r="B337" s="1" t="n">
        <v>44012</v>
      </c>
      <c r="C337" s="1" t="n">
        <v>45279</v>
      </c>
      <c r="D337" t="inlineStr">
        <is>
          <t>VÄSTERBOTTENS LÄN</t>
        </is>
      </c>
      <c r="E337" t="inlineStr">
        <is>
          <t>UMEÅ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31467-2020</t>
        </is>
      </c>
      <c r="B338" s="1" t="n">
        <v>44013</v>
      </c>
      <c r="C338" s="1" t="n">
        <v>45279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32571-2020</t>
        </is>
      </c>
      <c r="B339" s="1" t="n">
        <v>44018</v>
      </c>
      <c r="C339" s="1" t="n">
        <v>45279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33021-2020</t>
        </is>
      </c>
      <c r="B340" s="1" t="n">
        <v>44019</v>
      </c>
      <c r="C340" s="1" t="n">
        <v>45279</v>
      </c>
      <c r="D340" t="inlineStr">
        <is>
          <t>VÄSTERBOTTENS LÄN</t>
        </is>
      </c>
      <c r="E340" t="inlineStr">
        <is>
          <t>UMEÅ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33574-2020</t>
        </is>
      </c>
      <c r="B341" s="1" t="n">
        <v>44021</v>
      </c>
      <c r="C341" s="1" t="n">
        <v>45279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35687-2020</t>
        </is>
      </c>
      <c r="B342" s="1" t="n">
        <v>44046</v>
      </c>
      <c r="C342" s="1" t="n">
        <v>45279</v>
      </c>
      <c r="D342" t="inlineStr">
        <is>
          <t>VÄSTERBOTTENS LÄN</t>
        </is>
      </c>
      <c r="E342" t="inlineStr">
        <is>
          <t>UMEÅ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36531-2020</t>
        </is>
      </c>
      <c r="B343" s="1" t="n">
        <v>44050</v>
      </c>
      <c r="C343" s="1" t="n">
        <v>45279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38075-2020</t>
        </is>
      </c>
      <c r="B344" s="1" t="n">
        <v>44057</v>
      </c>
      <c r="C344" s="1" t="n">
        <v>45279</v>
      </c>
      <c r="D344" t="inlineStr">
        <is>
          <t>VÄSTERBOTTENS LÄN</t>
        </is>
      </c>
      <c r="E344" t="inlineStr">
        <is>
          <t>UMEÅ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38073-2020</t>
        </is>
      </c>
      <c r="B345" s="1" t="n">
        <v>44057</v>
      </c>
      <c r="C345" s="1" t="n">
        <v>45279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39001-2020</t>
        </is>
      </c>
      <c r="B346" s="1" t="n">
        <v>44062</v>
      </c>
      <c r="C346" s="1" t="n">
        <v>45279</v>
      </c>
      <c r="D346" t="inlineStr">
        <is>
          <t>VÄSTERBOTTENS LÄN</t>
        </is>
      </c>
      <c r="E346" t="inlineStr">
        <is>
          <t>UMEÅ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40105-2020</t>
        </is>
      </c>
      <c r="B347" s="1" t="n">
        <v>44068</v>
      </c>
      <c r="C347" s="1" t="n">
        <v>45279</v>
      </c>
      <c r="D347" t="inlineStr">
        <is>
          <t>VÄSTERBOTTENS LÄN</t>
        </is>
      </c>
      <c r="E347" t="inlineStr">
        <is>
          <t>UMEÅ</t>
        </is>
      </c>
      <c r="F347" t="inlineStr">
        <is>
          <t>Övriga Aktiebolag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40419-2020</t>
        </is>
      </c>
      <c r="B348" s="1" t="n">
        <v>44069</v>
      </c>
      <c r="C348" s="1" t="n">
        <v>45279</v>
      </c>
      <c r="D348" t="inlineStr">
        <is>
          <t>VÄSTERBOTTENS LÄN</t>
        </is>
      </c>
      <c r="E348" t="inlineStr">
        <is>
          <t>UMEÅ</t>
        </is>
      </c>
      <c r="F348" t="inlineStr">
        <is>
          <t>Kommuner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41440-2020</t>
        </is>
      </c>
      <c r="B349" s="1" t="n">
        <v>44073</v>
      </c>
      <c r="C349" s="1" t="n">
        <v>45279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41696-2020</t>
        </is>
      </c>
      <c r="B350" s="1" t="n">
        <v>44074</v>
      </c>
      <c r="C350" s="1" t="n">
        <v>45279</v>
      </c>
      <c r="D350" t="inlineStr">
        <is>
          <t>VÄSTERBOTTENS LÄN</t>
        </is>
      </c>
      <c r="E350" t="inlineStr">
        <is>
          <t>UMEÅ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43607-2020</t>
        </is>
      </c>
      <c r="B351" s="1" t="n">
        <v>44078</v>
      </c>
      <c r="C351" s="1" t="n">
        <v>45279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44707-2020</t>
        </is>
      </c>
      <c r="B352" s="1" t="n">
        <v>44083</v>
      </c>
      <c r="C352" s="1" t="n">
        <v>45279</v>
      </c>
      <c r="D352" t="inlineStr">
        <is>
          <t>VÄSTERBOTTENS LÄN</t>
        </is>
      </c>
      <c r="E352" t="inlineStr">
        <is>
          <t>UMEÅ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44367-2020</t>
        </is>
      </c>
      <c r="B353" s="1" t="n">
        <v>44084</v>
      </c>
      <c r="C353" s="1" t="n">
        <v>45279</v>
      </c>
      <c r="D353" t="inlineStr">
        <is>
          <t>VÄSTERBOTTENS LÄN</t>
        </is>
      </c>
      <c r="E353" t="inlineStr">
        <is>
          <t>UMEÅ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46845-2020</t>
        </is>
      </c>
      <c r="B354" s="1" t="n">
        <v>44090</v>
      </c>
      <c r="C354" s="1" t="n">
        <v>45279</v>
      </c>
      <c r="D354" t="inlineStr">
        <is>
          <t>VÄSTERBOTTENS LÄN</t>
        </is>
      </c>
      <c r="E354" t="inlineStr">
        <is>
          <t>UMEÅ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46380-2020</t>
        </is>
      </c>
      <c r="B355" s="1" t="n">
        <v>44092</v>
      </c>
      <c r="C355" s="1" t="n">
        <v>45279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47641-2020</t>
        </is>
      </c>
      <c r="B356" s="1" t="n">
        <v>44095</v>
      </c>
      <c r="C356" s="1" t="n">
        <v>45279</v>
      </c>
      <c r="D356" t="inlineStr">
        <is>
          <t>VÄSTERBOTTENS LÄN</t>
        </is>
      </c>
      <c r="E356" t="inlineStr">
        <is>
          <t>UMEÅ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47580-2020</t>
        </is>
      </c>
      <c r="B357" s="1" t="n">
        <v>44095</v>
      </c>
      <c r="C357" s="1" t="n">
        <v>45279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48946-2020</t>
        </is>
      </c>
      <c r="B358" s="1" t="n">
        <v>44102</v>
      </c>
      <c r="C358" s="1" t="n">
        <v>45279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48948-2020</t>
        </is>
      </c>
      <c r="B359" s="1" t="n">
        <v>44102</v>
      </c>
      <c r="C359" s="1" t="n">
        <v>45279</v>
      </c>
      <c r="D359" t="inlineStr">
        <is>
          <t>VÄSTERBOTTENS LÄN</t>
        </is>
      </c>
      <c r="E359" t="inlineStr">
        <is>
          <t>UMEÅ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48906-2020</t>
        </is>
      </c>
      <c r="B360" s="1" t="n">
        <v>44104</v>
      </c>
      <c r="C360" s="1" t="n">
        <v>45279</v>
      </c>
      <c r="D360" t="inlineStr">
        <is>
          <t>VÄSTERBOTTENS LÄN</t>
        </is>
      </c>
      <c r="E360" t="inlineStr">
        <is>
          <t>UMEÅ</t>
        </is>
      </c>
      <c r="F360" t="inlineStr">
        <is>
          <t>Holmen skog AB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49356-2020</t>
        </is>
      </c>
      <c r="B361" s="1" t="n">
        <v>44105</v>
      </c>
      <c r="C361" s="1" t="n">
        <v>45279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50744-2020</t>
        </is>
      </c>
      <c r="B362" s="1" t="n">
        <v>44105</v>
      </c>
      <c r="C362" s="1" t="n">
        <v>45279</v>
      </c>
      <c r="D362" t="inlineStr">
        <is>
          <t>VÄSTERBOTTENS LÄN</t>
        </is>
      </c>
      <c r="E362" t="inlineStr">
        <is>
          <t>UMEÅ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50723-2020</t>
        </is>
      </c>
      <c r="B363" s="1" t="n">
        <v>44105</v>
      </c>
      <c r="C363" s="1" t="n">
        <v>45279</v>
      </c>
      <c r="D363" t="inlineStr">
        <is>
          <t>VÄSTERBOTTENS LÄN</t>
        </is>
      </c>
      <c r="E363" t="inlineStr">
        <is>
          <t>UMEÅ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51412-2020</t>
        </is>
      </c>
      <c r="B364" s="1" t="n">
        <v>44106</v>
      </c>
      <c r="C364" s="1" t="n">
        <v>45279</v>
      </c>
      <c r="D364" t="inlineStr">
        <is>
          <t>VÄSTERBOTTENS LÄN</t>
        </is>
      </c>
      <c r="E364" t="inlineStr">
        <is>
          <t>UMEÅ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50097-2020</t>
        </is>
      </c>
      <c r="B365" s="1" t="n">
        <v>44109</v>
      </c>
      <c r="C365" s="1" t="n">
        <v>45279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50323-2020</t>
        </is>
      </c>
      <c r="B366" s="1" t="n">
        <v>44110</v>
      </c>
      <c r="C366" s="1" t="n">
        <v>45279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52451-2020</t>
        </is>
      </c>
      <c r="B367" s="1" t="n">
        <v>44113</v>
      </c>
      <c r="C367" s="1" t="n">
        <v>45279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53294-2020</t>
        </is>
      </c>
      <c r="B368" s="1" t="n">
        <v>44123</v>
      </c>
      <c r="C368" s="1" t="n">
        <v>45279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53782-2020</t>
        </is>
      </c>
      <c r="B369" s="1" t="n">
        <v>44123</v>
      </c>
      <c r="C369" s="1" t="n">
        <v>45279</v>
      </c>
      <c r="D369" t="inlineStr">
        <is>
          <t>VÄSTERBOTTENS LÄN</t>
        </is>
      </c>
      <c r="E369" t="inlineStr">
        <is>
          <t>UMEÅ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53448-2020</t>
        </is>
      </c>
      <c r="B370" s="1" t="n">
        <v>44123</v>
      </c>
      <c r="C370" s="1" t="n">
        <v>45279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53836-2020</t>
        </is>
      </c>
      <c r="B371" s="1" t="n">
        <v>44124</v>
      </c>
      <c r="C371" s="1" t="n">
        <v>45279</v>
      </c>
      <c r="D371" t="inlineStr">
        <is>
          <t>VÄSTERBOTTENS LÄN</t>
        </is>
      </c>
      <c r="E371" t="inlineStr">
        <is>
          <t>UMEÅ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54436-2020</t>
        </is>
      </c>
      <c r="B372" s="1" t="n">
        <v>44124</v>
      </c>
      <c r="C372" s="1" t="n">
        <v>45279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55411-2020</t>
        </is>
      </c>
      <c r="B373" s="1" t="n">
        <v>44131</v>
      </c>
      <c r="C373" s="1" t="n">
        <v>45279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55773-2020</t>
        </is>
      </c>
      <c r="B374" s="1" t="n">
        <v>44132</v>
      </c>
      <c r="C374" s="1" t="n">
        <v>45279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56208-2020</t>
        </is>
      </c>
      <c r="B375" s="1" t="n">
        <v>44133</v>
      </c>
      <c r="C375" s="1" t="n">
        <v>45279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58213-2020</t>
        </is>
      </c>
      <c r="B376" s="1" t="n">
        <v>44140</v>
      </c>
      <c r="C376" s="1" t="n">
        <v>45279</v>
      </c>
      <c r="D376" t="inlineStr">
        <is>
          <t>VÄSTERBOTTENS LÄN</t>
        </is>
      </c>
      <c r="E376" t="inlineStr">
        <is>
          <t>UMEÅ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57786-2020</t>
        </is>
      </c>
      <c r="B377" s="1" t="n">
        <v>44141</v>
      </c>
      <c r="C377" s="1" t="n">
        <v>45279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57958-2020</t>
        </is>
      </c>
      <c r="B378" s="1" t="n">
        <v>44143</v>
      </c>
      <c r="C378" s="1" t="n">
        <v>45279</v>
      </c>
      <c r="D378" t="inlineStr">
        <is>
          <t>VÄSTERBOTTENS LÄN</t>
        </is>
      </c>
      <c r="E378" t="inlineStr">
        <is>
          <t>UMEÅ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58263-2020</t>
        </is>
      </c>
      <c r="B379" s="1" t="n">
        <v>44144</v>
      </c>
      <c r="C379" s="1" t="n">
        <v>45279</v>
      </c>
      <c r="D379" t="inlineStr">
        <is>
          <t>VÄSTERBOTTENS LÄN</t>
        </is>
      </c>
      <c r="E379" t="inlineStr">
        <is>
          <t>UMEÅ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58710-2020</t>
        </is>
      </c>
      <c r="B380" s="1" t="n">
        <v>44146</v>
      </c>
      <c r="C380" s="1" t="n">
        <v>45279</v>
      </c>
      <c r="D380" t="inlineStr">
        <is>
          <t>VÄSTERBOTTENS LÄN</t>
        </is>
      </c>
      <c r="E380" t="inlineStr">
        <is>
          <t>UMEÅ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58913-2020</t>
        </is>
      </c>
      <c r="B381" s="1" t="n">
        <v>44146</v>
      </c>
      <c r="C381" s="1" t="n">
        <v>45279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58916-2020</t>
        </is>
      </c>
      <c r="B382" s="1" t="n">
        <v>44146</v>
      </c>
      <c r="C382" s="1" t="n">
        <v>45279</v>
      </c>
      <c r="D382" t="inlineStr">
        <is>
          <t>VÄSTERBOTTENS LÄN</t>
        </is>
      </c>
      <c r="E382" t="inlineStr">
        <is>
          <t>UMEÅ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59196-2020</t>
        </is>
      </c>
      <c r="B383" s="1" t="n">
        <v>44147</v>
      </c>
      <c r="C383" s="1" t="n">
        <v>45279</v>
      </c>
      <c r="D383" t="inlineStr">
        <is>
          <t>VÄSTERBOTTENS LÄN</t>
        </is>
      </c>
      <c r="E383" t="inlineStr">
        <is>
          <t>UMEÅ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59386-2020</t>
        </is>
      </c>
      <c r="B384" s="1" t="n">
        <v>44148</v>
      </c>
      <c r="C384" s="1" t="n">
        <v>45279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60157-2020</t>
        </is>
      </c>
      <c r="B385" s="1" t="n">
        <v>44151</v>
      </c>
      <c r="C385" s="1" t="n">
        <v>45279</v>
      </c>
      <c r="D385" t="inlineStr">
        <is>
          <t>VÄSTERBOTTENS LÄN</t>
        </is>
      </c>
      <c r="E385" t="inlineStr">
        <is>
          <t>UMEÅ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61241-2020</t>
        </is>
      </c>
      <c r="B386" s="1" t="n">
        <v>44153</v>
      </c>
      <c r="C386" s="1" t="n">
        <v>45279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61351-2020</t>
        </is>
      </c>
      <c r="B387" s="1" t="n">
        <v>44155</v>
      </c>
      <c r="C387" s="1" t="n">
        <v>45279</v>
      </c>
      <c r="D387" t="inlineStr">
        <is>
          <t>VÄSTERBOTTENS LÄN</t>
        </is>
      </c>
      <c r="E387" t="inlineStr">
        <is>
          <t>UMEÅ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61451-2020</t>
        </is>
      </c>
      <c r="B388" s="1" t="n">
        <v>44158</v>
      </c>
      <c r="C388" s="1" t="n">
        <v>45279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61450-2020</t>
        </is>
      </c>
      <c r="B389" s="1" t="n">
        <v>44158</v>
      </c>
      <c r="C389" s="1" t="n">
        <v>45279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61918-2020</t>
        </is>
      </c>
      <c r="B390" s="1" t="n">
        <v>44158</v>
      </c>
      <c r="C390" s="1" t="n">
        <v>45279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62332-2020</t>
        </is>
      </c>
      <c r="B391" s="1" t="n">
        <v>44158</v>
      </c>
      <c r="C391" s="1" t="n">
        <v>45279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62937-2020</t>
        </is>
      </c>
      <c r="B392" s="1" t="n">
        <v>44160</v>
      </c>
      <c r="C392" s="1" t="n">
        <v>45279</v>
      </c>
      <c r="D392" t="inlineStr">
        <is>
          <t>VÄSTERBOTTENS LÄN</t>
        </is>
      </c>
      <c r="E392" t="inlineStr">
        <is>
          <t>UMEÅ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62581-2020</t>
        </is>
      </c>
      <c r="B393" s="1" t="n">
        <v>44160</v>
      </c>
      <c r="C393" s="1" t="n">
        <v>45279</v>
      </c>
      <c r="D393" t="inlineStr">
        <is>
          <t>VÄSTERBOTTENS LÄN</t>
        </is>
      </c>
      <c r="E393" t="inlineStr">
        <is>
          <t>UMEÅ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62955-2020</t>
        </is>
      </c>
      <c r="B394" s="1" t="n">
        <v>44162</v>
      </c>
      <c r="C394" s="1" t="n">
        <v>45279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63377-2020</t>
        </is>
      </c>
      <c r="B395" s="1" t="n">
        <v>44165</v>
      </c>
      <c r="C395" s="1" t="n">
        <v>45279</v>
      </c>
      <c r="D395" t="inlineStr">
        <is>
          <t>VÄSTERBOTTENS LÄN</t>
        </is>
      </c>
      <c r="E395" t="inlineStr">
        <is>
          <t>UMEÅ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67444-2020</t>
        </is>
      </c>
      <c r="B396" s="1" t="n">
        <v>44179</v>
      </c>
      <c r="C396" s="1" t="n">
        <v>45279</v>
      </c>
      <c r="D396" t="inlineStr">
        <is>
          <t>VÄSTERBOTTENS LÄN</t>
        </is>
      </c>
      <c r="E396" t="inlineStr">
        <is>
          <t>UMEÅ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67007-2020</t>
        </is>
      </c>
      <c r="B397" s="1" t="n">
        <v>44180</v>
      </c>
      <c r="C397" s="1" t="n">
        <v>45279</v>
      </c>
      <c r="D397" t="inlineStr">
        <is>
          <t>VÄSTERBOTTENS LÄN</t>
        </is>
      </c>
      <c r="E397" t="inlineStr">
        <is>
          <t>UMEÅ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67854-2020</t>
        </is>
      </c>
      <c r="B398" s="1" t="n">
        <v>44182</v>
      </c>
      <c r="C398" s="1" t="n">
        <v>45279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352-2021</t>
        </is>
      </c>
      <c r="B399" s="1" t="n">
        <v>44186</v>
      </c>
      <c r="C399" s="1" t="n">
        <v>45279</v>
      </c>
      <c r="D399" t="inlineStr">
        <is>
          <t>VÄSTERBOTTENS LÄN</t>
        </is>
      </c>
      <c r="E399" t="inlineStr">
        <is>
          <t>UMEÅ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68705-2020</t>
        </is>
      </c>
      <c r="B400" s="1" t="n">
        <v>44186</v>
      </c>
      <c r="C400" s="1" t="n">
        <v>45279</v>
      </c>
      <c r="D400" t="inlineStr">
        <is>
          <t>VÄSTERBOTTENS LÄN</t>
        </is>
      </c>
      <c r="E400" t="inlineStr">
        <is>
          <t>UMEÅ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68823-2020</t>
        </is>
      </c>
      <c r="B401" s="1" t="n">
        <v>44186</v>
      </c>
      <c r="C401" s="1" t="n">
        <v>45279</v>
      </c>
      <c r="D401" t="inlineStr">
        <is>
          <t>VÄSTERBOTTENS LÄN</t>
        </is>
      </c>
      <c r="E401" t="inlineStr">
        <is>
          <t>UMEÅ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338-2021</t>
        </is>
      </c>
      <c r="B402" s="1" t="n">
        <v>44186</v>
      </c>
      <c r="C402" s="1" t="n">
        <v>45279</v>
      </c>
      <c r="D402" t="inlineStr">
        <is>
          <t>VÄSTERBOTTENS LÄN</t>
        </is>
      </c>
      <c r="E402" t="inlineStr">
        <is>
          <t>UMEÅ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68662-2020</t>
        </is>
      </c>
      <c r="B403" s="1" t="n">
        <v>44187</v>
      </c>
      <c r="C403" s="1" t="n">
        <v>45279</v>
      </c>
      <c r="D403" t="inlineStr">
        <is>
          <t>VÄSTERBOTTENS LÄN</t>
        </is>
      </c>
      <c r="E403" t="inlineStr">
        <is>
          <t>UMEÅ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69596-2020</t>
        </is>
      </c>
      <c r="B404" s="1" t="n">
        <v>44194</v>
      </c>
      <c r="C404" s="1" t="n">
        <v>45279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2505-2021</t>
        </is>
      </c>
      <c r="B405" s="1" t="n">
        <v>44214</v>
      </c>
      <c r="C405" s="1" t="n">
        <v>45279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2947-2021</t>
        </is>
      </c>
      <c r="B406" s="1" t="n">
        <v>44214</v>
      </c>
      <c r="C406" s="1" t="n">
        <v>45279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2789-2021</t>
        </is>
      </c>
      <c r="B407" s="1" t="n">
        <v>44214</v>
      </c>
      <c r="C407" s="1" t="n">
        <v>45279</v>
      </c>
      <c r="D407" t="inlineStr">
        <is>
          <t>VÄSTERBOTTENS LÄN</t>
        </is>
      </c>
      <c r="E407" t="inlineStr">
        <is>
          <t>UMEÅ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2943-2021</t>
        </is>
      </c>
      <c r="B408" s="1" t="n">
        <v>44214</v>
      </c>
      <c r="C408" s="1" t="n">
        <v>45279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3914-2021</t>
        </is>
      </c>
      <c r="B409" s="1" t="n">
        <v>44217</v>
      </c>
      <c r="C409" s="1" t="n">
        <v>45279</v>
      </c>
      <c r="D409" t="inlineStr">
        <is>
          <t>VÄSTERBOTTENS LÄN</t>
        </is>
      </c>
      <c r="E409" t="inlineStr">
        <is>
          <t>UMEÅ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3748-2021</t>
        </is>
      </c>
      <c r="B410" s="1" t="n">
        <v>44221</v>
      </c>
      <c r="C410" s="1" t="n">
        <v>45279</v>
      </c>
      <c r="D410" t="inlineStr">
        <is>
          <t>VÄSTERBOTTENS LÄN</t>
        </is>
      </c>
      <c r="E410" t="inlineStr">
        <is>
          <t>UMEÅ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4478-2021</t>
        </is>
      </c>
      <c r="B411" s="1" t="n">
        <v>44222</v>
      </c>
      <c r="C411" s="1" t="n">
        <v>45279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4473-2021</t>
        </is>
      </c>
      <c r="B412" s="1" t="n">
        <v>44222</v>
      </c>
      <c r="C412" s="1" t="n">
        <v>45279</v>
      </c>
      <c r="D412" t="inlineStr">
        <is>
          <t>VÄSTERBOTTENS LÄN</t>
        </is>
      </c>
      <c r="E412" t="inlineStr">
        <is>
          <t>UMEÅ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4449-2021</t>
        </is>
      </c>
      <c r="B413" s="1" t="n">
        <v>44224</v>
      </c>
      <c r="C413" s="1" t="n">
        <v>45279</v>
      </c>
      <c r="D413" t="inlineStr">
        <is>
          <t>VÄSTERBOTTENS LÄN</t>
        </is>
      </c>
      <c r="E413" t="inlineStr">
        <is>
          <t>UMEÅ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6174-2021</t>
        </is>
      </c>
      <c r="B414" s="1" t="n">
        <v>44232</v>
      </c>
      <c r="C414" s="1" t="n">
        <v>45279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6116-2021</t>
        </is>
      </c>
      <c r="B415" s="1" t="n">
        <v>44232</v>
      </c>
      <c r="C415" s="1" t="n">
        <v>45279</v>
      </c>
      <c r="D415" t="inlineStr">
        <is>
          <t>VÄSTERBOTTENS LÄN</t>
        </is>
      </c>
      <c r="E415" t="inlineStr">
        <is>
          <t>UMEÅ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8800-2021</t>
        </is>
      </c>
      <c r="B416" s="1" t="n">
        <v>44246</v>
      </c>
      <c r="C416" s="1" t="n">
        <v>45279</v>
      </c>
      <c r="D416" t="inlineStr">
        <is>
          <t>VÄSTERBOTTENS LÄN</t>
        </is>
      </c>
      <c r="E416" t="inlineStr">
        <is>
          <t>UMEÅ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9308-2021</t>
        </is>
      </c>
      <c r="B417" s="1" t="n">
        <v>44249</v>
      </c>
      <c r="C417" s="1" t="n">
        <v>45279</v>
      </c>
      <c r="D417" t="inlineStr">
        <is>
          <t>VÄSTERBOTTENS LÄN</t>
        </is>
      </c>
      <c r="E417" t="inlineStr">
        <is>
          <t>UMEÅ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9170-2021</t>
        </is>
      </c>
      <c r="B418" s="1" t="n">
        <v>44249</v>
      </c>
      <c r="C418" s="1" t="n">
        <v>45279</v>
      </c>
      <c r="D418" t="inlineStr">
        <is>
          <t>VÄSTERBOTTENS LÄN</t>
        </is>
      </c>
      <c r="E418" t="inlineStr">
        <is>
          <t>UMEÅ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9169-2021</t>
        </is>
      </c>
      <c r="B419" s="1" t="n">
        <v>44249</v>
      </c>
      <c r="C419" s="1" t="n">
        <v>45279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9780-2021</t>
        </is>
      </c>
      <c r="B420" s="1" t="n">
        <v>44251</v>
      </c>
      <c r="C420" s="1" t="n">
        <v>45279</v>
      </c>
      <c r="D420" t="inlineStr">
        <is>
          <t>VÄSTERBOTTENS LÄN</t>
        </is>
      </c>
      <c r="E420" t="inlineStr">
        <is>
          <t>UMEÅ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10445-2021</t>
        </is>
      </c>
      <c r="B421" s="1" t="n">
        <v>44257</v>
      </c>
      <c r="C421" s="1" t="n">
        <v>45279</v>
      </c>
      <c r="D421" t="inlineStr">
        <is>
          <t>VÄSTERBOTTENS LÄN</t>
        </is>
      </c>
      <c r="E421" t="inlineStr">
        <is>
          <t>UMEÅ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13745-2021</t>
        </is>
      </c>
      <c r="B422" s="1" t="n">
        <v>44274</v>
      </c>
      <c r="C422" s="1" t="n">
        <v>45279</v>
      </c>
      <c r="D422" t="inlineStr">
        <is>
          <t>VÄSTERBOTTENS LÄN</t>
        </is>
      </c>
      <c r="E422" t="inlineStr">
        <is>
          <t>UMEÅ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14619-2021</t>
        </is>
      </c>
      <c r="B423" s="1" t="n">
        <v>44280</v>
      </c>
      <c r="C423" s="1" t="n">
        <v>45279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16045-2021</t>
        </is>
      </c>
      <c r="B424" s="1" t="n">
        <v>44287</v>
      </c>
      <c r="C424" s="1" t="n">
        <v>45279</v>
      </c>
      <c r="D424" t="inlineStr">
        <is>
          <t>VÄSTERBOTTENS LÄN</t>
        </is>
      </c>
      <c r="E424" t="inlineStr">
        <is>
          <t>UMEÅ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16410-2021</t>
        </is>
      </c>
      <c r="B425" s="1" t="n">
        <v>44293</v>
      </c>
      <c r="C425" s="1" t="n">
        <v>45279</v>
      </c>
      <c r="D425" t="inlineStr">
        <is>
          <t>VÄSTERBOTTENS LÄN</t>
        </is>
      </c>
      <c r="E425" t="inlineStr">
        <is>
          <t>UMEÅ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16909-2021</t>
        </is>
      </c>
      <c r="B426" s="1" t="n">
        <v>44294</v>
      </c>
      <c r="C426" s="1" t="n">
        <v>45279</v>
      </c>
      <c r="D426" t="inlineStr">
        <is>
          <t>VÄSTERBOTTENS LÄN</t>
        </is>
      </c>
      <c r="E426" t="inlineStr">
        <is>
          <t>UMEÅ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17438-2021</t>
        </is>
      </c>
      <c r="B427" s="1" t="n">
        <v>44299</v>
      </c>
      <c r="C427" s="1" t="n">
        <v>45279</v>
      </c>
      <c r="D427" t="inlineStr">
        <is>
          <t>VÄSTERBOTTENS LÄN</t>
        </is>
      </c>
      <c r="E427" t="inlineStr">
        <is>
          <t>UMEÅ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45279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45279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45279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45279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45279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45279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45279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45279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45279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45279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45279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45279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45279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45279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45279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45279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45279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45279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45279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45279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45279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45279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45279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45279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45279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45279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45279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45279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45279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45279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45279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45279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45279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45279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45279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45279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45279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45279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45279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45279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45279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45279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45279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45279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45279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45279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45279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45279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45279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45279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45279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45279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45279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45279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45279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45279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45279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45279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45279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45279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45279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45279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45279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45279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45279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45279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45279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45279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45279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45279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45279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45279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45279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45279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45279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45279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45279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45279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45279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45279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45279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45279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45279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45279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45279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45279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45279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45279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45279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45279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45279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45279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45279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45279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45279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45279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45279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45279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45279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45279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45279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45279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45279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45279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45279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45279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45279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45279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45279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45279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45279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45279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45279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45279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45279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45279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45279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45279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45279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45279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45279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45279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45279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45279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45279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45279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45279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45279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45279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45279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45279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45279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45279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45279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45279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45279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45279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45279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45279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45279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45279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45279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45279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45279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45279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45279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45279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45279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45279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45279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45279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45279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45279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45279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45279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45279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45279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45279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45279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45279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45279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45279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45279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45279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45279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45279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45279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45279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45279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45279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45279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45279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45279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45279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45279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45279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45279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45279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45279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45279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45279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45279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45279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45279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45279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45279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45279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45279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45279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45279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45279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45279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45279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45279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45279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45279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45279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45279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45279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45279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45279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45279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45279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45279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45279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45279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45279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45279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45279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45279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45279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45279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45279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45279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45279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45279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45279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45279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45279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45279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45279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45279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45279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45279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45279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45279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45279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45279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45279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45279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45279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45279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45279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45279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45279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45279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45279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45279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45279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45279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45279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45279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45279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45279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45279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45279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45279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45279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45279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45279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45279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45279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45279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45279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45279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45279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45279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45279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45279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45279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45279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45279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45279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45279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45279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45279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45279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45279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45279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45279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45279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45279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45279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45279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45279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45279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45279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45279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45279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45279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45279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45279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45279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45279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45279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45279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45279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45279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45279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45279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45279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45279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45279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45279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45279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45279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45279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45279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45279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45279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45279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45279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45279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45279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45279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45279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45279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45279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45279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45279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45279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45279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45279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45279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45279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45279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45279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45279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45279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45279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45279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45279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45279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45279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45279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45279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45279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45279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45279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45279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45279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45279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45279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45279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45279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45279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45279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45279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45279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45279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45279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45279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45279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45279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45279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45279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45279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45279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45279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45279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45279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45279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45279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45279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45279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45279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45279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45279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45279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45279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45279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45279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45279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45279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45279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45279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45279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45279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45279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45279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45279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45279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45279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45279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45279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45279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45279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45279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45279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45279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45279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45279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45279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45279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45279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45279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45279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45279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45279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45279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45279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45279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45279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45279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45279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45279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45279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45279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45279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45279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45279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45279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45279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45279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45279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45279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45279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45279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45279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45279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45279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45279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45279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45279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45279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45279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45279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45279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45279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45279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45279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45279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45279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45279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45279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45279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45279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45279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45279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45279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45279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45279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45279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45279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45279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45279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45279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45279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45279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45279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45279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45279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45279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45279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45279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45279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45279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45279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45279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45279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45279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45279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45279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45279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45279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45279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45279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45279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45279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45279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45279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45279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45279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45279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45279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45279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45279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45279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45279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45279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45279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45279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45279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45279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45279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45279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45279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45279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45279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45279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45279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45279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45279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45279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45279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45279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45279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45279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45279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45279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45279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45279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45279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45279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45279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45279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45279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45279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45279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45279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45279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45279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45279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45279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45279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45279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45279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45279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45279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45279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45279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45279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45279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45279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45279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45279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45279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45279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45279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45279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45279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45279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45279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45279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45279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45279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45279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45279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45279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45279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45279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45279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45279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45279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45279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45279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45279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45279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45279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45279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45279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45279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45279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45279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45279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45279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45279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45279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45279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45279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45279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45279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45279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45279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45279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45279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45279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45279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45279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45279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45279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45279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45279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45279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45279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45279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45279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45279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45279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45279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45279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45279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45279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45279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45279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45279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45279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45279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45279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45279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45279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45279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45279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45279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45279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45279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45279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45279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45279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45279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45279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45279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45279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45279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45279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45279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45279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45279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45279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45279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45279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45279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45279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45279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45279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45279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45279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45279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45279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45279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45279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45279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45279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45279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45279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45279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45279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45279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45279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45279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45279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58256-2023</t>
        </is>
      </c>
      <c r="B1049" s="1" t="n">
        <v>45250</v>
      </c>
      <c r="C1049" s="1" t="n">
        <v>45279</v>
      </c>
      <c r="D1049" t="inlineStr">
        <is>
          <t>VÄSTERBOTTENS LÄN</t>
        </is>
      </c>
      <c r="E1049" t="inlineStr">
        <is>
          <t>UMEÅ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58245-2023</t>
        </is>
      </c>
      <c r="B1050" s="1" t="n">
        <v>45250</v>
      </c>
      <c r="C1050" s="1" t="n">
        <v>45279</v>
      </c>
      <c r="D1050" t="inlineStr">
        <is>
          <t>VÄSTERBOTTENS LÄN</t>
        </is>
      </c>
      <c r="E1050" t="inlineStr">
        <is>
          <t>UMEÅ</t>
        </is>
      </c>
      <c r="G1050" t="n">
        <v>8.5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58262-2023</t>
        </is>
      </c>
      <c r="B1051" s="1" t="n">
        <v>45250</v>
      </c>
      <c r="C1051" s="1" t="n">
        <v>45279</v>
      </c>
      <c r="D1051" t="inlineStr">
        <is>
          <t>VÄSTERBOTTENS LÄN</t>
        </is>
      </c>
      <c r="E1051" t="inlineStr">
        <is>
          <t>UMEÅ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59157-2023</t>
        </is>
      </c>
      <c r="B1052" s="1" t="n">
        <v>45251</v>
      </c>
      <c r="C1052" s="1" t="n">
        <v>45279</v>
      </c>
      <c r="D1052" t="inlineStr">
        <is>
          <t>VÄSTERBOTTENS LÄN</t>
        </is>
      </c>
      <c r="E1052" t="inlineStr">
        <is>
          <t>UMEÅ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59152-2023</t>
        </is>
      </c>
      <c r="B1053" s="1" t="n">
        <v>45251</v>
      </c>
      <c r="C1053" s="1" t="n">
        <v>45279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45279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59289-2023</t>
        </is>
      </c>
      <c r="B1055" s="1" t="n">
        <v>45252</v>
      </c>
      <c r="C1055" s="1" t="n">
        <v>45279</v>
      </c>
      <c r="D1055" t="inlineStr">
        <is>
          <t>VÄSTERBOTTENS LÄN</t>
        </is>
      </c>
      <c r="E1055" t="inlineStr">
        <is>
          <t>UMEÅ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45279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59343-2023</t>
        </is>
      </c>
      <c r="B1057" s="1" t="n">
        <v>45253</v>
      </c>
      <c r="C1057" s="1" t="n">
        <v>45279</v>
      </c>
      <c r="D1057" t="inlineStr">
        <is>
          <t>VÄSTERBOTTENS LÄN</t>
        </is>
      </c>
      <c r="E1057" t="inlineStr">
        <is>
          <t>UMEÅ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59818-2023</t>
        </is>
      </c>
      <c r="B1058" s="1" t="n">
        <v>45257</v>
      </c>
      <c r="C1058" s="1" t="n">
        <v>45279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59963-2023</t>
        </is>
      </c>
      <c r="B1059" s="1" t="n">
        <v>45257</v>
      </c>
      <c r="C1059" s="1" t="n">
        <v>45279</v>
      </c>
      <c r="D1059" t="inlineStr">
        <is>
          <t>VÄSTERBOTTENS LÄN</t>
        </is>
      </c>
      <c r="E1059" t="inlineStr">
        <is>
          <t>UMEÅ</t>
        </is>
      </c>
      <c r="G1059" t="n">
        <v>25.3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60645-2023</t>
        </is>
      </c>
      <c r="B1060" s="1" t="n">
        <v>45260</v>
      </c>
      <c r="C1060" s="1" t="n">
        <v>45279</v>
      </c>
      <c r="D1060" t="inlineStr">
        <is>
          <t>VÄSTERBOTTENS LÄN</t>
        </is>
      </c>
      <c r="E1060" t="inlineStr">
        <is>
          <t>UMEÅ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61204-2023</t>
        </is>
      </c>
      <c r="B1061" s="1" t="n">
        <v>45260</v>
      </c>
      <c r="C1061" s="1" t="n">
        <v>45279</v>
      </c>
      <c r="D1061" t="inlineStr">
        <is>
          <t>VÄSTERBOTTENS LÄN</t>
        </is>
      </c>
      <c r="E1061" t="inlineStr">
        <is>
          <t>UMEÅ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61275-2023</t>
        </is>
      </c>
      <c r="B1062" s="1" t="n">
        <v>45260</v>
      </c>
      <c r="C1062" s="1" t="n">
        <v>45279</v>
      </c>
      <c r="D1062" t="inlineStr">
        <is>
          <t>VÄSTERBOTTENS LÄN</t>
        </is>
      </c>
      <c r="E1062" t="inlineStr">
        <is>
          <t>UMEÅ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61280-2023</t>
        </is>
      </c>
      <c r="B1063" s="1" t="n">
        <v>45260</v>
      </c>
      <c r="C1063" s="1" t="n">
        <v>45279</v>
      </c>
      <c r="D1063" t="inlineStr">
        <is>
          <t>VÄSTERBOTTENS LÄN</t>
        </is>
      </c>
      <c r="E1063" t="inlineStr">
        <is>
          <t>UMEÅ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61101-2023</t>
        </is>
      </c>
      <c r="B1064" s="1" t="n">
        <v>45261</v>
      </c>
      <c r="C1064" s="1" t="n">
        <v>45279</v>
      </c>
      <c r="D1064" t="inlineStr">
        <is>
          <t>VÄSTERBOTTENS LÄN</t>
        </is>
      </c>
      <c r="E1064" t="inlineStr">
        <is>
          <t>UMEÅ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61563-2023</t>
        </is>
      </c>
      <c r="B1065" s="1" t="n">
        <v>45261</v>
      </c>
      <c r="C1065" s="1" t="n">
        <v>45279</v>
      </c>
      <c r="D1065" t="inlineStr">
        <is>
          <t>VÄSTERBOTTENS LÄN</t>
        </is>
      </c>
      <c r="E1065" t="inlineStr">
        <is>
          <t>UMEÅ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61105-2023</t>
        </is>
      </c>
      <c r="B1066" s="1" t="n">
        <v>45261</v>
      </c>
      <c r="C1066" s="1" t="n">
        <v>45279</v>
      </c>
      <c r="D1066" t="inlineStr">
        <is>
          <t>VÄSTERBOTTENS LÄN</t>
        </is>
      </c>
      <c r="E1066" t="inlineStr">
        <is>
          <t>UMEÅ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60959-2023</t>
        </is>
      </c>
      <c r="B1067" s="1" t="n">
        <v>45261</v>
      </c>
      <c r="C1067" s="1" t="n">
        <v>45279</v>
      </c>
      <c r="D1067" t="inlineStr">
        <is>
          <t>VÄSTERBOTTENS LÄN</t>
        </is>
      </c>
      <c r="E1067" t="inlineStr">
        <is>
          <t>UMEÅ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61749-2023</t>
        </is>
      </c>
      <c r="B1068" s="1" t="n">
        <v>45264</v>
      </c>
      <c r="C1068" s="1" t="n">
        <v>45279</v>
      </c>
      <c r="D1068" t="inlineStr">
        <is>
          <t>VÄSTERBOTTENS LÄN</t>
        </is>
      </c>
      <c r="E1068" t="inlineStr">
        <is>
          <t>UMEÅ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61703-2023</t>
        </is>
      </c>
      <c r="B1069" s="1" t="n">
        <v>45264</v>
      </c>
      <c r="C1069" s="1" t="n">
        <v>45279</v>
      </c>
      <c r="D1069" t="inlineStr">
        <is>
          <t>VÄSTERBOTTENS LÄN</t>
        </is>
      </c>
      <c r="E1069" t="inlineStr">
        <is>
          <t>UMEÅ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62538-2023</t>
        </is>
      </c>
      <c r="B1070" s="1" t="n">
        <v>45267</v>
      </c>
      <c r="C1070" s="1" t="n">
        <v>45279</v>
      </c>
      <c r="D1070" t="inlineStr">
        <is>
          <t>VÄSTERBOTTENS LÄN</t>
        </is>
      </c>
      <c r="E1070" t="inlineStr">
        <is>
          <t>UMEÅ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62520-2023</t>
        </is>
      </c>
      <c r="B1071" s="1" t="n">
        <v>45268</v>
      </c>
      <c r="C1071" s="1" t="n">
        <v>45279</v>
      </c>
      <c r="D1071" t="inlineStr">
        <is>
          <t>VÄSTERBOTTENS LÄN</t>
        </is>
      </c>
      <c r="E1071" t="inlineStr">
        <is>
          <t>UMEÅ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62721-2023</t>
        </is>
      </c>
      <c r="B1072" s="1" t="n">
        <v>45271</v>
      </c>
      <c r="C1072" s="1" t="n">
        <v>45279</v>
      </c>
      <c r="D1072" t="inlineStr">
        <is>
          <t>VÄSTERBOTTENS LÄN</t>
        </is>
      </c>
      <c r="E1072" t="inlineStr">
        <is>
          <t>UMEÅ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62726-2023</t>
        </is>
      </c>
      <c r="B1073" s="1" t="n">
        <v>45271</v>
      </c>
      <c r="C1073" s="1" t="n">
        <v>45279</v>
      </c>
      <c r="D1073" t="inlineStr">
        <is>
          <t>VÄSTERBOTTENS LÄN</t>
        </is>
      </c>
      <c r="E1073" t="inlineStr">
        <is>
          <t>UMEÅ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63188-2023</t>
        </is>
      </c>
      <c r="B1074" s="1" t="n">
        <v>45272</v>
      </c>
      <c r="C1074" s="1" t="n">
        <v>45279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63135-2023</t>
        </is>
      </c>
      <c r="B1075" s="1" t="n">
        <v>45273</v>
      </c>
      <c r="C1075" s="1" t="n">
        <v>45279</v>
      </c>
      <c r="D1075" t="inlineStr">
        <is>
          <t>VÄSTERBOTTENS LÄN</t>
        </is>
      </c>
      <c r="E1075" t="inlineStr">
        <is>
          <t>UMEÅ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63136-2023</t>
        </is>
      </c>
      <c r="B1076" s="1" t="n">
        <v>45273</v>
      </c>
      <c r="C1076" s="1" t="n">
        <v>45279</v>
      </c>
      <c r="D1076" t="inlineStr">
        <is>
          <t>VÄSTERBOTTENS LÄN</t>
        </is>
      </c>
      <c r="E1076" t="inlineStr">
        <is>
          <t>UMEÅ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63151-2023</t>
        </is>
      </c>
      <c r="B1077" s="1" t="n">
        <v>45273</v>
      </c>
      <c r="C1077" s="1" t="n">
        <v>45279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63787-2023</t>
        </is>
      </c>
      <c r="B1078" s="1" t="n">
        <v>45275</v>
      </c>
      <c r="C1078" s="1" t="n">
        <v>45279</v>
      </c>
      <c r="D1078" t="inlineStr">
        <is>
          <t>VÄSTERBOTTENS LÄN</t>
        </is>
      </c>
      <c r="E1078" t="inlineStr">
        <is>
          <t>UMEÅ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63810-2023</t>
        </is>
      </c>
      <c r="B1079" s="1" t="n">
        <v>45275</v>
      </c>
      <c r="C1079" s="1" t="n">
        <v>45279</v>
      </c>
      <c r="D1079" t="inlineStr">
        <is>
          <t>VÄSTERBOTTENS LÄN</t>
        </is>
      </c>
      <c r="E1079" t="inlineStr">
        <is>
          <t>UMEÅ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63809-2023</t>
        </is>
      </c>
      <c r="B1080" s="1" t="n">
        <v>45278</v>
      </c>
      <c r="C1080" s="1" t="n">
        <v>45279</v>
      </c>
      <c r="D1080" t="inlineStr">
        <is>
          <t>VÄSTERBOTTENS LÄN</t>
        </is>
      </c>
      <c r="E1080" t="inlineStr">
        <is>
          <t>UMEÅ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2023-12-19T10:01:40Z</dcterms:created>
  <dcterms:modified xmlns:dcterms="http://purl.org/dc/terms/" xmlns:xsi="http://www.w3.org/2001/XMLSchema-instance" xsi:type="dcterms:W3CDTF">2023-12-19T10:01:41Z</dcterms:modified>
</cp:coreProperties>
</file>