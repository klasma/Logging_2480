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45733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45733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45733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45733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45733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45733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45733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45733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45733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45733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45733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45733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45733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45733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45733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45733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45733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45733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45733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45733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45733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45733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45733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45733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45733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45733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45733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45733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45733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45733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45733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45733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45733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45733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45733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45733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45733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45733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45733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45733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45733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45733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45733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45733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45733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45733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45733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45733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45733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45733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45733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45733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45733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45733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45733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45733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45733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45733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45733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45733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45733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45733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45733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45733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45733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45733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45733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45733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45733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45733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45733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45733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45733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45733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45733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45733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45733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45733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45733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45733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11797-2025</t>
        </is>
      </c>
      <c r="B82" s="1" t="n">
        <v>45727</v>
      </c>
      <c r="C82" s="1" t="n">
        <v>45733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6.2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Ullticka
Vedticka</t>
        </is>
      </c>
      <c r="S82">
        <f>HYPERLINK("https://klasma.github.io/Logging_2480/artfynd/A 11797-2025 artfynd.xlsx", "A 11797-2025")</f>
        <v/>
      </c>
      <c r="T82">
        <f>HYPERLINK("https://klasma.github.io/Logging_2480/kartor/A 11797-2025 karta.png", "A 11797-2025")</f>
        <v/>
      </c>
      <c r="V82">
        <f>HYPERLINK("https://klasma.github.io/Logging_2480/klagomål/A 11797-2025 FSC-klagomål.docx", "A 11797-2025")</f>
        <v/>
      </c>
      <c r="W82">
        <f>HYPERLINK("https://klasma.github.io/Logging_2480/klagomålsmail/A 11797-2025 FSC-klagomål mail.docx", "A 11797-2025")</f>
        <v/>
      </c>
      <c r="X82">
        <f>HYPERLINK("https://klasma.github.io/Logging_2480/tillsyn/A 11797-2025 tillsynsbegäran.docx", "A 11797-2025")</f>
        <v/>
      </c>
      <c r="Y82">
        <f>HYPERLINK("https://klasma.github.io/Logging_2480/tillsynsmail/A 11797-2025 tillsynsbegäran mail.docx", "A 11797-2025")</f>
        <v/>
      </c>
    </row>
    <row r="83" ht="15" customHeight="1">
      <c r="A83" t="inlineStr">
        <is>
          <t>A 66455-2019</t>
        </is>
      </c>
      <c r="B83" s="1" t="n">
        <v>43802</v>
      </c>
      <c r="C83" s="1" t="n">
        <v>45733</v>
      </c>
      <c r="D83" t="inlineStr">
        <is>
          <t>VÄSTERBOTTENS LÄN</t>
        </is>
      </c>
      <c r="E83" t="inlineStr">
        <is>
          <t>UMEÅ</t>
        </is>
      </c>
      <c r="G83" t="n">
        <v>0.9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Spillkråka</t>
        </is>
      </c>
      <c r="S83">
        <f>HYPERLINK("https://klasma.github.io/Logging_2480/artfynd/A 66455-2019 artfynd.xlsx", "A 66455-2019")</f>
        <v/>
      </c>
      <c r="T83">
        <f>HYPERLINK("https://klasma.github.io/Logging_2480/kartor/A 66455-2019 karta.png", "A 66455-2019")</f>
        <v/>
      </c>
      <c r="V83">
        <f>HYPERLINK("https://klasma.github.io/Logging_2480/klagomål/A 66455-2019 FSC-klagomål.docx", "A 66455-2019")</f>
        <v/>
      </c>
      <c r="W83">
        <f>HYPERLINK("https://klasma.github.io/Logging_2480/klagomålsmail/A 66455-2019 FSC-klagomål mail.docx", "A 66455-2019")</f>
        <v/>
      </c>
      <c r="X83">
        <f>HYPERLINK("https://klasma.github.io/Logging_2480/tillsyn/A 66455-2019 tillsynsbegäran.docx", "A 66455-2019")</f>
        <v/>
      </c>
      <c r="Y83">
        <f>HYPERLINK("https://klasma.github.io/Logging_2480/tillsynsmail/A 66455-2019 tillsynsbegäran mail.docx", "A 66455-2019")</f>
        <v/>
      </c>
      <c r="Z83">
        <f>HYPERLINK("https://klasma.github.io/Logging_2480/fåglar/A 66455-2019 prioriterade fågelarter.docx", "A 66455-2019")</f>
        <v/>
      </c>
    </row>
    <row r="84" ht="15" customHeight="1">
      <c r="A84" t="inlineStr">
        <is>
          <t>A 40420-2020</t>
        </is>
      </c>
      <c r="B84" s="1" t="n">
        <v>44068</v>
      </c>
      <c r="C84" s="1" t="n">
        <v>45733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4.1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Leptoporus mollis
Tretåig hackspett</t>
        </is>
      </c>
      <c r="S84">
        <f>HYPERLINK("https://klasma.github.io/Logging_2480/artfynd/A 40420-2020 artfynd.xlsx", "A 40420-2020")</f>
        <v/>
      </c>
      <c r="T84">
        <f>HYPERLINK("https://klasma.github.io/Logging_2480/kartor/A 40420-2020 karta.png", "A 40420-2020")</f>
        <v/>
      </c>
      <c r="V84">
        <f>HYPERLINK("https://klasma.github.io/Logging_2480/klagomål/A 40420-2020 FSC-klagomål.docx", "A 40420-2020")</f>
        <v/>
      </c>
      <c r="W84">
        <f>HYPERLINK("https://klasma.github.io/Logging_2480/klagomålsmail/A 40420-2020 FSC-klagomål mail.docx", "A 40420-2020")</f>
        <v/>
      </c>
      <c r="X84">
        <f>HYPERLINK("https://klasma.github.io/Logging_2480/tillsyn/A 40420-2020 tillsynsbegäran.docx", "A 40420-2020")</f>
        <v/>
      </c>
      <c r="Y84">
        <f>HYPERLINK("https://klasma.github.io/Logging_2480/tillsynsmail/A 40420-2020 tillsynsbegäran mail.docx", "A 40420-2020")</f>
        <v/>
      </c>
      <c r="Z84">
        <f>HYPERLINK("https://klasma.github.io/Logging_2480/fåglar/A 40420-2020 prioriterade fågelarter.docx", "A 40420-2020")</f>
        <v/>
      </c>
    </row>
    <row r="85" ht="15" customHeight="1">
      <c r="A85" t="inlineStr">
        <is>
          <t>A 35297-2021</t>
        </is>
      </c>
      <c r="B85" s="1" t="n">
        <v>44384</v>
      </c>
      <c r="C85" s="1" t="n">
        <v>45733</v>
      </c>
      <c r="D85" t="inlineStr">
        <is>
          <t>VÄSTERBOTTENS LÄN</t>
        </is>
      </c>
      <c r="E85" t="inlineStr">
        <is>
          <t>UMEÅ</t>
        </is>
      </c>
      <c r="G85" t="n">
        <v>8</v>
      </c>
      <c r="H85" t="n">
        <v>0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Aspgelélav
Stuplav</t>
        </is>
      </c>
      <c r="S85">
        <f>HYPERLINK("https://klasma.github.io/Logging_2480/artfynd/A 35297-2021 artfynd.xlsx", "A 35297-2021")</f>
        <v/>
      </c>
      <c r="T85">
        <f>HYPERLINK("https://klasma.github.io/Logging_2480/kartor/A 35297-2021 karta.png", "A 35297-2021")</f>
        <v/>
      </c>
      <c r="V85">
        <f>HYPERLINK("https://klasma.github.io/Logging_2480/klagomål/A 35297-2021 FSC-klagomål.docx", "A 35297-2021")</f>
        <v/>
      </c>
      <c r="W85">
        <f>HYPERLINK("https://klasma.github.io/Logging_2480/klagomålsmail/A 35297-2021 FSC-klagomål mail.docx", "A 35297-2021")</f>
        <v/>
      </c>
      <c r="X85">
        <f>HYPERLINK("https://klasma.github.io/Logging_2480/tillsyn/A 35297-2021 tillsynsbegäran.docx", "A 35297-2021")</f>
        <v/>
      </c>
      <c r="Y85">
        <f>HYPERLINK("https://klasma.github.io/Logging_2480/tillsynsmail/A 35297-2021 tillsynsbegäran mail.docx", "A 35297-2021")</f>
        <v/>
      </c>
    </row>
    <row r="86" ht="15" customHeight="1">
      <c r="A86" t="inlineStr">
        <is>
          <t>A 38440-2021</t>
        </is>
      </c>
      <c r="B86" s="1" t="n">
        <v>44406</v>
      </c>
      <c r="C86" s="1" t="n">
        <v>45733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2.6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Vattenfladdermus</t>
        </is>
      </c>
      <c r="S86">
        <f>HYPERLINK("https://klasma.github.io/Logging_2480/artfynd/A 38440-2021 artfynd.xlsx", "A 38440-2021")</f>
        <v/>
      </c>
      <c r="T86">
        <f>HYPERLINK("https://klasma.github.io/Logging_2480/kartor/A 38440-2021 karta.png", "A 38440-2021")</f>
        <v/>
      </c>
      <c r="V86">
        <f>HYPERLINK("https://klasma.github.io/Logging_2480/klagomål/A 38440-2021 FSC-klagomål.docx", "A 38440-2021")</f>
        <v/>
      </c>
      <c r="W86">
        <f>HYPERLINK("https://klasma.github.io/Logging_2480/klagomålsmail/A 38440-2021 FSC-klagomål mail.docx", "A 38440-2021")</f>
        <v/>
      </c>
      <c r="X86">
        <f>HYPERLINK("https://klasma.github.io/Logging_2480/tillsyn/A 38440-2021 tillsynsbegäran.docx", "A 38440-2021")</f>
        <v/>
      </c>
      <c r="Y86">
        <f>HYPERLINK("https://klasma.github.io/Logging_2480/tillsynsmail/A 38440-2021 tillsynsbegäran mail.docx", "A 38440-2021")</f>
        <v/>
      </c>
    </row>
    <row r="87" ht="15" customHeight="1">
      <c r="A87" t="inlineStr">
        <is>
          <t>A 38443-2021</t>
        </is>
      </c>
      <c r="B87" s="1" t="n">
        <v>44406</v>
      </c>
      <c r="C87" s="1" t="n">
        <v>45733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Skarp dropptaggsvamp</t>
        </is>
      </c>
      <c r="S87">
        <f>HYPERLINK("https://klasma.github.io/Logging_2480/artfynd/A 38443-2021 artfynd.xlsx", "A 38443-2021")</f>
        <v/>
      </c>
      <c r="T87">
        <f>HYPERLINK("https://klasma.github.io/Logging_2480/kartor/A 38443-2021 karta.png", "A 38443-2021")</f>
        <v/>
      </c>
      <c r="V87">
        <f>HYPERLINK("https://klasma.github.io/Logging_2480/klagomål/A 38443-2021 FSC-klagomål.docx", "A 38443-2021")</f>
        <v/>
      </c>
      <c r="W87">
        <f>HYPERLINK("https://klasma.github.io/Logging_2480/klagomålsmail/A 38443-2021 FSC-klagomål mail.docx", "A 38443-2021")</f>
        <v/>
      </c>
      <c r="X87">
        <f>HYPERLINK("https://klasma.github.io/Logging_2480/tillsyn/A 38443-2021 tillsynsbegäran.docx", "A 38443-2021")</f>
        <v/>
      </c>
      <c r="Y87">
        <f>HYPERLINK("https://klasma.github.io/Logging_2480/tillsynsmail/A 38443-2021 tillsynsbegäran mail.docx", "A 38443-2021")</f>
        <v/>
      </c>
    </row>
    <row r="88" ht="15" customHeight="1">
      <c r="A88" t="inlineStr">
        <is>
          <t>A 38689-2021</t>
        </is>
      </c>
      <c r="B88" s="1" t="n">
        <v>44407</v>
      </c>
      <c r="C88" s="1" t="n">
        <v>45733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Gulbandad brunbagge
Rödhalsad vedsvampbagge</t>
        </is>
      </c>
      <c r="S88">
        <f>HYPERLINK("https://klasma.github.io/Logging_2480/artfynd/A 38689-2021 artfynd.xlsx", "A 38689-2021")</f>
        <v/>
      </c>
      <c r="T88">
        <f>HYPERLINK("https://klasma.github.io/Logging_2480/kartor/A 38689-2021 karta.png", "A 38689-2021")</f>
        <v/>
      </c>
      <c r="V88">
        <f>HYPERLINK("https://klasma.github.io/Logging_2480/klagomål/A 38689-2021 FSC-klagomål.docx", "A 38689-2021")</f>
        <v/>
      </c>
      <c r="W88">
        <f>HYPERLINK("https://klasma.github.io/Logging_2480/klagomålsmail/A 38689-2021 FSC-klagomål mail.docx", "A 38689-2021")</f>
        <v/>
      </c>
      <c r="X88">
        <f>HYPERLINK("https://klasma.github.io/Logging_2480/tillsyn/A 38689-2021 tillsynsbegäran.docx", "A 38689-2021")</f>
        <v/>
      </c>
      <c r="Y88">
        <f>HYPERLINK("https://klasma.github.io/Logging_2480/tillsynsmail/A 38689-2021 tillsynsbegäran mail.docx", "A 38689-2021")</f>
        <v/>
      </c>
    </row>
    <row r="89" ht="15" customHeight="1">
      <c r="A89" t="inlineStr">
        <is>
          <t>A 9771-2022</t>
        </is>
      </c>
      <c r="B89" s="1" t="n">
        <v>44619</v>
      </c>
      <c r="C89" s="1" t="n">
        <v>45733</v>
      </c>
      <c r="D89" t="inlineStr">
        <is>
          <t>VÄSTERBOTTENS LÄN</t>
        </is>
      </c>
      <c r="E89" t="inlineStr">
        <is>
          <t>UMEÅ</t>
        </is>
      </c>
      <c r="G89" t="n">
        <v>39.1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Blå taggsvamp
Dropptaggsvamp</t>
        </is>
      </c>
      <c r="S89">
        <f>HYPERLINK("https://klasma.github.io/Logging_2480/artfynd/A 9771-2022 artfynd.xlsx", "A 9771-2022")</f>
        <v/>
      </c>
      <c r="T89">
        <f>HYPERLINK("https://klasma.github.io/Logging_2480/kartor/A 9771-2022 karta.png", "A 9771-2022")</f>
        <v/>
      </c>
      <c r="V89">
        <f>HYPERLINK("https://klasma.github.io/Logging_2480/klagomål/A 9771-2022 FSC-klagomål.docx", "A 9771-2022")</f>
        <v/>
      </c>
      <c r="W89">
        <f>HYPERLINK("https://klasma.github.io/Logging_2480/klagomålsmail/A 9771-2022 FSC-klagomål mail.docx", "A 9771-2022")</f>
        <v/>
      </c>
      <c r="X89">
        <f>HYPERLINK("https://klasma.github.io/Logging_2480/tillsyn/A 9771-2022 tillsynsbegäran.docx", "A 9771-2022")</f>
        <v/>
      </c>
      <c r="Y89">
        <f>HYPERLINK("https://klasma.github.io/Logging_2480/tillsynsmail/A 9771-2022 tillsynsbegäran mail.docx", "A 9771-2022")</f>
        <v/>
      </c>
    </row>
    <row r="90" ht="15" customHeight="1">
      <c r="A90" t="inlineStr">
        <is>
          <t>A 44687-2022</t>
        </is>
      </c>
      <c r="B90" s="1" t="n">
        <v>44839</v>
      </c>
      <c r="C90" s="1" t="n">
        <v>45733</v>
      </c>
      <c r="D90" t="inlineStr">
        <is>
          <t>VÄSTERBOTTENS LÄN</t>
        </is>
      </c>
      <c r="E90" t="inlineStr">
        <is>
          <t>UMEÅ</t>
        </is>
      </c>
      <c r="G90" t="n">
        <v>2.3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44687-2022 artfynd.xlsx", "A 44687-2022")</f>
        <v/>
      </c>
      <c r="T90">
        <f>HYPERLINK("https://klasma.github.io/Logging_2480/kartor/A 44687-2022 karta.png", "A 44687-2022")</f>
        <v/>
      </c>
      <c r="V90">
        <f>HYPERLINK("https://klasma.github.io/Logging_2480/klagomål/A 44687-2022 FSC-klagomål.docx", "A 44687-2022")</f>
        <v/>
      </c>
      <c r="W90">
        <f>HYPERLINK("https://klasma.github.io/Logging_2480/klagomålsmail/A 44687-2022 FSC-klagomål mail.docx", "A 44687-2022")</f>
        <v/>
      </c>
      <c r="X90">
        <f>HYPERLINK("https://klasma.github.io/Logging_2480/tillsyn/A 44687-2022 tillsynsbegäran.docx", "A 44687-2022")</f>
        <v/>
      </c>
      <c r="Y90">
        <f>HYPERLINK("https://klasma.github.io/Logging_2480/tillsynsmail/A 44687-2022 tillsynsbegäran mail.docx", "A 44687-2022")</f>
        <v/>
      </c>
    </row>
    <row r="91" ht="15" customHeight="1">
      <c r="A91" t="inlineStr">
        <is>
          <t>A 52635-2022</t>
        </is>
      </c>
      <c r="B91" s="1" t="n">
        <v>44874</v>
      </c>
      <c r="C91" s="1" t="n">
        <v>45733</v>
      </c>
      <c r="D91" t="inlineStr">
        <is>
          <t>VÄSTERBOTTENS LÄN</t>
        </is>
      </c>
      <c r="E91" t="inlineStr">
        <is>
          <t>UMEÅ</t>
        </is>
      </c>
      <c r="G91" t="n">
        <v>3.1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Vågbandad barkbock</t>
        </is>
      </c>
      <c r="S91">
        <f>HYPERLINK("https://klasma.github.io/Logging_2480/artfynd/A 52635-2022 artfynd.xlsx", "A 52635-2022")</f>
        <v/>
      </c>
      <c r="T91">
        <f>HYPERLINK("https://klasma.github.io/Logging_2480/kartor/A 52635-2022 karta.png", "A 52635-2022")</f>
        <v/>
      </c>
      <c r="V91">
        <f>HYPERLINK("https://klasma.github.io/Logging_2480/klagomål/A 52635-2022 FSC-klagomål.docx", "A 52635-2022")</f>
        <v/>
      </c>
      <c r="W91">
        <f>HYPERLINK("https://klasma.github.io/Logging_2480/klagomålsmail/A 52635-2022 FSC-klagomål mail.docx", "A 52635-2022")</f>
        <v/>
      </c>
      <c r="X91">
        <f>HYPERLINK("https://klasma.github.io/Logging_2480/tillsyn/A 52635-2022 tillsynsbegäran.docx", "A 52635-2022")</f>
        <v/>
      </c>
      <c r="Y91">
        <f>HYPERLINK("https://klasma.github.io/Logging_2480/tillsynsmail/A 52635-2022 tillsynsbegäran mail.docx", "A 52635-2022")</f>
        <v/>
      </c>
    </row>
    <row r="92" ht="15" customHeight="1">
      <c r="A92" t="inlineStr">
        <is>
          <t>A 18922-2023</t>
        </is>
      </c>
      <c r="B92" s="1" t="n">
        <v>45043</v>
      </c>
      <c r="C92" s="1" t="n">
        <v>45733</v>
      </c>
      <c r="D92" t="inlineStr">
        <is>
          <t>VÄSTERBOTTENS LÄN</t>
        </is>
      </c>
      <c r="E92" t="inlineStr">
        <is>
          <t>UMEÅ</t>
        </is>
      </c>
      <c r="G92" t="n">
        <v>9.199999999999999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HYPERLINK("https://klasma.github.io/Logging_2480/artfynd/A 18922-2023 artfynd.xlsx", "A 18922-2023")</f>
        <v/>
      </c>
      <c r="T92">
        <f>HYPERLINK("https://klasma.github.io/Logging_2480/kartor/A 18922-2023 karta.png", "A 18922-2023")</f>
        <v/>
      </c>
      <c r="V92">
        <f>HYPERLINK("https://klasma.github.io/Logging_2480/klagomål/A 18922-2023 FSC-klagomål.docx", "A 18922-2023")</f>
        <v/>
      </c>
      <c r="W92">
        <f>HYPERLINK("https://klasma.github.io/Logging_2480/klagomålsmail/A 18922-2023 FSC-klagomål mail.docx", "A 18922-2023")</f>
        <v/>
      </c>
      <c r="X92">
        <f>HYPERLINK("https://klasma.github.io/Logging_2480/tillsyn/A 18922-2023 tillsynsbegäran.docx", "A 18922-2023")</f>
        <v/>
      </c>
      <c r="Y92">
        <f>HYPERLINK("https://klasma.github.io/Logging_2480/tillsynsmail/A 18922-2023 tillsynsbegäran mail.docx", "A 18922-2023")</f>
        <v/>
      </c>
    </row>
    <row r="93" ht="15" customHeight="1">
      <c r="A93" t="inlineStr">
        <is>
          <t>A 31444-2023</t>
        </is>
      </c>
      <c r="B93" s="1" t="n">
        <v>45114</v>
      </c>
      <c r="C93" s="1" t="n">
        <v>45733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9.4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Vedflamlav</t>
        </is>
      </c>
      <c r="S93">
        <f>HYPERLINK("https://klasma.github.io/Logging_2480/artfynd/A 31444-2023 artfynd.xlsx", "A 31444-2023")</f>
        <v/>
      </c>
      <c r="T93">
        <f>HYPERLINK("https://klasma.github.io/Logging_2480/kartor/A 31444-2023 karta.png", "A 31444-2023")</f>
        <v/>
      </c>
      <c r="V93">
        <f>HYPERLINK("https://klasma.github.io/Logging_2480/klagomål/A 31444-2023 FSC-klagomål.docx", "A 31444-2023")</f>
        <v/>
      </c>
      <c r="W93">
        <f>HYPERLINK("https://klasma.github.io/Logging_2480/klagomålsmail/A 31444-2023 FSC-klagomål mail.docx", "A 31444-2023")</f>
        <v/>
      </c>
      <c r="X93">
        <f>HYPERLINK("https://klasma.github.io/Logging_2480/tillsyn/A 31444-2023 tillsynsbegäran.docx", "A 31444-2023")</f>
        <v/>
      </c>
      <c r="Y93">
        <f>HYPERLINK("https://klasma.github.io/Logging_2480/tillsynsmail/A 31444-2023 tillsynsbegäran mail.docx", "A 31444-2023")</f>
        <v/>
      </c>
    </row>
    <row r="94" ht="15" customHeight="1">
      <c r="A94" t="inlineStr">
        <is>
          <t>A 39979-2023</t>
        </is>
      </c>
      <c r="B94" s="1" t="n">
        <v>45168</v>
      </c>
      <c r="C94" s="1" t="n">
        <v>45733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kolflarnlav
Vedskivlav</t>
        </is>
      </c>
      <c r="S94">
        <f>HYPERLINK("https://klasma.github.io/Logging_2480/artfynd/A 39979-2023 artfynd.xlsx", "A 39979-2023")</f>
        <v/>
      </c>
      <c r="T94">
        <f>HYPERLINK("https://klasma.github.io/Logging_2480/kartor/A 39979-2023 karta.png", "A 39979-2023")</f>
        <v/>
      </c>
      <c r="V94">
        <f>HYPERLINK("https://klasma.github.io/Logging_2480/klagomål/A 39979-2023 FSC-klagomål.docx", "A 39979-2023")</f>
        <v/>
      </c>
      <c r="W94">
        <f>HYPERLINK("https://klasma.github.io/Logging_2480/klagomålsmail/A 39979-2023 FSC-klagomål mail.docx", "A 39979-2023")</f>
        <v/>
      </c>
      <c r="X94">
        <f>HYPERLINK("https://klasma.github.io/Logging_2480/tillsyn/A 39979-2023 tillsynsbegäran.docx", "A 39979-2023")</f>
        <v/>
      </c>
      <c r="Y94">
        <f>HYPERLINK("https://klasma.github.io/Logging_2480/tillsynsmail/A 39979-2023 tillsynsbegäran mail.docx", "A 39979-2023")</f>
        <v/>
      </c>
    </row>
    <row r="95" ht="15" customHeight="1">
      <c r="A95" t="inlineStr">
        <is>
          <t>A 46563-2023</t>
        </is>
      </c>
      <c r="B95" s="1" t="n">
        <v>45198</v>
      </c>
      <c r="C95" s="1" t="n">
        <v>45733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HYPERLINK("https://klasma.github.io/Logging_2480/artfynd/A 46563-2023 artfynd.xlsx", "A 46563-2023")</f>
        <v/>
      </c>
      <c r="T95">
        <f>HYPERLINK("https://klasma.github.io/Logging_2480/kartor/A 46563-2023 karta.png", "A 46563-2023")</f>
        <v/>
      </c>
      <c r="V95">
        <f>HYPERLINK("https://klasma.github.io/Logging_2480/klagomål/A 46563-2023 FSC-klagomål.docx", "A 46563-2023")</f>
        <v/>
      </c>
      <c r="W95">
        <f>HYPERLINK("https://klasma.github.io/Logging_2480/klagomålsmail/A 46563-2023 FSC-klagomål mail.docx", "A 46563-2023")</f>
        <v/>
      </c>
      <c r="X95">
        <f>HYPERLINK("https://klasma.github.io/Logging_2480/tillsyn/A 46563-2023 tillsynsbegäran.docx", "A 46563-2023")</f>
        <v/>
      </c>
      <c r="Y95">
        <f>HYPERLINK("https://klasma.github.io/Logging_2480/tillsynsmail/A 46563-2023 tillsynsbegäran mail.docx", "A 46563-2023")</f>
        <v/>
      </c>
    </row>
    <row r="96" ht="15" customHeight="1">
      <c r="A96" t="inlineStr">
        <is>
          <t>A 48916-2023</t>
        </is>
      </c>
      <c r="B96" s="1" t="n">
        <v>45209</v>
      </c>
      <c r="C96" s="1" t="n">
        <v>45733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Tretåig hackspett</t>
        </is>
      </c>
      <c r="S96">
        <f>HYPERLINK("https://klasma.github.io/Logging_2480/artfynd/A 48916-2023 artfynd.xlsx", "A 48916-2023")</f>
        <v/>
      </c>
      <c r="T96">
        <f>HYPERLINK("https://klasma.github.io/Logging_2480/kartor/A 48916-2023 karta.png", "A 48916-2023")</f>
        <v/>
      </c>
      <c r="V96">
        <f>HYPERLINK("https://klasma.github.io/Logging_2480/klagomål/A 48916-2023 FSC-klagomål.docx", "A 48916-2023")</f>
        <v/>
      </c>
      <c r="W96">
        <f>HYPERLINK("https://klasma.github.io/Logging_2480/klagomålsmail/A 48916-2023 FSC-klagomål mail.docx", "A 48916-2023")</f>
        <v/>
      </c>
      <c r="X96">
        <f>HYPERLINK("https://klasma.github.io/Logging_2480/tillsyn/A 48916-2023 tillsynsbegäran.docx", "A 48916-2023")</f>
        <v/>
      </c>
      <c r="Y96">
        <f>HYPERLINK("https://klasma.github.io/Logging_2480/tillsynsmail/A 48916-2023 tillsynsbegäran mail.docx", "A 48916-2023")</f>
        <v/>
      </c>
      <c r="Z96">
        <f>HYPERLINK("https://klasma.github.io/Logging_2480/fåglar/A 48916-2023 prioriterade fågelarter.docx", "A 48916-2023")</f>
        <v/>
      </c>
    </row>
    <row r="97" ht="15" customHeight="1">
      <c r="A97" t="inlineStr">
        <is>
          <t>A 7050-2024</t>
        </is>
      </c>
      <c r="B97" s="1" t="n">
        <v>45343</v>
      </c>
      <c r="C97" s="1" t="n">
        <v>45733</v>
      </c>
      <c r="D97" t="inlineStr">
        <is>
          <t>VÄSTERBOTTENS LÄN</t>
        </is>
      </c>
      <c r="E97" t="inlineStr">
        <is>
          <t>UMEÅ</t>
        </is>
      </c>
      <c r="G97" t="n">
        <v>6.5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Talltita</t>
        </is>
      </c>
      <c r="S97">
        <f>HYPERLINK("https://klasma.github.io/Logging_2480/artfynd/A 7050-2024 artfynd.xlsx", "A 7050-2024")</f>
        <v/>
      </c>
      <c r="T97">
        <f>HYPERLINK("https://klasma.github.io/Logging_2480/kartor/A 7050-2024 karta.png", "A 7050-2024")</f>
        <v/>
      </c>
      <c r="V97">
        <f>HYPERLINK("https://klasma.github.io/Logging_2480/klagomål/A 7050-2024 FSC-klagomål.docx", "A 7050-2024")</f>
        <v/>
      </c>
      <c r="W97">
        <f>HYPERLINK("https://klasma.github.io/Logging_2480/klagomålsmail/A 7050-2024 FSC-klagomål mail.docx", "A 7050-2024")</f>
        <v/>
      </c>
      <c r="X97">
        <f>HYPERLINK("https://klasma.github.io/Logging_2480/tillsyn/A 7050-2024 tillsynsbegäran.docx", "A 7050-2024")</f>
        <v/>
      </c>
      <c r="Y97">
        <f>HYPERLINK("https://klasma.github.io/Logging_2480/tillsynsmail/A 7050-2024 tillsynsbegäran mail.docx", "A 7050-2024")</f>
        <v/>
      </c>
      <c r="Z97">
        <f>HYPERLINK("https://klasma.github.io/Logging_2480/fåglar/A 7050-2024 prioriterade fågelarter.docx", "A 7050-2024")</f>
        <v/>
      </c>
    </row>
    <row r="98" ht="15" customHeight="1">
      <c r="A98" t="inlineStr">
        <is>
          <t>A 8715-2024</t>
        </is>
      </c>
      <c r="B98" s="1" t="n">
        <v>45356</v>
      </c>
      <c r="C98" s="1" t="n">
        <v>45733</v>
      </c>
      <c r="D98" t="inlineStr">
        <is>
          <t>VÄSTERBOTTENS LÄN</t>
        </is>
      </c>
      <c r="E98" t="inlineStr">
        <is>
          <t>UMEÅ</t>
        </is>
      </c>
      <c r="G98" t="n">
        <v>6.1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Turkos blåvinge
Garnlav</t>
        </is>
      </c>
      <c r="S98">
        <f>HYPERLINK("https://klasma.github.io/Logging_2480/artfynd/A 8715-2024 artfynd.xlsx", "A 8715-2024")</f>
        <v/>
      </c>
      <c r="T98">
        <f>HYPERLINK("https://klasma.github.io/Logging_2480/kartor/A 8715-2024 karta.png", "A 8715-2024")</f>
        <v/>
      </c>
      <c r="V98">
        <f>HYPERLINK("https://klasma.github.io/Logging_2480/klagomål/A 8715-2024 FSC-klagomål.docx", "A 8715-2024")</f>
        <v/>
      </c>
      <c r="W98">
        <f>HYPERLINK("https://klasma.github.io/Logging_2480/klagomålsmail/A 8715-2024 FSC-klagomål mail.docx", "A 8715-2024")</f>
        <v/>
      </c>
      <c r="X98">
        <f>HYPERLINK("https://klasma.github.io/Logging_2480/tillsyn/A 8715-2024 tillsynsbegäran.docx", "A 8715-2024")</f>
        <v/>
      </c>
      <c r="Y98">
        <f>HYPERLINK("https://klasma.github.io/Logging_2480/tillsynsmail/A 8715-2024 tillsynsbegäran mail.docx", "A 8715-2024")</f>
        <v/>
      </c>
    </row>
    <row r="99" ht="15" customHeight="1">
      <c r="A99" t="inlineStr">
        <is>
          <t>A 34050-2024</t>
        </is>
      </c>
      <c r="B99" s="1" t="n">
        <v>45523</v>
      </c>
      <c r="C99" s="1" t="n">
        <v>45733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Gränsticka
Vedticka</t>
        </is>
      </c>
      <c r="S99">
        <f>HYPERLINK("https://klasma.github.io/Logging_2480/artfynd/A 34050-2024 artfynd.xlsx", "A 34050-2024")</f>
        <v/>
      </c>
      <c r="T99">
        <f>HYPERLINK("https://klasma.github.io/Logging_2480/kartor/A 34050-2024 karta.png", "A 34050-2024")</f>
        <v/>
      </c>
      <c r="V99">
        <f>HYPERLINK("https://klasma.github.io/Logging_2480/klagomål/A 34050-2024 FSC-klagomål.docx", "A 34050-2024")</f>
        <v/>
      </c>
      <c r="W99">
        <f>HYPERLINK("https://klasma.github.io/Logging_2480/klagomålsmail/A 34050-2024 FSC-klagomål mail.docx", "A 34050-2024")</f>
        <v/>
      </c>
      <c r="X99">
        <f>HYPERLINK("https://klasma.github.io/Logging_2480/tillsyn/A 34050-2024 tillsynsbegäran.docx", "A 34050-2024")</f>
        <v/>
      </c>
      <c r="Y99">
        <f>HYPERLINK("https://klasma.github.io/Logging_2480/tillsynsmail/A 34050-2024 tillsynsbegäran mail.docx", "A 34050-2024")</f>
        <v/>
      </c>
    </row>
    <row r="100" ht="15" customHeight="1">
      <c r="A100" t="inlineStr">
        <is>
          <t>A 35612-2024</t>
        </is>
      </c>
      <c r="B100" s="1" t="n">
        <v>45531</v>
      </c>
      <c r="C100" s="1" t="n">
        <v>45733</v>
      </c>
      <c r="D100" t="inlineStr">
        <is>
          <t>VÄSTERBOTTENS LÄN</t>
        </is>
      </c>
      <c r="E100" t="inlineStr">
        <is>
          <t>UMEÅ</t>
        </is>
      </c>
      <c r="G100" t="n">
        <v>5.5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Vedticka</t>
        </is>
      </c>
      <c r="S100">
        <f>HYPERLINK("https://klasma.github.io/Logging_2480/artfynd/A 35612-2024 artfynd.xlsx", "A 35612-2024")</f>
        <v/>
      </c>
      <c r="T100">
        <f>HYPERLINK("https://klasma.github.io/Logging_2480/kartor/A 35612-2024 karta.png", "A 35612-2024")</f>
        <v/>
      </c>
      <c r="V100">
        <f>HYPERLINK("https://klasma.github.io/Logging_2480/klagomål/A 35612-2024 FSC-klagomål.docx", "A 35612-2024")</f>
        <v/>
      </c>
      <c r="W100">
        <f>HYPERLINK("https://klasma.github.io/Logging_2480/klagomålsmail/A 35612-2024 FSC-klagomål mail.docx", "A 35612-2024")</f>
        <v/>
      </c>
      <c r="X100">
        <f>HYPERLINK("https://klasma.github.io/Logging_2480/tillsyn/A 35612-2024 tillsynsbegäran.docx", "A 35612-2024")</f>
        <v/>
      </c>
      <c r="Y100">
        <f>HYPERLINK("https://klasma.github.io/Logging_2480/tillsynsmail/A 35612-2024 tillsynsbegäran mail.docx", "A 35612-2024")</f>
        <v/>
      </c>
    </row>
    <row r="101" ht="15" customHeight="1">
      <c r="A101" t="inlineStr">
        <is>
          <t>A 41077-2024</t>
        </is>
      </c>
      <c r="B101" s="1" t="n">
        <v>45559</v>
      </c>
      <c r="C101" s="1" t="n">
        <v>45733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41077-2024 artfynd.xlsx", "A 41077-2024")</f>
        <v/>
      </c>
      <c r="T101">
        <f>HYPERLINK("https://klasma.github.io/Logging_2480/kartor/A 41077-2024 karta.png", "A 41077-2024")</f>
        <v/>
      </c>
      <c r="V101">
        <f>HYPERLINK("https://klasma.github.io/Logging_2480/klagomål/A 41077-2024 FSC-klagomål.docx", "A 41077-2024")</f>
        <v/>
      </c>
      <c r="W101">
        <f>HYPERLINK("https://klasma.github.io/Logging_2480/klagomålsmail/A 41077-2024 FSC-klagomål mail.docx", "A 41077-2024")</f>
        <v/>
      </c>
      <c r="X101">
        <f>HYPERLINK("https://klasma.github.io/Logging_2480/tillsyn/A 41077-2024 tillsynsbegäran.docx", "A 41077-2024")</f>
        <v/>
      </c>
      <c r="Y101">
        <f>HYPERLINK("https://klasma.github.io/Logging_2480/tillsynsmail/A 41077-2024 tillsynsbegäran mail.docx", "A 41077-2024")</f>
        <v/>
      </c>
    </row>
    <row r="102" ht="15" customHeight="1">
      <c r="A102" t="inlineStr">
        <is>
          <t>A 46143-2024</t>
        </is>
      </c>
      <c r="B102" s="1" t="n">
        <v>45581</v>
      </c>
      <c r="C102" s="1" t="n">
        <v>45733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Thomsons trägnagare</t>
        </is>
      </c>
      <c r="S102">
        <f>HYPERLINK("https://klasma.github.io/Logging_2480/artfynd/A 46143-2024 artfynd.xlsx", "A 46143-2024")</f>
        <v/>
      </c>
      <c r="T102">
        <f>HYPERLINK("https://klasma.github.io/Logging_2480/kartor/A 46143-2024 karta.png", "A 46143-2024")</f>
        <v/>
      </c>
      <c r="V102">
        <f>HYPERLINK("https://klasma.github.io/Logging_2480/klagomål/A 46143-2024 FSC-klagomål.docx", "A 46143-2024")</f>
        <v/>
      </c>
      <c r="W102">
        <f>HYPERLINK("https://klasma.github.io/Logging_2480/klagomålsmail/A 46143-2024 FSC-klagomål mail.docx", "A 46143-2024")</f>
        <v/>
      </c>
      <c r="X102">
        <f>HYPERLINK("https://klasma.github.io/Logging_2480/tillsyn/A 46143-2024 tillsynsbegäran.docx", "A 46143-2024")</f>
        <v/>
      </c>
      <c r="Y102">
        <f>HYPERLINK("https://klasma.github.io/Logging_2480/tillsynsmail/A 46143-2024 tillsynsbegäran mail.docx", "A 46143-2024")</f>
        <v/>
      </c>
      <c r="Z102">
        <f>HYPERLINK("https://klasma.github.io/Logging_2480/fåglar/A 46143-2024 prioriterade fågelarter.docx", "A 46143-2024")</f>
        <v/>
      </c>
    </row>
    <row r="103" ht="15" customHeight="1">
      <c r="A103" t="inlineStr">
        <is>
          <t>A 49136-2024</t>
        </is>
      </c>
      <c r="B103" s="1" t="n">
        <v>45594</v>
      </c>
      <c r="C103" s="1" t="n">
        <v>45733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HYPERLINK("https://klasma.github.io/Logging_2480/artfynd/A 49136-2024 artfynd.xlsx", "A 49136-2024")</f>
        <v/>
      </c>
      <c r="T103">
        <f>HYPERLINK("https://klasma.github.io/Logging_2480/kartor/A 49136-2024 karta.png", "A 49136-2024")</f>
        <v/>
      </c>
      <c r="V103">
        <f>HYPERLINK("https://klasma.github.io/Logging_2480/klagomål/A 49136-2024 FSC-klagomål.docx", "A 49136-2024")</f>
        <v/>
      </c>
      <c r="W103">
        <f>HYPERLINK("https://klasma.github.io/Logging_2480/klagomålsmail/A 49136-2024 FSC-klagomål mail.docx", "A 49136-2024")</f>
        <v/>
      </c>
      <c r="X103">
        <f>HYPERLINK("https://klasma.github.io/Logging_2480/tillsyn/A 49136-2024 tillsynsbegäran.docx", "A 49136-2024")</f>
        <v/>
      </c>
      <c r="Y103">
        <f>HYPERLINK("https://klasma.github.io/Logging_2480/tillsynsmail/A 49136-2024 tillsynsbegäran mail.docx", "A 49136-2024")</f>
        <v/>
      </c>
    </row>
    <row r="104" ht="15" customHeight="1">
      <c r="A104" t="inlineStr">
        <is>
          <t>A 535-2025</t>
        </is>
      </c>
      <c r="B104" s="1" t="n">
        <v>45664</v>
      </c>
      <c r="C104" s="1" t="n">
        <v>45733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Talltita</t>
        </is>
      </c>
      <c r="S104">
        <f>HYPERLINK("https://klasma.github.io/Logging_2480/artfynd/A 535-2025 artfynd.xlsx", "A 535-2025")</f>
        <v/>
      </c>
      <c r="T104">
        <f>HYPERLINK("https://klasma.github.io/Logging_2480/kartor/A 535-2025 karta.png", "A 535-2025")</f>
        <v/>
      </c>
      <c r="V104">
        <f>HYPERLINK("https://klasma.github.io/Logging_2480/klagomål/A 535-2025 FSC-klagomål.docx", "A 535-2025")</f>
        <v/>
      </c>
      <c r="W104">
        <f>HYPERLINK("https://klasma.github.io/Logging_2480/klagomålsmail/A 535-2025 FSC-klagomål mail.docx", "A 535-2025")</f>
        <v/>
      </c>
      <c r="X104">
        <f>HYPERLINK("https://klasma.github.io/Logging_2480/tillsyn/A 535-2025 tillsynsbegäran.docx", "A 535-2025")</f>
        <v/>
      </c>
      <c r="Y104">
        <f>HYPERLINK("https://klasma.github.io/Logging_2480/tillsynsmail/A 535-2025 tillsynsbegäran mail.docx", "A 535-2025")</f>
        <v/>
      </c>
      <c r="Z104">
        <f>HYPERLINK("https://klasma.github.io/Logging_2480/fåglar/A 535-2025 prioriterade fågelarter.docx", "A 535-2025")</f>
        <v/>
      </c>
    </row>
    <row r="105" ht="15" customHeight="1">
      <c r="A105" t="inlineStr">
        <is>
          <t>A 53745-2019</t>
        </is>
      </c>
      <c r="B105" s="1" t="n">
        <v>43749</v>
      </c>
      <c r="C105" s="1" t="n">
        <v>45733</v>
      </c>
      <c r="D105" t="inlineStr">
        <is>
          <t>VÄSTERBOTTENS LÄN</t>
        </is>
      </c>
      <c r="E105" t="inlineStr">
        <is>
          <t>UMEÅ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HYPERLINK("https://klasma.github.io/Logging_2480/artfynd/A 53745-2019 artfynd.xlsx", "A 53745-2019")</f>
        <v/>
      </c>
      <c r="T105">
        <f>HYPERLINK("https://klasma.github.io/Logging_2480/kartor/A 53745-2019 karta.png", "A 53745-2019")</f>
        <v/>
      </c>
      <c r="V105">
        <f>HYPERLINK("https://klasma.github.io/Logging_2480/klagomål/A 53745-2019 FSC-klagomål.docx", "A 53745-2019")</f>
        <v/>
      </c>
      <c r="W105">
        <f>HYPERLINK("https://klasma.github.io/Logging_2480/klagomålsmail/A 53745-2019 FSC-klagomål mail.docx", "A 53745-2019")</f>
        <v/>
      </c>
      <c r="X105">
        <f>HYPERLINK("https://klasma.github.io/Logging_2480/tillsyn/A 53745-2019 tillsynsbegäran.docx", "A 53745-2019")</f>
        <v/>
      </c>
      <c r="Y105">
        <f>HYPERLINK("https://klasma.github.io/Logging_2480/tillsynsmail/A 53745-2019 tillsynsbegäran mail.docx", "A 53745-2019")</f>
        <v/>
      </c>
    </row>
    <row r="106" ht="15" customHeight="1">
      <c r="A106" t="inlineStr">
        <is>
          <t>A 23492-2020</t>
        </is>
      </c>
      <c r="B106" s="1" t="n">
        <v>43966</v>
      </c>
      <c r="C106" s="1" t="n">
        <v>45733</v>
      </c>
      <c r="D106" t="inlineStr">
        <is>
          <t>VÄSTERBOTTENS LÄN</t>
        </is>
      </c>
      <c r="E106" t="inlineStr">
        <is>
          <t>UMEÅ</t>
        </is>
      </c>
      <c r="G106" t="n">
        <v>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HYPERLINK("https://klasma.github.io/Logging_2480/artfynd/A 23492-2020 artfynd.xlsx", "A 23492-2020")</f>
        <v/>
      </c>
      <c r="T106">
        <f>HYPERLINK("https://klasma.github.io/Logging_2480/kartor/A 23492-2020 karta.png", "A 23492-2020")</f>
        <v/>
      </c>
      <c r="V106">
        <f>HYPERLINK("https://klasma.github.io/Logging_2480/klagomål/A 23492-2020 FSC-klagomål.docx", "A 23492-2020")</f>
        <v/>
      </c>
      <c r="W106">
        <f>HYPERLINK("https://klasma.github.io/Logging_2480/klagomålsmail/A 23492-2020 FSC-klagomål mail.docx", "A 23492-2020")</f>
        <v/>
      </c>
      <c r="X106">
        <f>HYPERLINK("https://klasma.github.io/Logging_2480/tillsyn/A 23492-2020 tillsynsbegäran.docx", "A 23492-2020")</f>
        <v/>
      </c>
      <c r="Y106">
        <f>HYPERLINK("https://klasma.github.io/Logging_2480/tillsynsmail/A 23492-2020 tillsynsbegäran mail.docx", "A 23492-2020")</f>
        <v/>
      </c>
    </row>
    <row r="107" ht="15" customHeight="1">
      <c r="A107" t="inlineStr">
        <is>
          <t>A 48400-2020</t>
        </is>
      </c>
      <c r="B107" s="1" t="n">
        <v>44102</v>
      </c>
      <c r="C107" s="1" t="n">
        <v>45733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48400-2020 artfynd.xlsx", "A 48400-2020")</f>
        <v/>
      </c>
      <c r="T107">
        <f>HYPERLINK("https://klasma.github.io/Logging_2480/kartor/A 48400-2020 karta.png", "A 48400-2020")</f>
        <v/>
      </c>
      <c r="V107">
        <f>HYPERLINK("https://klasma.github.io/Logging_2480/klagomål/A 48400-2020 FSC-klagomål.docx", "A 48400-2020")</f>
        <v/>
      </c>
      <c r="W107">
        <f>HYPERLINK("https://klasma.github.io/Logging_2480/klagomålsmail/A 48400-2020 FSC-klagomål mail.docx", "A 48400-2020")</f>
        <v/>
      </c>
      <c r="X107">
        <f>HYPERLINK("https://klasma.github.io/Logging_2480/tillsyn/A 48400-2020 tillsynsbegäran.docx", "A 48400-2020")</f>
        <v/>
      </c>
      <c r="Y107">
        <f>HYPERLINK("https://klasma.github.io/Logging_2480/tillsynsmail/A 48400-2020 tillsynsbegäran mail.docx", "A 48400-2020")</f>
        <v/>
      </c>
    </row>
    <row r="108" ht="15" customHeight="1">
      <c r="A108" t="inlineStr">
        <is>
          <t>A 18248-2021</t>
        </is>
      </c>
      <c r="B108" s="1" t="n">
        <v>44305</v>
      </c>
      <c r="C108" s="1" t="n">
        <v>45733</v>
      </c>
      <c r="D108" t="inlineStr">
        <is>
          <t>VÄSTERBOTTENS LÄN</t>
        </is>
      </c>
      <c r="E108" t="inlineStr">
        <is>
          <t>UMEÅ</t>
        </is>
      </c>
      <c r="G108" t="n">
        <v>22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Bivråk</t>
        </is>
      </c>
      <c r="S108">
        <f>HYPERLINK("https://klasma.github.io/Logging_2480/artfynd/A 18248-2021 artfynd.xlsx", "A 18248-2021")</f>
        <v/>
      </c>
      <c r="T108">
        <f>HYPERLINK("https://klasma.github.io/Logging_2480/kartor/A 18248-2021 karta.png", "A 18248-2021")</f>
        <v/>
      </c>
      <c r="V108">
        <f>HYPERLINK("https://klasma.github.io/Logging_2480/klagomål/A 18248-2021 FSC-klagomål.docx", "A 18248-2021")</f>
        <v/>
      </c>
      <c r="W108">
        <f>HYPERLINK("https://klasma.github.io/Logging_2480/klagomålsmail/A 18248-2021 FSC-klagomål mail.docx", "A 18248-2021")</f>
        <v/>
      </c>
      <c r="X108">
        <f>HYPERLINK("https://klasma.github.io/Logging_2480/tillsyn/A 18248-2021 tillsynsbegäran.docx", "A 18248-2021")</f>
        <v/>
      </c>
      <c r="Y108">
        <f>HYPERLINK("https://klasma.github.io/Logging_2480/tillsynsmail/A 18248-2021 tillsynsbegäran mail.docx", "A 18248-2021")</f>
        <v/>
      </c>
      <c r="Z108">
        <f>HYPERLINK("https://klasma.github.io/Logging_2480/fåglar/A 18248-2021 prioriterade fågelarter.docx", "A 18248-2021")</f>
        <v/>
      </c>
    </row>
    <row r="109" ht="15" customHeight="1">
      <c r="A109" t="inlineStr">
        <is>
          <t>A 38396-2021</t>
        </is>
      </c>
      <c r="B109" s="1" t="n">
        <v>44406</v>
      </c>
      <c r="C109" s="1" t="n">
        <v>45733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38396-2021 artfynd.xlsx", "A 38396-2021")</f>
        <v/>
      </c>
      <c r="T109">
        <f>HYPERLINK("https://klasma.github.io/Logging_2480/kartor/A 38396-2021 karta.png", "A 38396-2021")</f>
        <v/>
      </c>
      <c r="V109">
        <f>HYPERLINK("https://klasma.github.io/Logging_2480/klagomål/A 38396-2021 FSC-klagomål.docx", "A 38396-2021")</f>
        <v/>
      </c>
      <c r="W109">
        <f>HYPERLINK("https://klasma.github.io/Logging_2480/klagomålsmail/A 38396-2021 FSC-klagomål mail.docx", "A 38396-2021")</f>
        <v/>
      </c>
      <c r="X109">
        <f>HYPERLINK("https://klasma.github.io/Logging_2480/tillsyn/A 38396-2021 tillsynsbegäran.docx", "A 38396-2021")</f>
        <v/>
      </c>
      <c r="Y109">
        <f>HYPERLINK("https://klasma.github.io/Logging_2480/tillsynsmail/A 38396-2021 tillsynsbegäran mail.docx", "A 38396-2021")</f>
        <v/>
      </c>
    </row>
    <row r="110" ht="15" customHeight="1">
      <c r="A110" t="inlineStr">
        <is>
          <t>A 38393-2021</t>
        </is>
      </c>
      <c r="B110" s="1" t="n">
        <v>44406</v>
      </c>
      <c r="C110" s="1" t="n">
        <v>45733</v>
      </c>
      <c r="D110" t="inlineStr">
        <is>
          <t>VÄSTERBOTTENS LÄN</t>
        </is>
      </c>
      <c r="E110" t="inlineStr">
        <is>
          <t>UMEÅ</t>
        </is>
      </c>
      <c r="G110" t="n">
        <v>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HYPERLINK("https://klasma.github.io/Logging_2480/artfynd/A 38393-2021 artfynd.xlsx", "A 38393-2021")</f>
        <v/>
      </c>
      <c r="T110">
        <f>HYPERLINK("https://klasma.github.io/Logging_2480/kartor/A 38393-2021 karta.png", "A 38393-2021")</f>
        <v/>
      </c>
      <c r="V110">
        <f>HYPERLINK("https://klasma.github.io/Logging_2480/klagomål/A 38393-2021 FSC-klagomål.docx", "A 38393-2021")</f>
        <v/>
      </c>
      <c r="W110">
        <f>HYPERLINK("https://klasma.github.io/Logging_2480/klagomålsmail/A 38393-2021 FSC-klagomål mail.docx", "A 38393-2021")</f>
        <v/>
      </c>
      <c r="X110">
        <f>HYPERLINK("https://klasma.github.io/Logging_2480/tillsyn/A 38393-2021 tillsynsbegäran.docx", "A 38393-2021")</f>
        <v/>
      </c>
      <c r="Y110">
        <f>HYPERLINK("https://klasma.github.io/Logging_2480/tillsynsmail/A 38393-2021 tillsynsbegäran mail.docx", "A 38393-2021")</f>
        <v/>
      </c>
      <c r="Z110">
        <f>HYPERLINK("https://klasma.github.io/Logging_2480/fåglar/A 38393-2021 prioriterade fågelarter.docx", "A 38393-2021")</f>
        <v/>
      </c>
    </row>
    <row r="111" ht="15" customHeight="1">
      <c r="A111" t="inlineStr">
        <is>
          <t>A 38390-2021</t>
        </is>
      </c>
      <c r="B111" s="1" t="n">
        <v>44406</v>
      </c>
      <c r="C111" s="1" t="n">
        <v>45733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38390-2021 artfynd.xlsx", "A 38390-2021")</f>
        <v/>
      </c>
      <c r="T111">
        <f>HYPERLINK("https://klasma.github.io/Logging_2480/kartor/A 38390-2021 karta.png", "A 38390-2021")</f>
        <v/>
      </c>
      <c r="V111">
        <f>HYPERLINK("https://klasma.github.io/Logging_2480/klagomål/A 38390-2021 FSC-klagomål.docx", "A 38390-2021")</f>
        <v/>
      </c>
      <c r="W111">
        <f>HYPERLINK("https://klasma.github.io/Logging_2480/klagomålsmail/A 38390-2021 FSC-klagomål mail.docx", "A 38390-2021")</f>
        <v/>
      </c>
      <c r="X111">
        <f>HYPERLINK("https://klasma.github.io/Logging_2480/tillsyn/A 38390-2021 tillsynsbegäran.docx", "A 38390-2021")</f>
        <v/>
      </c>
      <c r="Y111">
        <f>HYPERLINK("https://klasma.github.io/Logging_2480/tillsynsmail/A 38390-2021 tillsynsbegäran mail.docx", "A 38390-2021")</f>
        <v/>
      </c>
    </row>
    <row r="112" ht="15" customHeight="1">
      <c r="A112" t="inlineStr">
        <is>
          <t>A 38438-2021</t>
        </is>
      </c>
      <c r="B112" s="1" t="n">
        <v>44406</v>
      </c>
      <c r="C112" s="1" t="n">
        <v>45733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38438-2021 artfynd.xlsx", "A 38438-2021")</f>
        <v/>
      </c>
      <c r="T112">
        <f>HYPERLINK("https://klasma.github.io/Logging_2480/kartor/A 38438-2021 karta.png", "A 38438-2021")</f>
        <v/>
      </c>
      <c r="V112">
        <f>HYPERLINK("https://klasma.github.io/Logging_2480/klagomål/A 38438-2021 FSC-klagomål.docx", "A 38438-2021")</f>
        <v/>
      </c>
      <c r="W112">
        <f>HYPERLINK("https://klasma.github.io/Logging_2480/klagomålsmail/A 38438-2021 FSC-klagomål mail.docx", "A 38438-2021")</f>
        <v/>
      </c>
      <c r="X112">
        <f>HYPERLINK("https://klasma.github.io/Logging_2480/tillsyn/A 38438-2021 tillsynsbegäran.docx", "A 38438-2021")</f>
        <v/>
      </c>
      <c r="Y112">
        <f>HYPERLINK("https://klasma.github.io/Logging_2480/tillsynsmail/A 38438-2021 tillsynsbegäran mail.docx", "A 38438-2021")</f>
        <v/>
      </c>
    </row>
    <row r="113" ht="15" customHeight="1">
      <c r="A113" t="inlineStr">
        <is>
          <t>A 38437-2021</t>
        </is>
      </c>
      <c r="B113" s="1" t="n">
        <v>44406</v>
      </c>
      <c r="C113" s="1" t="n">
        <v>45733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2.3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38437-2021 artfynd.xlsx", "A 38437-2021")</f>
        <v/>
      </c>
      <c r="T113">
        <f>HYPERLINK("https://klasma.github.io/Logging_2480/kartor/A 38437-2021 karta.png", "A 38437-2021")</f>
        <v/>
      </c>
      <c r="V113">
        <f>HYPERLINK("https://klasma.github.io/Logging_2480/klagomål/A 38437-2021 FSC-klagomål.docx", "A 38437-2021")</f>
        <v/>
      </c>
      <c r="W113">
        <f>HYPERLINK("https://klasma.github.io/Logging_2480/klagomålsmail/A 38437-2021 FSC-klagomål mail.docx", "A 38437-2021")</f>
        <v/>
      </c>
      <c r="X113">
        <f>HYPERLINK("https://klasma.github.io/Logging_2480/tillsyn/A 38437-2021 tillsynsbegäran.docx", "A 38437-2021")</f>
        <v/>
      </c>
      <c r="Y113">
        <f>HYPERLINK("https://klasma.github.io/Logging_2480/tillsynsmail/A 38437-2021 tillsynsbegäran mail.docx", "A 38437-2021")</f>
        <v/>
      </c>
    </row>
    <row r="114" ht="15" customHeight="1">
      <c r="A114" t="inlineStr">
        <is>
          <t>A 38545-2021</t>
        </is>
      </c>
      <c r="B114" s="1" t="n">
        <v>44407</v>
      </c>
      <c r="C114" s="1" t="n">
        <v>45733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HYPERLINK("https://klasma.github.io/Logging_2480/artfynd/A 38545-2021 artfynd.xlsx", "A 38545-2021")</f>
        <v/>
      </c>
      <c r="T114">
        <f>HYPERLINK("https://klasma.github.io/Logging_2480/kartor/A 38545-2021 karta.png", "A 38545-2021")</f>
        <v/>
      </c>
      <c r="V114">
        <f>HYPERLINK("https://klasma.github.io/Logging_2480/klagomål/A 38545-2021 FSC-klagomål.docx", "A 38545-2021")</f>
        <v/>
      </c>
      <c r="W114">
        <f>HYPERLINK("https://klasma.github.io/Logging_2480/klagomålsmail/A 38545-2021 FSC-klagomål mail.docx", "A 38545-2021")</f>
        <v/>
      </c>
      <c r="X114">
        <f>HYPERLINK("https://klasma.github.io/Logging_2480/tillsyn/A 38545-2021 tillsynsbegäran.docx", "A 38545-2021")</f>
        <v/>
      </c>
      <c r="Y114">
        <f>HYPERLINK("https://klasma.github.io/Logging_2480/tillsynsmail/A 38545-2021 tillsynsbegäran mail.docx", "A 38545-2021")</f>
        <v/>
      </c>
      <c r="Z114">
        <f>HYPERLINK("https://klasma.github.io/Logging_2480/fåglar/A 38545-2021 prioriterade fågelarter.docx", "A 38545-2021")</f>
        <v/>
      </c>
    </row>
    <row r="115" ht="15" customHeight="1">
      <c r="A115" t="inlineStr">
        <is>
          <t>A 38681-2021</t>
        </is>
      </c>
      <c r="B115" s="1" t="n">
        <v>44407</v>
      </c>
      <c r="C115" s="1" t="n">
        <v>45733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38681-2021 artfynd.xlsx", "A 38681-2021")</f>
        <v/>
      </c>
      <c r="T115">
        <f>HYPERLINK("https://klasma.github.io/Logging_2480/kartor/A 38681-2021 karta.png", "A 38681-2021")</f>
        <v/>
      </c>
      <c r="V115">
        <f>HYPERLINK("https://klasma.github.io/Logging_2480/klagomål/A 38681-2021 FSC-klagomål.docx", "A 38681-2021")</f>
        <v/>
      </c>
      <c r="W115">
        <f>HYPERLINK("https://klasma.github.io/Logging_2480/klagomålsmail/A 38681-2021 FSC-klagomål mail.docx", "A 38681-2021")</f>
        <v/>
      </c>
      <c r="X115">
        <f>HYPERLINK("https://klasma.github.io/Logging_2480/tillsyn/A 38681-2021 tillsynsbegäran.docx", "A 38681-2021")</f>
        <v/>
      </c>
      <c r="Y115">
        <f>HYPERLINK("https://klasma.github.io/Logging_2480/tillsynsmail/A 38681-2021 tillsynsbegäran mail.docx", "A 38681-2021")</f>
        <v/>
      </c>
      <c r="Z115">
        <f>HYPERLINK("https://klasma.github.io/Logging_2480/fåglar/A 38681-2021 prioriterade fågelarter.docx", "A 38681-2021")</f>
        <v/>
      </c>
    </row>
    <row r="116" ht="15" customHeight="1">
      <c r="A116" t="inlineStr">
        <is>
          <t>A 38683-2021</t>
        </is>
      </c>
      <c r="B116" s="1" t="n">
        <v>44407</v>
      </c>
      <c r="C116" s="1" t="n">
        <v>45733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Springkornsfältmätare</t>
        </is>
      </c>
      <c r="S116">
        <f>HYPERLINK("https://klasma.github.io/Logging_2480/artfynd/A 38683-2021 artfynd.xlsx", "A 38683-2021")</f>
        <v/>
      </c>
      <c r="T116">
        <f>HYPERLINK("https://klasma.github.io/Logging_2480/kartor/A 38683-2021 karta.png", "A 38683-2021")</f>
        <v/>
      </c>
      <c r="V116">
        <f>HYPERLINK("https://klasma.github.io/Logging_2480/klagomål/A 38683-2021 FSC-klagomål.docx", "A 38683-2021")</f>
        <v/>
      </c>
      <c r="W116">
        <f>HYPERLINK("https://klasma.github.io/Logging_2480/klagomålsmail/A 38683-2021 FSC-klagomål mail.docx", "A 38683-2021")</f>
        <v/>
      </c>
      <c r="X116">
        <f>HYPERLINK("https://klasma.github.io/Logging_2480/tillsyn/A 38683-2021 tillsynsbegäran.docx", "A 38683-2021")</f>
        <v/>
      </c>
      <c r="Y116">
        <f>HYPERLINK("https://klasma.github.io/Logging_2480/tillsynsmail/A 38683-2021 tillsynsbegäran mail.docx", "A 38683-2021")</f>
        <v/>
      </c>
    </row>
    <row r="117" ht="15" customHeight="1">
      <c r="A117" t="inlineStr">
        <is>
          <t>A 38719-2021</t>
        </is>
      </c>
      <c r="B117" s="1" t="n">
        <v>44410</v>
      </c>
      <c r="C117" s="1" t="n">
        <v>45733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HYPERLINK("https://klasma.github.io/Logging_2480/artfynd/A 38719-2021 artfynd.xlsx", "A 38719-2021")</f>
        <v/>
      </c>
      <c r="T117">
        <f>HYPERLINK("https://klasma.github.io/Logging_2480/kartor/A 38719-2021 karta.png", "A 38719-2021")</f>
        <v/>
      </c>
      <c r="V117">
        <f>HYPERLINK("https://klasma.github.io/Logging_2480/klagomål/A 38719-2021 FSC-klagomål.docx", "A 38719-2021")</f>
        <v/>
      </c>
      <c r="W117">
        <f>HYPERLINK("https://klasma.github.io/Logging_2480/klagomålsmail/A 38719-2021 FSC-klagomål mail.docx", "A 38719-2021")</f>
        <v/>
      </c>
      <c r="X117">
        <f>HYPERLINK("https://klasma.github.io/Logging_2480/tillsyn/A 38719-2021 tillsynsbegäran.docx", "A 38719-2021")</f>
        <v/>
      </c>
      <c r="Y117">
        <f>HYPERLINK("https://klasma.github.io/Logging_2480/tillsynsmail/A 38719-2021 tillsynsbegäran mail.docx", "A 38719-2021")</f>
        <v/>
      </c>
      <c r="Z117">
        <f>HYPERLINK("https://klasma.github.io/Logging_2480/fåglar/A 38719-2021 prioriterade fågelarter.docx", "A 38719-2021")</f>
        <v/>
      </c>
    </row>
    <row r="118" ht="15" customHeight="1">
      <c r="A118" t="inlineStr">
        <is>
          <t>A 38700-2021</t>
        </is>
      </c>
      <c r="B118" s="1" t="n">
        <v>44410</v>
      </c>
      <c r="C118" s="1" t="n">
        <v>45733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38700-2021 artfynd.xlsx", "A 38700-2021")</f>
        <v/>
      </c>
      <c r="T118">
        <f>HYPERLINK("https://klasma.github.io/Logging_2480/kartor/A 38700-2021 karta.png", "A 38700-2021")</f>
        <v/>
      </c>
      <c r="V118">
        <f>HYPERLINK("https://klasma.github.io/Logging_2480/klagomål/A 38700-2021 FSC-klagomål.docx", "A 38700-2021")</f>
        <v/>
      </c>
      <c r="W118">
        <f>HYPERLINK("https://klasma.github.io/Logging_2480/klagomålsmail/A 38700-2021 FSC-klagomål mail.docx", "A 38700-2021")</f>
        <v/>
      </c>
      <c r="X118">
        <f>HYPERLINK("https://klasma.github.io/Logging_2480/tillsyn/A 38700-2021 tillsynsbegäran.docx", "A 38700-2021")</f>
        <v/>
      </c>
      <c r="Y118">
        <f>HYPERLINK("https://klasma.github.io/Logging_2480/tillsynsmail/A 38700-2021 tillsynsbegäran mail.docx", "A 38700-2021")</f>
        <v/>
      </c>
    </row>
    <row r="119" ht="15" customHeight="1">
      <c r="A119" t="inlineStr">
        <is>
          <t>A 38742-2021</t>
        </is>
      </c>
      <c r="B119" s="1" t="n">
        <v>44410</v>
      </c>
      <c r="C119" s="1" t="n">
        <v>45733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Stubbträfluga</t>
        </is>
      </c>
      <c r="S119">
        <f>HYPERLINK("https://klasma.github.io/Logging_2480/artfynd/A 38742-2021 artfynd.xlsx", "A 38742-2021")</f>
        <v/>
      </c>
      <c r="T119">
        <f>HYPERLINK("https://klasma.github.io/Logging_2480/kartor/A 38742-2021 karta.png", "A 38742-2021")</f>
        <v/>
      </c>
      <c r="V119">
        <f>HYPERLINK("https://klasma.github.io/Logging_2480/klagomål/A 38742-2021 FSC-klagomål.docx", "A 38742-2021")</f>
        <v/>
      </c>
      <c r="W119">
        <f>HYPERLINK("https://klasma.github.io/Logging_2480/klagomålsmail/A 38742-2021 FSC-klagomål mail.docx", "A 38742-2021")</f>
        <v/>
      </c>
      <c r="X119">
        <f>HYPERLINK("https://klasma.github.io/Logging_2480/tillsyn/A 38742-2021 tillsynsbegäran.docx", "A 38742-2021")</f>
        <v/>
      </c>
      <c r="Y119">
        <f>HYPERLINK("https://klasma.github.io/Logging_2480/tillsynsmail/A 38742-2021 tillsynsbegäran mail.docx", "A 38742-2021")</f>
        <v/>
      </c>
    </row>
    <row r="120" ht="15" customHeight="1">
      <c r="A120" t="inlineStr">
        <is>
          <t>A 47038-2021</t>
        </is>
      </c>
      <c r="B120" s="1" t="n">
        <v>44446</v>
      </c>
      <c r="C120" s="1" t="n">
        <v>45733</v>
      </c>
      <c r="D120" t="inlineStr">
        <is>
          <t>VÄSTERBOTTENS LÄN</t>
        </is>
      </c>
      <c r="E120" t="inlineStr">
        <is>
          <t>UMEÅ</t>
        </is>
      </c>
      <c r="G120" t="n">
        <v>22.3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47038-2021 artfynd.xlsx", "A 47038-2021")</f>
        <v/>
      </c>
      <c r="T120">
        <f>HYPERLINK("https://klasma.github.io/Logging_2480/kartor/A 47038-2021 karta.png", "A 47038-2021")</f>
        <v/>
      </c>
      <c r="V120">
        <f>HYPERLINK("https://klasma.github.io/Logging_2480/klagomål/A 47038-2021 FSC-klagomål.docx", "A 47038-2021")</f>
        <v/>
      </c>
      <c r="W120">
        <f>HYPERLINK("https://klasma.github.io/Logging_2480/klagomålsmail/A 47038-2021 FSC-klagomål mail.docx", "A 47038-2021")</f>
        <v/>
      </c>
      <c r="X120">
        <f>HYPERLINK("https://klasma.github.io/Logging_2480/tillsyn/A 47038-2021 tillsynsbegäran.docx", "A 47038-2021")</f>
        <v/>
      </c>
      <c r="Y120">
        <f>HYPERLINK("https://klasma.github.io/Logging_2480/tillsynsmail/A 47038-2021 tillsynsbegäran mail.docx", "A 47038-2021")</f>
        <v/>
      </c>
    </row>
    <row r="121" ht="15" customHeight="1">
      <c r="A121" t="inlineStr">
        <is>
          <t>A 49774-2021</t>
        </is>
      </c>
      <c r="B121" s="1" t="n">
        <v>44455</v>
      </c>
      <c r="C121" s="1" t="n">
        <v>45733</v>
      </c>
      <c r="D121" t="inlineStr">
        <is>
          <t>VÄSTERBOTTENS LÄN</t>
        </is>
      </c>
      <c r="E121" t="inlineStr">
        <is>
          <t>UMEÅ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HYPERLINK("https://klasma.github.io/Logging_2480/artfynd/A 49774-2021 artfynd.xlsx", "A 49774-2021")</f>
        <v/>
      </c>
      <c r="T121">
        <f>HYPERLINK("https://klasma.github.io/Logging_2480/kartor/A 49774-2021 karta.png", "A 49774-2021")</f>
        <v/>
      </c>
      <c r="V121">
        <f>HYPERLINK("https://klasma.github.io/Logging_2480/klagomål/A 49774-2021 FSC-klagomål.docx", "A 49774-2021")</f>
        <v/>
      </c>
      <c r="W121">
        <f>HYPERLINK("https://klasma.github.io/Logging_2480/klagomålsmail/A 49774-2021 FSC-klagomål mail.docx", "A 49774-2021")</f>
        <v/>
      </c>
      <c r="X121">
        <f>HYPERLINK("https://klasma.github.io/Logging_2480/tillsyn/A 49774-2021 tillsynsbegäran.docx", "A 49774-2021")</f>
        <v/>
      </c>
      <c r="Y121">
        <f>HYPERLINK("https://klasma.github.io/Logging_2480/tillsynsmail/A 49774-2021 tillsynsbegäran mail.docx", "A 49774-2021")</f>
        <v/>
      </c>
    </row>
    <row r="122" ht="15" customHeight="1">
      <c r="A122" t="inlineStr">
        <is>
          <t>A 49850-2021</t>
        </is>
      </c>
      <c r="B122" s="1" t="n">
        <v>44455</v>
      </c>
      <c r="C122" s="1" t="n">
        <v>45733</v>
      </c>
      <c r="D122" t="inlineStr">
        <is>
          <t>VÄSTERBOTTENS LÄN</t>
        </is>
      </c>
      <c r="E122" t="inlineStr">
        <is>
          <t>UMEÅ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Skogshare</t>
        </is>
      </c>
      <c r="S122">
        <f>HYPERLINK("https://klasma.github.io/Logging_2480/artfynd/A 49850-2021 artfynd.xlsx", "A 49850-2021")</f>
        <v/>
      </c>
      <c r="T122">
        <f>HYPERLINK("https://klasma.github.io/Logging_2480/kartor/A 49850-2021 karta.png", "A 49850-2021")</f>
        <v/>
      </c>
      <c r="V122">
        <f>HYPERLINK("https://klasma.github.io/Logging_2480/klagomål/A 49850-2021 FSC-klagomål.docx", "A 49850-2021")</f>
        <v/>
      </c>
      <c r="W122">
        <f>HYPERLINK("https://klasma.github.io/Logging_2480/klagomålsmail/A 49850-2021 FSC-klagomål mail.docx", "A 49850-2021")</f>
        <v/>
      </c>
      <c r="X122">
        <f>HYPERLINK("https://klasma.github.io/Logging_2480/tillsyn/A 49850-2021 tillsynsbegäran.docx", "A 49850-2021")</f>
        <v/>
      </c>
      <c r="Y122">
        <f>HYPERLINK("https://klasma.github.io/Logging_2480/tillsynsmail/A 49850-2021 tillsynsbegäran mail.docx", "A 49850-2021")</f>
        <v/>
      </c>
    </row>
    <row r="123" ht="15" customHeight="1">
      <c r="A123" t="inlineStr">
        <is>
          <t>A 11502-2022</t>
        </is>
      </c>
      <c r="B123" s="1" t="n">
        <v>44631</v>
      </c>
      <c r="C123" s="1" t="n">
        <v>45733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HYPERLINK("https://klasma.github.io/Logging_2480/artfynd/A 11502-2022 artfynd.xlsx", "A 11502-2022")</f>
        <v/>
      </c>
      <c r="T123">
        <f>HYPERLINK("https://klasma.github.io/Logging_2480/kartor/A 11502-2022 karta.png", "A 11502-2022")</f>
        <v/>
      </c>
      <c r="V123">
        <f>HYPERLINK("https://klasma.github.io/Logging_2480/klagomål/A 11502-2022 FSC-klagomål.docx", "A 11502-2022")</f>
        <v/>
      </c>
      <c r="W123">
        <f>HYPERLINK("https://klasma.github.io/Logging_2480/klagomålsmail/A 11502-2022 FSC-klagomål mail.docx", "A 11502-2022")</f>
        <v/>
      </c>
      <c r="X123">
        <f>HYPERLINK("https://klasma.github.io/Logging_2480/tillsyn/A 11502-2022 tillsynsbegäran.docx", "A 11502-2022")</f>
        <v/>
      </c>
      <c r="Y123">
        <f>HYPERLINK("https://klasma.github.io/Logging_2480/tillsynsmail/A 11502-2022 tillsynsbegäran mail.docx", "A 11502-2022")</f>
        <v/>
      </c>
    </row>
    <row r="124" ht="15" customHeight="1">
      <c r="A124" t="inlineStr">
        <is>
          <t>A 16839-2022</t>
        </is>
      </c>
      <c r="B124" s="1" t="n">
        <v>44673</v>
      </c>
      <c r="C124" s="1" t="n">
        <v>45733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Kråka</t>
        </is>
      </c>
      <c r="S124">
        <f>HYPERLINK("https://klasma.github.io/Logging_2480/artfynd/A 16839-2022 artfynd.xlsx", "A 16839-2022")</f>
        <v/>
      </c>
      <c r="T124">
        <f>HYPERLINK("https://klasma.github.io/Logging_2480/kartor/A 16839-2022 karta.png", "A 16839-2022")</f>
        <v/>
      </c>
      <c r="V124">
        <f>HYPERLINK("https://klasma.github.io/Logging_2480/klagomål/A 16839-2022 FSC-klagomål.docx", "A 16839-2022")</f>
        <v/>
      </c>
      <c r="W124">
        <f>HYPERLINK("https://klasma.github.io/Logging_2480/klagomålsmail/A 16839-2022 FSC-klagomål mail.docx", "A 16839-2022")</f>
        <v/>
      </c>
      <c r="X124">
        <f>HYPERLINK("https://klasma.github.io/Logging_2480/tillsyn/A 16839-2022 tillsynsbegäran.docx", "A 16839-2022")</f>
        <v/>
      </c>
      <c r="Y124">
        <f>HYPERLINK("https://klasma.github.io/Logging_2480/tillsynsmail/A 16839-2022 tillsynsbegäran mail.docx", "A 16839-2022")</f>
        <v/>
      </c>
      <c r="Z124">
        <f>HYPERLINK("https://klasma.github.io/Logging_2480/fåglar/A 16839-2022 prioriterade fågelarter.docx", "A 16839-2022")</f>
        <v/>
      </c>
    </row>
    <row r="125" ht="15" customHeight="1">
      <c r="A125" t="inlineStr">
        <is>
          <t>A 23035-2022</t>
        </is>
      </c>
      <c r="B125" s="1" t="n">
        <v>44715</v>
      </c>
      <c r="C125" s="1" t="n">
        <v>45733</v>
      </c>
      <c r="D125" t="inlineStr">
        <is>
          <t>VÄSTERBOTTENS LÄN</t>
        </is>
      </c>
      <c r="E125" t="inlineStr">
        <is>
          <t>UMEÅ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HYPERLINK("https://klasma.github.io/Logging_2480/artfynd/A 23035-2022 artfynd.xlsx", "A 23035-2022")</f>
        <v/>
      </c>
      <c r="T125">
        <f>HYPERLINK("https://klasma.github.io/Logging_2480/kartor/A 23035-2022 karta.png", "A 23035-2022")</f>
        <v/>
      </c>
      <c r="V125">
        <f>HYPERLINK("https://klasma.github.io/Logging_2480/klagomål/A 23035-2022 FSC-klagomål.docx", "A 23035-2022")</f>
        <v/>
      </c>
      <c r="W125">
        <f>HYPERLINK("https://klasma.github.io/Logging_2480/klagomålsmail/A 23035-2022 FSC-klagomål mail.docx", "A 23035-2022")</f>
        <v/>
      </c>
      <c r="X125">
        <f>HYPERLINK("https://klasma.github.io/Logging_2480/tillsyn/A 23035-2022 tillsynsbegäran.docx", "A 23035-2022")</f>
        <v/>
      </c>
      <c r="Y125">
        <f>HYPERLINK("https://klasma.github.io/Logging_2480/tillsynsmail/A 23035-2022 tillsynsbegäran mail.docx", "A 23035-2022")</f>
        <v/>
      </c>
    </row>
    <row r="126" ht="15" customHeight="1">
      <c r="A126" t="inlineStr">
        <is>
          <t>A 25702-2022</t>
        </is>
      </c>
      <c r="B126" s="1" t="n">
        <v>44733</v>
      </c>
      <c r="C126" s="1" t="n">
        <v>45733</v>
      </c>
      <c r="D126" t="inlineStr">
        <is>
          <t>VÄSTERBOTTENS LÄN</t>
        </is>
      </c>
      <c r="E126" t="inlineStr">
        <is>
          <t>UMEÅ</t>
        </is>
      </c>
      <c r="F126" t="inlineStr">
        <is>
          <t>Holmen skog AB</t>
        </is>
      </c>
      <c r="G126" t="n">
        <v>8.5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25702-2022 artfynd.xlsx", "A 25702-2022")</f>
        <v/>
      </c>
      <c r="T126">
        <f>HYPERLINK("https://klasma.github.io/Logging_2480/kartor/A 25702-2022 karta.png", "A 25702-2022")</f>
        <v/>
      </c>
      <c r="V126">
        <f>HYPERLINK("https://klasma.github.io/Logging_2480/klagomål/A 25702-2022 FSC-klagomål.docx", "A 25702-2022")</f>
        <v/>
      </c>
      <c r="W126">
        <f>HYPERLINK("https://klasma.github.io/Logging_2480/klagomålsmail/A 25702-2022 FSC-klagomål mail.docx", "A 25702-2022")</f>
        <v/>
      </c>
      <c r="X126">
        <f>HYPERLINK("https://klasma.github.io/Logging_2480/tillsyn/A 25702-2022 tillsynsbegäran.docx", "A 25702-2022")</f>
        <v/>
      </c>
      <c r="Y126">
        <f>HYPERLINK("https://klasma.github.io/Logging_2480/tillsynsmail/A 25702-2022 tillsynsbegäran mail.docx", "A 25702-2022")</f>
        <v/>
      </c>
      <c r="Z126">
        <f>HYPERLINK("https://klasma.github.io/Logging_2480/fåglar/A 25702-2022 prioriterade fågelarter.docx", "A 25702-2022")</f>
        <v/>
      </c>
    </row>
    <row r="127" ht="15" customHeight="1">
      <c r="A127" t="inlineStr">
        <is>
          <t>A 31318-2022</t>
        </is>
      </c>
      <c r="B127" s="1" t="n">
        <v>44772</v>
      </c>
      <c r="C127" s="1" t="n">
        <v>45733</v>
      </c>
      <c r="D127" t="inlineStr">
        <is>
          <t>VÄSTERBOTTENS LÄN</t>
        </is>
      </c>
      <c r="E127" t="inlineStr">
        <is>
          <t>UMEÅ</t>
        </is>
      </c>
      <c r="G127" t="n">
        <v>11.3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Sävsparv</t>
        </is>
      </c>
      <c r="S127">
        <f>HYPERLINK("https://klasma.github.io/Logging_2480/artfynd/A 31318-2022 artfynd.xlsx", "A 31318-2022")</f>
        <v/>
      </c>
      <c r="T127">
        <f>HYPERLINK("https://klasma.github.io/Logging_2480/kartor/A 31318-2022 karta.png", "A 31318-2022")</f>
        <v/>
      </c>
      <c r="V127">
        <f>HYPERLINK("https://klasma.github.io/Logging_2480/klagomål/A 31318-2022 FSC-klagomål.docx", "A 31318-2022")</f>
        <v/>
      </c>
      <c r="W127">
        <f>HYPERLINK("https://klasma.github.io/Logging_2480/klagomålsmail/A 31318-2022 FSC-klagomål mail.docx", "A 31318-2022")</f>
        <v/>
      </c>
      <c r="X127">
        <f>HYPERLINK("https://klasma.github.io/Logging_2480/tillsyn/A 31318-2022 tillsynsbegäran.docx", "A 31318-2022")</f>
        <v/>
      </c>
      <c r="Y127">
        <f>HYPERLINK("https://klasma.github.io/Logging_2480/tillsynsmail/A 31318-2022 tillsynsbegäran mail.docx", "A 31318-2022")</f>
        <v/>
      </c>
      <c r="Z127">
        <f>HYPERLINK("https://klasma.github.io/Logging_2480/fåglar/A 31318-2022 prioriterade fågelarter.docx", "A 31318-2022")</f>
        <v/>
      </c>
    </row>
    <row r="128" ht="15" customHeight="1">
      <c r="A128" t="inlineStr">
        <is>
          <t>A 43519-2022</t>
        </is>
      </c>
      <c r="B128" s="1" t="n">
        <v>44837</v>
      </c>
      <c r="C128" s="1" t="n">
        <v>45733</v>
      </c>
      <c r="D128" t="inlineStr">
        <is>
          <t>VÄSTERBOTTENS LÄN</t>
        </is>
      </c>
      <c r="E128" t="inlineStr">
        <is>
          <t>UMEÅ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43519-2022 artfynd.xlsx", "A 43519-2022")</f>
        <v/>
      </c>
      <c r="T128">
        <f>HYPERLINK("https://klasma.github.io/Logging_2480/kartor/A 43519-2022 karta.png", "A 43519-2022")</f>
        <v/>
      </c>
      <c r="V128">
        <f>HYPERLINK("https://klasma.github.io/Logging_2480/klagomål/A 43519-2022 FSC-klagomål.docx", "A 43519-2022")</f>
        <v/>
      </c>
      <c r="W128">
        <f>HYPERLINK("https://klasma.github.io/Logging_2480/klagomålsmail/A 43519-2022 FSC-klagomål mail.docx", "A 43519-2022")</f>
        <v/>
      </c>
      <c r="X128">
        <f>HYPERLINK("https://klasma.github.io/Logging_2480/tillsyn/A 43519-2022 tillsynsbegäran.docx", "A 43519-2022")</f>
        <v/>
      </c>
      <c r="Y128">
        <f>HYPERLINK("https://klasma.github.io/Logging_2480/tillsynsmail/A 43519-2022 tillsynsbegäran mail.docx", "A 43519-2022")</f>
        <v/>
      </c>
    </row>
    <row r="129" ht="15" customHeight="1">
      <c r="A129" t="inlineStr">
        <is>
          <t>A 48771-2022</t>
        </is>
      </c>
      <c r="B129" s="1" t="n">
        <v>44859</v>
      </c>
      <c r="C129" s="1" t="n">
        <v>45733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HYPERLINK("https://klasma.github.io/Logging_2480/artfynd/A 48771-2022 artfynd.xlsx", "A 48771-2022")</f>
        <v/>
      </c>
      <c r="T129">
        <f>HYPERLINK("https://klasma.github.io/Logging_2480/kartor/A 48771-2022 karta.png", "A 48771-2022")</f>
        <v/>
      </c>
      <c r="V129">
        <f>HYPERLINK("https://klasma.github.io/Logging_2480/klagomål/A 48771-2022 FSC-klagomål.docx", "A 48771-2022")</f>
        <v/>
      </c>
      <c r="W129">
        <f>HYPERLINK("https://klasma.github.io/Logging_2480/klagomålsmail/A 48771-2022 FSC-klagomål mail.docx", "A 48771-2022")</f>
        <v/>
      </c>
      <c r="X129">
        <f>HYPERLINK("https://klasma.github.io/Logging_2480/tillsyn/A 48771-2022 tillsynsbegäran.docx", "A 48771-2022")</f>
        <v/>
      </c>
      <c r="Y129">
        <f>HYPERLINK("https://klasma.github.io/Logging_2480/tillsynsmail/A 48771-2022 tillsynsbegäran mail.docx", "A 48771-2022")</f>
        <v/>
      </c>
    </row>
    <row r="130" ht="15" customHeight="1">
      <c r="A130" t="inlineStr">
        <is>
          <t>A 49658-2022</t>
        </is>
      </c>
      <c r="B130" s="1" t="n">
        <v>44862</v>
      </c>
      <c r="C130" s="1" t="n">
        <v>45733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groda</t>
        </is>
      </c>
      <c r="S130">
        <f>HYPERLINK("https://klasma.github.io/Logging_2480/artfynd/A 49658-2022 artfynd.xlsx", "A 49658-2022")</f>
        <v/>
      </c>
      <c r="T130">
        <f>HYPERLINK("https://klasma.github.io/Logging_2480/kartor/A 49658-2022 karta.png", "A 49658-2022")</f>
        <v/>
      </c>
      <c r="V130">
        <f>HYPERLINK("https://klasma.github.io/Logging_2480/klagomål/A 49658-2022 FSC-klagomål.docx", "A 49658-2022")</f>
        <v/>
      </c>
      <c r="W130">
        <f>HYPERLINK("https://klasma.github.io/Logging_2480/klagomålsmail/A 49658-2022 FSC-klagomål mail.docx", "A 49658-2022")</f>
        <v/>
      </c>
      <c r="X130">
        <f>HYPERLINK("https://klasma.github.io/Logging_2480/tillsyn/A 49658-2022 tillsynsbegäran.docx", "A 49658-2022")</f>
        <v/>
      </c>
      <c r="Y130">
        <f>HYPERLINK("https://klasma.github.io/Logging_2480/tillsynsmail/A 49658-2022 tillsynsbegäran mail.docx", "A 49658-2022")</f>
        <v/>
      </c>
    </row>
    <row r="131" ht="15" customHeight="1">
      <c r="A131" t="inlineStr">
        <is>
          <t>A 59075-2022</t>
        </is>
      </c>
      <c r="B131" s="1" t="n">
        <v>44904</v>
      </c>
      <c r="C131" s="1" t="n">
        <v>45733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HYPERLINK("https://klasma.github.io/Logging_2480/artfynd/A 59075-2022 artfynd.xlsx", "A 59075-2022")</f>
        <v/>
      </c>
      <c r="T131">
        <f>HYPERLINK("https://klasma.github.io/Logging_2480/kartor/A 59075-2022 karta.png", "A 59075-2022")</f>
        <v/>
      </c>
      <c r="V131">
        <f>HYPERLINK("https://klasma.github.io/Logging_2480/klagomål/A 59075-2022 FSC-klagomål.docx", "A 59075-2022")</f>
        <v/>
      </c>
      <c r="W131">
        <f>HYPERLINK("https://klasma.github.io/Logging_2480/klagomålsmail/A 59075-2022 FSC-klagomål mail.docx", "A 59075-2022")</f>
        <v/>
      </c>
      <c r="X131">
        <f>HYPERLINK("https://klasma.github.io/Logging_2480/tillsyn/A 59075-2022 tillsynsbegäran.docx", "A 59075-2022")</f>
        <v/>
      </c>
      <c r="Y131">
        <f>HYPERLINK("https://klasma.github.io/Logging_2480/tillsynsmail/A 59075-2022 tillsynsbegäran mail.docx", "A 59075-2022")</f>
        <v/>
      </c>
    </row>
    <row r="132" ht="15" customHeight="1">
      <c r="A132" t="inlineStr">
        <is>
          <t>A 11395-2023</t>
        </is>
      </c>
      <c r="B132" s="1" t="n">
        <v>44993</v>
      </c>
      <c r="C132" s="1" t="n">
        <v>45733</v>
      </c>
      <c r="D132" t="inlineStr">
        <is>
          <t>VÄSTERBOTTENS LÄN</t>
        </is>
      </c>
      <c r="E132" t="inlineStr">
        <is>
          <t>UMEÅ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HYPERLINK("https://klasma.github.io/Logging_2480/artfynd/A 11395-2023 artfynd.xlsx", "A 11395-2023")</f>
        <v/>
      </c>
      <c r="T132">
        <f>HYPERLINK("https://klasma.github.io/Logging_2480/kartor/A 11395-2023 karta.png", "A 11395-2023")</f>
        <v/>
      </c>
      <c r="V132">
        <f>HYPERLINK("https://klasma.github.io/Logging_2480/klagomål/A 11395-2023 FSC-klagomål.docx", "A 11395-2023")</f>
        <v/>
      </c>
      <c r="W132">
        <f>HYPERLINK("https://klasma.github.io/Logging_2480/klagomålsmail/A 11395-2023 FSC-klagomål mail.docx", "A 11395-2023")</f>
        <v/>
      </c>
      <c r="X132">
        <f>HYPERLINK("https://klasma.github.io/Logging_2480/tillsyn/A 11395-2023 tillsynsbegäran.docx", "A 11395-2023")</f>
        <v/>
      </c>
      <c r="Y132">
        <f>HYPERLINK("https://klasma.github.io/Logging_2480/tillsynsmail/A 11395-2023 tillsynsbegäran mail.docx", "A 11395-2023")</f>
        <v/>
      </c>
    </row>
    <row r="133" ht="15" customHeight="1">
      <c r="A133" t="inlineStr">
        <is>
          <t>A 15654-2023</t>
        </is>
      </c>
      <c r="B133" s="1" t="n">
        <v>45019</v>
      </c>
      <c r="C133" s="1" t="n">
        <v>45733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HYPERLINK("https://klasma.github.io/Logging_2480/artfynd/A 15654-2023 artfynd.xlsx", "A 15654-2023")</f>
        <v/>
      </c>
      <c r="T133">
        <f>HYPERLINK("https://klasma.github.io/Logging_2480/kartor/A 15654-2023 karta.png", "A 15654-2023")</f>
        <v/>
      </c>
      <c r="V133">
        <f>HYPERLINK("https://klasma.github.io/Logging_2480/klagomål/A 15654-2023 FSC-klagomål.docx", "A 15654-2023")</f>
        <v/>
      </c>
      <c r="W133">
        <f>HYPERLINK("https://klasma.github.io/Logging_2480/klagomålsmail/A 15654-2023 FSC-klagomål mail.docx", "A 15654-2023")</f>
        <v/>
      </c>
      <c r="X133">
        <f>HYPERLINK("https://klasma.github.io/Logging_2480/tillsyn/A 15654-2023 tillsynsbegäran.docx", "A 15654-2023")</f>
        <v/>
      </c>
      <c r="Y133">
        <f>HYPERLINK("https://klasma.github.io/Logging_2480/tillsynsmail/A 15654-2023 tillsynsbegäran mail.docx", "A 15654-2023")</f>
        <v/>
      </c>
    </row>
    <row r="134" ht="15" customHeight="1">
      <c r="A134" t="inlineStr">
        <is>
          <t>A 28262-2023</t>
        </is>
      </c>
      <c r="B134" s="1" t="n">
        <v>45099</v>
      </c>
      <c r="C134" s="1" t="n">
        <v>45733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Gulskölding</t>
        </is>
      </c>
      <c r="S134">
        <f>HYPERLINK("https://klasma.github.io/Logging_2480/artfynd/A 28262-2023 artfynd.xlsx", "A 28262-2023")</f>
        <v/>
      </c>
      <c r="T134">
        <f>HYPERLINK("https://klasma.github.io/Logging_2480/kartor/A 28262-2023 karta.png", "A 28262-2023")</f>
        <v/>
      </c>
      <c r="V134">
        <f>HYPERLINK("https://klasma.github.io/Logging_2480/klagomål/A 28262-2023 FSC-klagomål.docx", "A 28262-2023")</f>
        <v/>
      </c>
      <c r="W134">
        <f>HYPERLINK("https://klasma.github.io/Logging_2480/klagomålsmail/A 28262-2023 FSC-klagomål mail.docx", "A 28262-2023")</f>
        <v/>
      </c>
      <c r="X134">
        <f>HYPERLINK("https://klasma.github.io/Logging_2480/tillsyn/A 28262-2023 tillsynsbegäran.docx", "A 28262-2023")</f>
        <v/>
      </c>
      <c r="Y134">
        <f>HYPERLINK("https://klasma.github.io/Logging_2480/tillsynsmail/A 28262-2023 tillsynsbegäran mail.docx", "A 28262-2023")</f>
        <v/>
      </c>
    </row>
    <row r="135" ht="15" customHeight="1">
      <c r="A135" t="inlineStr">
        <is>
          <t>A 31311-2023</t>
        </is>
      </c>
      <c r="B135" s="1" t="n">
        <v>45104</v>
      </c>
      <c r="C135" s="1" t="n">
        <v>45733</v>
      </c>
      <c r="D135" t="inlineStr">
        <is>
          <t>VÄSTERBOTTENS LÄN</t>
        </is>
      </c>
      <c r="E135" t="inlineStr">
        <is>
          <t>UMEÅ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31311-2023 artfynd.xlsx", "A 31311-2023")</f>
        <v/>
      </c>
      <c r="T135">
        <f>HYPERLINK("https://klasma.github.io/Logging_2480/kartor/A 31311-2023 karta.png", "A 31311-2023")</f>
        <v/>
      </c>
      <c r="V135">
        <f>HYPERLINK("https://klasma.github.io/Logging_2480/klagomål/A 31311-2023 FSC-klagomål.docx", "A 31311-2023")</f>
        <v/>
      </c>
      <c r="W135">
        <f>HYPERLINK("https://klasma.github.io/Logging_2480/klagomålsmail/A 31311-2023 FSC-klagomål mail.docx", "A 31311-2023")</f>
        <v/>
      </c>
      <c r="X135">
        <f>HYPERLINK("https://klasma.github.io/Logging_2480/tillsyn/A 31311-2023 tillsynsbegäran.docx", "A 31311-2023")</f>
        <v/>
      </c>
      <c r="Y135">
        <f>HYPERLINK("https://klasma.github.io/Logging_2480/tillsynsmail/A 31311-2023 tillsynsbegäran mail.docx", "A 31311-2023")</f>
        <v/>
      </c>
    </row>
    <row r="136" ht="15" customHeight="1">
      <c r="A136" t="inlineStr">
        <is>
          <t>A 31468-2023</t>
        </is>
      </c>
      <c r="B136" s="1" t="n">
        <v>45114</v>
      </c>
      <c r="C136" s="1" t="n">
        <v>45733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HYPERLINK("https://klasma.github.io/Logging_2480/artfynd/A 31468-2023 artfynd.xlsx", "A 31468-2023")</f>
        <v/>
      </c>
      <c r="T136">
        <f>HYPERLINK("https://klasma.github.io/Logging_2480/kartor/A 31468-2023 karta.png", "A 31468-2023")</f>
        <v/>
      </c>
      <c r="V136">
        <f>HYPERLINK("https://klasma.github.io/Logging_2480/klagomål/A 31468-2023 FSC-klagomål.docx", "A 31468-2023")</f>
        <v/>
      </c>
      <c r="W136">
        <f>HYPERLINK("https://klasma.github.io/Logging_2480/klagomålsmail/A 31468-2023 FSC-klagomål mail.docx", "A 31468-2023")</f>
        <v/>
      </c>
      <c r="X136">
        <f>HYPERLINK("https://klasma.github.io/Logging_2480/tillsyn/A 31468-2023 tillsynsbegäran.docx", "A 31468-2023")</f>
        <v/>
      </c>
      <c r="Y136">
        <f>HYPERLINK("https://klasma.github.io/Logging_2480/tillsynsmail/A 31468-2023 tillsynsbegäran mail.docx", "A 31468-2023")</f>
        <v/>
      </c>
      <c r="Z136">
        <f>HYPERLINK("https://klasma.github.io/Logging_2480/fåglar/A 31468-2023 prioriterade fågelarter.docx", "A 31468-2023")</f>
        <v/>
      </c>
    </row>
    <row r="137" ht="15" customHeight="1">
      <c r="A137" t="inlineStr">
        <is>
          <t>A 33419-2023</t>
        </is>
      </c>
      <c r="B137" s="1" t="n">
        <v>45128</v>
      </c>
      <c r="C137" s="1" t="n">
        <v>45733</v>
      </c>
      <c r="D137" t="inlineStr">
        <is>
          <t>VÄSTERBOTTENS LÄN</t>
        </is>
      </c>
      <c r="E137" t="inlineStr">
        <is>
          <t>UMEÅ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Goliatmusseron</t>
        </is>
      </c>
      <c r="S137">
        <f>HYPERLINK("https://klasma.github.io/Logging_2480/artfynd/A 33419-2023 artfynd.xlsx", "A 33419-2023")</f>
        <v/>
      </c>
      <c r="T137">
        <f>HYPERLINK("https://klasma.github.io/Logging_2480/kartor/A 33419-2023 karta.png", "A 33419-2023")</f>
        <v/>
      </c>
      <c r="V137">
        <f>HYPERLINK("https://klasma.github.io/Logging_2480/klagomål/A 33419-2023 FSC-klagomål.docx", "A 33419-2023")</f>
        <v/>
      </c>
      <c r="W137">
        <f>HYPERLINK("https://klasma.github.io/Logging_2480/klagomålsmail/A 33419-2023 FSC-klagomål mail.docx", "A 33419-2023")</f>
        <v/>
      </c>
      <c r="X137">
        <f>HYPERLINK("https://klasma.github.io/Logging_2480/tillsyn/A 33419-2023 tillsynsbegäran.docx", "A 33419-2023")</f>
        <v/>
      </c>
      <c r="Y137">
        <f>HYPERLINK("https://klasma.github.io/Logging_2480/tillsynsmail/A 33419-2023 tillsynsbegäran mail.docx", "A 33419-2023")</f>
        <v/>
      </c>
    </row>
    <row r="138" ht="15" customHeight="1">
      <c r="A138" t="inlineStr">
        <is>
          <t>A 36528-2023</t>
        </is>
      </c>
      <c r="B138" s="1" t="n">
        <v>45152</v>
      </c>
      <c r="C138" s="1" t="n">
        <v>45733</v>
      </c>
      <c r="D138" t="inlineStr">
        <is>
          <t>VÄSTERBOTTENS LÄN</t>
        </is>
      </c>
      <c r="E138" t="inlineStr">
        <is>
          <t>UMEÅ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HYPERLINK("https://klasma.github.io/Logging_2480/artfynd/A 36528-2023 artfynd.xlsx", "A 36528-2023")</f>
        <v/>
      </c>
      <c r="T138">
        <f>HYPERLINK("https://klasma.github.io/Logging_2480/kartor/A 36528-2023 karta.png", "A 36528-2023")</f>
        <v/>
      </c>
      <c r="U138">
        <f>HYPERLINK("https://klasma.github.io/Logging_2480/knärot/A 36528-2023 karta knärot.png", "A 36528-2023")</f>
        <v/>
      </c>
      <c r="V138">
        <f>HYPERLINK("https://klasma.github.io/Logging_2480/klagomål/A 36528-2023 FSC-klagomål.docx", "A 36528-2023")</f>
        <v/>
      </c>
      <c r="W138">
        <f>HYPERLINK("https://klasma.github.io/Logging_2480/klagomålsmail/A 36528-2023 FSC-klagomål mail.docx", "A 36528-2023")</f>
        <v/>
      </c>
      <c r="X138">
        <f>HYPERLINK("https://klasma.github.io/Logging_2480/tillsyn/A 36528-2023 tillsynsbegäran.docx", "A 36528-2023")</f>
        <v/>
      </c>
      <c r="Y138">
        <f>HYPERLINK("https://klasma.github.io/Logging_2480/tillsynsmail/A 36528-2023 tillsynsbegäran mail.docx", "A 36528-2023")</f>
        <v/>
      </c>
    </row>
    <row r="139" ht="15" customHeight="1">
      <c r="A139" t="inlineStr">
        <is>
          <t>A 39118-2023</t>
        </is>
      </c>
      <c r="B139" s="1" t="n">
        <v>45165</v>
      </c>
      <c r="C139" s="1" t="n">
        <v>45733</v>
      </c>
      <c r="D139" t="inlineStr">
        <is>
          <t>VÄSTERBOTTENS LÄN</t>
        </is>
      </c>
      <c r="E139" t="inlineStr">
        <is>
          <t>UMEÅ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taggsvamp</t>
        </is>
      </c>
      <c r="S139">
        <f>HYPERLINK("https://klasma.github.io/Logging_2480/artfynd/A 39118-2023 artfynd.xlsx", "A 39118-2023")</f>
        <v/>
      </c>
      <c r="T139">
        <f>HYPERLINK("https://klasma.github.io/Logging_2480/kartor/A 39118-2023 karta.png", "A 39118-2023")</f>
        <v/>
      </c>
      <c r="V139">
        <f>HYPERLINK("https://klasma.github.io/Logging_2480/klagomål/A 39118-2023 FSC-klagomål.docx", "A 39118-2023")</f>
        <v/>
      </c>
      <c r="W139">
        <f>HYPERLINK("https://klasma.github.io/Logging_2480/klagomålsmail/A 39118-2023 FSC-klagomål mail.docx", "A 39118-2023")</f>
        <v/>
      </c>
      <c r="X139">
        <f>HYPERLINK("https://klasma.github.io/Logging_2480/tillsyn/A 39118-2023 tillsynsbegäran.docx", "A 39118-2023")</f>
        <v/>
      </c>
      <c r="Y139">
        <f>HYPERLINK("https://klasma.github.io/Logging_2480/tillsynsmail/A 39118-2023 tillsynsbegäran mail.docx", "A 39118-2023")</f>
        <v/>
      </c>
    </row>
    <row r="140" ht="15" customHeight="1">
      <c r="A140" t="inlineStr">
        <is>
          <t>A 39554-2023</t>
        </is>
      </c>
      <c r="B140" s="1" t="n">
        <v>45167</v>
      </c>
      <c r="C140" s="1" t="n">
        <v>45733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Blanksvart spiklav</t>
        </is>
      </c>
      <c r="S140">
        <f>HYPERLINK("https://klasma.github.io/Logging_2480/artfynd/A 39554-2023 artfynd.xlsx", "A 39554-2023")</f>
        <v/>
      </c>
      <c r="T140">
        <f>HYPERLINK("https://klasma.github.io/Logging_2480/kartor/A 39554-2023 karta.png", "A 39554-2023")</f>
        <v/>
      </c>
      <c r="V140">
        <f>HYPERLINK("https://klasma.github.io/Logging_2480/klagomål/A 39554-2023 FSC-klagomål.docx", "A 39554-2023")</f>
        <v/>
      </c>
      <c r="W140">
        <f>HYPERLINK("https://klasma.github.io/Logging_2480/klagomålsmail/A 39554-2023 FSC-klagomål mail.docx", "A 39554-2023")</f>
        <v/>
      </c>
      <c r="X140">
        <f>HYPERLINK("https://klasma.github.io/Logging_2480/tillsyn/A 39554-2023 tillsynsbegäran.docx", "A 39554-2023")</f>
        <v/>
      </c>
      <c r="Y140">
        <f>HYPERLINK("https://klasma.github.io/Logging_2480/tillsynsmail/A 39554-2023 tillsynsbegäran mail.docx", "A 39554-2023")</f>
        <v/>
      </c>
    </row>
    <row r="141" ht="15" customHeight="1">
      <c r="A141" t="inlineStr">
        <is>
          <t>A 41674-2023</t>
        </is>
      </c>
      <c r="B141" s="1" t="n">
        <v>45176</v>
      </c>
      <c r="C141" s="1" t="n">
        <v>45733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Nordfladdermus</t>
        </is>
      </c>
      <c r="S141">
        <f>HYPERLINK("https://klasma.github.io/Logging_2480/artfynd/A 41674-2023 artfynd.xlsx", "A 41674-2023")</f>
        <v/>
      </c>
      <c r="T141">
        <f>HYPERLINK("https://klasma.github.io/Logging_2480/kartor/A 41674-2023 karta.png", "A 41674-2023")</f>
        <v/>
      </c>
      <c r="V141">
        <f>HYPERLINK("https://klasma.github.io/Logging_2480/klagomål/A 41674-2023 FSC-klagomål.docx", "A 41674-2023")</f>
        <v/>
      </c>
      <c r="W141">
        <f>HYPERLINK("https://klasma.github.io/Logging_2480/klagomålsmail/A 41674-2023 FSC-klagomål mail.docx", "A 41674-2023")</f>
        <v/>
      </c>
      <c r="X141">
        <f>HYPERLINK("https://klasma.github.io/Logging_2480/tillsyn/A 41674-2023 tillsynsbegäran.docx", "A 41674-2023")</f>
        <v/>
      </c>
      <c r="Y141">
        <f>HYPERLINK("https://klasma.github.io/Logging_2480/tillsynsmail/A 41674-2023 tillsynsbegäran mail.docx", "A 41674-2023")</f>
        <v/>
      </c>
    </row>
    <row r="142" ht="15" customHeight="1">
      <c r="A142" t="inlineStr">
        <is>
          <t>A 44521-2023</t>
        </is>
      </c>
      <c r="B142" s="1" t="n">
        <v>45189</v>
      </c>
      <c r="C142" s="1" t="n">
        <v>45733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HYPERLINK("https://klasma.github.io/Logging_2480/artfynd/A 44521-2023 artfynd.xlsx", "A 44521-2023")</f>
        <v/>
      </c>
      <c r="T142">
        <f>HYPERLINK("https://klasma.github.io/Logging_2480/kartor/A 44521-2023 karta.png", "A 44521-2023")</f>
        <v/>
      </c>
      <c r="V142">
        <f>HYPERLINK("https://klasma.github.io/Logging_2480/klagomål/A 44521-2023 FSC-klagomål.docx", "A 44521-2023")</f>
        <v/>
      </c>
      <c r="W142">
        <f>HYPERLINK("https://klasma.github.io/Logging_2480/klagomålsmail/A 44521-2023 FSC-klagomål mail.docx", "A 44521-2023")</f>
        <v/>
      </c>
      <c r="X142">
        <f>HYPERLINK("https://klasma.github.io/Logging_2480/tillsyn/A 44521-2023 tillsynsbegäran.docx", "A 44521-2023")</f>
        <v/>
      </c>
      <c r="Y142">
        <f>HYPERLINK("https://klasma.github.io/Logging_2480/tillsynsmail/A 44521-2023 tillsynsbegäran mail.docx", "A 44521-2023")</f>
        <v/>
      </c>
      <c r="Z142">
        <f>HYPERLINK("https://klasma.github.io/Logging_2480/fåglar/A 44521-2023 prioriterade fågelarter.docx", "A 44521-2023")</f>
        <v/>
      </c>
    </row>
    <row r="143" ht="15" customHeight="1">
      <c r="A143" t="inlineStr">
        <is>
          <t>A 49031-2023</t>
        </is>
      </c>
      <c r="B143" s="1" t="n">
        <v>45209</v>
      </c>
      <c r="C143" s="1" t="n">
        <v>45733</v>
      </c>
      <c r="D143" t="inlineStr">
        <is>
          <t>VÄSTERBOTTENS LÄN</t>
        </is>
      </c>
      <c r="E143" t="inlineStr">
        <is>
          <t>UMEÅ</t>
        </is>
      </c>
      <c r="G143" t="n">
        <v>4.8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HYPERLINK("https://klasma.github.io/Logging_2480/artfynd/A 49031-2023 artfynd.xlsx", "A 49031-2023")</f>
        <v/>
      </c>
      <c r="T143">
        <f>HYPERLINK("https://klasma.github.io/Logging_2480/kartor/A 49031-2023 karta.png", "A 49031-2023")</f>
        <v/>
      </c>
      <c r="V143">
        <f>HYPERLINK("https://klasma.github.io/Logging_2480/klagomål/A 49031-2023 FSC-klagomål.docx", "A 49031-2023")</f>
        <v/>
      </c>
      <c r="W143">
        <f>HYPERLINK("https://klasma.github.io/Logging_2480/klagomålsmail/A 49031-2023 FSC-klagomål mail.docx", "A 49031-2023")</f>
        <v/>
      </c>
      <c r="X143">
        <f>HYPERLINK("https://klasma.github.io/Logging_2480/tillsyn/A 49031-2023 tillsynsbegäran.docx", "A 49031-2023")</f>
        <v/>
      </c>
      <c r="Y143">
        <f>HYPERLINK("https://klasma.github.io/Logging_2480/tillsynsmail/A 49031-2023 tillsynsbegäran mail.docx", "A 49031-2023")</f>
        <v/>
      </c>
      <c r="Z143">
        <f>HYPERLINK("https://klasma.github.io/Logging_2480/fåglar/A 49031-2023 prioriterade fågelarter.docx", "A 49031-2023")</f>
        <v/>
      </c>
    </row>
    <row r="144" ht="15" customHeight="1">
      <c r="A144" t="inlineStr">
        <is>
          <t>A 58670-2023</t>
        </is>
      </c>
      <c r="B144" s="1" t="n">
        <v>45251</v>
      </c>
      <c r="C144" s="1" t="n">
        <v>45733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HYPERLINK("https://klasma.github.io/Logging_2480/artfynd/A 58670-2023 artfynd.xlsx", "A 58670-2023")</f>
        <v/>
      </c>
      <c r="T144">
        <f>HYPERLINK("https://klasma.github.io/Logging_2480/kartor/A 58670-2023 karta.png", "A 58670-2023")</f>
        <v/>
      </c>
      <c r="V144">
        <f>HYPERLINK("https://klasma.github.io/Logging_2480/klagomål/A 58670-2023 FSC-klagomål.docx", "A 58670-2023")</f>
        <v/>
      </c>
      <c r="W144">
        <f>HYPERLINK("https://klasma.github.io/Logging_2480/klagomålsmail/A 58670-2023 FSC-klagomål mail.docx", "A 58670-2023")</f>
        <v/>
      </c>
      <c r="X144">
        <f>HYPERLINK("https://klasma.github.io/Logging_2480/tillsyn/A 58670-2023 tillsynsbegäran.docx", "A 58670-2023")</f>
        <v/>
      </c>
      <c r="Y144">
        <f>HYPERLINK("https://klasma.github.io/Logging_2480/tillsynsmail/A 58670-2023 tillsynsbegäran mail.docx", "A 58670-2023")</f>
        <v/>
      </c>
    </row>
    <row r="145" ht="15" customHeight="1">
      <c r="A145" t="inlineStr">
        <is>
          <t>A 59152-2023</t>
        </is>
      </c>
      <c r="B145" s="1" t="n">
        <v>45251</v>
      </c>
      <c r="C145" s="1" t="n">
        <v>45733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HYPERLINK("https://klasma.github.io/Logging_2480/artfynd/A 59152-2023 artfynd.xlsx", "A 59152-2023")</f>
        <v/>
      </c>
      <c r="T145">
        <f>HYPERLINK("https://klasma.github.io/Logging_2480/kartor/A 59152-2023 karta.png", "A 59152-2023")</f>
        <v/>
      </c>
      <c r="V145">
        <f>HYPERLINK("https://klasma.github.io/Logging_2480/klagomål/A 59152-2023 FSC-klagomål.docx", "A 59152-2023")</f>
        <v/>
      </c>
      <c r="W145">
        <f>HYPERLINK("https://klasma.github.io/Logging_2480/klagomålsmail/A 59152-2023 FSC-klagomål mail.docx", "A 59152-2023")</f>
        <v/>
      </c>
      <c r="X145">
        <f>HYPERLINK("https://klasma.github.io/Logging_2480/tillsyn/A 59152-2023 tillsynsbegäran.docx", "A 59152-2023")</f>
        <v/>
      </c>
      <c r="Y145">
        <f>HYPERLINK("https://klasma.github.io/Logging_2480/tillsynsmail/A 59152-2023 tillsynsbegäran mail.docx", "A 59152-2023")</f>
        <v/>
      </c>
    </row>
    <row r="146" ht="15" customHeight="1">
      <c r="A146" t="inlineStr">
        <is>
          <t>A 63810-2023</t>
        </is>
      </c>
      <c r="B146" s="1" t="n">
        <v>45275</v>
      </c>
      <c r="C146" s="1" t="n">
        <v>45733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HYPERLINK("https://klasma.github.io/Logging_2480/artfynd/A 63810-2023 artfynd.xlsx", "A 63810-2023")</f>
        <v/>
      </c>
      <c r="T146">
        <f>HYPERLINK("https://klasma.github.io/Logging_2480/kartor/A 63810-2023 karta.png", "A 63810-2023")</f>
        <v/>
      </c>
      <c r="V146">
        <f>HYPERLINK("https://klasma.github.io/Logging_2480/klagomål/A 63810-2023 FSC-klagomål.docx", "A 63810-2023")</f>
        <v/>
      </c>
      <c r="W146">
        <f>HYPERLINK("https://klasma.github.io/Logging_2480/klagomålsmail/A 63810-2023 FSC-klagomål mail.docx", "A 63810-2023")</f>
        <v/>
      </c>
      <c r="X146">
        <f>HYPERLINK("https://klasma.github.io/Logging_2480/tillsyn/A 63810-2023 tillsynsbegäran.docx", "A 63810-2023")</f>
        <v/>
      </c>
      <c r="Y146">
        <f>HYPERLINK("https://klasma.github.io/Logging_2480/tillsynsmail/A 63810-2023 tillsynsbegäran mail.docx", "A 63810-2023")</f>
        <v/>
      </c>
      <c r="Z146">
        <f>HYPERLINK("https://klasma.github.io/Logging_2480/fåglar/A 63810-2023 prioriterade fågelarter.docx", "A 63810-2023")</f>
        <v/>
      </c>
    </row>
    <row r="147" ht="15" customHeight="1">
      <c r="A147" t="inlineStr">
        <is>
          <t>A 3514-2024</t>
        </is>
      </c>
      <c r="B147" s="1" t="n">
        <v>45320</v>
      </c>
      <c r="C147" s="1" t="n">
        <v>45733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HYPERLINK("https://klasma.github.io/Logging_2480/artfynd/A 3514-2024 artfynd.xlsx", "A 3514-2024")</f>
        <v/>
      </c>
      <c r="T147">
        <f>HYPERLINK("https://klasma.github.io/Logging_2480/kartor/A 3514-2024 karta.png", "A 3514-2024")</f>
        <v/>
      </c>
      <c r="V147">
        <f>HYPERLINK("https://klasma.github.io/Logging_2480/klagomål/A 3514-2024 FSC-klagomål.docx", "A 3514-2024")</f>
        <v/>
      </c>
      <c r="W147">
        <f>HYPERLINK("https://klasma.github.io/Logging_2480/klagomålsmail/A 3514-2024 FSC-klagomål mail.docx", "A 3514-2024")</f>
        <v/>
      </c>
      <c r="X147">
        <f>HYPERLINK("https://klasma.github.io/Logging_2480/tillsyn/A 3514-2024 tillsynsbegäran.docx", "A 3514-2024")</f>
        <v/>
      </c>
      <c r="Y147">
        <f>HYPERLINK("https://klasma.github.io/Logging_2480/tillsynsmail/A 3514-2024 tillsynsbegäran mail.docx", "A 3514-2024")</f>
        <v/>
      </c>
    </row>
    <row r="148" ht="15" customHeight="1">
      <c r="A148" t="inlineStr">
        <is>
          <t>A 15438-2024</t>
        </is>
      </c>
      <c r="B148" s="1" t="n">
        <v>45401</v>
      </c>
      <c r="C148" s="1" t="n">
        <v>45733</v>
      </c>
      <c r="D148" t="inlineStr">
        <is>
          <t>VÄSTERBOTTENS LÄN</t>
        </is>
      </c>
      <c r="E148" t="inlineStr">
        <is>
          <t>UMEÅ</t>
        </is>
      </c>
      <c r="G148" t="n">
        <v>3.3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15438-2024 artfynd.xlsx", "A 15438-2024")</f>
        <v/>
      </c>
      <c r="T148">
        <f>HYPERLINK("https://klasma.github.io/Logging_2480/kartor/A 15438-2024 karta.png", "A 15438-2024")</f>
        <v/>
      </c>
      <c r="V148">
        <f>HYPERLINK("https://klasma.github.io/Logging_2480/klagomål/A 15438-2024 FSC-klagomål.docx", "A 15438-2024")</f>
        <v/>
      </c>
      <c r="W148">
        <f>HYPERLINK("https://klasma.github.io/Logging_2480/klagomålsmail/A 15438-2024 FSC-klagomål mail.docx", "A 15438-2024")</f>
        <v/>
      </c>
      <c r="X148">
        <f>HYPERLINK("https://klasma.github.io/Logging_2480/tillsyn/A 15438-2024 tillsynsbegäran.docx", "A 15438-2024")</f>
        <v/>
      </c>
      <c r="Y148">
        <f>HYPERLINK("https://klasma.github.io/Logging_2480/tillsynsmail/A 15438-2024 tillsynsbegäran mail.docx", "A 15438-2024")</f>
        <v/>
      </c>
      <c r="Z148">
        <f>HYPERLINK("https://klasma.github.io/Logging_2480/fåglar/A 15438-2024 prioriterade fågelarter.docx", "A 15438-2024")</f>
        <v/>
      </c>
    </row>
    <row r="149" ht="15" customHeight="1">
      <c r="A149" t="inlineStr">
        <is>
          <t>A 20757-2024</t>
        </is>
      </c>
      <c r="B149" s="1" t="n">
        <v>45436</v>
      </c>
      <c r="C149" s="1" t="n">
        <v>45733</v>
      </c>
      <c r="D149" t="inlineStr">
        <is>
          <t>VÄSTERBOTTENS LÄN</t>
        </is>
      </c>
      <c r="E149" t="inlineStr">
        <is>
          <t>UMEÅ</t>
        </is>
      </c>
      <c r="G149" t="n">
        <v>5.2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HYPERLINK("https://klasma.github.io/Logging_2480/artfynd/A 20757-2024 artfynd.xlsx", "A 20757-2024")</f>
        <v/>
      </c>
      <c r="T149">
        <f>HYPERLINK("https://klasma.github.io/Logging_2480/kartor/A 20757-2024 karta.png", "A 20757-2024")</f>
        <v/>
      </c>
      <c r="V149">
        <f>HYPERLINK("https://klasma.github.io/Logging_2480/klagomål/A 20757-2024 FSC-klagomål.docx", "A 20757-2024")</f>
        <v/>
      </c>
      <c r="W149">
        <f>HYPERLINK("https://klasma.github.io/Logging_2480/klagomålsmail/A 20757-2024 FSC-klagomål mail.docx", "A 20757-2024")</f>
        <v/>
      </c>
      <c r="X149">
        <f>HYPERLINK("https://klasma.github.io/Logging_2480/tillsyn/A 20757-2024 tillsynsbegäran.docx", "A 20757-2024")</f>
        <v/>
      </c>
      <c r="Y149">
        <f>HYPERLINK("https://klasma.github.io/Logging_2480/tillsynsmail/A 20757-2024 tillsynsbegäran mail.docx", "A 20757-2024")</f>
        <v/>
      </c>
    </row>
    <row r="150" ht="15" customHeight="1">
      <c r="A150" t="inlineStr">
        <is>
          <t>A 26932-2024</t>
        </is>
      </c>
      <c r="B150" s="1" t="n">
        <v>45470</v>
      </c>
      <c r="C150" s="1" t="n">
        <v>45733</v>
      </c>
      <c r="D150" t="inlineStr">
        <is>
          <t>VÄSTERBOTTENS LÄN</t>
        </is>
      </c>
      <c r="E150" t="inlineStr">
        <is>
          <t>UMEÅ</t>
        </is>
      </c>
      <c r="G150" t="n">
        <v>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26932-2024 artfynd.xlsx", "A 26932-2024")</f>
        <v/>
      </c>
      <c r="T150">
        <f>HYPERLINK("https://klasma.github.io/Logging_2480/kartor/A 26932-2024 karta.png", "A 26932-2024")</f>
        <v/>
      </c>
      <c r="V150">
        <f>HYPERLINK("https://klasma.github.io/Logging_2480/klagomål/A 26932-2024 FSC-klagomål.docx", "A 26932-2024")</f>
        <v/>
      </c>
      <c r="W150">
        <f>HYPERLINK("https://klasma.github.io/Logging_2480/klagomålsmail/A 26932-2024 FSC-klagomål mail.docx", "A 26932-2024")</f>
        <v/>
      </c>
      <c r="X150">
        <f>HYPERLINK("https://klasma.github.io/Logging_2480/tillsyn/A 26932-2024 tillsynsbegäran.docx", "A 26932-2024")</f>
        <v/>
      </c>
      <c r="Y150">
        <f>HYPERLINK("https://klasma.github.io/Logging_2480/tillsynsmail/A 26932-2024 tillsynsbegäran mail.docx", "A 26932-2024")</f>
        <v/>
      </c>
    </row>
    <row r="151" ht="15" customHeight="1">
      <c r="A151" t="inlineStr">
        <is>
          <t>A 32220-2024</t>
        </is>
      </c>
      <c r="B151" s="1" t="n">
        <v>45511</v>
      </c>
      <c r="C151" s="1" t="n">
        <v>45733</v>
      </c>
      <c r="D151" t="inlineStr">
        <is>
          <t>VÄSTERBOTTENS LÄN</t>
        </is>
      </c>
      <c r="E151" t="inlineStr">
        <is>
          <t>UMEÅ</t>
        </is>
      </c>
      <c r="G151" t="n">
        <v>6.9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32220-2024 artfynd.xlsx", "A 32220-2024")</f>
        <v/>
      </c>
      <c r="T151">
        <f>HYPERLINK("https://klasma.github.io/Logging_2480/kartor/A 32220-2024 karta.png", "A 32220-2024")</f>
        <v/>
      </c>
      <c r="V151">
        <f>HYPERLINK("https://klasma.github.io/Logging_2480/klagomål/A 32220-2024 FSC-klagomål.docx", "A 32220-2024")</f>
        <v/>
      </c>
      <c r="W151">
        <f>HYPERLINK("https://klasma.github.io/Logging_2480/klagomålsmail/A 32220-2024 FSC-klagomål mail.docx", "A 32220-2024")</f>
        <v/>
      </c>
      <c r="X151">
        <f>HYPERLINK("https://klasma.github.io/Logging_2480/tillsyn/A 32220-2024 tillsynsbegäran.docx", "A 32220-2024")</f>
        <v/>
      </c>
      <c r="Y151">
        <f>HYPERLINK("https://klasma.github.io/Logging_2480/tillsynsmail/A 32220-2024 tillsynsbegäran mail.docx", "A 32220-2024")</f>
        <v/>
      </c>
      <c r="Z151">
        <f>HYPERLINK("https://klasma.github.io/Logging_2480/fåglar/A 32220-2024 prioriterade fågelarter.docx", "A 32220-2024")</f>
        <v/>
      </c>
    </row>
    <row r="152" ht="15" customHeight="1">
      <c r="A152" t="inlineStr">
        <is>
          <t>A 33451-2024</t>
        </is>
      </c>
      <c r="B152" s="1" t="n">
        <v>45519</v>
      </c>
      <c r="C152" s="1" t="n">
        <v>45733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Ävjepilört</t>
        </is>
      </c>
      <c r="S152">
        <f>HYPERLINK("https://klasma.github.io/Logging_2480/artfynd/A 33451-2024 artfynd.xlsx", "A 33451-2024")</f>
        <v/>
      </c>
      <c r="T152">
        <f>HYPERLINK("https://klasma.github.io/Logging_2480/kartor/A 33451-2024 karta.png", "A 33451-2024")</f>
        <v/>
      </c>
      <c r="V152">
        <f>HYPERLINK("https://klasma.github.io/Logging_2480/klagomål/A 33451-2024 FSC-klagomål.docx", "A 33451-2024")</f>
        <v/>
      </c>
      <c r="W152">
        <f>HYPERLINK("https://klasma.github.io/Logging_2480/klagomålsmail/A 33451-2024 FSC-klagomål mail.docx", "A 33451-2024")</f>
        <v/>
      </c>
      <c r="X152">
        <f>HYPERLINK("https://klasma.github.io/Logging_2480/tillsyn/A 33451-2024 tillsynsbegäran.docx", "A 33451-2024")</f>
        <v/>
      </c>
      <c r="Y152">
        <f>HYPERLINK("https://klasma.github.io/Logging_2480/tillsynsmail/A 33451-2024 tillsynsbegäran mail.docx", "A 33451-2024")</f>
        <v/>
      </c>
    </row>
    <row r="153" ht="15" customHeight="1">
      <c r="A153" t="inlineStr">
        <is>
          <t>A 39877-2024</t>
        </is>
      </c>
      <c r="B153" s="1" t="n">
        <v>45553</v>
      </c>
      <c r="C153" s="1" t="n">
        <v>45733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HYPERLINK("https://klasma.github.io/Logging_2480/artfynd/A 39877-2024 artfynd.xlsx", "A 39877-2024")</f>
        <v/>
      </c>
      <c r="T153">
        <f>HYPERLINK("https://klasma.github.io/Logging_2480/kartor/A 39877-2024 karta.png", "A 39877-2024")</f>
        <v/>
      </c>
      <c r="V153">
        <f>HYPERLINK("https://klasma.github.io/Logging_2480/klagomål/A 39877-2024 FSC-klagomål.docx", "A 39877-2024")</f>
        <v/>
      </c>
      <c r="W153">
        <f>HYPERLINK("https://klasma.github.io/Logging_2480/klagomålsmail/A 39877-2024 FSC-klagomål mail.docx", "A 39877-2024")</f>
        <v/>
      </c>
      <c r="X153">
        <f>HYPERLINK("https://klasma.github.io/Logging_2480/tillsyn/A 39877-2024 tillsynsbegäran.docx", "A 39877-2024")</f>
        <v/>
      </c>
      <c r="Y153">
        <f>HYPERLINK("https://klasma.github.io/Logging_2480/tillsynsmail/A 39877-2024 tillsynsbegäran mail.docx", "A 39877-2024")</f>
        <v/>
      </c>
    </row>
    <row r="154" ht="15" customHeight="1">
      <c r="A154" t="inlineStr">
        <is>
          <t>A 40665-2024</t>
        </is>
      </c>
      <c r="B154" s="1" t="n">
        <v>45558</v>
      </c>
      <c r="C154" s="1" t="n">
        <v>45733</v>
      </c>
      <c r="D154" t="inlineStr">
        <is>
          <t>VÄSTERBOTTENS LÄN</t>
        </is>
      </c>
      <c r="E154" t="inlineStr">
        <is>
          <t>UMEÅ</t>
        </is>
      </c>
      <c r="G154" t="n">
        <v>15.3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HYPERLINK("https://klasma.github.io/Logging_2480/artfynd/A 40665-2024 artfynd.xlsx", "A 40665-2024")</f>
        <v/>
      </c>
      <c r="T154">
        <f>HYPERLINK("https://klasma.github.io/Logging_2480/kartor/A 40665-2024 karta.png", "A 40665-2024")</f>
        <v/>
      </c>
      <c r="V154">
        <f>HYPERLINK("https://klasma.github.io/Logging_2480/klagomål/A 40665-2024 FSC-klagomål.docx", "A 40665-2024")</f>
        <v/>
      </c>
      <c r="W154">
        <f>HYPERLINK("https://klasma.github.io/Logging_2480/klagomålsmail/A 40665-2024 FSC-klagomål mail.docx", "A 40665-2024")</f>
        <v/>
      </c>
      <c r="X154">
        <f>HYPERLINK("https://klasma.github.io/Logging_2480/tillsyn/A 40665-2024 tillsynsbegäran.docx", "A 40665-2024")</f>
        <v/>
      </c>
      <c r="Y154">
        <f>HYPERLINK("https://klasma.github.io/Logging_2480/tillsynsmail/A 40665-2024 tillsynsbegäran mail.docx", "A 40665-2024")</f>
        <v/>
      </c>
    </row>
    <row r="155" ht="15" customHeight="1">
      <c r="A155" t="inlineStr">
        <is>
          <t>A 40851-2024</t>
        </is>
      </c>
      <c r="B155" s="1" t="n">
        <v>45558</v>
      </c>
      <c r="C155" s="1" t="n">
        <v>45733</v>
      </c>
      <c r="D155" t="inlineStr">
        <is>
          <t>VÄSTERBOTTENS LÄN</t>
        </is>
      </c>
      <c r="E155" t="inlineStr">
        <is>
          <t>UMEÅ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HYPERLINK("https://klasma.github.io/Logging_2480/artfynd/A 40851-2024 artfynd.xlsx", "A 40851-2024")</f>
        <v/>
      </c>
      <c r="T155">
        <f>HYPERLINK("https://klasma.github.io/Logging_2480/kartor/A 40851-2024 karta.png", "A 40851-2024")</f>
        <v/>
      </c>
      <c r="V155">
        <f>HYPERLINK("https://klasma.github.io/Logging_2480/klagomål/A 40851-2024 FSC-klagomål.docx", "A 40851-2024")</f>
        <v/>
      </c>
      <c r="W155">
        <f>HYPERLINK("https://klasma.github.io/Logging_2480/klagomålsmail/A 40851-2024 FSC-klagomål mail.docx", "A 40851-2024")</f>
        <v/>
      </c>
      <c r="X155">
        <f>HYPERLINK("https://klasma.github.io/Logging_2480/tillsyn/A 40851-2024 tillsynsbegäran.docx", "A 40851-2024")</f>
        <v/>
      </c>
      <c r="Y155">
        <f>HYPERLINK("https://klasma.github.io/Logging_2480/tillsynsmail/A 40851-2024 tillsynsbegäran mail.docx", "A 40851-2024")</f>
        <v/>
      </c>
      <c r="Z155">
        <f>HYPERLINK("https://klasma.github.io/Logging_2480/fåglar/A 40851-2024 prioriterade fågelarter.docx", "A 40851-2024")</f>
        <v/>
      </c>
    </row>
    <row r="156" ht="15" customHeight="1">
      <c r="A156" t="inlineStr">
        <is>
          <t>A 41225-2024</t>
        </is>
      </c>
      <c r="B156" s="1" t="n">
        <v>45559</v>
      </c>
      <c r="C156" s="1" t="n">
        <v>45733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3.5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41225-2024 artfynd.xlsx", "A 41225-2024")</f>
        <v/>
      </c>
      <c r="T156">
        <f>HYPERLINK("https://klasma.github.io/Logging_2480/kartor/A 41225-2024 karta.png", "A 41225-2024")</f>
        <v/>
      </c>
      <c r="V156">
        <f>HYPERLINK("https://klasma.github.io/Logging_2480/klagomål/A 41225-2024 FSC-klagomål.docx", "A 41225-2024")</f>
        <v/>
      </c>
      <c r="W156">
        <f>HYPERLINK("https://klasma.github.io/Logging_2480/klagomålsmail/A 41225-2024 FSC-klagomål mail.docx", "A 41225-2024")</f>
        <v/>
      </c>
      <c r="X156">
        <f>HYPERLINK("https://klasma.github.io/Logging_2480/tillsyn/A 41225-2024 tillsynsbegäran.docx", "A 41225-2024")</f>
        <v/>
      </c>
      <c r="Y156">
        <f>HYPERLINK("https://klasma.github.io/Logging_2480/tillsynsmail/A 41225-2024 tillsynsbegäran mail.docx", "A 41225-2024")</f>
        <v/>
      </c>
    </row>
    <row r="157" ht="15" customHeight="1">
      <c r="A157" t="inlineStr">
        <is>
          <t>A 43029-2024</t>
        </is>
      </c>
      <c r="B157" s="1" t="n">
        <v>45567</v>
      </c>
      <c r="C157" s="1" t="n">
        <v>45733</v>
      </c>
      <c r="D157" t="inlineStr">
        <is>
          <t>VÄSTERBOTTENS LÄN</t>
        </is>
      </c>
      <c r="E157" t="inlineStr">
        <is>
          <t>UMEÅ</t>
        </is>
      </c>
      <c r="G157" t="n">
        <v>5.7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43029-2024 artfynd.xlsx", "A 43029-2024")</f>
        <v/>
      </c>
      <c r="T157">
        <f>HYPERLINK("https://klasma.github.io/Logging_2480/kartor/A 43029-2024 karta.png", "A 43029-2024")</f>
        <v/>
      </c>
      <c r="V157">
        <f>HYPERLINK("https://klasma.github.io/Logging_2480/klagomål/A 43029-2024 FSC-klagomål.docx", "A 43029-2024")</f>
        <v/>
      </c>
      <c r="W157">
        <f>HYPERLINK("https://klasma.github.io/Logging_2480/klagomålsmail/A 43029-2024 FSC-klagomål mail.docx", "A 43029-2024")</f>
        <v/>
      </c>
      <c r="X157">
        <f>HYPERLINK("https://klasma.github.io/Logging_2480/tillsyn/A 43029-2024 tillsynsbegäran.docx", "A 43029-2024")</f>
        <v/>
      </c>
      <c r="Y157">
        <f>HYPERLINK("https://klasma.github.io/Logging_2480/tillsynsmail/A 43029-2024 tillsynsbegäran mail.docx", "A 43029-2024")</f>
        <v/>
      </c>
    </row>
    <row r="158" ht="15" customHeight="1">
      <c r="A158" t="inlineStr">
        <is>
          <t>A 43550-2024</t>
        </is>
      </c>
      <c r="B158" s="1" t="n">
        <v>45569</v>
      </c>
      <c r="C158" s="1" t="n">
        <v>45733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3.9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Rävticka</t>
        </is>
      </c>
      <c r="S158">
        <f>HYPERLINK("https://klasma.github.io/Logging_2480/artfynd/A 43550-2024 artfynd.xlsx", "A 43550-2024")</f>
        <v/>
      </c>
      <c r="T158">
        <f>HYPERLINK("https://klasma.github.io/Logging_2480/kartor/A 43550-2024 karta.png", "A 43550-2024")</f>
        <v/>
      </c>
      <c r="V158">
        <f>HYPERLINK("https://klasma.github.io/Logging_2480/klagomål/A 43550-2024 FSC-klagomål.docx", "A 43550-2024")</f>
        <v/>
      </c>
      <c r="W158">
        <f>HYPERLINK("https://klasma.github.io/Logging_2480/klagomålsmail/A 43550-2024 FSC-klagomål mail.docx", "A 43550-2024")</f>
        <v/>
      </c>
      <c r="X158">
        <f>HYPERLINK("https://klasma.github.io/Logging_2480/tillsyn/A 43550-2024 tillsynsbegäran.docx", "A 43550-2024")</f>
        <v/>
      </c>
      <c r="Y158">
        <f>HYPERLINK("https://klasma.github.io/Logging_2480/tillsynsmail/A 43550-2024 tillsynsbegäran mail.docx", "A 43550-2024")</f>
        <v/>
      </c>
    </row>
    <row r="159" ht="15" customHeight="1">
      <c r="A159" t="inlineStr">
        <is>
          <t>A 45429-2024</t>
        </is>
      </c>
      <c r="B159" s="1" t="n">
        <v>45576</v>
      </c>
      <c r="C159" s="1" t="n">
        <v>45733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HYPERLINK("https://klasma.github.io/Logging_2480/artfynd/A 45429-2024 artfynd.xlsx", "A 45429-2024")</f>
        <v/>
      </c>
      <c r="T159">
        <f>HYPERLINK("https://klasma.github.io/Logging_2480/kartor/A 45429-2024 karta.png", "A 45429-2024")</f>
        <v/>
      </c>
      <c r="V159">
        <f>HYPERLINK("https://klasma.github.io/Logging_2480/klagomål/A 45429-2024 FSC-klagomål.docx", "A 45429-2024")</f>
        <v/>
      </c>
      <c r="W159">
        <f>HYPERLINK("https://klasma.github.io/Logging_2480/klagomålsmail/A 45429-2024 FSC-klagomål mail.docx", "A 45429-2024")</f>
        <v/>
      </c>
      <c r="X159">
        <f>HYPERLINK("https://klasma.github.io/Logging_2480/tillsyn/A 45429-2024 tillsynsbegäran.docx", "A 45429-2024")</f>
        <v/>
      </c>
      <c r="Y159">
        <f>HYPERLINK("https://klasma.github.io/Logging_2480/tillsynsmail/A 45429-2024 tillsynsbegäran mail.docx", "A 45429-2024")</f>
        <v/>
      </c>
    </row>
    <row r="160" ht="15" customHeight="1">
      <c r="A160" t="inlineStr">
        <is>
          <t>A 45633-2024</t>
        </is>
      </c>
      <c r="B160" s="1" t="n">
        <v>45579</v>
      </c>
      <c r="C160" s="1" t="n">
        <v>45733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5.4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HYPERLINK("https://klasma.github.io/Logging_2480/artfynd/A 45633-2024 artfynd.xlsx", "A 45633-2024")</f>
        <v/>
      </c>
      <c r="T160">
        <f>HYPERLINK("https://klasma.github.io/Logging_2480/kartor/A 45633-2024 karta.png", "A 45633-2024")</f>
        <v/>
      </c>
      <c r="V160">
        <f>HYPERLINK("https://klasma.github.io/Logging_2480/klagomål/A 45633-2024 FSC-klagomål.docx", "A 45633-2024")</f>
        <v/>
      </c>
      <c r="W160">
        <f>HYPERLINK("https://klasma.github.io/Logging_2480/klagomålsmail/A 45633-2024 FSC-klagomål mail.docx", "A 45633-2024")</f>
        <v/>
      </c>
      <c r="X160">
        <f>HYPERLINK("https://klasma.github.io/Logging_2480/tillsyn/A 45633-2024 tillsynsbegäran.docx", "A 45633-2024")</f>
        <v/>
      </c>
      <c r="Y160">
        <f>HYPERLINK("https://klasma.github.io/Logging_2480/tillsynsmail/A 45633-2024 tillsynsbegäran mail.docx", "A 45633-2024")</f>
        <v/>
      </c>
    </row>
    <row r="161" ht="15" customHeight="1">
      <c r="A161" t="inlineStr">
        <is>
          <t>A 45659-2024</t>
        </is>
      </c>
      <c r="B161" s="1" t="n">
        <v>45579</v>
      </c>
      <c r="C161" s="1" t="n">
        <v>45733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HYPERLINK("https://klasma.github.io/Logging_2480/artfynd/A 45659-2024 artfynd.xlsx", "A 45659-2024")</f>
        <v/>
      </c>
      <c r="T161">
        <f>HYPERLINK("https://klasma.github.io/Logging_2480/kartor/A 45659-2024 karta.png", "A 45659-2024")</f>
        <v/>
      </c>
      <c r="V161">
        <f>HYPERLINK("https://klasma.github.io/Logging_2480/klagomål/A 45659-2024 FSC-klagomål.docx", "A 45659-2024")</f>
        <v/>
      </c>
      <c r="W161">
        <f>HYPERLINK("https://klasma.github.io/Logging_2480/klagomålsmail/A 45659-2024 FSC-klagomål mail.docx", "A 45659-2024")</f>
        <v/>
      </c>
      <c r="X161">
        <f>HYPERLINK("https://klasma.github.io/Logging_2480/tillsyn/A 45659-2024 tillsynsbegäran.docx", "A 45659-2024")</f>
        <v/>
      </c>
      <c r="Y161">
        <f>HYPERLINK("https://klasma.github.io/Logging_2480/tillsynsmail/A 45659-2024 tillsynsbegäran mail.docx", "A 45659-2024")</f>
        <v/>
      </c>
    </row>
    <row r="162" ht="15" customHeight="1">
      <c r="A162" t="inlineStr">
        <is>
          <t>A 49134-2024</t>
        </is>
      </c>
      <c r="B162" s="1" t="n">
        <v>45594</v>
      </c>
      <c r="C162" s="1" t="n">
        <v>45733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Skogshare</t>
        </is>
      </c>
      <c r="S162">
        <f>HYPERLINK("https://klasma.github.io/Logging_2480/artfynd/A 49134-2024 artfynd.xlsx", "A 49134-2024")</f>
        <v/>
      </c>
      <c r="T162">
        <f>HYPERLINK("https://klasma.github.io/Logging_2480/kartor/A 49134-2024 karta.png", "A 49134-2024")</f>
        <v/>
      </c>
      <c r="V162">
        <f>HYPERLINK("https://klasma.github.io/Logging_2480/klagomål/A 49134-2024 FSC-klagomål.docx", "A 49134-2024")</f>
        <v/>
      </c>
      <c r="W162">
        <f>HYPERLINK("https://klasma.github.io/Logging_2480/klagomålsmail/A 49134-2024 FSC-klagomål mail.docx", "A 49134-2024")</f>
        <v/>
      </c>
      <c r="X162">
        <f>HYPERLINK("https://klasma.github.io/Logging_2480/tillsyn/A 49134-2024 tillsynsbegäran.docx", "A 49134-2024")</f>
        <v/>
      </c>
      <c r="Y162">
        <f>HYPERLINK("https://klasma.github.io/Logging_2480/tillsynsmail/A 49134-2024 tillsynsbegäran mail.docx", "A 49134-2024")</f>
        <v/>
      </c>
    </row>
    <row r="163" ht="15" customHeight="1">
      <c r="A163" t="inlineStr">
        <is>
          <t>A 56135-2024</t>
        </is>
      </c>
      <c r="B163" s="1" t="n">
        <v>45624</v>
      </c>
      <c r="C163" s="1" t="n">
        <v>45733</v>
      </c>
      <c r="D163" t="inlineStr">
        <is>
          <t>VÄSTERBOTTENS LÄN</t>
        </is>
      </c>
      <c r="E163" t="inlineStr">
        <is>
          <t>UMEÅ</t>
        </is>
      </c>
      <c r="G163" t="n">
        <v>19.9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56135-2024 artfynd.xlsx", "A 56135-2024")</f>
        <v/>
      </c>
      <c r="T163">
        <f>HYPERLINK("https://klasma.github.io/Logging_2480/kartor/A 56135-2024 karta.png", "A 56135-2024")</f>
        <v/>
      </c>
      <c r="V163">
        <f>HYPERLINK("https://klasma.github.io/Logging_2480/klagomål/A 56135-2024 FSC-klagomål.docx", "A 56135-2024")</f>
        <v/>
      </c>
      <c r="W163">
        <f>HYPERLINK("https://klasma.github.io/Logging_2480/klagomålsmail/A 56135-2024 FSC-klagomål mail.docx", "A 56135-2024")</f>
        <v/>
      </c>
      <c r="X163">
        <f>HYPERLINK("https://klasma.github.io/Logging_2480/tillsyn/A 56135-2024 tillsynsbegäran.docx", "A 56135-2024")</f>
        <v/>
      </c>
      <c r="Y163">
        <f>HYPERLINK("https://klasma.github.io/Logging_2480/tillsynsmail/A 56135-2024 tillsynsbegäran mail.docx", "A 56135-2024")</f>
        <v/>
      </c>
    </row>
    <row r="164" ht="15" customHeight="1">
      <c r="A164" t="inlineStr">
        <is>
          <t>A 60496-2024</t>
        </is>
      </c>
      <c r="B164" s="1" t="n">
        <v>45643</v>
      </c>
      <c r="C164" s="1" t="n">
        <v>45733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60496-2024 artfynd.xlsx", "A 60496-2024")</f>
        <v/>
      </c>
      <c r="T164">
        <f>HYPERLINK("https://klasma.github.io/Logging_2480/kartor/A 60496-2024 karta.png", "A 60496-2024")</f>
        <v/>
      </c>
      <c r="V164">
        <f>HYPERLINK("https://klasma.github.io/Logging_2480/klagomål/A 60496-2024 FSC-klagomål.docx", "A 60496-2024")</f>
        <v/>
      </c>
      <c r="W164">
        <f>HYPERLINK("https://klasma.github.io/Logging_2480/klagomålsmail/A 60496-2024 FSC-klagomål mail.docx", "A 60496-2024")</f>
        <v/>
      </c>
      <c r="X164">
        <f>HYPERLINK("https://klasma.github.io/Logging_2480/tillsyn/A 60496-2024 tillsynsbegäran.docx", "A 60496-2024")</f>
        <v/>
      </c>
      <c r="Y164">
        <f>HYPERLINK("https://klasma.github.io/Logging_2480/tillsynsmail/A 60496-2024 tillsynsbegäran mail.docx", "A 60496-2024")</f>
        <v/>
      </c>
      <c r="Z164">
        <f>HYPERLINK("https://klasma.github.io/Logging_2480/fåglar/A 60496-2024 prioriterade fågelarter.docx", "A 60496-2024")</f>
        <v/>
      </c>
    </row>
    <row r="165" ht="15" customHeight="1">
      <c r="A165" t="inlineStr">
        <is>
          <t>A 2972-2025</t>
        </is>
      </c>
      <c r="B165" s="1" t="n">
        <v>45678</v>
      </c>
      <c r="C165" s="1" t="n">
        <v>45733</v>
      </c>
      <c r="D165" t="inlineStr">
        <is>
          <t>VÄSTERBOTTENS LÄN</t>
        </is>
      </c>
      <c r="E165" t="inlineStr">
        <is>
          <t>UMEÅ</t>
        </is>
      </c>
      <c r="F165" t="inlineStr">
        <is>
          <t>SCA</t>
        </is>
      </c>
      <c r="G165" t="n">
        <v>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HYPERLINK("https://klasma.github.io/Logging_2480/artfynd/A 2972-2025 artfynd.xlsx", "A 2972-2025")</f>
        <v/>
      </c>
      <c r="T165">
        <f>HYPERLINK("https://klasma.github.io/Logging_2480/kartor/A 2972-2025 karta.png", "A 2972-2025")</f>
        <v/>
      </c>
      <c r="V165">
        <f>HYPERLINK("https://klasma.github.io/Logging_2480/klagomål/A 2972-2025 FSC-klagomål.docx", "A 2972-2025")</f>
        <v/>
      </c>
      <c r="W165">
        <f>HYPERLINK("https://klasma.github.io/Logging_2480/klagomålsmail/A 2972-2025 FSC-klagomål mail.docx", "A 2972-2025")</f>
        <v/>
      </c>
      <c r="X165">
        <f>HYPERLINK("https://klasma.github.io/Logging_2480/tillsyn/A 2972-2025 tillsynsbegäran.docx", "A 2972-2025")</f>
        <v/>
      </c>
      <c r="Y165">
        <f>HYPERLINK("https://klasma.github.io/Logging_2480/tillsynsmail/A 2972-2025 tillsynsbegäran mail.docx", "A 2972-2025")</f>
        <v/>
      </c>
    </row>
    <row r="166" ht="15" customHeight="1">
      <c r="A166" t="inlineStr">
        <is>
          <t>A 7848-2025</t>
        </is>
      </c>
      <c r="B166" s="1" t="n">
        <v>45706</v>
      </c>
      <c r="C166" s="1" t="n">
        <v>45733</v>
      </c>
      <c r="D166" t="inlineStr">
        <is>
          <t>VÄSTERBOTTENS LÄN</t>
        </is>
      </c>
      <c r="E166" t="inlineStr">
        <is>
          <t>UMEÅ</t>
        </is>
      </c>
      <c r="G166" t="n">
        <v>8.6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HYPERLINK("https://klasma.github.io/Logging_2480/artfynd/A 7848-2025 artfynd.xlsx", "A 7848-2025")</f>
        <v/>
      </c>
      <c r="T166">
        <f>HYPERLINK("https://klasma.github.io/Logging_2480/kartor/A 7848-2025 karta.png", "A 7848-2025")</f>
        <v/>
      </c>
      <c r="V166">
        <f>HYPERLINK("https://klasma.github.io/Logging_2480/klagomål/A 7848-2025 FSC-klagomål.docx", "A 7848-2025")</f>
        <v/>
      </c>
      <c r="W166">
        <f>HYPERLINK("https://klasma.github.io/Logging_2480/klagomålsmail/A 7848-2025 FSC-klagomål mail.docx", "A 7848-2025")</f>
        <v/>
      </c>
      <c r="X166">
        <f>HYPERLINK("https://klasma.github.io/Logging_2480/tillsyn/A 7848-2025 tillsynsbegäran.docx", "A 7848-2025")</f>
        <v/>
      </c>
      <c r="Y166">
        <f>HYPERLINK("https://klasma.github.io/Logging_2480/tillsynsmail/A 7848-2025 tillsynsbegäran mail.docx", "A 7848-2025")</f>
        <v/>
      </c>
      <c r="Z166">
        <f>HYPERLINK("https://klasma.github.io/Logging_2480/fåglar/A 7848-2025 prioriterade fågelarter.docx", "A 7848-2025")</f>
        <v/>
      </c>
    </row>
    <row r="167" ht="15" customHeight="1">
      <c r="A167" t="inlineStr">
        <is>
          <t>A 10945-2025</t>
        </is>
      </c>
      <c r="B167" s="1" t="n">
        <v>45723</v>
      </c>
      <c r="C167" s="1" t="n">
        <v>45733</v>
      </c>
      <c r="D167" t="inlineStr">
        <is>
          <t>VÄSTERBOTTENS LÄN</t>
        </is>
      </c>
      <c r="E167" t="inlineStr">
        <is>
          <t>UMEÅ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10945-2025 artfynd.xlsx", "A 10945-2025")</f>
        <v/>
      </c>
      <c r="T167">
        <f>HYPERLINK("https://klasma.github.io/Logging_2480/kartor/A 10945-2025 karta.png", "A 10945-2025")</f>
        <v/>
      </c>
      <c r="V167">
        <f>HYPERLINK("https://klasma.github.io/Logging_2480/klagomål/A 10945-2025 FSC-klagomål.docx", "A 10945-2025")</f>
        <v/>
      </c>
      <c r="W167">
        <f>HYPERLINK("https://klasma.github.io/Logging_2480/klagomålsmail/A 10945-2025 FSC-klagomål mail.docx", "A 10945-2025")</f>
        <v/>
      </c>
      <c r="X167">
        <f>HYPERLINK("https://klasma.github.io/Logging_2480/tillsyn/A 10945-2025 tillsynsbegäran.docx", "A 10945-2025")</f>
        <v/>
      </c>
      <c r="Y167">
        <f>HYPERLINK("https://klasma.github.io/Logging_2480/tillsynsmail/A 10945-2025 tillsynsbegäran mail.docx", "A 10945-2025")</f>
        <v/>
      </c>
    </row>
    <row r="168" ht="15" customHeight="1">
      <c r="A168" t="inlineStr">
        <is>
          <t>A 11044-2025</t>
        </is>
      </c>
      <c r="B168" s="1" t="n">
        <v>45723</v>
      </c>
      <c r="C168" s="1" t="n">
        <v>45733</v>
      </c>
      <c r="D168" t="inlineStr">
        <is>
          <t>VÄSTERBOTTENS LÄN</t>
        </is>
      </c>
      <c r="E168" t="inlineStr">
        <is>
          <t>UMEÅ</t>
        </is>
      </c>
      <c r="G168" t="n">
        <v>4.1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11044-2025 artfynd.xlsx", "A 11044-2025")</f>
        <v/>
      </c>
      <c r="T168">
        <f>HYPERLINK("https://klasma.github.io/Logging_2480/kartor/A 11044-2025 karta.png", "A 11044-2025")</f>
        <v/>
      </c>
      <c r="V168">
        <f>HYPERLINK("https://klasma.github.io/Logging_2480/klagomål/A 11044-2025 FSC-klagomål.docx", "A 11044-2025")</f>
        <v/>
      </c>
      <c r="W168">
        <f>HYPERLINK("https://klasma.github.io/Logging_2480/klagomålsmail/A 11044-2025 FSC-klagomål mail.docx", "A 11044-2025")</f>
        <v/>
      </c>
      <c r="X168">
        <f>HYPERLINK("https://klasma.github.io/Logging_2480/tillsyn/A 11044-2025 tillsynsbegäran.docx", "A 11044-2025")</f>
        <v/>
      </c>
      <c r="Y168">
        <f>HYPERLINK("https://klasma.github.io/Logging_2480/tillsynsmail/A 11044-2025 tillsynsbegäran mail.docx", "A 11044-2025")</f>
        <v/>
      </c>
    </row>
    <row r="169" ht="15" customHeight="1">
      <c r="A169" t="inlineStr">
        <is>
          <t>A 11796-2025</t>
        </is>
      </c>
      <c r="B169" s="1" t="n">
        <v>45727</v>
      </c>
      <c r="C169" s="1" t="n">
        <v>45733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Harticka</t>
        </is>
      </c>
      <c r="S169">
        <f>HYPERLINK("https://klasma.github.io/Logging_2480/artfynd/A 11796-2025 artfynd.xlsx", "A 11796-2025")</f>
        <v/>
      </c>
      <c r="T169">
        <f>HYPERLINK("https://klasma.github.io/Logging_2480/kartor/A 11796-2025 karta.png", "A 11796-2025")</f>
        <v/>
      </c>
      <c r="V169">
        <f>HYPERLINK("https://klasma.github.io/Logging_2480/klagomål/A 11796-2025 FSC-klagomål.docx", "A 11796-2025")</f>
        <v/>
      </c>
      <c r="W169">
        <f>HYPERLINK("https://klasma.github.io/Logging_2480/klagomålsmail/A 11796-2025 FSC-klagomål mail.docx", "A 11796-2025")</f>
        <v/>
      </c>
      <c r="X169">
        <f>HYPERLINK("https://klasma.github.io/Logging_2480/tillsyn/A 11796-2025 tillsynsbegäran.docx", "A 11796-2025")</f>
        <v/>
      </c>
      <c r="Y169">
        <f>HYPERLINK("https://klasma.github.io/Logging_2480/tillsynsmail/A 11796-2025 tillsynsbegäran mail.docx", "A 11796-2025")</f>
        <v/>
      </c>
    </row>
    <row r="170" ht="15" customHeight="1">
      <c r="A170" t="inlineStr">
        <is>
          <t>A 12298-2025</t>
        </is>
      </c>
      <c r="B170" s="1" t="n">
        <v>45729</v>
      </c>
      <c r="C170" s="1" t="n">
        <v>45733</v>
      </c>
      <c r="D170" t="inlineStr">
        <is>
          <t>VÄSTERBOTTENS LÄN</t>
        </is>
      </c>
      <c r="E170" t="inlineStr">
        <is>
          <t>UMEÅ</t>
        </is>
      </c>
      <c r="G170" t="n">
        <v>0.9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HYPERLINK("https://klasma.github.io/Logging_2480/artfynd/A 12298-2025 artfynd.xlsx", "A 12298-2025")</f>
        <v/>
      </c>
      <c r="T170">
        <f>HYPERLINK("https://klasma.github.io/Logging_2480/kartor/A 12298-2025 karta.png", "A 12298-2025")</f>
        <v/>
      </c>
      <c r="V170">
        <f>HYPERLINK("https://klasma.github.io/Logging_2480/klagomål/A 12298-2025 FSC-klagomål.docx", "A 12298-2025")</f>
        <v/>
      </c>
      <c r="W170">
        <f>HYPERLINK("https://klasma.github.io/Logging_2480/klagomålsmail/A 12298-2025 FSC-klagomål mail.docx", "A 12298-2025")</f>
        <v/>
      </c>
      <c r="X170">
        <f>HYPERLINK("https://klasma.github.io/Logging_2480/tillsyn/A 12298-2025 tillsynsbegäran.docx", "A 12298-2025")</f>
        <v/>
      </c>
      <c r="Y170">
        <f>HYPERLINK("https://klasma.github.io/Logging_2480/tillsynsmail/A 12298-2025 tillsynsbegäran mail.docx", "A 12298-2025")</f>
        <v/>
      </c>
      <c r="Z170">
        <f>HYPERLINK("https://klasma.github.io/Logging_2480/fåglar/A 12298-2025 prioriterade fågelarter.docx", "A 12298-2025")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45733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45733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45733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45733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45733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45733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45733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45733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45733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45733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45733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45733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45733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45733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45733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45733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45733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45733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45733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45733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45733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45733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45733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45733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45733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45733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45733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45733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45733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45733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45733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45733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45733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45733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45733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45733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45733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45733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45733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45733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45733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45733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45733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45733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45733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45733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45733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45733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45733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45733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45733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45733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45733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45733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45733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45733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45733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45733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45733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45733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45733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45733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45733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45733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45733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45733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45733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45733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45733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45733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45733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45733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45733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45733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45733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45733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45733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45733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45733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45733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45733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45733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45733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45733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45733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45733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45733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45733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45733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45733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45733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45733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45733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45733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45733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45733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45733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45733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45733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45733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45733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45733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45733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45733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45733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45733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45733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45733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45733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45733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45733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45733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45733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45733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45733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45733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45733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45733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45733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45733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45733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45733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45733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45733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45733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45733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45733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45733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45733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45733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45733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45733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45733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45733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45733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45733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45733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45733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45733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45733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45733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45733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45733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45733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45733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45733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45733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45733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45733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45733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45733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45733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45733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45733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45733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45733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45733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45733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45733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45733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45733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45733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45733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45733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45733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45733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45733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45733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45733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45733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45733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45733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45733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45733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45733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45733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45733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45733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45733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45733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45733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45733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45733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45733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45733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45733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45733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45733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45733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45733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45733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45733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45733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45733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45733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45733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45733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45733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45733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45733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45733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45733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45733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45733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45733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45733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45733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45733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45733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45733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45733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45733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45733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45733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45733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45733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45733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45733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45733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45733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45733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45733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45733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45733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45733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45733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45733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45733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45733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45733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45733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45733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45733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45733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45733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45733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45733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45733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45733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45733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45733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45733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45733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45733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45733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45733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45733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45733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45733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45733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45733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45733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45733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45733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45733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45733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45733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45733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45733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45733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45733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45733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45733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45733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45733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45733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45733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45733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45733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45733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45733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45733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45733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45733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45733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45733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45733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45733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45733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45733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45733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45733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45733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45733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45733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45733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45733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45733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45733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45733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45733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45733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45733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45733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45733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45733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45733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45733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45733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45733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45733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45733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45733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45733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45733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45733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45733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45733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45733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45733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45733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45733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45733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45733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45733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45733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45733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45733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45733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45733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45733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45733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45733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45733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45733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45733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45733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45733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45733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45733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45733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45733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45733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45733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45733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45733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45733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45733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45733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45733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45733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45733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45733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45733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45733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45733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45733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45733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45733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45733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45733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45733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45733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45733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45733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45733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45733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45733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45733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45733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45733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45733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45733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45733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45733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45733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45733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45733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45733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45733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45733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45733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45733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45733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45733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45733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45733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45733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45733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45733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45733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45733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45733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45733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45733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45733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45733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45733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45733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45733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45733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45733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45733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45733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45733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45733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45733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45733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45733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45733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45733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45733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45733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45733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45733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45733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45733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45733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45733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45733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45733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45733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45733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45733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45733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45733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45733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45733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45733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45733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45733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45733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45733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45733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45733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45733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45733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45733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45733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45733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45733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45733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45733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45733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45733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45733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45733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45733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45733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45733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45733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45733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45733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45733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45733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45733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45733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45733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45733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45733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45733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45733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45733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45733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45733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45733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45733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45733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45733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45733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45733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45733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45733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45733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45733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45733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45733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45733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45733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45733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45733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45733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45733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45733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45733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45733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45733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45733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45733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45733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45733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45733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45733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45733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45733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45733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45733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45733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45733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45733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45733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45733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45733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45733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45733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45733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45733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45733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45733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45733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45733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45733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45733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45733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45733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45733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45733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45733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45733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45733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45733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45733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45733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45733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45733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45733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45733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45733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45733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45733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45733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45733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45733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45733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45733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45733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45733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45733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45733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45733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45733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45733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45733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45733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45733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45733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45733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45733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45733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45733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45733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45733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45733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45733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45733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45733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45733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45733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45733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45733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45733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45733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45733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45733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45733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45733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45733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45733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45733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45733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45733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45733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45733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45733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45733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45733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45733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45733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45733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45733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45733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45733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45733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45733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45733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45733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45733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45733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45733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45733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45733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45733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45733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45733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45733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45733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45733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45733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45733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45733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45733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45733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45733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45733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45733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45733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45733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45733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45733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45733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45733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45733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45733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45733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45733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45733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45733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45733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45733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45733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45733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45733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45733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45733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45733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45733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45733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45733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45733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45733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45733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45733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45733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45733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45733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45733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45733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45733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45733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45733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45733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45733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45733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45733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45733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45733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45733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45733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45733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45733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45733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45733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45733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45733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45733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45733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45733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45733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45733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45733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45733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45733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45733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45733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45733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45733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45733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45733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45733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45733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45733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45733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45733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45733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45733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45733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45733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45733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45733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45733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45733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45733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45733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45733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45733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45733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45733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45733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45733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45733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45733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45733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45733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45733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45733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45733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45733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45733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45733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45733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45733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45733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45733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45733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45733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45733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45733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45733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45733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45733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45733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45733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45733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45733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45733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45733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45733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45733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45733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45733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45733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45733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45733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45733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45733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45733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45733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45733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45733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45733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45733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45733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45733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45733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45733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45733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45733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45733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45733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45733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45733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45733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45733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45733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45733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45733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45733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45733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45733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45733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45733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45733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45733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45733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45733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45733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45733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45733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45733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45733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45733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45733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45733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45733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45733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45733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45733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45733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45733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45733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45733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45733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45733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45733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45733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45733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45733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45733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45733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45733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45733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45733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45733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45733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45733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45733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45733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45733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45733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45733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45733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45733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45733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45733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45733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45733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45733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45733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45733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45733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45733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45733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45733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45733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45733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45733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45733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45733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45733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45733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45733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45733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45733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45733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45733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45733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45733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45733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45733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45733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45733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45733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45733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45733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45733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45733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45733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45733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45733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45733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45733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45733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45733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45733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45733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45733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45733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45733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45733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45733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45733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45733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45733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45733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45733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45733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45733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45733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45733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45733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45733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45733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45733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45733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45733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45733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45733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45733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45733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45733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45733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45733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45733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45733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45733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45733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45733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45733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45733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45733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45733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45733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45733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45733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45733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45733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45733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45733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45733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45733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45733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45733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45733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45733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45733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45733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45733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45733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45733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45733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45733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45733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45733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45733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45733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45733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45733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45733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45733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45733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45733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45733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45733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45733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45733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45733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45733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45733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45733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45733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45733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45733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45733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45733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45733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45733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45733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45733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45733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45733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45733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45733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45733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45733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45733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45733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45733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45733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45733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45733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45733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45733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45733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45733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45733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45733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45733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45733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45733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45733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45733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45733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45733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45733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45733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45733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45733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45733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45733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45733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45733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45733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45733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45733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45733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45733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45733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45733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45733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45733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45733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45733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45733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45733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45733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45733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45733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45733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45733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45733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45733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45733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45733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45733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45733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45733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45733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45733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45733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45733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45733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45733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45733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45733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45733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45733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45733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45733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45733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45733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45733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45733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45733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45733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45733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45733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45733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45733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45733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45733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45733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45733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45733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45733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45733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45733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45733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45733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45733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45733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45733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45733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45733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45733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45733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45733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45733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45733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45733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45733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45733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45733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45733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45733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45733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45733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45733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45733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45733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45733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45733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45733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45733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45733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45733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45733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45733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45733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45733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45733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45733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45733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45733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45733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45733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45733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45733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45733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45733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45733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45733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45733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45733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45733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45733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45733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45733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45733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45733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45733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45733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45733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45733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45733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45733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45733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45733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45733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45733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45733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45733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45733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45733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45733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45733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45733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45733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45733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45733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45733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45733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45733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45733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45733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45733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45733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45733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45733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45733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45733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45733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45733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45733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45733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45733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45733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45733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45733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45733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45733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45733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45733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45733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45733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45733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45733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45733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45733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45733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45733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45733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45733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45733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45733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45733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45733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45733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45733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45733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45733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45733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45733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45733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45733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45733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45733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45733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45733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45733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45733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45733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45733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45733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45733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45733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45733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45733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45733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45733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45733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45733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45733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45733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45733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45733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45733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45733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45733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45733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45733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45733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45733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45733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45733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45733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45733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45733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45733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45733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45733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45733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45733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45733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45733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45733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45733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45733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45733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45733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45733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45733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45733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45733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45733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45733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45733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45733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45733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45733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45733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45733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45733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45733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45733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45733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45733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45733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45733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45733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45733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45733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45733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45733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45733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45733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45733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45733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45733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45733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45733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45733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45733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45733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45733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45733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45733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45733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45733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45733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45733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45733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45733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45733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45733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45733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45733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45733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45733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45733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45733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45733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45733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45733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45733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45733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45733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45733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45733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45733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45733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45733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45733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45733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45733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45733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45733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45733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45733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45733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45733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45733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45733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45733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45733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45733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45733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45733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45733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45733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45733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45733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45733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45733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45733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45733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45733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45733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45733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45733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45733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45733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45733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45733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45733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45733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45733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45733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45733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45733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45733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45733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45733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45733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45733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45733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45733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45733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45733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45733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45733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45733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45733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45733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45733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45733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45733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45733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45733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45733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45733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45733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45733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45733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45733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45733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45733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45733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45733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45733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45733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45733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7696-2025</t>
        </is>
      </c>
      <c r="B1462" s="1" t="n">
        <v>45706</v>
      </c>
      <c r="C1462" s="1" t="n">
        <v>45733</v>
      </c>
      <c r="D1462" t="inlineStr">
        <is>
          <t>VÄSTERBOTTENS LÄN</t>
        </is>
      </c>
      <c r="E1462" t="inlineStr">
        <is>
          <t>UMEÅ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7774-2025</t>
        </is>
      </c>
      <c r="B1463" s="1" t="n">
        <v>45706</v>
      </c>
      <c r="C1463" s="1" t="n">
        <v>45733</v>
      </c>
      <c r="D1463" t="inlineStr">
        <is>
          <t>VÄSTERBOTTENS LÄN</t>
        </is>
      </c>
      <c r="E1463" t="inlineStr">
        <is>
          <t>UMEÅ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7693-2025</t>
        </is>
      </c>
      <c r="B1464" s="1" t="n">
        <v>45706</v>
      </c>
      <c r="C1464" s="1" t="n">
        <v>45733</v>
      </c>
      <c r="D1464" t="inlineStr">
        <is>
          <t>VÄSTERBOTTENS LÄN</t>
        </is>
      </c>
      <c r="E1464" t="inlineStr">
        <is>
          <t>UMEÅ</t>
        </is>
      </c>
      <c r="G1464" t="n">
        <v>19.7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45733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45733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45733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8575-2025</t>
        </is>
      </c>
      <c r="B1468" s="1" t="n">
        <v>45709</v>
      </c>
      <c r="C1468" s="1" t="n">
        <v>45733</v>
      </c>
      <c r="D1468" t="inlineStr">
        <is>
          <t>VÄSTERBOTTENS LÄN</t>
        </is>
      </c>
      <c r="E1468" t="inlineStr">
        <is>
          <t>UMEÅ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8583-2025</t>
        </is>
      </c>
      <c r="B1469" s="1" t="n">
        <v>45709</v>
      </c>
      <c r="C1469" s="1" t="n">
        <v>45733</v>
      </c>
      <c r="D1469" t="inlineStr">
        <is>
          <t>VÄSTERBOTTENS LÄN</t>
        </is>
      </c>
      <c r="E1469" t="inlineStr">
        <is>
          <t>UMEÅ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8581-2025</t>
        </is>
      </c>
      <c r="B1470" s="1" t="n">
        <v>45709</v>
      </c>
      <c r="C1470" s="1" t="n">
        <v>45733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8586-2025</t>
        </is>
      </c>
      <c r="B1471" s="1" t="n">
        <v>45709</v>
      </c>
      <c r="C1471" s="1" t="n">
        <v>45733</v>
      </c>
      <c r="D1471" t="inlineStr">
        <is>
          <t>VÄSTERBOTTENS LÄN</t>
        </is>
      </c>
      <c r="E1471" t="inlineStr">
        <is>
          <t>UMEÅ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8539-2025</t>
        </is>
      </c>
      <c r="B1472" s="1" t="n">
        <v>45709</v>
      </c>
      <c r="C1472" s="1" t="n">
        <v>45733</v>
      </c>
      <c r="D1472" t="inlineStr">
        <is>
          <t>VÄSTERBOTTENS LÄN</t>
        </is>
      </c>
      <c r="E1472" t="inlineStr">
        <is>
          <t>UMEÅ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45733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45733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45733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45733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9169-2025</t>
        </is>
      </c>
      <c r="B1477" s="1" t="n">
        <v>45714</v>
      </c>
      <c r="C1477" s="1" t="n">
        <v>45733</v>
      </c>
      <c r="D1477" t="inlineStr">
        <is>
          <t>VÄSTERBOTTENS LÄN</t>
        </is>
      </c>
      <c r="E1477" t="inlineStr">
        <is>
          <t>UMEÅ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9272-2025</t>
        </is>
      </c>
      <c r="B1478" s="1" t="n">
        <v>45714</v>
      </c>
      <c r="C1478" s="1" t="n">
        <v>45733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9147-2025</t>
        </is>
      </c>
      <c r="B1479" s="1" t="n">
        <v>45714</v>
      </c>
      <c r="C1479" s="1" t="n">
        <v>45733</v>
      </c>
      <c r="D1479" t="inlineStr">
        <is>
          <t>VÄSTERBOTTENS LÄN</t>
        </is>
      </c>
      <c r="E1479" t="inlineStr">
        <is>
          <t>UMEÅ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9159-2025</t>
        </is>
      </c>
      <c r="B1480" s="1" t="n">
        <v>45714</v>
      </c>
      <c r="C1480" s="1" t="n">
        <v>45733</v>
      </c>
      <c r="D1480" t="inlineStr">
        <is>
          <t>VÄSTERBOTTENS LÄN</t>
        </is>
      </c>
      <c r="E1480" t="inlineStr">
        <is>
          <t>UMEÅ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10265-2025</t>
        </is>
      </c>
      <c r="B1481" s="1" t="n">
        <v>45720</v>
      </c>
      <c r="C1481" s="1" t="n">
        <v>45733</v>
      </c>
      <c r="D1481" t="inlineStr">
        <is>
          <t>VÄSTERBOTTENS LÄN</t>
        </is>
      </c>
      <c r="E1481" t="inlineStr">
        <is>
          <t>UMEÅ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10422-2025</t>
        </is>
      </c>
      <c r="B1482" s="1" t="n">
        <v>45720</v>
      </c>
      <c r="C1482" s="1" t="n">
        <v>45733</v>
      </c>
      <c r="D1482" t="inlineStr">
        <is>
          <t>VÄSTERBOTTENS LÄN</t>
        </is>
      </c>
      <c r="E1482" t="inlineStr">
        <is>
          <t>UMEÅ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10271-2025</t>
        </is>
      </c>
      <c r="B1483" s="1" t="n">
        <v>45720</v>
      </c>
      <c r="C1483" s="1" t="n">
        <v>45733</v>
      </c>
      <c r="D1483" t="inlineStr">
        <is>
          <t>VÄSTERBOTTENS LÄN</t>
        </is>
      </c>
      <c r="E1483" t="inlineStr">
        <is>
          <t>UMEÅ</t>
        </is>
      </c>
      <c r="G1483" t="n">
        <v>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10718-2025</t>
        </is>
      </c>
      <c r="B1484" s="1" t="n">
        <v>45722</v>
      </c>
      <c r="C1484" s="1" t="n">
        <v>45733</v>
      </c>
      <c r="D1484" t="inlineStr">
        <is>
          <t>VÄSTERBOTTENS LÄN</t>
        </is>
      </c>
      <c r="E1484" t="inlineStr">
        <is>
          <t>UMEÅ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10898-2025</t>
        </is>
      </c>
      <c r="B1485" s="1" t="n">
        <v>45722</v>
      </c>
      <c r="C1485" s="1" t="n">
        <v>45733</v>
      </c>
      <c r="D1485" t="inlineStr">
        <is>
          <t>VÄSTERBOTTENS LÄN</t>
        </is>
      </c>
      <c r="E1485" t="inlineStr">
        <is>
          <t>UMEÅ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10899-2025</t>
        </is>
      </c>
      <c r="B1486" s="1" t="n">
        <v>45722</v>
      </c>
      <c r="C1486" s="1" t="n">
        <v>45733</v>
      </c>
      <c r="D1486" t="inlineStr">
        <is>
          <t>VÄSTERBOTTENS LÄN</t>
        </is>
      </c>
      <c r="E1486" t="inlineStr">
        <is>
          <t>UMEÅ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10708-2025</t>
        </is>
      </c>
      <c r="B1487" s="1" t="n">
        <v>45722</v>
      </c>
      <c r="C1487" s="1" t="n">
        <v>45733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10729-2025</t>
        </is>
      </c>
      <c r="B1488" s="1" t="n">
        <v>45722</v>
      </c>
      <c r="C1488" s="1" t="n">
        <v>45733</v>
      </c>
      <c r="D1488" t="inlineStr">
        <is>
          <t>VÄSTERBOTTENS LÄN</t>
        </is>
      </c>
      <c r="E1488" t="inlineStr">
        <is>
          <t>UMEÅ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11063-2025</t>
        </is>
      </c>
      <c r="B1489" s="1" t="n">
        <v>45723</v>
      </c>
      <c r="C1489" s="1" t="n">
        <v>45733</v>
      </c>
      <c r="D1489" t="inlineStr">
        <is>
          <t>VÄSTERBOTTENS LÄN</t>
        </is>
      </c>
      <c r="E1489" t="inlineStr">
        <is>
          <t>UMEÅ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11061-2025</t>
        </is>
      </c>
      <c r="B1490" s="1" t="n">
        <v>45723</v>
      </c>
      <c r="C1490" s="1" t="n">
        <v>45733</v>
      </c>
      <c r="D1490" t="inlineStr">
        <is>
          <t>VÄSTERBOTTENS LÄN</t>
        </is>
      </c>
      <c r="E1490" t="inlineStr">
        <is>
          <t>UMEÅ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45733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11780-2025</t>
        </is>
      </c>
      <c r="B1492" s="1" t="n">
        <v>45727</v>
      </c>
      <c r="C1492" s="1" t="n">
        <v>45733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11798-2025</t>
        </is>
      </c>
      <c r="B1493" s="1" t="n">
        <v>45727</v>
      </c>
      <c r="C1493" s="1" t="n">
        <v>45733</v>
      </c>
      <c r="D1493" t="inlineStr">
        <is>
          <t>VÄSTERBOTTENS LÄN</t>
        </is>
      </c>
      <c r="E1493" t="inlineStr">
        <is>
          <t>UMEÅ</t>
        </is>
      </c>
      <c r="G1493" t="n">
        <v>11.5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11781-2025</t>
        </is>
      </c>
      <c r="B1494" s="1" t="n">
        <v>45727</v>
      </c>
      <c r="C1494" s="1" t="n">
        <v>45733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Kommuner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12124-2025</t>
        </is>
      </c>
      <c r="B1495" s="1" t="n">
        <v>45729</v>
      </c>
      <c r="C1495" s="1" t="n">
        <v>45733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12141-2025</t>
        </is>
      </c>
      <c r="B1496" s="1" t="n">
        <v>45729</v>
      </c>
      <c r="C1496" s="1" t="n">
        <v>45733</v>
      </c>
      <c r="D1496" t="inlineStr">
        <is>
          <t>VÄSTERBOTTENS LÄN</t>
        </is>
      </c>
      <c r="E1496" t="inlineStr">
        <is>
          <t>UMEÅ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45733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12226-2025</t>
        </is>
      </c>
      <c r="B1498" s="1" t="n">
        <v>45729</v>
      </c>
      <c r="C1498" s="1" t="n">
        <v>45733</v>
      </c>
      <c r="D1498" t="inlineStr">
        <is>
          <t>VÄSTERBOTTENS LÄN</t>
        </is>
      </c>
      <c r="E1498" t="inlineStr">
        <is>
          <t>UMEÅ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12160-2025</t>
        </is>
      </c>
      <c r="B1499" s="1" t="n">
        <v>45729</v>
      </c>
      <c r="C1499" s="1" t="n">
        <v>45733</v>
      </c>
      <c r="D1499" t="inlineStr">
        <is>
          <t>VÄSTERBOTTENS LÄN</t>
        </is>
      </c>
      <c r="E1499" t="inlineStr">
        <is>
          <t>UMEÅ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45733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12488-2025</t>
        </is>
      </c>
      <c r="B1501" s="1" t="n">
        <v>45730</v>
      </c>
      <c r="C1501" s="1" t="n">
        <v>45733</v>
      </c>
      <c r="D1501" t="inlineStr">
        <is>
          <t>VÄSTERBOTTENS LÄN</t>
        </is>
      </c>
      <c r="E1501" t="inlineStr">
        <is>
          <t>UMEÅ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2025-03-17T17:08:30Z</dcterms:created>
  <dcterms:modified xmlns:dcterms="http://purl.org/dc/terms/" xmlns:xsi="http://www.w3.org/2001/XMLSchema-instance" xsi:type="dcterms:W3CDTF">2025-03-17T17:08:31Z</dcterms:modified>
</cp:coreProperties>
</file>