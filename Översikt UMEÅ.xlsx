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45641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45641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45641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45641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45641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45641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45641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45641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45641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45641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45641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45641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45641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45641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45641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45641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45641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45641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45641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45641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45641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45641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45641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45641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45641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45641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45641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45641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45641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45641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45641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45641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45641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45641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45641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45641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45641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45641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45641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45641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45641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45641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45641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2336-2020</t>
        </is>
      </c>
      <c r="B45" s="1" t="n">
        <v>43846</v>
      </c>
      <c r="C45" s="1" t="n">
        <v>45641</v>
      </c>
      <c r="D45" t="inlineStr">
        <is>
          <t>VÄSTERBOTTENS LÄN</t>
        </is>
      </c>
      <c r="E45" t="inlineStr">
        <is>
          <t>UMEÅ</t>
        </is>
      </c>
      <c r="G45" t="n">
        <v>4.7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Gammelgransskål
Garnlav
Stjärntagging
Vedflikmossa</t>
        </is>
      </c>
      <c r="S45">
        <f>HYPERLINK("https://klasma.github.io/Logging_2480/artfynd/A 2336-2020 artfynd.xlsx", "A 2336-2020")</f>
        <v/>
      </c>
      <c r="T45">
        <f>HYPERLINK("https://klasma.github.io/Logging_2480/kartor/A 2336-2020 karta.png", "A 2336-2020")</f>
        <v/>
      </c>
      <c r="V45">
        <f>HYPERLINK("https://klasma.github.io/Logging_2480/klagomål/A 2336-2020 FSC-klagomål.docx", "A 2336-2020")</f>
        <v/>
      </c>
      <c r="W45">
        <f>HYPERLINK("https://klasma.github.io/Logging_2480/klagomålsmail/A 2336-2020 FSC-klagomål mail.docx", "A 2336-2020")</f>
        <v/>
      </c>
      <c r="X45">
        <f>HYPERLINK("https://klasma.github.io/Logging_2480/tillsyn/A 2336-2020 tillsynsbegäran.docx", "A 2336-2020")</f>
        <v/>
      </c>
      <c r="Y45">
        <f>HYPERLINK("https://klasma.github.io/Logging_2480/tillsynsmail/A 2336-2020 tillsynsbegäran mail.docx", "A 2336-2020")</f>
        <v/>
      </c>
    </row>
    <row r="46" ht="15" customHeight="1">
      <c r="A46" t="inlineStr">
        <is>
          <t>A 13048-2020</t>
        </is>
      </c>
      <c r="B46" s="1" t="n">
        <v>43900</v>
      </c>
      <c r="C46" s="1" t="n">
        <v>45641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Drillsnäppa
Granticka
Spillkråka
Veckticka</t>
        </is>
      </c>
      <c r="S46">
        <f>HYPERLINK("https://klasma.github.io/Logging_2480/artfynd/A 13048-2020 artfynd.xlsx", "A 13048-2020")</f>
        <v/>
      </c>
      <c r="T46">
        <f>HYPERLINK("https://klasma.github.io/Logging_2480/kartor/A 13048-2020 karta.png", "A 13048-2020")</f>
        <v/>
      </c>
      <c r="V46">
        <f>HYPERLINK("https://klasma.github.io/Logging_2480/klagomål/A 13048-2020 FSC-klagomål.docx", "A 13048-2020")</f>
        <v/>
      </c>
      <c r="W46">
        <f>HYPERLINK("https://klasma.github.io/Logging_2480/klagomålsmail/A 13048-2020 FSC-klagomål mail.docx", "A 13048-2020")</f>
        <v/>
      </c>
      <c r="X46">
        <f>HYPERLINK("https://klasma.github.io/Logging_2480/tillsyn/A 13048-2020 tillsynsbegäran.docx", "A 13048-2020")</f>
        <v/>
      </c>
      <c r="Y46">
        <f>HYPERLINK("https://klasma.github.io/Logging_2480/tillsynsmail/A 13048-2020 tillsynsbegäran mail.docx", "A 13048-2020")</f>
        <v/>
      </c>
      <c r="Z46">
        <f>HYPERLINK("https://klasma.github.io/Logging_2480/fåglar/A 13048-2020 prioriterade fågelarter.docx", "A 13048-2020")</f>
        <v/>
      </c>
    </row>
    <row r="47" ht="15" customHeight="1">
      <c r="A47" t="inlineStr">
        <is>
          <t>A 38686-2021</t>
        </is>
      </c>
      <c r="B47" s="1" t="n">
        <v>44407</v>
      </c>
      <c r="C47" s="1" t="n">
        <v>45641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1.1</v>
      </c>
      <c r="H47" t="n">
        <v>3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Björktrast
Gullgröppa
Skogsödla
Vanlig padda</t>
        </is>
      </c>
      <c r="S47">
        <f>HYPERLINK("https://klasma.github.io/Logging_2480/artfynd/A 38686-2021 artfynd.xlsx", "A 38686-2021")</f>
        <v/>
      </c>
      <c r="T47">
        <f>HYPERLINK("https://klasma.github.io/Logging_2480/kartor/A 38686-2021 karta.png", "A 38686-2021")</f>
        <v/>
      </c>
      <c r="V47">
        <f>HYPERLINK("https://klasma.github.io/Logging_2480/klagomål/A 38686-2021 FSC-klagomål.docx", "A 38686-2021")</f>
        <v/>
      </c>
      <c r="W47">
        <f>HYPERLINK("https://klasma.github.io/Logging_2480/klagomålsmail/A 38686-2021 FSC-klagomål mail.docx", "A 38686-2021")</f>
        <v/>
      </c>
      <c r="X47">
        <f>HYPERLINK("https://klasma.github.io/Logging_2480/tillsyn/A 38686-2021 tillsynsbegäran.docx", "A 38686-2021")</f>
        <v/>
      </c>
      <c r="Y47">
        <f>HYPERLINK("https://klasma.github.io/Logging_2480/tillsynsmail/A 38686-2021 tillsynsbegäran mail.docx", "A 38686-2021")</f>
        <v/>
      </c>
      <c r="Z47">
        <f>HYPERLINK("https://klasma.github.io/Logging_2480/fåglar/A 38686-2021 prioriterade fågelarter.docx", "A 38686-2021")</f>
        <v/>
      </c>
    </row>
    <row r="48" ht="15" customHeight="1">
      <c r="A48" t="inlineStr">
        <is>
          <t>A 38688-2021</t>
        </is>
      </c>
      <c r="B48" s="1" t="n">
        <v>44407</v>
      </c>
      <c r="C48" s="1" t="n">
        <v>45641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1.6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Älvstarr
Köseven
Strutbräken
Blåsippa</t>
        </is>
      </c>
      <c r="S48">
        <f>HYPERLINK("https://klasma.github.io/Logging_2480/artfynd/A 38688-2021 artfynd.xlsx", "A 38688-2021")</f>
        <v/>
      </c>
      <c r="T48">
        <f>HYPERLINK("https://klasma.github.io/Logging_2480/kartor/A 38688-2021 karta.png", "A 38688-2021")</f>
        <v/>
      </c>
      <c r="V48">
        <f>HYPERLINK("https://klasma.github.io/Logging_2480/klagomål/A 38688-2021 FSC-klagomål.docx", "A 38688-2021")</f>
        <v/>
      </c>
      <c r="W48">
        <f>HYPERLINK("https://klasma.github.io/Logging_2480/klagomålsmail/A 38688-2021 FSC-klagomål mail.docx", "A 38688-2021")</f>
        <v/>
      </c>
      <c r="X48">
        <f>HYPERLINK("https://klasma.github.io/Logging_2480/tillsyn/A 38688-2021 tillsynsbegäran.docx", "A 38688-2021")</f>
        <v/>
      </c>
      <c r="Y48">
        <f>HYPERLINK("https://klasma.github.io/Logging_2480/tillsynsmail/A 38688-2021 tillsynsbegäran mail.docx", "A 38688-2021")</f>
        <v/>
      </c>
    </row>
    <row r="49" ht="15" customHeight="1">
      <c r="A49" t="inlineStr">
        <is>
          <t>A 16206-2022</t>
        </is>
      </c>
      <c r="B49" s="1" t="n">
        <v>44670</v>
      </c>
      <c r="C49" s="1" t="n">
        <v>45641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4.2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Spillkråka
Ullticka
Vedticka</t>
        </is>
      </c>
      <c r="S49">
        <f>HYPERLINK("https://klasma.github.io/Logging_2480/artfynd/A 16206-2022 artfynd.xlsx", "A 16206-2022")</f>
        <v/>
      </c>
      <c r="T49">
        <f>HYPERLINK("https://klasma.github.io/Logging_2480/kartor/A 16206-2022 karta.png", "A 16206-2022")</f>
        <v/>
      </c>
      <c r="V49">
        <f>HYPERLINK("https://klasma.github.io/Logging_2480/klagomål/A 16206-2022 FSC-klagomål.docx", "A 16206-2022")</f>
        <v/>
      </c>
      <c r="W49">
        <f>HYPERLINK("https://klasma.github.io/Logging_2480/klagomålsmail/A 16206-2022 FSC-klagomål mail.docx", "A 16206-2022")</f>
        <v/>
      </c>
      <c r="X49">
        <f>HYPERLINK("https://klasma.github.io/Logging_2480/tillsyn/A 16206-2022 tillsynsbegäran.docx", "A 16206-2022")</f>
        <v/>
      </c>
      <c r="Y49">
        <f>HYPERLINK("https://klasma.github.io/Logging_2480/tillsynsmail/A 16206-2022 tillsynsbegäran mail.docx", "A 16206-2022")</f>
        <v/>
      </c>
      <c r="Z49">
        <f>HYPERLINK("https://klasma.github.io/Logging_2480/fåglar/A 16206-2022 prioriterade fågelarter.docx", "A 16206-2022")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45641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45641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45641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45641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45641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45641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45641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45641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45641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45641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45641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45641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45641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45641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45641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45641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45641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45641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45641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45641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45641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45641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45641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45641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45641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45641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45641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45641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45641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45641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45641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39979-2023</t>
        </is>
      </c>
      <c r="B81" s="1" t="n">
        <v>45168</v>
      </c>
      <c r="C81" s="1" t="n">
        <v>45641</v>
      </c>
      <c r="D81" t="inlineStr">
        <is>
          <t>VÄSTERBOTTENS LÄN</t>
        </is>
      </c>
      <c r="E81" t="inlineStr">
        <is>
          <t>UMEÅ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Vedskivlav</t>
        </is>
      </c>
      <c r="S81">
        <f>HYPERLINK("https://klasma.github.io/Logging_2480/artfynd/A 39979-2023 artfynd.xlsx", "A 39979-2023")</f>
        <v/>
      </c>
      <c r="T81">
        <f>HYPERLINK("https://klasma.github.io/Logging_2480/kartor/A 39979-2023 karta.png", "A 39979-2023")</f>
        <v/>
      </c>
      <c r="V81">
        <f>HYPERLINK("https://klasma.github.io/Logging_2480/klagomål/A 39979-2023 FSC-klagomål.docx", "A 39979-2023")</f>
        <v/>
      </c>
      <c r="W81">
        <f>HYPERLINK("https://klasma.github.io/Logging_2480/klagomålsmail/A 39979-2023 FSC-klagomål mail.docx", "A 39979-2023")</f>
        <v/>
      </c>
      <c r="X81">
        <f>HYPERLINK("https://klasma.github.io/Logging_2480/tillsyn/A 39979-2023 tillsynsbegäran.docx", "A 39979-2023")</f>
        <v/>
      </c>
      <c r="Y81">
        <f>HYPERLINK("https://klasma.github.io/Logging_2480/tillsynsmail/A 39979-2023 tillsynsbegäran mail.docx", "A 39979-2023")</f>
        <v/>
      </c>
    </row>
    <row r="82" ht="15" customHeight="1">
      <c r="A82" t="inlineStr">
        <is>
          <t>A 46563-2023</t>
        </is>
      </c>
      <c r="B82" s="1" t="n">
        <v>45198</v>
      </c>
      <c r="C82" s="1" t="n">
        <v>45641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HYPERLINK("https://klasma.github.io/Logging_2480/artfynd/A 46563-2023 artfynd.xlsx", "A 46563-2023")</f>
        <v/>
      </c>
      <c r="T82">
        <f>HYPERLINK("https://klasma.github.io/Logging_2480/kartor/A 46563-2023 karta.png", "A 46563-2023")</f>
        <v/>
      </c>
      <c r="V82">
        <f>HYPERLINK("https://klasma.github.io/Logging_2480/klagomål/A 46563-2023 FSC-klagomål.docx", "A 46563-2023")</f>
        <v/>
      </c>
      <c r="W82">
        <f>HYPERLINK("https://klasma.github.io/Logging_2480/klagomålsmail/A 46563-2023 FSC-klagomål mail.docx", "A 46563-2023")</f>
        <v/>
      </c>
      <c r="X82">
        <f>HYPERLINK("https://klasma.github.io/Logging_2480/tillsyn/A 46563-2023 tillsynsbegäran.docx", "A 46563-2023")</f>
        <v/>
      </c>
      <c r="Y82">
        <f>HYPERLINK("https://klasma.github.io/Logging_2480/tillsynsmail/A 46563-2023 tillsynsbegäran mail.docx", "A 46563-2023")</f>
        <v/>
      </c>
    </row>
    <row r="83" ht="15" customHeight="1">
      <c r="A83" t="inlineStr">
        <is>
          <t>A 48916-2023</t>
        </is>
      </c>
      <c r="B83" s="1" t="n">
        <v>45209</v>
      </c>
      <c r="C83" s="1" t="n">
        <v>45641</v>
      </c>
      <c r="D83" t="inlineStr">
        <is>
          <t>VÄSTERBOTTENS LÄN</t>
        </is>
      </c>
      <c r="E83" t="inlineStr">
        <is>
          <t>UMEÅ</t>
        </is>
      </c>
      <c r="G83" t="n">
        <v>5.4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Tretåig hackspett</t>
        </is>
      </c>
      <c r="S83">
        <f>HYPERLINK("https://klasma.github.io/Logging_2480/artfynd/A 48916-2023 artfynd.xlsx", "A 48916-2023")</f>
        <v/>
      </c>
      <c r="T83">
        <f>HYPERLINK("https://klasma.github.io/Logging_2480/kartor/A 48916-2023 karta.png", "A 48916-2023")</f>
        <v/>
      </c>
      <c r="V83">
        <f>HYPERLINK("https://klasma.github.io/Logging_2480/klagomål/A 48916-2023 FSC-klagomål.docx", "A 48916-2023")</f>
        <v/>
      </c>
      <c r="W83">
        <f>HYPERLINK("https://klasma.github.io/Logging_2480/klagomålsmail/A 48916-2023 FSC-klagomål mail.docx", "A 48916-2023")</f>
        <v/>
      </c>
      <c r="X83">
        <f>HYPERLINK("https://klasma.github.io/Logging_2480/tillsyn/A 48916-2023 tillsynsbegäran.docx", "A 48916-2023")</f>
        <v/>
      </c>
      <c r="Y83">
        <f>HYPERLINK("https://klasma.github.io/Logging_2480/tillsynsmail/A 48916-2023 tillsynsbegäran mail.docx", "A 48916-2023")</f>
        <v/>
      </c>
      <c r="Z83">
        <f>HYPERLINK("https://klasma.github.io/Logging_2480/fåglar/A 48916-2023 prioriterade fågelarter.docx", "A 48916-2023")</f>
        <v/>
      </c>
    </row>
    <row r="84" ht="15" customHeight="1">
      <c r="A84" t="inlineStr">
        <is>
          <t>A 7050-2024</t>
        </is>
      </c>
      <c r="B84" s="1" t="n">
        <v>45343</v>
      </c>
      <c r="C84" s="1" t="n">
        <v>45641</v>
      </c>
      <c r="D84" t="inlineStr">
        <is>
          <t>VÄSTERBOTTENS LÄN</t>
        </is>
      </c>
      <c r="E84" t="inlineStr">
        <is>
          <t>UMEÅ</t>
        </is>
      </c>
      <c r="G84" t="n">
        <v>6.5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Talltita</t>
        </is>
      </c>
      <c r="S84">
        <f>HYPERLINK("https://klasma.github.io/Logging_2480/artfynd/A 7050-2024 artfynd.xlsx", "A 7050-2024")</f>
        <v/>
      </c>
      <c r="T84">
        <f>HYPERLINK("https://klasma.github.io/Logging_2480/kartor/A 7050-2024 karta.png", "A 7050-2024")</f>
        <v/>
      </c>
      <c r="V84">
        <f>HYPERLINK("https://klasma.github.io/Logging_2480/klagomål/A 7050-2024 FSC-klagomål.docx", "A 7050-2024")</f>
        <v/>
      </c>
      <c r="W84">
        <f>HYPERLINK("https://klasma.github.io/Logging_2480/klagomålsmail/A 7050-2024 FSC-klagomål mail.docx", "A 7050-2024")</f>
        <v/>
      </c>
      <c r="X84">
        <f>HYPERLINK("https://klasma.github.io/Logging_2480/tillsyn/A 7050-2024 tillsynsbegäran.docx", "A 7050-2024")</f>
        <v/>
      </c>
      <c r="Y84">
        <f>HYPERLINK("https://klasma.github.io/Logging_2480/tillsynsmail/A 7050-2024 tillsynsbegäran mail.docx", "A 7050-2024")</f>
        <v/>
      </c>
      <c r="Z84">
        <f>HYPERLINK("https://klasma.github.io/Logging_2480/fåglar/A 7050-2024 prioriterade fågelarter.docx", "A 7050-2024")</f>
        <v/>
      </c>
    </row>
    <row r="85" ht="15" customHeight="1">
      <c r="A85" t="inlineStr">
        <is>
          <t>A 8715-2024</t>
        </is>
      </c>
      <c r="B85" s="1" t="n">
        <v>45356</v>
      </c>
      <c r="C85" s="1" t="n">
        <v>45641</v>
      </c>
      <c r="D85" t="inlineStr">
        <is>
          <t>VÄSTERBOTTENS LÄN</t>
        </is>
      </c>
      <c r="E85" t="inlineStr">
        <is>
          <t>UMEÅ</t>
        </is>
      </c>
      <c r="G85" t="n">
        <v>6.1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Turkos blåvinge
Garnlav</t>
        </is>
      </c>
      <c r="S85">
        <f>HYPERLINK("https://klasma.github.io/Logging_2480/artfynd/A 8715-2024 artfynd.xlsx", "A 8715-2024")</f>
        <v/>
      </c>
      <c r="T85">
        <f>HYPERLINK("https://klasma.github.io/Logging_2480/kartor/A 8715-2024 karta.png", "A 8715-2024")</f>
        <v/>
      </c>
      <c r="V85">
        <f>HYPERLINK("https://klasma.github.io/Logging_2480/klagomål/A 8715-2024 FSC-klagomål.docx", "A 8715-2024")</f>
        <v/>
      </c>
      <c r="W85">
        <f>HYPERLINK("https://klasma.github.io/Logging_2480/klagomålsmail/A 8715-2024 FSC-klagomål mail.docx", "A 8715-2024")</f>
        <v/>
      </c>
      <c r="X85">
        <f>HYPERLINK("https://klasma.github.io/Logging_2480/tillsyn/A 8715-2024 tillsynsbegäran.docx", "A 8715-2024")</f>
        <v/>
      </c>
      <c r="Y85">
        <f>HYPERLINK("https://klasma.github.io/Logging_2480/tillsynsmail/A 8715-2024 tillsynsbegäran mail.docx", "A 8715-2024")</f>
        <v/>
      </c>
    </row>
    <row r="86" ht="15" customHeight="1">
      <c r="A86" t="inlineStr">
        <is>
          <t>A 35612-2024</t>
        </is>
      </c>
      <c r="B86" s="1" t="n">
        <v>45531</v>
      </c>
      <c r="C86" s="1" t="n">
        <v>45641</v>
      </c>
      <c r="D86" t="inlineStr">
        <is>
          <t>VÄSTERBOTTENS LÄN</t>
        </is>
      </c>
      <c r="E86" t="inlineStr">
        <is>
          <t>UMEÅ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HYPERLINK("https://klasma.github.io/Logging_2480/artfynd/A 35612-2024 artfynd.xlsx", "A 35612-2024")</f>
        <v/>
      </c>
      <c r="T86">
        <f>HYPERLINK("https://klasma.github.io/Logging_2480/kartor/A 35612-2024 karta.png", "A 35612-2024")</f>
        <v/>
      </c>
      <c r="V86">
        <f>HYPERLINK("https://klasma.github.io/Logging_2480/klagomål/A 35612-2024 FSC-klagomål.docx", "A 35612-2024")</f>
        <v/>
      </c>
      <c r="W86">
        <f>HYPERLINK("https://klasma.github.io/Logging_2480/klagomålsmail/A 35612-2024 FSC-klagomål mail.docx", "A 35612-2024")</f>
        <v/>
      </c>
      <c r="X86">
        <f>HYPERLINK("https://klasma.github.io/Logging_2480/tillsyn/A 35612-2024 tillsynsbegäran.docx", "A 35612-2024")</f>
        <v/>
      </c>
      <c r="Y86">
        <f>HYPERLINK("https://klasma.github.io/Logging_2480/tillsynsmail/A 35612-2024 tillsynsbegäran mail.docx", "A 35612-2024")</f>
        <v/>
      </c>
    </row>
    <row r="87" ht="15" customHeight="1">
      <c r="A87" t="inlineStr">
        <is>
          <t>A 41077-2024</t>
        </is>
      </c>
      <c r="B87" s="1" t="n">
        <v>45559</v>
      </c>
      <c r="C87" s="1" t="n">
        <v>45641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12.2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41077-2024 artfynd.xlsx", "A 41077-2024")</f>
        <v/>
      </c>
      <c r="T87">
        <f>HYPERLINK("https://klasma.github.io/Logging_2480/kartor/A 41077-2024 karta.png", "A 41077-2024")</f>
        <v/>
      </c>
      <c r="V87">
        <f>HYPERLINK("https://klasma.github.io/Logging_2480/klagomål/A 41077-2024 FSC-klagomål.docx", "A 41077-2024")</f>
        <v/>
      </c>
      <c r="W87">
        <f>HYPERLINK("https://klasma.github.io/Logging_2480/klagomålsmail/A 41077-2024 FSC-klagomål mail.docx", "A 41077-2024")</f>
        <v/>
      </c>
      <c r="X87">
        <f>HYPERLINK("https://klasma.github.io/Logging_2480/tillsyn/A 41077-2024 tillsynsbegäran.docx", "A 41077-2024")</f>
        <v/>
      </c>
      <c r="Y87">
        <f>HYPERLINK("https://klasma.github.io/Logging_2480/tillsynsmail/A 41077-2024 tillsynsbegäran mail.docx", "A 41077-2024")</f>
        <v/>
      </c>
    </row>
    <row r="88" ht="15" customHeight="1">
      <c r="A88" t="inlineStr">
        <is>
          <t>A 46143-2024</t>
        </is>
      </c>
      <c r="B88" s="1" t="n">
        <v>45581</v>
      </c>
      <c r="C88" s="1" t="n">
        <v>45641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Thomsons trägnagare</t>
        </is>
      </c>
      <c r="S88">
        <f>HYPERLINK("https://klasma.github.io/Logging_2480/artfynd/A 46143-2024 artfynd.xlsx", "A 46143-2024")</f>
        <v/>
      </c>
      <c r="T88">
        <f>HYPERLINK("https://klasma.github.io/Logging_2480/kartor/A 46143-2024 karta.png", "A 46143-2024")</f>
        <v/>
      </c>
      <c r="V88">
        <f>HYPERLINK("https://klasma.github.io/Logging_2480/klagomål/A 46143-2024 FSC-klagomål.docx", "A 46143-2024")</f>
        <v/>
      </c>
      <c r="W88">
        <f>HYPERLINK("https://klasma.github.io/Logging_2480/klagomålsmail/A 46143-2024 FSC-klagomål mail.docx", "A 46143-2024")</f>
        <v/>
      </c>
      <c r="X88">
        <f>HYPERLINK("https://klasma.github.io/Logging_2480/tillsyn/A 46143-2024 tillsynsbegäran.docx", "A 46143-2024")</f>
        <v/>
      </c>
      <c r="Y88">
        <f>HYPERLINK("https://klasma.github.io/Logging_2480/tillsynsmail/A 46143-2024 tillsynsbegäran mail.docx", "A 46143-2024")</f>
        <v/>
      </c>
      <c r="Z88">
        <f>HYPERLINK("https://klasma.github.io/Logging_2480/fåglar/A 46143-2024 prioriterade fågelarter.docx", "A 46143-2024")</f>
        <v/>
      </c>
    </row>
    <row r="89" ht="15" customHeight="1">
      <c r="A89" t="inlineStr">
        <is>
          <t>A 49136-2024</t>
        </is>
      </c>
      <c r="B89" s="1" t="n">
        <v>45594</v>
      </c>
      <c r="C89" s="1" t="n">
        <v>45641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HYPERLINK("https://klasma.github.io/Logging_2480/artfynd/A 49136-2024 artfynd.xlsx", "A 49136-2024")</f>
        <v/>
      </c>
      <c r="T89">
        <f>HYPERLINK("https://klasma.github.io/Logging_2480/kartor/A 49136-2024 karta.png", "A 49136-2024")</f>
        <v/>
      </c>
      <c r="V89">
        <f>HYPERLINK("https://klasma.github.io/Logging_2480/klagomål/A 49136-2024 FSC-klagomål.docx", "A 49136-2024")</f>
        <v/>
      </c>
      <c r="W89">
        <f>HYPERLINK("https://klasma.github.io/Logging_2480/klagomålsmail/A 49136-2024 FSC-klagomål mail.docx", "A 49136-2024")</f>
        <v/>
      </c>
      <c r="X89">
        <f>HYPERLINK("https://klasma.github.io/Logging_2480/tillsyn/A 49136-2024 tillsynsbegäran.docx", "A 49136-2024")</f>
        <v/>
      </c>
      <c r="Y89">
        <f>HYPERLINK("https://klasma.github.io/Logging_2480/tillsynsmail/A 49136-2024 tillsynsbegäran mail.docx", "A 49136-2024")</f>
        <v/>
      </c>
    </row>
    <row r="90" ht="15" customHeight="1">
      <c r="A90" t="inlineStr">
        <is>
          <t>A 53745-2019</t>
        </is>
      </c>
      <c r="B90" s="1" t="n">
        <v>43749</v>
      </c>
      <c r="C90" s="1" t="n">
        <v>45641</v>
      </c>
      <c r="D90" t="inlineStr">
        <is>
          <t>VÄSTERBOTTENS LÄN</t>
        </is>
      </c>
      <c r="E90" t="inlineStr">
        <is>
          <t>UMEÅ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HYPERLINK("https://klasma.github.io/Logging_2480/artfynd/A 53745-2019 artfynd.xlsx", "A 53745-2019")</f>
        <v/>
      </c>
      <c r="T90">
        <f>HYPERLINK("https://klasma.github.io/Logging_2480/kartor/A 53745-2019 karta.png", "A 53745-2019")</f>
        <v/>
      </c>
      <c r="V90">
        <f>HYPERLINK("https://klasma.github.io/Logging_2480/klagomål/A 53745-2019 FSC-klagomål.docx", "A 53745-2019")</f>
        <v/>
      </c>
      <c r="W90">
        <f>HYPERLINK("https://klasma.github.io/Logging_2480/klagomålsmail/A 53745-2019 FSC-klagomål mail.docx", "A 53745-2019")</f>
        <v/>
      </c>
      <c r="X90">
        <f>HYPERLINK("https://klasma.github.io/Logging_2480/tillsyn/A 53745-2019 tillsynsbegäran.docx", "A 53745-2019")</f>
        <v/>
      </c>
      <c r="Y90">
        <f>HYPERLINK("https://klasma.github.io/Logging_2480/tillsynsmail/A 53745-2019 tillsynsbegäran mail.docx", "A 53745-2019")</f>
        <v/>
      </c>
    </row>
    <row r="91" ht="15" customHeight="1">
      <c r="A91" t="inlineStr">
        <is>
          <t>A 23492-2020</t>
        </is>
      </c>
      <c r="B91" s="1" t="n">
        <v>43966</v>
      </c>
      <c r="C91" s="1" t="n">
        <v>45641</v>
      </c>
      <c r="D91" t="inlineStr">
        <is>
          <t>VÄSTERBOTTENS LÄN</t>
        </is>
      </c>
      <c r="E91" t="inlineStr">
        <is>
          <t>UMEÅ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HYPERLINK("https://klasma.github.io/Logging_2480/artfynd/A 23492-2020 artfynd.xlsx", "A 23492-2020")</f>
        <v/>
      </c>
      <c r="T91">
        <f>HYPERLINK("https://klasma.github.io/Logging_2480/kartor/A 23492-2020 karta.png", "A 23492-2020")</f>
        <v/>
      </c>
      <c r="V91">
        <f>HYPERLINK("https://klasma.github.io/Logging_2480/klagomål/A 23492-2020 FSC-klagomål.docx", "A 23492-2020")</f>
        <v/>
      </c>
      <c r="W91">
        <f>HYPERLINK("https://klasma.github.io/Logging_2480/klagomålsmail/A 23492-2020 FSC-klagomål mail.docx", "A 23492-2020")</f>
        <v/>
      </c>
      <c r="X91">
        <f>HYPERLINK("https://klasma.github.io/Logging_2480/tillsyn/A 23492-2020 tillsynsbegäran.docx", "A 23492-2020")</f>
        <v/>
      </c>
      <c r="Y91">
        <f>HYPERLINK("https://klasma.github.io/Logging_2480/tillsynsmail/A 23492-2020 tillsynsbegäran mail.docx", "A 23492-2020")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45641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</row>
    <row r="93" ht="15" customHeight="1">
      <c r="A93" t="inlineStr">
        <is>
          <t>A 18248-2021</t>
        </is>
      </c>
      <c r="B93" s="1" t="n">
        <v>44305</v>
      </c>
      <c r="C93" s="1" t="n">
        <v>45641</v>
      </c>
      <c r="D93" t="inlineStr">
        <is>
          <t>VÄSTERBOTTENS LÄN</t>
        </is>
      </c>
      <c r="E93" t="inlineStr">
        <is>
          <t>UMEÅ</t>
        </is>
      </c>
      <c r="G93" t="n">
        <v>22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Bivråk</t>
        </is>
      </c>
      <c r="S93">
        <f>HYPERLINK("https://klasma.github.io/Logging_2480/artfynd/A 18248-2021 artfynd.xlsx", "A 18248-2021")</f>
        <v/>
      </c>
      <c r="T93">
        <f>HYPERLINK("https://klasma.github.io/Logging_2480/kartor/A 18248-2021 karta.png", "A 18248-2021")</f>
        <v/>
      </c>
      <c r="V93">
        <f>HYPERLINK("https://klasma.github.io/Logging_2480/klagomål/A 18248-2021 FSC-klagomål.docx", "A 18248-2021")</f>
        <v/>
      </c>
      <c r="W93">
        <f>HYPERLINK("https://klasma.github.io/Logging_2480/klagomålsmail/A 18248-2021 FSC-klagomål mail.docx", "A 18248-2021")</f>
        <v/>
      </c>
      <c r="X93">
        <f>HYPERLINK("https://klasma.github.io/Logging_2480/tillsyn/A 18248-2021 tillsynsbegäran.docx", "A 18248-2021")</f>
        <v/>
      </c>
      <c r="Y93">
        <f>HYPERLINK("https://klasma.github.io/Logging_2480/tillsynsmail/A 18248-2021 tillsynsbegäran mail.docx", "A 18248-2021")</f>
        <v/>
      </c>
      <c r="Z93">
        <f>HYPERLINK("https://klasma.github.io/Logging_2480/fåglar/A 18248-2021 prioriterade fågelarter.docx", "A 18248-2021")</f>
        <v/>
      </c>
    </row>
    <row r="94" ht="15" customHeight="1">
      <c r="A94" t="inlineStr">
        <is>
          <t>A 38396-2021</t>
        </is>
      </c>
      <c r="B94" s="1" t="n">
        <v>44406</v>
      </c>
      <c r="C94" s="1" t="n">
        <v>45641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HYPERLINK("https://klasma.github.io/Logging_2480/artfynd/A 38396-2021 artfynd.xlsx", "A 38396-2021")</f>
        <v/>
      </c>
      <c r="T94">
        <f>HYPERLINK("https://klasma.github.io/Logging_2480/kartor/A 38396-2021 karta.png", "A 38396-2021")</f>
        <v/>
      </c>
      <c r="V94">
        <f>HYPERLINK("https://klasma.github.io/Logging_2480/klagomål/A 38396-2021 FSC-klagomål.docx", "A 38396-2021")</f>
        <v/>
      </c>
      <c r="W94">
        <f>HYPERLINK("https://klasma.github.io/Logging_2480/klagomålsmail/A 38396-2021 FSC-klagomål mail.docx", "A 38396-2021")</f>
        <v/>
      </c>
      <c r="X94">
        <f>HYPERLINK("https://klasma.github.io/Logging_2480/tillsyn/A 38396-2021 tillsynsbegäran.docx", "A 38396-2021")</f>
        <v/>
      </c>
      <c r="Y94">
        <f>HYPERLINK("https://klasma.github.io/Logging_2480/tillsynsmail/A 38396-2021 tillsynsbegäran mail.docx", "A 38396-2021")</f>
        <v/>
      </c>
    </row>
    <row r="95" ht="15" customHeight="1">
      <c r="A95" t="inlineStr">
        <is>
          <t>A 38393-2021</t>
        </is>
      </c>
      <c r="B95" s="1" t="n">
        <v>44406</v>
      </c>
      <c r="C95" s="1" t="n">
        <v>45641</v>
      </c>
      <c r="D95" t="inlineStr">
        <is>
          <t>VÄSTERBOTTENS LÄN</t>
        </is>
      </c>
      <c r="E95" t="inlineStr">
        <is>
          <t>UMEÅ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HYPERLINK("https://klasma.github.io/Logging_2480/artfynd/A 38393-2021 artfynd.xlsx", "A 38393-2021")</f>
        <v/>
      </c>
      <c r="T95">
        <f>HYPERLINK("https://klasma.github.io/Logging_2480/kartor/A 38393-2021 karta.png", "A 38393-2021")</f>
        <v/>
      </c>
      <c r="V95">
        <f>HYPERLINK("https://klasma.github.io/Logging_2480/klagomål/A 38393-2021 FSC-klagomål.docx", "A 38393-2021")</f>
        <v/>
      </c>
      <c r="W95">
        <f>HYPERLINK("https://klasma.github.io/Logging_2480/klagomålsmail/A 38393-2021 FSC-klagomål mail.docx", "A 38393-2021")</f>
        <v/>
      </c>
      <c r="X95">
        <f>HYPERLINK("https://klasma.github.io/Logging_2480/tillsyn/A 38393-2021 tillsynsbegäran.docx", "A 38393-2021")</f>
        <v/>
      </c>
      <c r="Y95">
        <f>HYPERLINK("https://klasma.github.io/Logging_2480/tillsynsmail/A 38393-2021 tillsynsbegäran mail.docx", "A 38393-2021")</f>
        <v/>
      </c>
      <c r="Z95">
        <f>HYPERLINK("https://klasma.github.io/Logging_2480/fåglar/A 38393-2021 prioriterade fågelarter.docx", "A 38393-2021")</f>
        <v/>
      </c>
    </row>
    <row r="96" ht="15" customHeight="1">
      <c r="A96" t="inlineStr">
        <is>
          <t>A 38390-2021</t>
        </is>
      </c>
      <c r="B96" s="1" t="n">
        <v>44406</v>
      </c>
      <c r="C96" s="1" t="n">
        <v>45641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HYPERLINK("https://klasma.github.io/Logging_2480/artfynd/A 38390-2021 artfynd.xlsx", "A 38390-2021")</f>
        <v/>
      </c>
      <c r="T96">
        <f>HYPERLINK("https://klasma.github.io/Logging_2480/kartor/A 38390-2021 karta.png", "A 38390-2021")</f>
        <v/>
      </c>
      <c r="V96">
        <f>HYPERLINK("https://klasma.github.io/Logging_2480/klagomål/A 38390-2021 FSC-klagomål.docx", "A 38390-2021")</f>
        <v/>
      </c>
      <c r="W96">
        <f>HYPERLINK("https://klasma.github.io/Logging_2480/klagomålsmail/A 38390-2021 FSC-klagomål mail.docx", "A 38390-2021")</f>
        <v/>
      </c>
      <c r="X96">
        <f>HYPERLINK("https://klasma.github.io/Logging_2480/tillsyn/A 38390-2021 tillsynsbegäran.docx", "A 38390-2021")</f>
        <v/>
      </c>
      <c r="Y96">
        <f>HYPERLINK("https://klasma.github.io/Logging_2480/tillsynsmail/A 38390-2021 tillsynsbegäran mail.docx", "A 38390-2021")</f>
        <v/>
      </c>
    </row>
    <row r="97" ht="15" customHeight="1">
      <c r="A97" t="inlineStr">
        <is>
          <t>A 38438-2021</t>
        </is>
      </c>
      <c r="B97" s="1" t="n">
        <v>44406</v>
      </c>
      <c r="C97" s="1" t="n">
        <v>45641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38438-2021 artfynd.xlsx", "A 38438-2021")</f>
        <v/>
      </c>
      <c r="T97">
        <f>HYPERLINK("https://klasma.github.io/Logging_2480/kartor/A 38438-2021 karta.png", "A 38438-2021")</f>
        <v/>
      </c>
      <c r="V97">
        <f>HYPERLINK("https://klasma.github.io/Logging_2480/klagomål/A 38438-2021 FSC-klagomål.docx", "A 38438-2021")</f>
        <v/>
      </c>
      <c r="W97">
        <f>HYPERLINK("https://klasma.github.io/Logging_2480/klagomålsmail/A 38438-2021 FSC-klagomål mail.docx", "A 38438-2021")</f>
        <v/>
      </c>
      <c r="X97">
        <f>HYPERLINK("https://klasma.github.io/Logging_2480/tillsyn/A 38438-2021 tillsynsbegäran.docx", "A 38438-2021")</f>
        <v/>
      </c>
      <c r="Y97">
        <f>HYPERLINK("https://klasma.github.io/Logging_2480/tillsynsmail/A 38438-2021 tillsynsbegäran mail.docx", "A 38438-2021")</f>
        <v/>
      </c>
    </row>
    <row r="98" ht="15" customHeight="1">
      <c r="A98" t="inlineStr">
        <is>
          <t>A 38437-2021</t>
        </is>
      </c>
      <c r="B98" s="1" t="n">
        <v>44406</v>
      </c>
      <c r="C98" s="1" t="n">
        <v>45641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38437-2021 artfynd.xlsx", "A 38437-2021")</f>
        <v/>
      </c>
      <c r="T98">
        <f>HYPERLINK("https://klasma.github.io/Logging_2480/kartor/A 38437-2021 karta.png", "A 38437-2021")</f>
        <v/>
      </c>
      <c r="V98">
        <f>HYPERLINK("https://klasma.github.io/Logging_2480/klagomål/A 38437-2021 FSC-klagomål.docx", "A 38437-2021")</f>
        <v/>
      </c>
      <c r="W98">
        <f>HYPERLINK("https://klasma.github.io/Logging_2480/klagomålsmail/A 38437-2021 FSC-klagomål mail.docx", "A 38437-2021")</f>
        <v/>
      </c>
      <c r="X98">
        <f>HYPERLINK("https://klasma.github.io/Logging_2480/tillsyn/A 38437-2021 tillsynsbegäran.docx", "A 38437-2021")</f>
        <v/>
      </c>
      <c r="Y98">
        <f>HYPERLINK("https://klasma.github.io/Logging_2480/tillsynsmail/A 38437-2021 tillsynsbegäran mail.docx", "A 38437-2021")</f>
        <v/>
      </c>
    </row>
    <row r="99" ht="15" customHeight="1">
      <c r="A99" t="inlineStr">
        <is>
          <t>A 38545-2021</t>
        </is>
      </c>
      <c r="B99" s="1" t="n">
        <v>44407</v>
      </c>
      <c r="C99" s="1" t="n">
        <v>45641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HYPERLINK("https://klasma.github.io/Logging_2480/artfynd/A 38545-2021 artfynd.xlsx", "A 38545-2021")</f>
        <v/>
      </c>
      <c r="T99">
        <f>HYPERLINK("https://klasma.github.io/Logging_2480/kartor/A 38545-2021 karta.png", "A 38545-2021")</f>
        <v/>
      </c>
      <c r="V99">
        <f>HYPERLINK("https://klasma.github.io/Logging_2480/klagomål/A 38545-2021 FSC-klagomål.docx", "A 38545-2021")</f>
        <v/>
      </c>
      <c r="W99">
        <f>HYPERLINK("https://klasma.github.io/Logging_2480/klagomålsmail/A 38545-2021 FSC-klagomål mail.docx", "A 38545-2021")</f>
        <v/>
      </c>
      <c r="X99">
        <f>HYPERLINK("https://klasma.github.io/Logging_2480/tillsyn/A 38545-2021 tillsynsbegäran.docx", "A 38545-2021")</f>
        <v/>
      </c>
      <c r="Y99">
        <f>HYPERLINK("https://klasma.github.io/Logging_2480/tillsynsmail/A 38545-2021 tillsynsbegäran mail.docx", "A 38545-2021")</f>
        <v/>
      </c>
      <c r="Z99">
        <f>HYPERLINK("https://klasma.github.io/Logging_2480/fåglar/A 38545-2021 prioriterade fågelarter.docx", "A 38545-2021")</f>
        <v/>
      </c>
    </row>
    <row r="100" ht="15" customHeight="1">
      <c r="A100" t="inlineStr">
        <is>
          <t>A 38681-2021</t>
        </is>
      </c>
      <c r="B100" s="1" t="n">
        <v>44407</v>
      </c>
      <c r="C100" s="1" t="n">
        <v>45641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38681-2021 artfynd.xlsx", "A 38681-2021")</f>
        <v/>
      </c>
      <c r="T100">
        <f>HYPERLINK("https://klasma.github.io/Logging_2480/kartor/A 38681-2021 karta.png", "A 38681-2021")</f>
        <v/>
      </c>
      <c r="V100">
        <f>HYPERLINK("https://klasma.github.io/Logging_2480/klagomål/A 38681-2021 FSC-klagomål.docx", "A 38681-2021")</f>
        <v/>
      </c>
      <c r="W100">
        <f>HYPERLINK("https://klasma.github.io/Logging_2480/klagomålsmail/A 38681-2021 FSC-klagomål mail.docx", "A 38681-2021")</f>
        <v/>
      </c>
      <c r="X100">
        <f>HYPERLINK("https://klasma.github.io/Logging_2480/tillsyn/A 38681-2021 tillsynsbegäran.docx", "A 38681-2021")</f>
        <v/>
      </c>
      <c r="Y100">
        <f>HYPERLINK("https://klasma.github.io/Logging_2480/tillsynsmail/A 38681-2021 tillsynsbegäran mail.docx", "A 38681-2021")</f>
        <v/>
      </c>
      <c r="Z100">
        <f>HYPERLINK("https://klasma.github.io/Logging_2480/fåglar/A 38681-2021 prioriterade fågelarter.docx", "A 38681-2021")</f>
        <v/>
      </c>
    </row>
    <row r="101" ht="15" customHeight="1">
      <c r="A101" t="inlineStr">
        <is>
          <t>A 38683-2021</t>
        </is>
      </c>
      <c r="B101" s="1" t="n">
        <v>44407</v>
      </c>
      <c r="C101" s="1" t="n">
        <v>45641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Springkornsfältmätare</t>
        </is>
      </c>
      <c r="S101">
        <f>HYPERLINK("https://klasma.github.io/Logging_2480/artfynd/A 38683-2021 artfynd.xlsx", "A 38683-2021")</f>
        <v/>
      </c>
      <c r="T101">
        <f>HYPERLINK("https://klasma.github.io/Logging_2480/kartor/A 38683-2021 karta.png", "A 38683-2021")</f>
        <v/>
      </c>
      <c r="V101">
        <f>HYPERLINK("https://klasma.github.io/Logging_2480/klagomål/A 38683-2021 FSC-klagomål.docx", "A 38683-2021")</f>
        <v/>
      </c>
      <c r="W101">
        <f>HYPERLINK("https://klasma.github.io/Logging_2480/klagomålsmail/A 38683-2021 FSC-klagomål mail.docx", "A 38683-2021")</f>
        <v/>
      </c>
      <c r="X101">
        <f>HYPERLINK("https://klasma.github.io/Logging_2480/tillsyn/A 38683-2021 tillsynsbegäran.docx", "A 38683-2021")</f>
        <v/>
      </c>
      <c r="Y101">
        <f>HYPERLINK("https://klasma.github.io/Logging_2480/tillsynsmail/A 38683-2021 tillsynsbegäran mail.docx", "A 38683-2021")</f>
        <v/>
      </c>
    </row>
    <row r="102" ht="15" customHeight="1">
      <c r="A102" t="inlineStr">
        <is>
          <t>A 38719-2021</t>
        </is>
      </c>
      <c r="B102" s="1" t="n">
        <v>44410</v>
      </c>
      <c r="C102" s="1" t="n">
        <v>45641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38719-2021 artfynd.xlsx", "A 38719-2021")</f>
        <v/>
      </c>
      <c r="T102">
        <f>HYPERLINK("https://klasma.github.io/Logging_2480/kartor/A 38719-2021 karta.png", "A 38719-2021")</f>
        <v/>
      </c>
      <c r="V102">
        <f>HYPERLINK("https://klasma.github.io/Logging_2480/klagomål/A 38719-2021 FSC-klagomål.docx", "A 38719-2021")</f>
        <v/>
      </c>
      <c r="W102">
        <f>HYPERLINK("https://klasma.github.io/Logging_2480/klagomålsmail/A 38719-2021 FSC-klagomål mail.docx", "A 38719-2021")</f>
        <v/>
      </c>
      <c r="X102">
        <f>HYPERLINK("https://klasma.github.io/Logging_2480/tillsyn/A 38719-2021 tillsynsbegäran.docx", "A 38719-2021")</f>
        <v/>
      </c>
      <c r="Y102">
        <f>HYPERLINK("https://klasma.github.io/Logging_2480/tillsynsmail/A 38719-2021 tillsynsbegäran mail.docx", "A 38719-2021")</f>
        <v/>
      </c>
      <c r="Z102">
        <f>HYPERLINK("https://klasma.github.io/Logging_2480/fåglar/A 38719-2021 prioriterade fågelarter.docx", "A 38719-2021")</f>
        <v/>
      </c>
    </row>
    <row r="103" ht="15" customHeight="1">
      <c r="A103" t="inlineStr">
        <is>
          <t>A 38700-2021</t>
        </is>
      </c>
      <c r="B103" s="1" t="n">
        <v>44410</v>
      </c>
      <c r="C103" s="1" t="n">
        <v>45641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38700-2021 artfynd.xlsx", "A 38700-2021")</f>
        <v/>
      </c>
      <c r="T103">
        <f>HYPERLINK("https://klasma.github.io/Logging_2480/kartor/A 38700-2021 karta.png", "A 38700-2021")</f>
        <v/>
      </c>
      <c r="V103">
        <f>HYPERLINK("https://klasma.github.io/Logging_2480/klagomål/A 38700-2021 FSC-klagomål.docx", "A 38700-2021")</f>
        <v/>
      </c>
      <c r="W103">
        <f>HYPERLINK("https://klasma.github.io/Logging_2480/klagomålsmail/A 38700-2021 FSC-klagomål mail.docx", "A 38700-2021")</f>
        <v/>
      </c>
      <c r="X103">
        <f>HYPERLINK("https://klasma.github.io/Logging_2480/tillsyn/A 38700-2021 tillsynsbegäran.docx", "A 38700-2021")</f>
        <v/>
      </c>
      <c r="Y103">
        <f>HYPERLINK("https://klasma.github.io/Logging_2480/tillsynsmail/A 38700-2021 tillsynsbegäran mail.docx", "A 38700-2021")</f>
        <v/>
      </c>
    </row>
    <row r="104" ht="15" customHeight="1">
      <c r="A104" t="inlineStr">
        <is>
          <t>A 38742-2021</t>
        </is>
      </c>
      <c r="B104" s="1" t="n">
        <v>44410</v>
      </c>
      <c r="C104" s="1" t="n">
        <v>45641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Stubbträfluga</t>
        </is>
      </c>
      <c r="S104">
        <f>HYPERLINK("https://klasma.github.io/Logging_2480/artfynd/A 38742-2021 artfynd.xlsx", "A 38742-2021")</f>
        <v/>
      </c>
      <c r="T104">
        <f>HYPERLINK("https://klasma.github.io/Logging_2480/kartor/A 38742-2021 karta.png", "A 38742-2021")</f>
        <v/>
      </c>
      <c r="V104">
        <f>HYPERLINK("https://klasma.github.io/Logging_2480/klagomål/A 38742-2021 FSC-klagomål.docx", "A 38742-2021")</f>
        <v/>
      </c>
      <c r="W104">
        <f>HYPERLINK("https://klasma.github.io/Logging_2480/klagomålsmail/A 38742-2021 FSC-klagomål mail.docx", "A 38742-2021")</f>
        <v/>
      </c>
      <c r="X104">
        <f>HYPERLINK("https://klasma.github.io/Logging_2480/tillsyn/A 38742-2021 tillsynsbegäran.docx", "A 38742-2021")</f>
        <v/>
      </c>
      <c r="Y104">
        <f>HYPERLINK("https://klasma.github.io/Logging_2480/tillsynsmail/A 38742-2021 tillsynsbegäran mail.docx", "A 38742-2021")</f>
        <v/>
      </c>
    </row>
    <row r="105" ht="15" customHeight="1">
      <c r="A105" t="inlineStr">
        <is>
          <t>A 47038-2021</t>
        </is>
      </c>
      <c r="B105" s="1" t="n">
        <v>44446</v>
      </c>
      <c r="C105" s="1" t="n">
        <v>45641</v>
      </c>
      <c r="D105" t="inlineStr">
        <is>
          <t>VÄSTERBOTTENS LÄN</t>
        </is>
      </c>
      <c r="E105" t="inlineStr">
        <is>
          <t>UMEÅ</t>
        </is>
      </c>
      <c r="G105" t="n">
        <v>22.3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47038-2021 artfynd.xlsx", "A 47038-2021")</f>
        <v/>
      </c>
      <c r="T105">
        <f>HYPERLINK("https://klasma.github.io/Logging_2480/kartor/A 47038-2021 karta.png", "A 47038-2021")</f>
        <v/>
      </c>
      <c r="V105">
        <f>HYPERLINK("https://klasma.github.io/Logging_2480/klagomål/A 47038-2021 FSC-klagomål.docx", "A 47038-2021")</f>
        <v/>
      </c>
      <c r="W105">
        <f>HYPERLINK("https://klasma.github.io/Logging_2480/klagomålsmail/A 47038-2021 FSC-klagomål mail.docx", "A 47038-2021")</f>
        <v/>
      </c>
      <c r="X105">
        <f>HYPERLINK("https://klasma.github.io/Logging_2480/tillsyn/A 47038-2021 tillsynsbegäran.docx", "A 47038-2021")</f>
        <v/>
      </c>
      <c r="Y105">
        <f>HYPERLINK("https://klasma.github.io/Logging_2480/tillsynsmail/A 47038-2021 tillsynsbegäran mail.docx", "A 47038-2021")</f>
        <v/>
      </c>
    </row>
    <row r="106" ht="15" customHeight="1">
      <c r="A106" t="inlineStr">
        <is>
          <t>A 49774-2021</t>
        </is>
      </c>
      <c r="B106" s="1" t="n">
        <v>44455</v>
      </c>
      <c r="C106" s="1" t="n">
        <v>45641</v>
      </c>
      <c r="D106" t="inlineStr">
        <is>
          <t>VÄSTERBOTTENS LÄN</t>
        </is>
      </c>
      <c r="E106" t="inlineStr">
        <is>
          <t>UMEÅ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49774-2021 artfynd.xlsx", "A 49774-2021")</f>
        <v/>
      </c>
      <c r="T106">
        <f>HYPERLINK("https://klasma.github.io/Logging_2480/kartor/A 49774-2021 karta.png", "A 49774-2021")</f>
        <v/>
      </c>
      <c r="V106">
        <f>HYPERLINK("https://klasma.github.io/Logging_2480/klagomål/A 49774-2021 FSC-klagomål.docx", "A 49774-2021")</f>
        <v/>
      </c>
      <c r="W106">
        <f>HYPERLINK("https://klasma.github.io/Logging_2480/klagomålsmail/A 49774-2021 FSC-klagomål mail.docx", "A 49774-2021")</f>
        <v/>
      </c>
      <c r="X106">
        <f>HYPERLINK("https://klasma.github.io/Logging_2480/tillsyn/A 49774-2021 tillsynsbegäran.docx", "A 49774-2021")</f>
        <v/>
      </c>
      <c r="Y106">
        <f>HYPERLINK("https://klasma.github.io/Logging_2480/tillsynsmail/A 49774-2021 tillsynsbegäran mail.docx", "A 49774-2021")</f>
        <v/>
      </c>
    </row>
    <row r="107" ht="15" customHeight="1">
      <c r="A107" t="inlineStr">
        <is>
          <t>A 49850-2021</t>
        </is>
      </c>
      <c r="B107" s="1" t="n">
        <v>44455</v>
      </c>
      <c r="C107" s="1" t="n">
        <v>45641</v>
      </c>
      <c r="D107" t="inlineStr">
        <is>
          <t>VÄSTERBOTTENS LÄN</t>
        </is>
      </c>
      <c r="E107" t="inlineStr">
        <is>
          <t>UMEÅ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HYPERLINK("https://klasma.github.io/Logging_2480/artfynd/A 49850-2021 artfynd.xlsx", "A 49850-2021")</f>
        <v/>
      </c>
      <c r="T107">
        <f>HYPERLINK("https://klasma.github.io/Logging_2480/kartor/A 49850-2021 karta.png", "A 49850-2021")</f>
        <v/>
      </c>
      <c r="V107">
        <f>HYPERLINK("https://klasma.github.io/Logging_2480/klagomål/A 49850-2021 FSC-klagomål.docx", "A 49850-2021")</f>
        <v/>
      </c>
      <c r="W107">
        <f>HYPERLINK("https://klasma.github.io/Logging_2480/klagomålsmail/A 49850-2021 FSC-klagomål mail.docx", "A 49850-2021")</f>
        <v/>
      </c>
      <c r="X107">
        <f>HYPERLINK("https://klasma.github.io/Logging_2480/tillsyn/A 49850-2021 tillsynsbegäran.docx", "A 49850-2021")</f>
        <v/>
      </c>
      <c r="Y107">
        <f>HYPERLINK("https://klasma.github.io/Logging_2480/tillsynsmail/A 49850-2021 tillsynsbegäran mail.docx", "A 49850-2021")</f>
        <v/>
      </c>
    </row>
    <row r="108" ht="15" customHeight="1">
      <c r="A108" t="inlineStr">
        <is>
          <t>A 11502-2022</t>
        </is>
      </c>
      <c r="B108" s="1" t="n">
        <v>44631</v>
      </c>
      <c r="C108" s="1" t="n">
        <v>45641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Violettgrå tagellav</t>
        </is>
      </c>
      <c r="S108">
        <f>HYPERLINK("https://klasma.github.io/Logging_2480/artfynd/A 11502-2022 artfynd.xlsx", "A 11502-2022")</f>
        <v/>
      </c>
      <c r="T108">
        <f>HYPERLINK("https://klasma.github.io/Logging_2480/kartor/A 11502-2022 karta.png", "A 11502-2022")</f>
        <v/>
      </c>
      <c r="V108">
        <f>HYPERLINK("https://klasma.github.io/Logging_2480/klagomål/A 11502-2022 FSC-klagomål.docx", "A 11502-2022")</f>
        <v/>
      </c>
      <c r="W108">
        <f>HYPERLINK("https://klasma.github.io/Logging_2480/klagomålsmail/A 11502-2022 FSC-klagomål mail.docx", "A 11502-2022")</f>
        <v/>
      </c>
      <c r="X108">
        <f>HYPERLINK("https://klasma.github.io/Logging_2480/tillsyn/A 11502-2022 tillsynsbegäran.docx", "A 11502-2022")</f>
        <v/>
      </c>
      <c r="Y108">
        <f>HYPERLINK("https://klasma.github.io/Logging_2480/tillsynsmail/A 11502-2022 tillsynsbegäran mail.docx", "A 11502-2022")</f>
        <v/>
      </c>
    </row>
    <row r="109" ht="15" customHeight="1">
      <c r="A109" t="inlineStr">
        <is>
          <t>A 16839-2022</t>
        </is>
      </c>
      <c r="B109" s="1" t="n">
        <v>44673</v>
      </c>
      <c r="C109" s="1" t="n">
        <v>45641</v>
      </c>
      <c r="D109" t="inlineStr">
        <is>
          <t>VÄSTERBOTTENS LÄN</t>
        </is>
      </c>
      <c r="E109" t="inlineStr">
        <is>
          <t>UMEÅ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Kråka</t>
        </is>
      </c>
      <c r="S109">
        <f>HYPERLINK("https://klasma.github.io/Logging_2480/artfynd/A 16839-2022 artfynd.xlsx", "A 16839-2022")</f>
        <v/>
      </c>
      <c r="T109">
        <f>HYPERLINK("https://klasma.github.io/Logging_2480/kartor/A 16839-2022 karta.png", "A 16839-2022")</f>
        <v/>
      </c>
      <c r="V109">
        <f>HYPERLINK("https://klasma.github.io/Logging_2480/klagomål/A 16839-2022 FSC-klagomål.docx", "A 16839-2022")</f>
        <v/>
      </c>
      <c r="W109">
        <f>HYPERLINK("https://klasma.github.io/Logging_2480/klagomålsmail/A 16839-2022 FSC-klagomål mail.docx", "A 16839-2022")</f>
        <v/>
      </c>
      <c r="X109">
        <f>HYPERLINK("https://klasma.github.io/Logging_2480/tillsyn/A 16839-2022 tillsynsbegäran.docx", "A 16839-2022")</f>
        <v/>
      </c>
      <c r="Y109">
        <f>HYPERLINK("https://klasma.github.io/Logging_2480/tillsynsmail/A 16839-2022 tillsynsbegäran mail.docx", "A 16839-2022")</f>
        <v/>
      </c>
      <c r="Z109">
        <f>HYPERLINK("https://klasma.github.io/Logging_2480/fåglar/A 16839-2022 prioriterade fågelarter.docx", "A 16839-2022")</f>
        <v/>
      </c>
    </row>
    <row r="110" ht="15" customHeight="1">
      <c r="A110" t="inlineStr">
        <is>
          <t>A 23035-2022</t>
        </is>
      </c>
      <c r="B110" s="1" t="n">
        <v>44715</v>
      </c>
      <c r="C110" s="1" t="n">
        <v>45641</v>
      </c>
      <c r="D110" t="inlineStr">
        <is>
          <t>VÄSTERBOTTENS LÄN</t>
        </is>
      </c>
      <c r="E110" t="inlineStr">
        <is>
          <t>UMEÅ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HYPERLINK("https://klasma.github.io/Logging_2480/artfynd/A 23035-2022 artfynd.xlsx", "A 23035-2022")</f>
        <v/>
      </c>
      <c r="T110">
        <f>HYPERLINK("https://klasma.github.io/Logging_2480/kartor/A 23035-2022 karta.png", "A 23035-2022")</f>
        <v/>
      </c>
      <c r="V110">
        <f>HYPERLINK("https://klasma.github.io/Logging_2480/klagomål/A 23035-2022 FSC-klagomål.docx", "A 23035-2022")</f>
        <v/>
      </c>
      <c r="W110">
        <f>HYPERLINK("https://klasma.github.io/Logging_2480/klagomålsmail/A 23035-2022 FSC-klagomål mail.docx", "A 23035-2022")</f>
        <v/>
      </c>
      <c r="X110">
        <f>HYPERLINK("https://klasma.github.io/Logging_2480/tillsyn/A 23035-2022 tillsynsbegäran.docx", "A 23035-2022")</f>
        <v/>
      </c>
      <c r="Y110">
        <f>HYPERLINK("https://klasma.github.io/Logging_2480/tillsynsmail/A 23035-2022 tillsynsbegäran mail.docx", "A 23035-2022")</f>
        <v/>
      </c>
    </row>
    <row r="111" ht="15" customHeight="1">
      <c r="A111" t="inlineStr">
        <is>
          <t>A 25702-2022</t>
        </is>
      </c>
      <c r="B111" s="1" t="n">
        <v>44733</v>
      </c>
      <c r="C111" s="1" t="n">
        <v>45641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8.5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25702-2022 artfynd.xlsx", "A 25702-2022")</f>
        <v/>
      </c>
      <c r="T111">
        <f>HYPERLINK("https://klasma.github.io/Logging_2480/kartor/A 25702-2022 karta.png", "A 25702-2022")</f>
        <v/>
      </c>
      <c r="V111">
        <f>HYPERLINK("https://klasma.github.io/Logging_2480/klagomål/A 25702-2022 FSC-klagomål.docx", "A 25702-2022")</f>
        <v/>
      </c>
      <c r="W111">
        <f>HYPERLINK("https://klasma.github.io/Logging_2480/klagomålsmail/A 25702-2022 FSC-klagomål mail.docx", "A 25702-2022")</f>
        <v/>
      </c>
      <c r="X111">
        <f>HYPERLINK("https://klasma.github.io/Logging_2480/tillsyn/A 25702-2022 tillsynsbegäran.docx", "A 25702-2022")</f>
        <v/>
      </c>
      <c r="Y111">
        <f>HYPERLINK("https://klasma.github.io/Logging_2480/tillsynsmail/A 25702-2022 tillsynsbegäran mail.docx", "A 25702-2022")</f>
        <v/>
      </c>
      <c r="Z111">
        <f>HYPERLINK("https://klasma.github.io/Logging_2480/fåglar/A 25702-2022 prioriterade fågelarter.docx", "A 25702-2022")</f>
        <v/>
      </c>
    </row>
    <row r="112" ht="15" customHeight="1">
      <c r="A112" t="inlineStr">
        <is>
          <t>A 43519-2022</t>
        </is>
      </c>
      <c r="B112" s="1" t="n">
        <v>44837</v>
      </c>
      <c r="C112" s="1" t="n">
        <v>45641</v>
      </c>
      <c r="D112" t="inlineStr">
        <is>
          <t>VÄSTERBOTTENS LÄN</t>
        </is>
      </c>
      <c r="E112" t="inlineStr">
        <is>
          <t>UMEÅ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43519-2022 artfynd.xlsx", "A 43519-2022")</f>
        <v/>
      </c>
      <c r="T112">
        <f>HYPERLINK("https://klasma.github.io/Logging_2480/kartor/A 43519-2022 karta.png", "A 43519-2022")</f>
        <v/>
      </c>
      <c r="V112">
        <f>HYPERLINK("https://klasma.github.io/Logging_2480/klagomål/A 43519-2022 FSC-klagomål.docx", "A 43519-2022")</f>
        <v/>
      </c>
      <c r="W112">
        <f>HYPERLINK("https://klasma.github.io/Logging_2480/klagomålsmail/A 43519-2022 FSC-klagomål mail.docx", "A 43519-2022")</f>
        <v/>
      </c>
      <c r="X112">
        <f>HYPERLINK("https://klasma.github.io/Logging_2480/tillsyn/A 43519-2022 tillsynsbegäran.docx", "A 43519-2022")</f>
        <v/>
      </c>
      <c r="Y112">
        <f>HYPERLINK("https://klasma.github.io/Logging_2480/tillsynsmail/A 43519-2022 tillsynsbegäran mail.docx", "A 43519-2022")</f>
        <v/>
      </c>
    </row>
    <row r="113" ht="15" customHeight="1">
      <c r="A113" t="inlineStr">
        <is>
          <t>A 49658-2022</t>
        </is>
      </c>
      <c r="B113" s="1" t="n">
        <v>44862</v>
      </c>
      <c r="C113" s="1" t="n">
        <v>45641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HYPERLINK("https://klasma.github.io/Logging_2480/artfynd/A 49658-2022 artfynd.xlsx", "A 49658-2022")</f>
        <v/>
      </c>
      <c r="T113">
        <f>HYPERLINK("https://klasma.github.io/Logging_2480/kartor/A 49658-2022 karta.png", "A 49658-2022")</f>
        <v/>
      </c>
      <c r="V113">
        <f>HYPERLINK("https://klasma.github.io/Logging_2480/klagomål/A 49658-2022 FSC-klagomål.docx", "A 49658-2022")</f>
        <v/>
      </c>
      <c r="W113">
        <f>HYPERLINK("https://klasma.github.io/Logging_2480/klagomålsmail/A 49658-2022 FSC-klagomål mail.docx", "A 49658-2022")</f>
        <v/>
      </c>
      <c r="X113">
        <f>HYPERLINK("https://klasma.github.io/Logging_2480/tillsyn/A 49658-2022 tillsynsbegäran.docx", "A 49658-2022")</f>
        <v/>
      </c>
      <c r="Y113">
        <f>HYPERLINK("https://klasma.github.io/Logging_2480/tillsynsmail/A 49658-2022 tillsynsbegäran mail.docx", "A 49658-2022")</f>
        <v/>
      </c>
    </row>
    <row r="114" ht="15" customHeight="1">
      <c r="A114" t="inlineStr">
        <is>
          <t>A 59075-2022</t>
        </is>
      </c>
      <c r="B114" s="1" t="n">
        <v>44904</v>
      </c>
      <c r="C114" s="1" t="n">
        <v>45641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Vedticka</t>
        </is>
      </c>
      <c r="S114">
        <f>HYPERLINK("https://klasma.github.io/Logging_2480/artfynd/A 59075-2022 artfynd.xlsx", "A 59075-2022")</f>
        <v/>
      </c>
      <c r="T114">
        <f>HYPERLINK("https://klasma.github.io/Logging_2480/kartor/A 59075-2022 karta.png", "A 59075-2022")</f>
        <v/>
      </c>
      <c r="V114">
        <f>HYPERLINK("https://klasma.github.io/Logging_2480/klagomål/A 59075-2022 FSC-klagomål.docx", "A 59075-2022")</f>
        <v/>
      </c>
      <c r="W114">
        <f>HYPERLINK("https://klasma.github.io/Logging_2480/klagomålsmail/A 59075-2022 FSC-klagomål mail.docx", "A 59075-2022")</f>
        <v/>
      </c>
      <c r="X114">
        <f>HYPERLINK("https://klasma.github.io/Logging_2480/tillsyn/A 59075-2022 tillsynsbegäran.docx", "A 59075-2022")</f>
        <v/>
      </c>
      <c r="Y114">
        <f>HYPERLINK("https://klasma.github.io/Logging_2480/tillsynsmail/A 59075-2022 tillsynsbegäran mail.docx", "A 59075-2022")</f>
        <v/>
      </c>
    </row>
    <row r="115" ht="15" customHeight="1">
      <c r="A115" t="inlineStr">
        <is>
          <t>A 11395-2023</t>
        </is>
      </c>
      <c r="B115" s="1" t="n">
        <v>44993</v>
      </c>
      <c r="C115" s="1" t="n">
        <v>45641</v>
      </c>
      <c r="D115" t="inlineStr">
        <is>
          <t>VÄSTERBOTTENS LÄN</t>
        </is>
      </c>
      <c r="E115" t="inlineStr">
        <is>
          <t>UMEÅ</t>
        </is>
      </c>
      <c r="G115" t="n">
        <v>6.1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HYPERLINK("https://klasma.github.io/Logging_2480/artfynd/A 11395-2023 artfynd.xlsx", "A 11395-2023")</f>
        <v/>
      </c>
      <c r="T115">
        <f>HYPERLINK("https://klasma.github.io/Logging_2480/kartor/A 11395-2023 karta.png", "A 11395-2023")</f>
        <v/>
      </c>
      <c r="V115">
        <f>HYPERLINK("https://klasma.github.io/Logging_2480/klagomål/A 11395-2023 FSC-klagomål.docx", "A 11395-2023")</f>
        <v/>
      </c>
      <c r="W115">
        <f>HYPERLINK("https://klasma.github.io/Logging_2480/klagomålsmail/A 11395-2023 FSC-klagomål mail.docx", "A 11395-2023")</f>
        <v/>
      </c>
      <c r="X115">
        <f>HYPERLINK("https://klasma.github.io/Logging_2480/tillsyn/A 11395-2023 tillsynsbegäran.docx", "A 11395-2023")</f>
        <v/>
      </c>
      <c r="Y115">
        <f>HYPERLINK("https://klasma.github.io/Logging_2480/tillsynsmail/A 11395-2023 tillsynsbegäran mail.docx", "A 11395-2023")</f>
        <v/>
      </c>
    </row>
    <row r="116" ht="15" customHeight="1">
      <c r="A116" t="inlineStr">
        <is>
          <t>A 15654-2023</t>
        </is>
      </c>
      <c r="B116" s="1" t="n">
        <v>45019</v>
      </c>
      <c r="C116" s="1" t="n">
        <v>45641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HYPERLINK("https://klasma.github.io/Logging_2480/artfynd/A 15654-2023 artfynd.xlsx", "A 15654-2023")</f>
        <v/>
      </c>
      <c r="T116">
        <f>HYPERLINK("https://klasma.github.io/Logging_2480/kartor/A 15654-2023 karta.png", "A 15654-2023")</f>
        <v/>
      </c>
      <c r="V116">
        <f>HYPERLINK("https://klasma.github.io/Logging_2480/klagomål/A 15654-2023 FSC-klagomål.docx", "A 15654-2023")</f>
        <v/>
      </c>
      <c r="W116">
        <f>HYPERLINK("https://klasma.github.io/Logging_2480/klagomålsmail/A 15654-2023 FSC-klagomål mail.docx", "A 15654-2023")</f>
        <v/>
      </c>
      <c r="X116">
        <f>HYPERLINK("https://klasma.github.io/Logging_2480/tillsyn/A 15654-2023 tillsynsbegäran.docx", "A 15654-2023")</f>
        <v/>
      </c>
      <c r="Y116">
        <f>HYPERLINK("https://klasma.github.io/Logging_2480/tillsynsmail/A 15654-2023 tillsynsbegäran mail.docx", "A 15654-2023")</f>
        <v/>
      </c>
    </row>
    <row r="117" ht="15" customHeight="1">
      <c r="A117" t="inlineStr">
        <is>
          <t>A 28262-2023</t>
        </is>
      </c>
      <c r="B117" s="1" t="n">
        <v>45099</v>
      </c>
      <c r="C117" s="1" t="n">
        <v>45641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Gulskölding</t>
        </is>
      </c>
      <c r="S117">
        <f>HYPERLINK("https://klasma.github.io/Logging_2480/artfynd/A 28262-2023 artfynd.xlsx", "A 28262-2023")</f>
        <v/>
      </c>
      <c r="T117">
        <f>HYPERLINK("https://klasma.github.io/Logging_2480/kartor/A 28262-2023 karta.png", "A 28262-2023")</f>
        <v/>
      </c>
      <c r="V117">
        <f>HYPERLINK("https://klasma.github.io/Logging_2480/klagomål/A 28262-2023 FSC-klagomål.docx", "A 28262-2023")</f>
        <v/>
      </c>
      <c r="W117">
        <f>HYPERLINK("https://klasma.github.io/Logging_2480/klagomålsmail/A 28262-2023 FSC-klagomål mail.docx", "A 28262-2023")</f>
        <v/>
      </c>
      <c r="X117">
        <f>HYPERLINK("https://klasma.github.io/Logging_2480/tillsyn/A 28262-2023 tillsynsbegäran.docx", "A 28262-2023")</f>
        <v/>
      </c>
      <c r="Y117">
        <f>HYPERLINK("https://klasma.github.io/Logging_2480/tillsynsmail/A 28262-2023 tillsynsbegäran mail.docx", "A 28262-2023")</f>
        <v/>
      </c>
    </row>
    <row r="118" ht="15" customHeight="1">
      <c r="A118" t="inlineStr">
        <is>
          <t>A 31311-2023</t>
        </is>
      </c>
      <c r="B118" s="1" t="n">
        <v>45104</v>
      </c>
      <c r="C118" s="1" t="n">
        <v>45641</v>
      </c>
      <c r="D118" t="inlineStr">
        <is>
          <t>VÄSTERBOTTENS LÄN</t>
        </is>
      </c>
      <c r="E118" t="inlineStr">
        <is>
          <t>UMEÅ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31311-2023 artfynd.xlsx", "A 31311-2023")</f>
        <v/>
      </c>
      <c r="T118">
        <f>HYPERLINK("https://klasma.github.io/Logging_2480/kartor/A 31311-2023 karta.png", "A 31311-2023")</f>
        <v/>
      </c>
      <c r="V118">
        <f>HYPERLINK("https://klasma.github.io/Logging_2480/klagomål/A 31311-2023 FSC-klagomål.docx", "A 31311-2023")</f>
        <v/>
      </c>
      <c r="W118">
        <f>HYPERLINK("https://klasma.github.io/Logging_2480/klagomålsmail/A 31311-2023 FSC-klagomål mail.docx", "A 31311-2023")</f>
        <v/>
      </c>
      <c r="X118">
        <f>HYPERLINK("https://klasma.github.io/Logging_2480/tillsyn/A 31311-2023 tillsynsbegäran.docx", "A 31311-2023")</f>
        <v/>
      </c>
      <c r="Y118">
        <f>HYPERLINK("https://klasma.github.io/Logging_2480/tillsynsmail/A 31311-2023 tillsynsbegäran mail.docx", "A 31311-2023")</f>
        <v/>
      </c>
    </row>
    <row r="119" ht="15" customHeight="1">
      <c r="A119" t="inlineStr">
        <is>
          <t>A 33419-2023</t>
        </is>
      </c>
      <c r="B119" s="1" t="n">
        <v>45128</v>
      </c>
      <c r="C119" s="1" t="n">
        <v>45641</v>
      </c>
      <c r="D119" t="inlineStr">
        <is>
          <t>VÄSTERBOTTENS LÄN</t>
        </is>
      </c>
      <c r="E119" t="inlineStr">
        <is>
          <t>UMEÅ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Goliatmusseron</t>
        </is>
      </c>
      <c r="S119">
        <f>HYPERLINK("https://klasma.github.io/Logging_2480/artfynd/A 33419-2023 artfynd.xlsx", "A 33419-2023")</f>
        <v/>
      </c>
      <c r="T119">
        <f>HYPERLINK("https://klasma.github.io/Logging_2480/kartor/A 33419-2023 karta.png", "A 33419-2023")</f>
        <v/>
      </c>
      <c r="V119">
        <f>HYPERLINK("https://klasma.github.io/Logging_2480/klagomål/A 33419-2023 FSC-klagomål.docx", "A 33419-2023")</f>
        <v/>
      </c>
      <c r="W119">
        <f>HYPERLINK("https://klasma.github.io/Logging_2480/klagomålsmail/A 33419-2023 FSC-klagomål mail.docx", "A 33419-2023")</f>
        <v/>
      </c>
      <c r="X119">
        <f>HYPERLINK("https://klasma.github.io/Logging_2480/tillsyn/A 33419-2023 tillsynsbegäran.docx", "A 33419-2023")</f>
        <v/>
      </c>
      <c r="Y119">
        <f>HYPERLINK("https://klasma.github.io/Logging_2480/tillsynsmail/A 33419-2023 tillsynsbegäran mail.docx", "A 33419-2023")</f>
        <v/>
      </c>
    </row>
    <row r="120" ht="15" customHeight="1">
      <c r="A120" t="inlineStr">
        <is>
          <t>A 36528-2023</t>
        </is>
      </c>
      <c r="B120" s="1" t="n">
        <v>45152</v>
      </c>
      <c r="C120" s="1" t="n">
        <v>45641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HYPERLINK("https://klasma.github.io/Logging_2480/artfynd/A 36528-2023 artfynd.xlsx", "A 36528-2023")</f>
        <v/>
      </c>
      <c r="T120">
        <f>HYPERLINK("https://klasma.github.io/Logging_2480/kartor/A 36528-2023 karta.png", "A 36528-2023")</f>
        <v/>
      </c>
      <c r="U120">
        <f>HYPERLINK("https://klasma.github.io/Logging_2480/knärot/A 36528-2023 karta knärot.png", "A 36528-2023")</f>
        <v/>
      </c>
      <c r="V120">
        <f>HYPERLINK("https://klasma.github.io/Logging_2480/klagomål/A 36528-2023 FSC-klagomål.docx", "A 36528-2023")</f>
        <v/>
      </c>
      <c r="W120">
        <f>HYPERLINK("https://klasma.github.io/Logging_2480/klagomålsmail/A 36528-2023 FSC-klagomål mail.docx", "A 36528-2023")</f>
        <v/>
      </c>
      <c r="X120">
        <f>HYPERLINK("https://klasma.github.io/Logging_2480/tillsyn/A 36528-2023 tillsynsbegäran.docx", "A 36528-2023")</f>
        <v/>
      </c>
      <c r="Y120">
        <f>HYPERLINK("https://klasma.github.io/Logging_2480/tillsynsmail/A 36528-2023 tillsynsbegäran mail.docx", "A 36528-2023")</f>
        <v/>
      </c>
    </row>
    <row r="121" ht="15" customHeight="1">
      <c r="A121" t="inlineStr">
        <is>
          <t>A 39118-2023</t>
        </is>
      </c>
      <c r="B121" s="1" t="n">
        <v>45165</v>
      </c>
      <c r="C121" s="1" t="n">
        <v>45641</v>
      </c>
      <c r="D121" t="inlineStr">
        <is>
          <t>VÄSTERBOTTENS LÄN</t>
        </is>
      </c>
      <c r="E121" t="inlineStr">
        <is>
          <t>UMEÅ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Svartvit taggsvamp</t>
        </is>
      </c>
      <c r="S121">
        <f>HYPERLINK("https://klasma.github.io/Logging_2480/artfynd/A 39118-2023 artfynd.xlsx", "A 39118-2023")</f>
        <v/>
      </c>
      <c r="T121">
        <f>HYPERLINK("https://klasma.github.io/Logging_2480/kartor/A 39118-2023 karta.png", "A 39118-2023")</f>
        <v/>
      </c>
      <c r="V121">
        <f>HYPERLINK("https://klasma.github.io/Logging_2480/klagomål/A 39118-2023 FSC-klagomål.docx", "A 39118-2023")</f>
        <v/>
      </c>
      <c r="W121">
        <f>HYPERLINK("https://klasma.github.io/Logging_2480/klagomålsmail/A 39118-2023 FSC-klagomål mail.docx", "A 39118-2023")</f>
        <v/>
      </c>
      <c r="X121">
        <f>HYPERLINK("https://klasma.github.io/Logging_2480/tillsyn/A 39118-2023 tillsynsbegäran.docx", "A 39118-2023")</f>
        <v/>
      </c>
      <c r="Y121">
        <f>HYPERLINK("https://klasma.github.io/Logging_2480/tillsynsmail/A 39118-2023 tillsynsbegäran mail.docx", "A 39118-2023")</f>
        <v/>
      </c>
    </row>
    <row r="122" ht="15" customHeight="1">
      <c r="A122" t="inlineStr">
        <is>
          <t>A 41674-2023</t>
        </is>
      </c>
      <c r="B122" s="1" t="n">
        <v>45176</v>
      </c>
      <c r="C122" s="1" t="n">
        <v>45641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Nordfladdermus</t>
        </is>
      </c>
      <c r="S122">
        <f>HYPERLINK("https://klasma.github.io/Logging_2480/artfynd/A 41674-2023 artfynd.xlsx", "A 41674-2023")</f>
        <v/>
      </c>
      <c r="T122">
        <f>HYPERLINK("https://klasma.github.io/Logging_2480/kartor/A 41674-2023 karta.png", "A 41674-2023")</f>
        <v/>
      </c>
      <c r="V122">
        <f>HYPERLINK("https://klasma.github.io/Logging_2480/klagomål/A 41674-2023 FSC-klagomål.docx", "A 41674-2023")</f>
        <v/>
      </c>
      <c r="W122">
        <f>HYPERLINK("https://klasma.github.io/Logging_2480/klagomålsmail/A 41674-2023 FSC-klagomål mail.docx", "A 41674-2023")</f>
        <v/>
      </c>
      <c r="X122">
        <f>HYPERLINK("https://klasma.github.io/Logging_2480/tillsyn/A 41674-2023 tillsynsbegäran.docx", "A 41674-2023")</f>
        <v/>
      </c>
      <c r="Y122">
        <f>HYPERLINK("https://klasma.github.io/Logging_2480/tillsynsmail/A 41674-2023 tillsynsbegäran mail.docx", "A 41674-2023")</f>
        <v/>
      </c>
    </row>
    <row r="123" ht="15" customHeight="1">
      <c r="A123" t="inlineStr">
        <is>
          <t>A 44521-2023</t>
        </is>
      </c>
      <c r="B123" s="1" t="n">
        <v>45189</v>
      </c>
      <c r="C123" s="1" t="n">
        <v>45641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6.7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44521-2023 artfynd.xlsx", "A 44521-2023")</f>
        <v/>
      </c>
      <c r="T123">
        <f>HYPERLINK("https://klasma.github.io/Logging_2480/kartor/A 44521-2023 karta.png", "A 44521-2023")</f>
        <v/>
      </c>
      <c r="V123">
        <f>HYPERLINK("https://klasma.github.io/Logging_2480/klagomål/A 44521-2023 FSC-klagomål.docx", "A 44521-2023")</f>
        <v/>
      </c>
      <c r="W123">
        <f>HYPERLINK("https://klasma.github.io/Logging_2480/klagomålsmail/A 44521-2023 FSC-klagomål mail.docx", "A 44521-2023")</f>
        <v/>
      </c>
      <c r="X123">
        <f>HYPERLINK("https://klasma.github.io/Logging_2480/tillsyn/A 44521-2023 tillsynsbegäran.docx", "A 44521-2023")</f>
        <v/>
      </c>
      <c r="Y123">
        <f>HYPERLINK("https://klasma.github.io/Logging_2480/tillsynsmail/A 44521-2023 tillsynsbegäran mail.docx", "A 44521-2023")</f>
        <v/>
      </c>
      <c r="Z123">
        <f>HYPERLINK("https://klasma.github.io/Logging_2480/fåglar/A 44521-2023 prioriterade fågelarter.docx", "A 44521-2023")</f>
        <v/>
      </c>
    </row>
    <row r="124" ht="15" customHeight="1">
      <c r="A124" t="inlineStr">
        <is>
          <t>A 49031-2023</t>
        </is>
      </c>
      <c r="B124" s="1" t="n">
        <v>45209</v>
      </c>
      <c r="C124" s="1" t="n">
        <v>45641</v>
      </c>
      <c r="D124" t="inlineStr">
        <is>
          <t>VÄSTERBOTTENS LÄN</t>
        </is>
      </c>
      <c r="E124" t="inlineStr">
        <is>
          <t>UMEÅ</t>
        </is>
      </c>
      <c r="G124" t="n">
        <v>4.8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HYPERLINK("https://klasma.github.io/Logging_2480/artfynd/A 49031-2023 artfynd.xlsx", "A 49031-2023")</f>
        <v/>
      </c>
      <c r="T124">
        <f>HYPERLINK("https://klasma.github.io/Logging_2480/kartor/A 49031-2023 karta.png", "A 49031-2023")</f>
        <v/>
      </c>
      <c r="V124">
        <f>HYPERLINK("https://klasma.github.io/Logging_2480/klagomål/A 49031-2023 FSC-klagomål.docx", "A 49031-2023")</f>
        <v/>
      </c>
      <c r="W124">
        <f>HYPERLINK("https://klasma.github.io/Logging_2480/klagomålsmail/A 49031-2023 FSC-klagomål mail.docx", "A 49031-2023")</f>
        <v/>
      </c>
      <c r="X124">
        <f>HYPERLINK("https://klasma.github.io/Logging_2480/tillsyn/A 49031-2023 tillsynsbegäran.docx", "A 49031-2023")</f>
        <v/>
      </c>
      <c r="Y124">
        <f>HYPERLINK("https://klasma.github.io/Logging_2480/tillsynsmail/A 49031-2023 tillsynsbegäran mail.docx", "A 49031-2023")</f>
        <v/>
      </c>
      <c r="Z124">
        <f>HYPERLINK("https://klasma.github.io/Logging_2480/fåglar/A 49031-2023 prioriterade fågelarter.docx", "A 49031-2023")</f>
        <v/>
      </c>
    </row>
    <row r="125" ht="15" customHeight="1">
      <c r="A125" t="inlineStr">
        <is>
          <t>A 58670-2023</t>
        </is>
      </c>
      <c r="B125" s="1" t="n">
        <v>45251</v>
      </c>
      <c r="C125" s="1" t="n">
        <v>45641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HYPERLINK("https://klasma.github.io/Logging_2480/artfynd/A 58670-2023 artfynd.xlsx", "A 58670-2023")</f>
        <v/>
      </c>
      <c r="T125">
        <f>HYPERLINK("https://klasma.github.io/Logging_2480/kartor/A 58670-2023 karta.png", "A 58670-2023")</f>
        <v/>
      </c>
      <c r="V125">
        <f>HYPERLINK("https://klasma.github.io/Logging_2480/klagomål/A 58670-2023 FSC-klagomål.docx", "A 58670-2023")</f>
        <v/>
      </c>
      <c r="W125">
        <f>HYPERLINK("https://klasma.github.io/Logging_2480/klagomålsmail/A 58670-2023 FSC-klagomål mail.docx", "A 58670-2023")</f>
        <v/>
      </c>
      <c r="X125">
        <f>HYPERLINK("https://klasma.github.io/Logging_2480/tillsyn/A 58670-2023 tillsynsbegäran.docx", "A 58670-2023")</f>
        <v/>
      </c>
      <c r="Y125">
        <f>HYPERLINK("https://klasma.github.io/Logging_2480/tillsynsmail/A 58670-2023 tillsynsbegäran mail.docx", "A 58670-2023")</f>
        <v/>
      </c>
    </row>
    <row r="126" ht="15" customHeight="1">
      <c r="A126" t="inlineStr">
        <is>
          <t>A 59152-2023</t>
        </is>
      </c>
      <c r="B126" s="1" t="n">
        <v>45251</v>
      </c>
      <c r="C126" s="1" t="n">
        <v>45641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HYPERLINK("https://klasma.github.io/Logging_2480/artfynd/A 59152-2023 artfynd.xlsx", "A 59152-2023")</f>
        <v/>
      </c>
      <c r="T126">
        <f>HYPERLINK("https://klasma.github.io/Logging_2480/kartor/A 59152-2023 karta.png", "A 59152-2023")</f>
        <v/>
      </c>
      <c r="V126">
        <f>HYPERLINK("https://klasma.github.io/Logging_2480/klagomål/A 59152-2023 FSC-klagomål.docx", "A 59152-2023")</f>
        <v/>
      </c>
      <c r="W126">
        <f>HYPERLINK("https://klasma.github.io/Logging_2480/klagomålsmail/A 59152-2023 FSC-klagomål mail.docx", "A 59152-2023")</f>
        <v/>
      </c>
      <c r="X126">
        <f>HYPERLINK("https://klasma.github.io/Logging_2480/tillsyn/A 59152-2023 tillsynsbegäran.docx", "A 59152-2023")</f>
        <v/>
      </c>
      <c r="Y126">
        <f>HYPERLINK("https://klasma.github.io/Logging_2480/tillsynsmail/A 59152-2023 tillsynsbegäran mail.docx", "A 59152-2023")</f>
        <v/>
      </c>
    </row>
    <row r="127" ht="15" customHeight="1">
      <c r="A127" t="inlineStr">
        <is>
          <t>A 63810-2023</t>
        </is>
      </c>
      <c r="B127" s="1" t="n">
        <v>45275</v>
      </c>
      <c r="C127" s="1" t="n">
        <v>45641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63810-2023 artfynd.xlsx", "A 63810-2023")</f>
        <v/>
      </c>
      <c r="T127">
        <f>HYPERLINK("https://klasma.github.io/Logging_2480/kartor/A 63810-2023 karta.png", "A 63810-2023")</f>
        <v/>
      </c>
      <c r="V127">
        <f>HYPERLINK("https://klasma.github.io/Logging_2480/klagomål/A 63810-2023 FSC-klagomål.docx", "A 63810-2023")</f>
        <v/>
      </c>
      <c r="W127">
        <f>HYPERLINK("https://klasma.github.io/Logging_2480/klagomålsmail/A 63810-2023 FSC-klagomål mail.docx", "A 63810-2023")</f>
        <v/>
      </c>
      <c r="X127">
        <f>HYPERLINK("https://klasma.github.io/Logging_2480/tillsyn/A 63810-2023 tillsynsbegäran.docx", "A 63810-2023")</f>
        <v/>
      </c>
      <c r="Y127">
        <f>HYPERLINK("https://klasma.github.io/Logging_2480/tillsynsmail/A 63810-2023 tillsynsbegäran mail.docx", "A 63810-2023")</f>
        <v/>
      </c>
      <c r="Z127">
        <f>HYPERLINK("https://klasma.github.io/Logging_2480/fåglar/A 63810-2023 prioriterade fågelarter.docx", "A 63810-2023")</f>
        <v/>
      </c>
    </row>
    <row r="128" ht="15" customHeight="1">
      <c r="A128" t="inlineStr">
        <is>
          <t>A 3514-2024</t>
        </is>
      </c>
      <c r="B128" s="1" t="n">
        <v>45320</v>
      </c>
      <c r="C128" s="1" t="n">
        <v>45641</v>
      </c>
      <c r="D128" t="inlineStr">
        <is>
          <t>VÄSTERBOTTENS LÄN</t>
        </is>
      </c>
      <c r="E128" t="inlineStr">
        <is>
          <t>UMEÅ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HYPERLINK("https://klasma.github.io/Logging_2480/artfynd/A 3514-2024 artfynd.xlsx", "A 3514-2024")</f>
        <v/>
      </c>
      <c r="T128">
        <f>HYPERLINK("https://klasma.github.io/Logging_2480/kartor/A 3514-2024 karta.png", "A 3514-2024")</f>
        <v/>
      </c>
      <c r="V128">
        <f>HYPERLINK("https://klasma.github.io/Logging_2480/klagomål/A 3514-2024 FSC-klagomål.docx", "A 3514-2024")</f>
        <v/>
      </c>
      <c r="W128">
        <f>HYPERLINK("https://klasma.github.io/Logging_2480/klagomålsmail/A 3514-2024 FSC-klagomål mail.docx", "A 3514-2024")</f>
        <v/>
      </c>
      <c r="X128">
        <f>HYPERLINK("https://klasma.github.io/Logging_2480/tillsyn/A 3514-2024 tillsynsbegäran.docx", "A 3514-2024")</f>
        <v/>
      </c>
      <c r="Y128">
        <f>HYPERLINK("https://klasma.github.io/Logging_2480/tillsynsmail/A 3514-2024 tillsynsbegäran mail.docx", "A 3514-2024")</f>
        <v/>
      </c>
    </row>
    <row r="129" ht="15" customHeight="1">
      <c r="A129" t="inlineStr">
        <is>
          <t>A 15438-2024</t>
        </is>
      </c>
      <c r="B129" s="1" t="n">
        <v>45401</v>
      </c>
      <c r="C129" s="1" t="n">
        <v>45641</v>
      </c>
      <c r="D129" t="inlineStr">
        <is>
          <t>VÄSTERBOTTENS LÄN</t>
        </is>
      </c>
      <c r="E129" t="inlineStr">
        <is>
          <t>UMEÅ</t>
        </is>
      </c>
      <c r="G129" t="n">
        <v>3.3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15438-2024 artfynd.xlsx", "A 15438-2024")</f>
        <v/>
      </c>
      <c r="T129">
        <f>HYPERLINK("https://klasma.github.io/Logging_2480/kartor/A 15438-2024 karta.png", "A 15438-2024")</f>
        <v/>
      </c>
      <c r="V129">
        <f>HYPERLINK("https://klasma.github.io/Logging_2480/klagomål/A 15438-2024 FSC-klagomål.docx", "A 15438-2024")</f>
        <v/>
      </c>
      <c r="W129">
        <f>HYPERLINK("https://klasma.github.io/Logging_2480/klagomålsmail/A 15438-2024 FSC-klagomål mail.docx", "A 15438-2024")</f>
        <v/>
      </c>
      <c r="X129">
        <f>HYPERLINK("https://klasma.github.io/Logging_2480/tillsyn/A 15438-2024 tillsynsbegäran.docx", "A 15438-2024")</f>
        <v/>
      </c>
      <c r="Y129">
        <f>HYPERLINK("https://klasma.github.io/Logging_2480/tillsynsmail/A 15438-2024 tillsynsbegäran mail.docx", "A 15438-2024")</f>
        <v/>
      </c>
      <c r="Z129">
        <f>HYPERLINK("https://klasma.github.io/Logging_2480/fåglar/A 15438-2024 prioriterade fågelarter.docx", "A 15438-2024")</f>
        <v/>
      </c>
    </row>
    <row r="130" ht="15" customHeight="1">
      <c r="A130" t="inlineStr">
        <is>
          <t>A 20757-2024</t>
        </is>
      </c>
      <c r="B130" s="1" t="n">
        <v>45436</v>
      </c>
      <c r="C130" s="1" t="n">
        <v>45641</v>
      </c>
      <c r="D130" t="inlineStr">
        <is>
          <t>VÄSTERBOTTENS LÄN</t>
        </is>
      </c>
      <c r="E130" t="inlineStr">
        <is>
          <t>UMEÅ</t>
        </is>
      </c>
      <c r="G130" t="n">
        <v>5.2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20757-2024 artfynd.xlsx", "A 20757-2024")</f>
        <v/>
      </c>
      <c r="T130">
        <f>HYPERLINK("https://klasma.github.io/Logging_2480/kartor/A 20757-2024 karta.png", "A 20757-2024")</f>
        <v/>
      </c>
      <c r="V130">
        <f>HYPERLINK("https://klasma.github.io/Logging_2480/klagomål/A 20757-2024 FSC-klagomål.docx", "A 20757-2024")</f>
        <v/>
      </c>
      <c r="W130">
        <f>HYPERLINK("https://klasma.github.io/Logging_2480/klagomålsmail/A 20757-2024 FSC-klagomål mail.docx", "A 20757-2024")</f>
        <v/>
      </c>
      <c r="X130">
        <f>HYPERLINK("https://klasma.github.io/Logging_2480/tillsyn/A 20757-2024 tillsynsbegäran.docx", "A 20757-2024")</f>
        <v/>
      </c>
      <c r="Y130">
        <f>HYPERLINK("https://klasma.github.io/Logging_2480/tillsynsmail/A 20757-2024 tillsynsbegäran mail.docx", "A 20757-2024")</f>
        <v/>
      </c>
    </row>
    <row r="131" ht="15" customHeight="1">
      <c r="A131" t="inlineStr">
        <is>
          <t>A 26932-2024</t>
        </is>
      </c>
      <c r="B131" s="1" t="n">
        <v>45470</v>
      </c>
      <c r="C131" s="1" t="n">
        <v>45641</v>
      </c>
      <c r="D131" t="inlineStr">
        <is>
          <t>VÄSTERBOTTENS LÄN</t>
        </is>
      </c>
      <c r="E131" t="inlineStr">
        <is>
          <t>UMEÅ</t>
        </is>
      </c>
      <c r="G131" t="n">
        <v>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HYPERLINK("https://klasma.github.io/Logging_2480/artfynd/A 26932-2024 artfynd.xlsx", "A 26932-2024")</f>
        <v/>
      </c>
      <c r="T131">
        <f>HYPERLINK("https://klasma.github.io/Logging_2480/kartor/A 26932-2024 karta.png", "A 26932-2024")</f>
        <v/>
      </c>
      <c r="V131">
        <f>HYPERLINK("https://klasma.github.io/Logging_2480/klagomål/A 26932-2024 FSC-klagomål.docx", "A 26932-2024")</f>
        <v/>
      </c>
      <c r="W131">
        <f>HYPERLINK("https://klasma.github.io/Logging_2480/klagomålsmail/A 26932-2024 FSC-klagomål mail.docx", "A 26932-2024")</f>
        <v/>
      </c>
      <c r="X131">
        <f>HYPERLINK("https://klasma.github.io/Logging_2480/tillsyn/A 26932-2024 tillsynsbegäran.docx", "A 26932-2024")</f>
        <v/>
      </c>
      <c r="Y131">
        <f>HYPERLINK("https://klasma.github.io/Logging_2480/tillsynsmail/A 26932-2024 tillsynsbegäran mail.docx", "A 26932-2024")</f>
        <v/>
      </c>
    </row>
    <row r="132" ht="15" customHeight="1">
      <c r="A132" t="inlineStr">
        <is>
          <t>A 32220-2024</t>
        </is>
      </c>
      <c r="B132" s="1" t="n">
        <v>45511</v>
      </c>
      <c r="C132" s="1" t="n">
        <v>45641</v>
      </c>
      <c r="D132" t="inlineStr">
        <is>
          <t>VÄSTERBOTTENS LÄN</t>
        </is>
      </c>
      <c r="E132" t="inlineStr">
        <is>
          <t>UMEÅ</t>
        </is>
      </c>
      <c r="G132" t="n">
        <v>6.9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32220-2024 artfynd.xlsx", "A 32220-2024")</f>
        <v/>
      </c>
      <c r="T132">
        <f>HYPERLINK("https://klasma.github.io/Logging_2480/kartor/A 32220-2024 karta.png", "A 32220-2024")</f>
        <v/>
      </c>
      <c r="V132">
        <f>HYPERLINK("https://klasma.github.io/Logging_2480/klagomål/A 32220-2024 FSC-klagomål.docx", "A 32220-2024")</f>
        <v/>
      </c>
      <c r="W132">
        <f>HYPERLINK("https://klasma.github.io/Logging_2480/klagomålsmail/A 32220-2024 FSC-klagomål mail.docx", "A 32220-2024")</f>
        <v/>
      </c>
      <c r="X132">
        <f>HYPERLINK("https://klasma.github.io/Logging_2480/tillsyn/A 32220-2024 tillsynsbegäran.docx", "A 32220-2024")</f>
        <v/>
      </c>
      <c r="Y132">
        <f>HYPERLINK("https://klasma.github.io/Logging_2480/tillsynsmail/A 32220-2024 tillsynsbegäran mail.docx", "A 32220-2024")</f>
        <v/>
      </c>
      <c r="Z132">
        <f>HYPERLINK("https://klasma.github.io/Logging_2480/fåglar/A 32220-2024 prioriterade fågelarter.docx", "A 32220-2024")</f>
        <v/>
      </c>
    </row>
    <row r="133" ht="15" customHeight="1">
      <c r="A133" t="inlineStr">
        <is>
          <t>A 33451-2024</t>
        </is>
      </c>
      <c r="B133" s="1" t="n">
        <v>45519</v>
      </c>
      <c r="C133" s="1" t="n">
        <v>45641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Ävjepilört</t>
        </is>
      </c>
      <c r="S133">
        <f>HYPERLINK("https://klasma.github.io/Logging_2480/artfynd/A 33451-2024 artfynd.xlsx", "A 33451-2024")</f>
        <v/>
      </c>
      <c r="T133">
        <f>HYPERLINK("https://klasma.github.io/Logging_2480/kartor/A 33451-2024 karta.png", "A 33451-2024")</f>
        <v/>
      </c>
      <c r="V133">
        <f>HYPERLINK("https://klasma.github.io/Logging_2480/klagomål/A 33451-2024 FSC-klagomål.docx", "A 33451-2024")</f>
        <v/>
      </c>
      <c r="W133">
        <f>HYPERLINK("https://klasma.github.io/Logging_2480/klagomålsmail/A 33451-2024 FSC-klagomål mail.docx", "A 33451-2024")</f>
        <v/>
      </c>
      <c r="X133">
        <f>HYPERLINK("https://klasma.github.io/Logging_2480/tillsyn/A 33451-2024 tillsynsbegäran.docx", "A 33451-2024")</f>
        <v/>
      </c>
      <c r="Y133">
        <f>HYPERLINK("https://klasma.github.io/Logging_2480/tillsynsmail/A 33451-2024 tillsynsbegäran mail.docx", "A 33451-2024")</f>
        <v/>
      </c>
    </row>
    <row r="134" ht="15" customHeight="1">
      <c r="A134" t="inlineStr">
        <is>
          <t>A 40665-2024</t>
        </is>
      </c>
      <c r="B134" s="1" t="n">
        <v>45558</v>
      </c>
      <c r="C134" s="1" t="n">
        <v>45641</v>
      </c>
      <c r="D134" t="inlineStr">
        <is>
          <t>VÄSTERBOTTENS LÄN</t>
        </is>
      </c>
      <c r="E134" t="inlineStr">
        <is>
          <t>UMEÅ</t>
        </is>
      </c>
      <c r="G134" t="n">
        <v>15.3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40665-2024 artfynd.xlsx", "A 40665-2024")</f>
        <v/>
      </c>
      <c r="T134">
        <f>HYPERLINK("https://klasma.github.io/Logging_2480/kartor/A 40665-2024 karta.png", "A 40665-2024")</f>
        <v/>
      </c>
      <c r="V134">
        <f>HYPERLINK("https://klasma.github.io/Logging_2480/klagomål/A 40665-2024 FSC-klagomål.docx", "A 40665-2024")</f>
        <v/>
      </c>
      <c r="W134">
        <f>HYPERLINK("https://klasma.github.io/Logging_2480/klagomålsmail/A 40665-2024 FSC-klagomål mail.docx", "A 40665-2024")</f>
        <v/>
      </c>
      <c r="X134">
        <f>HYPERLINK("https://klasma.github.io/Logging_2480/tillsyn/A 40665-2024 tillsynsbegäran.docx", "A 40665-2024")</f>
        <v/>
      </c>
      <c r="Y134">
        <f>HYPERLINK("https://klasma.github.io/Logging_2480/tillsynsmail/A 40665-2024 tillsynsbegäran mail.docx", "A 40665-2024")</f>
        <v/>
      </c>
    </row>
    <row r="135" ht="15" customHeight="1">
      <c r="A135" t="inlineStr">
        <is>
          <t>A 40851-2024</t>
        </is>
      </c>
      <c r="B135" s="1" t="n">
        <v>45558</v>
      </c>
      <c r="C135" s="1" t="n">
        <v>45641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HYPERLINK("https://klasma.github.io/Logging_2480/artfynd/A 40851-2024 artfynd.xlsx", "A 40851-2024")</f>
        <v/>
      </c>
      <c r="T135">
        <f>HYPERLINK("https://klasma.github.io/Logging_2480/kartor/A 40851-2024 karta.png", "A 40851-2024")</f>
        <v/>
      </c>
      <c r="V135">
        <f>HYPERLINK("https://klasma.github.io/Logging_2480/klagomål/A 40851-2024 FSC-klagomål.docx", "A 40851-2024")</f>
        <v/>
      </c>
      <c r="W135">
        <f>HYPERLINK("https://klasma.github.io/Logging_2480/klagomålsmail/A 40851-2024 FSC-klagomål mail.docx", "A 40851-2024")</f>
        <v/>
      </c>
      <c r="X135">
        <f>HYPERLINK("https://klasma.github.io/Logging_2480/tillsyn/A 40851-2024 tillsynsbegäran.docx", "A 40851-2024")</f>
        <v/>
      </c>
      <c r="Y135">
        <f>HYPERLINK("https://klasma.github.io/Logging_2480/tillsynsmail/A 40851-2024 tillsynsbegäran mail.docx", "A 40851-2024")</f>
        <v/>
      </c>
      <c r="Z135">
        <f>HYPERLINK("https://klasma.github.io/Logging_2480/fåglar/A 40851-2024 prioriterade fågelarter.docx", "A 40851-2024")</f>
        <v/>
      </c>
    </row>
    <row r="136" ht="15" customHeight="1">
      <c r="A136" t="inlineStr">
        <is>
          <t>A 41225-2024</t>
        </is>
      </c>
      <c r="B136" s="1" t="n">
        <v>45559</v>
      </c>
      <c r="C136" s="1" t="n">
        <v>45641</v>
      </c>
      <c r="D136" t="inlineStr">
        <is>
          <t>VÄSTERBOTTENS LÄN</t>
        </is>
      </c>
      <c r="E136" t="inlineStr">
        <is>
          <t>UMEÅ</t>
        </is>
      </c>
      <c r="F136" t="inlineStr">
        <is>
          <t>Sveaskog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HYPERLINK("https://klasma.github.io/Logging_2480/artfynd/A 41225-2024 artfynd.xlsx", "A 41225-2024")</f>
        <v/>
      </c>
      <c r="T136">
        <f>HYPERLINK("https://klasma.github.io/Logging_2480/kartor/A 41225-2024 karta.png", "A 41225-2024")</f>
        <v/>
      </c>
      <c r="V136">
        <f>HYPERLINK("https://klasma.github.io/Logging_2480/klagomål/A 41225-2024 FSC-klagomål.docx", "A 41225-2024")</f>
        <v/>
      </c>
      <c r="W136">
        <f>HYPERLINK("https://klasma.github.io/Logging_2480/klagomålsmail/A 41225-2024 FSC-klagomål mail.docx", "A 41225-2024")</f>
        <v/>
      </c>
      <c r="X136">
        <f>HYPERLINK("https://klasma.github.io/Logging_2480/tillsyn/A 41225-2024 tillsynsbegäran.docx", "A 41225-2024")</f>
        <v/>
      </c>
      <c r="Y136">
        <f>HYPERLINK("https://klasma.github.io/Logging_2480/tillsynsmail/A 41225-2024 tillsynsbegäran mail.docx", "A 41225-2024")</f>
        <v/>
      </c>
    </row>
    <row r="137" ht="15" customHeight="1">
      <c r="A137" t="inlineStr">
        <is>
          <t>A 43029-2024</t>
        </is>
      </c>
      <c r="B137" s="1" t="n">
        <v>45567</v>
      </c>
      <c r="C137" s="1" t="n">
        <v>45641</v>
      </c>
      <c r="D137" t="inlineStr">
        <is>
          <t>VÄSTERBOTTENS LÄN</t>
        </is>
      </c>
      <c r="E137" t="inlineStr">
        <is>
          <t>UMEÅ</t>
        </is>
      </c>
      <c r="G137" t="n">
        <v>5.7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43029-2024 artfynd.xlsx", "A 43029-2024")</f>
        <v/>
      </c>
      <c r="T137">
        <f>HYPERLINK("https://klasma.github.io/Logging_2480/kartor/A 43029-2024 karta.png", "A 43029-2024")</f>
        <v/>
      </c>
      <c r="V137">
        <f>HYPERLINK("https://klasma.github.io/Logging_2480/klagomål/A 43029-2024 FSC-klagomål.docx", "A 43029-2024")</f>
        <v/>
      </c>
      <c r="W137">
        <f>HYPERLINK("https://klasma.github.io/Logging_2480/klagomålsmail/A 43029-2024 FSC-klagomål mail.docx", "A 43029-2024")</f>
        <v/>
      </c>
      <c r="X137">
        <f>HYPERLINK("https://klasma.github.io/Logging_2480/tillsyn/A 43029-2024 tillsynsbegäran.docx", "A 43029-2024")</f>
        <v/>
      </c>
      <c r="Y137">
        <f>HYPERLINK("https://klasma.github.io/Logging_2480/tillsynsmail/A 43029-2024 tillsynsbegäran mail.docx", "A 43029-2024")</f>
        <v/>
      </c>
    </row>
    <row r="138" ht="15" customHeight="1">
      <c r="A138" t="inlineStr">
        <is>
          <t>A 43550-2024</t>
        </is>
      </c>
      <c r="B138" s="1" t="n">
        <v>45569</v>
      </c>
      <c r="C138" s="1" t="n">
        <v>45641</v>
      </c>
      <c r="D138" t="inlineStr">
        <is>
          <t>VÄSTERBOTTENS LÄN</t>
        </is>
      </c>
      <c r="E138" t="inlineStr">
        <is>
          <t>UMEÅ</t>
        </is>
      </c>
      <c r="F138" t="inlineStr">
        <is>
          <t>Kommuner</t>
        </is>
      </c>
      <c r="G138" t="n">
        <v>3.9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Rävticka</t>
        </is>
      </c>
      <c r="S138">
        <f>HYPERLINK("https://klasma.github.io/Logging_2480/artfynd/A 43550-2024 artfynd.xlsx", "A 43550-2024")</f>
        <v/>
      </c>
      <c r="T138">
        <f>HYPERLINK("https://klasma.github.io/Logging_2480/kartor/A 43550-2024 karta.png", "A 43550-2024")</f>
        <v/>
      </c>
      <c r="V138">
        <f>HYPERLINK("https://klasma.github.io/Logging_2480/klagomål/A 43550-2024 FSC-klagomål.docx", "A 43550-2024")</f>
        <v/>
      </c>
      <c r="W138">
        <f>HYPERLINK("https://klasma.github.io/Logging_2480/klagomålsmail/A 43550-2024 FSC-klagomål mail.docx", "A 43550-2024")</f>
        <v/>
      </c>
      <c r="X138">
        <f>HYPERLINK("https://klasma.github.io/Logging_2480/tillsyn/A 43550-2024 tillsynsbegäran.docx", "A 43550-2024")</f>
        <v/>
      </c>
      <c r="Y138">
        <f>HYPERLINK("https://klasma.github.io/Logging_2480/tillsynsmail/A 43550-2024 tillsynsbegäran mail.docx", "A 43550-2024")</f>
        <v/>
      </c>
    </row>
    <row r="139" ht="15" customHeight="1">
      <c r="A139" t="inlineStr">
        <is>
          <t>A 45429-2024</t>
        </is>
      </c>
      <c r="B139" s="1" t="n">
        <v>45576</v>
      </c>
      <c r="C139" s="1" t="n">
        <v>45641</v>
      </c>
      <c r="D139" t="inlineStr">
        <is>
          <t>VÄSTERBOTTENS LÄN</t>
        </is>
      </c>
      <c r="E139" t="inlineStr">
        <is>
          <t>UMEÅ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HYPERLINK("https://klasma.github.io/Logging_2480/artfynd/A 45429-2024 artfynd.xlsx", "A 45429-2024")</f>
        <v/>
      </c>
      <c r="T139">
        <f>HYPERLINK("https://klasma.github.io/Logging_2480/kartor/A 45429-2024 karta.png", "A 45429-2024")</f>
        <v/>
      </c>
      <c r="V139">
        <f>HYPERLINK("https://klasma.github.io/Logging_2480/klagomål/A 45429-2024 FSC-klagomål.docx", "A 45429-2024")</f>
        <v/>
      </c>
      <c r="W139">
        <f>HYPERLINK("https://klasma.github.io/Logging_2480/klagomålsmail/A 45429-2024 FSC-klagomål mail.docx", "A 45429-2024")</f>
        <v/>
      </c>
      <c r="X139">
        <f>HYPERLINK("https://klasma.github.io/Logging_2480/tillsyn/A 45429-2024 tillsynsbegäran.docx", "A 45429-2024")</f>
        <v/>
      </c>
      <c r="Y139">
        <f>HYPERLINK("https://klasma.github.io/Logging_2480/tillsynsmail/A 45429-2024 tillsynsbegäran mail.docx", "A 45429-2024")</f>
        <v/>
      </c>
    </row>
    <row r="140" ht="15" customHeight="1">
      <c r="A140" t="inlineStr">
        <is>
          <t>A 45633-2024</t>
        </is>
      </c>
      <c r="B140" s="1" t="n">
        <v>45579</v>
      </c>
      <c r="C140" s="1" t="n">
        <v>45641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5.4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HYPERLINK("https://klasma.github.io/Logging_2480/artfynd/A 45633-2024 artfynd.xlsx", "A 45633-2024")</f>
        <v/>
      </c>
      <c r="T140">
        <f>HYPERLINK("https://klasma.github.io/Logging_2480/kartor/A 45633-2024 karta.png", "A 45633-2024")</f>
        <v/>
      </c>
      <c r="V140">
        <f>HYPERLINK("https://klasma.github.io/Logging_2480/klagomål/A 45633-2024 FSC-klagomål.docx", "A 45633-2024")</f>
        <v/>
      </c>
      <c r="W140">
        <f>HYPERLINK("https://klasma.github.io/Logging_2480/klagomålsmail/A 45633-2024 FSC-klagomål mail.docx", "A 45633-2024")</f>
        <v/>
      </c>
      <c r="X140">
        <f>HYPERLINK("https://klasma.github.io/Logging_2480/tillsyn/A 45633-2024 tillsynsbegäran.docx", "A 45633-2024")</f>
        <v/>
      </c>
      <c r="Y140">
        <f>HYPERLINK("https://klasma.github.io/Logging_2480/tillsynsmail/A 45633-2024 tillsynsbegäran mail.docx", "A 45633-2024")</f>
        <v/>
      </c>
    </row>
    <row r="141" ht="15" customHeight="1">
      <c r="A141" t="inlineStr">
        <is>
          <t>A 45659-2024</t>
        </is>
      </c>
      <c r="B141" s="1" t="n">
        <v>45579</v>
      </c>
      <c r="C141" s="1" t="n">
        <v>45641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9.199999999999999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45659-2024 artfynd.xlsx", "A 45659-2024")</f>
        <v/>
      </c>
      <c r="T141">
        <f>HYPERLINK("https://klasma.github.io/Logging_2480/kartor/A 45659-2024 karta.png", "A 45659-2024")</f>
        <v/>
      </c>
      <c r="V141">
        <f>HYPERLINK("https://klasma.github.io/Logging_2480/klagomål/A 45659-2024 FSC-klagomål.docx", "A 45659-2024")</f>
        <v/>
      </c>
      <c r="W141">
        <f>HYPERLINK("https://klasma.github.io/Logging_2480/klagomålsmail/A 45659-2024 FSC-klagomål mail.docx", "A 45659-2024")</f>
        <v/>
      </c>
      <c r="X141">
        <f>HYPERLINK("https://klasma.github.io/Logging_2480/tillsyn/A 45659-2024 tillsynsbegäran.docx", "A 45659-2024")</f>
        <v/>
      </c>
      <c r="Y141">
        <f>HYPERLINK("https://klasma.github.io/Logging_2480/tillsynsmail/A 45659-2024 tillsynsbegäran mail.docx", "A 45659-2024")</f>
        <v/>
      </c>
    </row>
    <row r="142" ht="15" customHeight="1">
      <c r="A142" t="inlineStr">
        <is>
          <t>A 49134-2024</t>
        </is>
      </c>
      <c r="B142" s="1" t="n">
        <v>45594</v>
      </c>
      <c r="C142" s="1" t="n">
        <v>45641</v>
      </c>
      <c r="D142" t="inlineStr">
        <is>
          <t>VÄSTERBOTTENS LÄN</t>
        </is>
      </c>
      <c r="E142" t="inlineStr">
        <is>
          <t>UMEÅ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Skogshare</t>
        </is>
      </c>
      <c r="S142">
        <f>HYPERLINK("https://klasma.github.io/Logging_2480/artfynd/A 49134-2024 artfynd.xlsx", "A 49134-2024")</f>
        <v/>
      </c>
      <c r="T142">
        <f>HYPERLINK("https://klasma.github.io/Logging_2480/kartor/A 49134-2024 karta.png", "A 49134-2024")</f>
        <v/>
      </c>
      <c r="V142">
        <f>HYPERLINK("https://klasma.github.io/Logging_2480/klagomål/A 49134-2024 FSC-klagomål.docx", "A 49134-2024")</f>
        <v/>
      </c>
      <c r="W142">
        <f>HYPERLINK("https://klasma.github.io/Logging_2480/klagomålsmail/A 49134-2024 FSC-klagomål mail.docx", "A 49134-2024")</f>
        <v/>
      </c>
      <c r="X142">
        <f>HYPERLINK("https://klasma.github.io/Logging_2480/tillsyn/A 49134-2024 tillsynsbegäran.docx", "A 49134-2024")</f>
        <v/>
      </c>
      <c r="Y142">
        <f>HYPERLINK("https://klasma.github.io/Logging_2480/tillsynsmail/A 49134-2024 tillsynsbegäran mail.docx", "A 49134-2024")</f>
        <v/>
      </c>
    </row>
    <row r="143" ht="15" customHeight="1">
      <c r="A143" t="inlineStr">
        <is>
          <t>A 56135-2024</t>
        </is>
      </c>
      <c r="B143" s="1" t="n">
        <v>45624</v>
      </c>
      <c r="C143" s="1" t="n">
        <v>45641</v>
      </c>
      <c r="D143" t="inlineStr">
        <is>
          <t>VÄSTERBOTTENS LÄN</t>
        </is>
      </c>
      <c r="E143" t="inlineStr">
        <is>
          <t>UMEÅ</t>
        </is>
      </c>
      <c r="G143" t="n">
        <v>19.9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HYPERLINK("https://klasma.github.io/Logging_2480/artfynd/A 56135-2024 artfynd.xlsx", "A 56135-2024")</f>
        <v/>
      </c>
      <c r="T143">
        <f>HYPERLINK("https://klasma.github.io/Logging_2480/kartor/A 56135-2024 karta.png", "A 56135-2024")</f>
        <v/>
      </c>
      <c r="V143">
        <f>HYPERLINK("https://klasma.github.io/Logging_2480/klagomål/A 56135-2024 FSC-klagomål.docx", "A 56135-2024")</f>
        <v/>
      </c>
      <c r="W143">
        <f>HYPERLINK("https://klasma.github.io/Logging_2480/klagomålsmail/A 56135-2024 FSC-klagomål mail.docx", "A 56135-2024")</f>
        <v/>
      </c>
      <c r="X143">
        <f>HYPERLINK("https://klasma.github.io/Logging_2480/tillsyn/A 56135-2024 tillsynsbegäran.docx", "A 56135-2024")</f>
        <v/>
      </c>
      <c r="Y143">
        <f>HYPERLINK("https://klasma.github.io/Logging_2480/tillsynsmail/A 56135-2024 tillsynsbegäran mail.docx", "A 56135-2024")</f>
        <v/>
      </c>
    </row>
    <row r="144" ht="15" customHeight="1">
      <c r="A144" t="inlineStr">
        <is>
          <t>A 17665-2019</t>
        </is>
      </c>
      <c r="B144" s="1" t="n">
        <v>43556</v>
      </c>
      <c r="C144" s="1" t="n">
        <v>45641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18151-2019</t>
        </is>
      </c>
      <c r="B145" s="1" t="n">
        <v>43556</v>
      </c>
      <c r="C145" s="1" t="n">
        <v>45641</v>
      </c>
      <c r="D145" t="inlineStr">
        <is>
          <t>VÄSTERBOTTENS LÄN</t>
        </is>
      </c>
      <c r="E145" t="inlineStr">
        <is>
          <t>UMEÅ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20458-2019</t>
        </is>
      </c>
      <c r="B146" s="1" t="n">
        <v>43572</v>
      </c>
      <c r="C146" s="1" t="n">
        <v>45641</v>
      </c>
      <c r="D146" t="inlineStr">
        <is>
          <t>VÄSTERBOTTENS LÄN</t>
        </is>
      </c>
      <c r="E146" t="inlineStr">
        <is>
          <t>UMEÅ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22739-2019</t>
        </is>
      </c>
      <c r="B147" s="1" t="n">
        <v>43588</v>
      </c>
      <c r="C147" s="1" t="n">
        <v>45641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23098-2019</t>
        </is>
      </c>
      <c r="B148" s="1" t="n">
        <v>43591</v>
      </c>
      <c r="C148" s="1" t="n">
        <v>45641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23510-2019</t>
        </is>
      </c>
      <c r="B149" s="1" t="n">
        <v>43593</v>
      </c>
      <c r="C149" s="1" t="n">
        <v>45641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23491-2019</t>
        </is>
      </c>
      <c r="B150" s="1" t="n">
        <v>43593</v>
      </c>
      <c r="C150" s="1" t="n">
        <v>45641</v>
      </c>
      <c r="D150" t="inlineStr">
        <is>
          <t>VÄSTERBOTTENS LÄN</t>
        </is>
      </c>
      <c r="E150" t="inlineStr">
        <is>
          <t>UMEÅ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23796-2019</t>
        </is>
      </c>
      <c r="B151" s="1" t="n">
        <v>43595</v>
      </c>
      <c r="C151" s="1" t="n">
        <v>45641</v>
      </c>
      <c r="D151" t="inlineStr">
        <is>
          <t>VÄSTERBOTTENS LÄN</t>
        </is>
      </c>
      <c r="E151" t="inlineStr">
        <is>
          <t>UMEÅ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25273-2019</t>
        </is>
      </c>
      <c r="B152" s="1" t="n">
        <v>43605</v>
      </c>
      <c r="C152" s="1" t="n">
        <v>45641</v>
      </c>
      <c r="D152" t="inlineStr">
        <is>
          <t>VÄSTERBOTTENS LÄN</t>
        </is>
      </c>
      <c r="E152" t="inlineStr">
        <is>
          <t>UMEÅ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25787-2019</t>
        </is>
      </c>
      <c r="B153" s="1" t="n">
        <v>43605</v>
      </c>
      <c r="C153" s="1" t="n">
        <v>45641</v>
      </c>
      <c r="D153" t="inlineStr">
        <is>
          <t>VÄSTERBOTTENS LÄN</t>
        </is>
      </c>
      <c r="E153" t="inlineStr">
        <is>
          <t>UMEÅ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25514-2019</t>
        </is>
      </c>
      <c r="B154" s="1" t="n">
        <v>43606</v>
      </c>
      <c r="C154" s="1" t="n">
        <v>45641</v>
      </c>
      <c r="D154" t="inlineStr">
        <is>
          <t>VÄSTERBOTTENS LÄN</t>
        </is>
      </c>
      <c r="E154" t="inlineStr">
        <is>
          <t>UMEÅ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26382-2019</t>
        </is>
      </c>
      <c r="B155" s="1" t="n">
        <v>43606</v>
      </c>
      <c r="C155" s="1" t="n">
        <v>45641</v>
      </c>
      <c r="D155" t="inlineStr">
        <is>
          <t>VÄSTERBOTTENS LÄN</t>
        </is>
      </c>
      <c r="E155" t="inlineStr">
        <is>
          <t>UMEÅ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28147-2019</t>
        </is>
      </c>
      <c r="B156" s="1" t="n">
        <v>43613</v>
      </c>
      <c r="C156" s="1" t="n">
        <v>45641</v>
      </c>
      <c r="D156" t="inlineStr">
        <is>
          <t>VÄSTERBOTTENS LÄN</t>
        </is>
      </c>
      <c r="E156" t="inlineStr">
        <is>
          <t>UMEÅ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28995-2019</t>
        </is>
      </c>
      <c r="B157" s="1" t="n">
        <v>43620</v>
      </c>
      <c r="C157" s="1" t="n">
        <v>45641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29281-2019</t>
        </is>
      </c>
      <c r="B158" s="1" t="n">
        <v>43623</v>
      </c>
      <c r="C158" s="1" t="n">
        <v>45641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29128-2019</t>
        </is>
      </c>
      <c r="B159" s="1" t="n">
        <v>43628</v>
      </c>
      <c r="C159" s="1" t="n">
        <v>45641</v>
      </c>
      <c r="D159" t="inlineStr">
        <is>
          <t>VÄSTERBOTTENS LÄN</t>
        </is>
      </c>
      <c r="E159" t="inlineStr">
        <is>
          <t>UMEÅ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29126-2019</t>
        </is>
      </c>
      <c r="B160" s="1" t="n">
        <v>43628</v>
      </c>
      <c r="C160" s="1" t="n">
        <v>45641</v>
      </c>
      <c r="D160" t="inlineStr">
        <is>
          <t>VÄSTERBOTTENS LÄN</t>
        </is>
      </c>
      <c r="E160" t="inlineStr">
        <is>
          <t>UMEÅ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30440-2019</t>
        </is>
      </c>
      <c r="B161" s="1" t="n">
        <v>43633</v>
      </c>
      <c r="C161" s="1" t="n">
        <v>45641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30187-2019</t>
        </is>
      </c>
      <c r="B162" s="1" t="n">
        <v>43634</v>
      </c>
      <c r="C162" s="1" t="n">
        <v>45641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30964-2019</t>
        </is>
      </c>
      <c r="B163" s="1" t="n">
        <v>43639</v>
      </c>
      <c r="C163" s="1" t="n">
        <v>45641</v>
      </c>
      <c r="D163" t="inlineStr">
        <is>
          <t>VÄSTERBOTTENS LÄN</t>
        </is>
      </c>
      <c r="E163" t="inlineStr">
        <is>
          <t>UMEÅ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30966-2019</t>
        </is>
      </c>
      <c r="B164" s="1" t="n">
        <v>43639</v>
      </c>
      <c r="C164" s="1" t="n">
        <v>45641</v>
      </c>
      <c r="D164" t="inlineStr">
        <is>
          <t>VÄSTERBOTTENS LÄN</t>
        </is>
      </c>
      <c r="E164" t="inlineStr">
        <is>
          <t>UMEÅ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30965-2019</t>
        </is>
      </c>
      <c r="B165" s="1" t="n">
        <v>43639</v>
      </c>
      <c r="C165" s="1" t="n">
        <v>45641</v>
      </c>
      <c r="D165" t="inlineStr">
        <is>
          <t>VÄSTERBOTTENS LÄN</t>
        </is>
      </c>
      <c r="E165" t="inlineStr">
        <is>
          <t>UMEÅ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31265-2019</t>
        </is>
      </c>
      <c r="B166" s="1" t="n">
        <v>43640</v>
      </c>
      <c r="C166" s="1" t="n">
        <v>45641</v>
      </c>
      <c r="D166" t="inlineStr">
        <is>
          <t>VÄSTERBOTTENS LÄN</t>
        </is>
      </c>
      <c r="E166" t="inlineStr">
        <is>
          <t>UMEÅ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31919-2019</t>
        </is>
      </c>
      <c r="B167" s="1" t="n">
        <v>43641</v>
      </c>
      <c r="C167" s="1" t="n">
        <v>45641</v>
      </c>
      <c r="D167" t="inlineStr">
        <is>
          <t>VÄSTERBOTTENS LÄN</t>
        </is>
      </c>
      <c r="E167" t="inlineStr">
        <is>
          <t>UMEÅ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32079-2019</t>
        </is>
      </c>
      <c r="B168" s="1" t="n">
        <v>43642</v>
      </c>
      <c r="C168" s="1" t="n">
        <v>45641</v>
      </c>
      <c r="D168" t="inlineStr">
        <is>
          <t>VÄSTERBOTTENS LÄN</t>
        </is>
      </c>
      <c r="E168" t="inlineStr">
        <is>
          <t>UMEÅ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31938-2019</t>
        </is>
      </c>
      <c r="B169" s="1" t="n">
        <v>43643</v>
      </c>
      <c r="C169" s="1" t="n">
        <v>45641</v>
      </c>
      <c r="D169" t="inlineStr">
        <is>
          <t>VÄSTERBOTTENS LÄN</t>
        </is>
      </c>
      <c r="E169" t="inlineStr">
        <is>
          <t>UMEÅ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33033-2019</t>
        </is>
      </c>
      <c r="B170" s="1" t="n">
        <v>43649</v>
      </c>
      <c r="C170" s="1" t="n">
        <v>45641</v>
      </c>
      <c r="D170" t="inlineStr">
        <is>
          <t>VÄSTERBOTTENS LÄN</t>
        </is>
      </c>
      <c r="E170" t="inlineStr">
        <is>
          <t>UMEÅ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33029-2019</t>
        </is>
      </c>
      <c r="B171" s="1" t="n">
        <v>43649</v>
      </c>
      <c r="C171" s="1" t="n">
        <v>45641</v>
      </c>
      <c r="D171" t="inlineStr">
        <is>
          <t>VÄSTERBOTTENS LÄN</t>
        </is>
      </c>
      <c r="E171" t="inlineStr">
        <is>
          <t>UMEÅ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33034-2019</t>
        </is>
      </c>
      <c r="B172" s="1" t="n">
        <v>43650</v>
      </c>
      <c r="C172" s="1" t="n">
        <v>45641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35451-2019</t>
        </is>
      </c>
      <c r="B173" s="1" t="n">
        <v>43651</v>
      </c>
      <c r="C173" s="1" t="n">
        <v>45641</v>
      </c>
      <c r="D173" t="inlineStr">
        <is>
          <t>VÄSTERBOTTENS LÄN</t>
        </is>
      </c>
      <c r="E173" t="inlineStr">
        <is>
          <t>UMEÅ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35450-2019</t>
        </is>
      </c>
      <c r="B174" s="1" t="n">
        <v>43651</v>
      </c>
      <c r="C174" s="1" t="n">
        <v>45641</v>
      </c>
      <c r="D174" t="inlineStr">
        <is>
          <t>VÄSTERBOTTENS LÄN</t>
        </is>
      </c>
      <c r="E174" t="inlineStr">
        <is>
          <t>UMEÅ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35380-2019</t>
        </is>
      </c>
      <c r="B175" s="1" t="n">
        <v>43651</v>
      </c>
      <c r="C175" s="1" t="n">
        <v>45641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41058-2019</t>
        </is>
      </c>
      <c r="B176" s="1" t="n">
        <v>43693</v>
      </c>
      <c r="C176" s="1" t="n">
        <v>45641</v>
      </c>
      <c r="D176" t="inlineStr">
        <is>
          <t>VÄSTERBOTTENS LÄN</t>
        </is>
      </c>
      <c r="E176" t="inlineStr">
        <is>
          <t>UMEÅ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40120-2019</t>
        </is>
      </c>
      <c r="B177" s="1" t="n">
        <v>43693</v>
      </c>
      <c r="C177" s="1" t="n">
        <v>45641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41352-2019</t>
        </is>
      </c>
      <c r="B178" s="1" t="n">
        <v>43698</v>
      </c>
      <c r="C178" s="1" t="n">
        <v>45641</v>
      </c>
      <c r="D178" t="inlineStr">
        <is>
          <t>VÄSTERBOTTENS LÄN</t>
        </is>
      </c>
      <c r="E178" t="inlineStr">
        <is>
          <t>UMEÅ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41754-2019</t>
        </is>
      </c>
      <c r="B179" s="1" t="n">
        <v>43699</v>
      </c>
      <c r="C179" s="1" t="n">
        <v>45641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42477-2019</t>
        </is>
      </c>
      <c r="B180" s="1" t="n">
        <v>43704</v>
      </c>
      <c r="C180" s="1" t="n">
        <v>45641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42721-2019</t>
        </is>
      </c>
      <c r="B181" s="1" t="n">
        <v>43704</v>
      </c>
      <c r="C181" s="1" t="n">
        <v>45641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42599-2019</t>
        </is>
      </c>
      <c r="B182" s="1" t="n">
        <v>43704</v>
      </c>
      <c r="C182" s="1" t="n">
        <v>45641</v>
      </c>
      <c r="D182" t="inlineStr">
        <is>
          <t>VÄSTERBOTTENS LÄN</t>
        </is>
      </c>
      <c r="E182" t="inlineStr">
        <is>
          <t>UMEÅ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43613-2019</t>
        </is>
      </c>
      <c r="B183" s="1" t="n">
        <v>43704</v>
      </c>
      <c r="C183" s="1" t="n">
        <v>45641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44537-2019</t>
        </is>
      </c>
      <c r="B184" s="1" t="n">
        <v>43706</v>
      </c>
      <c r="C184" s="1" t="n">
        <v>45641</v>
      </c>
      <c r="D184" t="inlineStr">
        <is>
          <t>VÄSTERBOTTENS LÄN</t>
        </is>
      </c>
      <c r="E184" t="inlineStr">
        <is>
          <t>UMEÅ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45322-2019</t>
        </is>
      </c>
      <c r="B185" s="1" t="n">
        <v>43707</v>
      </c>
      <c r="C185" s="1" t="n">
        <v>45641</v>
      </c>
      <c r="D185" t="inlineStr">
        <is>
          <t>VÄSTERBOTTENS LÄN</t>
        </is>
      </c>
      <c r="E185" t="inlineStr">
        <is>
          <t>UMEÅ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45536-2019</t>
        </is>
      </c>
      <c r="B186" s="1" t="n">
        <v>43714</v>
      </c>
      <c r="C186" s="1" t="n">
        <v>45641</v>
      </c>
      <c r="D186" t="inlineStr">
        <is>
          <t>VÄSTERBOTTENS LÄN</t>
        </is>
      </c>
      <c r="E186" t="inlineStr">
        <is>
          <t>UMEÅ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45905-2019</t>
        </is>
      </c>
      <c r="B187" s="1" t="n">
        <v>43717</v>
      </c>
      <c r="C187" s="1" t="n">
        <v>45641</v>
      </c>
      <c r="D187" t="inlineStr">
        <is>
          <t>VÄSTERBOTTENS LÄN</t>
        </is>
      </c>
      <c r="E187" t="inlineStr">
        <is>
          <t>UMEÅ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45906-2019</t>
        </is>
      </c>
      <c r="B188" s="1" t="n">
        <v>43717</v>
      </c>
      <c r="C188" s="1" t="n">
        <v>45641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46601-2019</t>
        </is>
      </c>
      <c r="B189" s="1" t="n">
        <v>43719</v>
      </c>
      <c r="C189" s="1" t="n">
        <v>45641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47110-2019</t>
        </is>
      </c>
      <c r="B190" s="1" t="n">
        <v>43720</v>
      </c>
      <c r="C190" s="1" t="n">
        <v>45641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47111-2019</t>
        </is>
      </c>
      <c r="B191" s="1" t="n">
        <v>43720</v>
      </c>
      <c r="C191" s="1" t="n">
        <v>45641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47601-2019</t>
        </is>
      </c>
      <c r="B192" s="1" t="n">
        <v>43724</v>
      </c>
      <c r="C192" s="1" t="n">
        <v>45641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47573-2019</t>
        </is>
      </c>
      <c r="B193" s="1" t="n">
        <v>43724</v>
      </c>
      <c r="C193" s="1" t="n">
        <v>45641</v>
      </c>
      <c r="D193" t="inlineStr">
        <is>
          <t>VÄSTERBOTTENS LÄN</t>
        </is>
      </c>
      <c r="E193" t="inlineStr">
        <is>
          <t>UMEÅ</t>
        </is>
      </c>
      <c r="F193" t="inlineStr">
        <is>
          <t>Holmen skog AB</t>
        </is>
      </c>
      <c r="G193" t="n">
        <v>17.1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47708-2019</t>
        </is>
      </c>
      <c r="B194" s="1" t="n">
        <v>43724</v>
      </c>
      <c r="C194" s="1" t="n">
        <v>45641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48558-2019</t>
        </is>
      </c>
      <c r="B195" s="1" t="n">
        <v>43727</v>
      </c>
      <c r="C195" s="1" t="n">
        <v>45641</v>
      </c>
      <c r="D195" t="inlineStr">
        <is>
          <t>VÄSTERBOTTENS LÄN</t>
        </is>
      </c>
      <c r="E195" t="inlineStr">
        <is>
          <t>UMEÅ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51751-2019</t>
        </is>
      </c>
      <c r="B196" s="1" t="n">
        <v>43734</v>
      </c>
      <c r="C196" s="1" t="n">
        <v>45641</v>
      </c>
      <c r="D196" t="inlineStr">
        <is>
          <t>VÄSTERBOTTENS LÄN</t>
        </is>
      </c>
      <c r="E196" t="inlineStr">
        <is>
          <t>UMEÅ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51743-2019</t>
        </is>
      </c>
      <c r="B197" s="1" t="n">
        <v>43734</v>
      </c>
      <c r="C197" s="1" t="n">
        <v>45641</v>
      </c>
      <c r="D197" t="inlineStr">
        <is>
          <t>VÄSTERBOTTENS LÄN</t>
        </is>
      </c>
      <c r="E197" t="inlineStr">
        <is>
          <t>UMEÅ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51555-2019</t>
        </is>
      </c>
      <c r="B198" s="1" t="n">
        <v>43734</v>
      </c>
      <c r="C198" s="1" t="n">
        <v>45641</v>
      </c>
      <c r="D198" t="inlineStr">
        <is>
          <t>VÄSTERBOTTENS LÄN</t>
        </is>
      </c>
      <c r="E198" t="inlineStr">
        <is>
          <t>UMEÅ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53203-2019</t>
        </is>
      </c>
      <c r="B199" s="1" t="n">
        <v>43735</v>
      </c>
      <c r="C199" s="1" t="n">
        <v>45641</v>
      </c>
      <c r="D199" t="inlineStr">
        <is>
          <t>VÄSTERBOTTENS LÄN</t>
        </is>
      </c>
      <c r="E199" t="inlineStr">
        <is>
          <t>UMEÅ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50793-2019</t>
        </is>
      </c>
      <c r="B200" s="1" t="n">
        <v>43738</v>
      </c>
      <c r="C200" s="1" t="n">
        <v>45641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51077-2019</t>
        </is>
      </c>
      <c r="B201" s="1" t="n">
        <v>43739</v>
      </c>
      <c r="C201" s="1" t="n">
        <v>45641</v>
      </c>
      <c r="D201" t="inlineStr">
        <is>
          <t>VÄSTERBOTTENS LÄN</t>
        </is>
      </c>
      <c r="E201" t="inlineStr">
        <is>
          <t>UMEÅ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51087-2019</t>
        </is>
      </c>
      <c r="B202" s="1" t="n">
        <v>43739</v>
      </c>
      <c r="C202" s="1" t="n">
        <v>45641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51124-2019</t>
        </is>
      </c>
      <c r="B203" s="1" t="n">
        <v>43739</v>
      </c>
      <c r="C203" s="1" t="n">
        <v>45641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51767-2019</t>
        </is>
      </c>
      <c r="B204" s="1" t="n">
        <v>43741</v>
      </c>
      <c r="C204" s="1" t="n">
        <v>45641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52024-2019</t>
        </is>
      </c>
      <c r="B205" s="1" t="n">
        <v>43742</v>
      </c>
      <c r="C205" s="1" t="n">
        <v>45641</v>
      </c>
      <c r="D205" t="inlineStr">
        <is>
          <t>VÄSTERBOTTENS LÄN</t>
        </is>
      </c>
      <c r="E205" t="inlineStr">
        <is>
          <t>UMEÅ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52475-2019</t>
        </is>
      </c>
      <c r="B206" s="1" t="n">
        <v>43745</v>
      </c>
      <c r="C206" s="1" t="n">
        <v>45641</v>
      </c>
      <c r="D206" t="inlineStr">
        <is>
          <t>VÄSTERBOTTENS LÄN</t>
        </is>
      </c>
      <c r="E206" t="inlineStr">
        <is>
          <t>UMEÅ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53268-2019</t>
        </is>
      </c>
      <c r="B207" s="1" t="n">
        <v>43748</v>
      </c>
      <c r="C207" s="1" t="n">
        <v>45641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53410-2019</t>
        </is>
      </c>
      <c r="B208" s="1" t="n">
        <v>43748</v>
      </c>
      <c r="C208" s="1" t="n">
        <v>45641</v>
      </c>
      <c r="D208" t="inlineStr">
        <is>
          <t>VÄSTERBOTTENS LÄN</t>
        </is>
      </c>
      <c r="E208" t="inlineStr">
        <is>
          <t>UMEÅ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53813-2019</t>
        </is>
      </c>
      <c r="B209" s="1" t="n">
        <v>43751</v>
      </c>
      <c r="C209" s="1" t="n">
        <v>45641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55275-2019</t>
        </is>
      </c>
      <c r="B210" s="1" t="n">
        <v>43753</v>
      </c>
      <c r="C210" s="1" t="n">
        <v>45641</v>
      </c>
      <c r="D210" t="inlineStr">
        <is>
          <t>VÄSTERBOTTENS LÄN</t>
        </is>
      </c>
      <c r="E210" t="inlineStr">
        <is>
          <t>UMEÅ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54880-2019</t>
        </is>
      </c>
      <c r="B211" s="1" t="n">
        <v>43755</v>
      </c>
      <c r="C211" s="1" t="n">
        <v>45641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55906-2019</t>
        </is>
      </c>
      <c r="B212" s="1" t="n">
        <v>43755</v>
      </c>
      <c r="C212" s="1" t="n">
        <v>45641</v>
      </c>
      <c r="D212" t="inlineStr">
        <is>
          <t>VÄSTERBOTTENS LÄN</t>
        </is>
      </c>
      <c r="E212" t="inlineStr">
        <is>
          <t>UMEÅ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56088-2019</t>
        </is>
      </c>
      <c r="B213" s="1" t="n">
        <v>43755</v>
      </c>
      <c r="C213" s="1" t="n">
        <v>45641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58338-2019</t>
        </is>
      </c>
      <c r="B214" s="1" t="n">
        <v>43770</v>
      </c>
      <c r="C214" s="1" t="n">
        <v>45641</v>
      </c>
      <c r="D214" t="inlineStr">
        <is>
          <t>VÄSTERBOTTENS LÄN</t>
        </is>
      </c>
      <c r="E214" t="inlineStr">
        <is>
          <t>UMEÅ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59459-2019</t>
        </is>
      </c>
      <c r="B215" s="1" t="n">
        <v>43776</v>
      </c>
      <c r="C215" s="1" t="n">
        <v>45641</v>
      </c>
      <c r="D215" t="inlineStr">
        <is>
          <t>VÄSTERBOTTENS LÄN</t>
        </is>
      </c>
      <c r="E215" t="inlineStr">
        <is>
          <t>UMEÅ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59757-2019</t>
        </is>
      </c>
      <c r="B216" s="1" t="n">
        <v>43776</v>
      </c>
      <c r="C216" s="1" t="n">
        <v>45641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62298-2019</t>
        </is>
      </c>
      <c r="B217" s="1" t="n">
        <v>43782</v>
      </c>
      <c r="C217" s="1" t="n">
        <v>45641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62219-2019</t>
        </is>
      </c>
      <c r="B218" s="1" t="n">
        <v>43782</v>
      </c>
      <c r="C218" s="1" t="n">
        <v>45641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61231-2019</t>
        </is>
      </c>
      <c r="B219" s="1" t="n">
        <v>43782</v>
      </c>
      <c r="C219" s="1" t="n">
        <v>45641</v>
      </c>
      <c r="D219" t="inlineStr">
        <is>
          <t>VÄSTERBOTTENS LÄN</t>
        </is>
      </c>
      <c r="E219" t="inlineStr">
        <is>
          <t>UMEÅ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61491-2019</t>
        </is>
      </c>
      <c r="B220" s="1" t="n">
        <v>43783</v>
      </c>
      <c r="C220" s="1" t="n">
        <v>45641</v>
      </c>
      <c r="D220" t="inlineStr">
        <is>
          <t>VÄSTERBOTTENS LÄN</t>
        </is>
      </c>
      <c r="E220" t="inlineStr">
        <is>
          <t>UMEÅ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61485-2019</t>
        </is>
      </c>
      <c r="B221" s="1" t="n">
        <v>43783</v>
      </c>
      <c r="C221" s="1" t="n">
        <v>45641</v>
      </c>
      <c r="D221" t="inlineStr">
        <is>
          <t>VÄSTERBOTTENS LÄN</t>
        </is>
      </c>
      <c r="E221" t="inlineStr">
        <is>
          <t>UMEÅ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61251-2019</t>
        </is>
      </c>
      <c r="B222" s="1" t="n">
        <v>43783</v>
      </c>
      <c r="C222" s="1" t="n">
        <v>45641</v>
      </c>
      <c r="D222" t="inlineStr">
        <is>
          <t>VÄSTERBOTTENS LÄN</t>
        </is>
      </c>
      <c r="E222" t="inlineStr">
        <is>
          <t>UMEÅ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63424-2019</t>
        </is>
      </c>
      <c r="B223" s="1" t="n">
        <v>43787</v>
      </c>
      <c r="C223" s="1" t="n">
        <v>45641</v>
      </c>
      <c r="D223" t="inlineStr">
        <is>
          <t>VÄSTERBOTTENS LÄN</t>
        </is>
      </c>
      <c r="E223" t="inlineStr">
        <is>
          <t>UMEÅ</t>
        </is>
      </c>
      <c r="F223" t="inlineStr">
        <is>
          <t>SCA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62268-2019</t>
        </is>
      </c>
      <c r="B224" s="1" t="n">
        <v>43788</v>
      </c>
      <c r="C224" s="1" t="n">
        <v>45641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62202-2019</t>
        </is>
      </c>
      <c r="B225" s="1" t="n">
        <v>43788</v>
      </c>
      <c r="C225" s="1" t="n">
        <v>45641</v>
      </c>
      <c r="D225" t="inlineStr">
        <is>
          <t>VÄSTERBOTTENS LÄN</t>
        </is>
      </c>
      <c r="E225" t="inlineStr">
        <is>
          <t>UMEÅ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62229-2019</t>
        </is>
      </c>
      <c r="B226" s="1" t="n">
        <v>43788</v>
      </c>
      <c r="C226" s="1" t="n">
        <v>45641</v>
      </c>
      <c r="D226" t="inlineStr">
        <is>
          <t>VÄSTERBOTTENS LÄN</t>
        </is>
      </c>
      <c r="E226" t="inlineStr">
        <is>
          <t>UMEÅ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63617-2019</t>
        </is>
      </c>
      <c r="B227" s="1" t="n">
        <v>43788</v>
      </c>
      <c r="C227" s="1" t="n">
        <v>45641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63559-2019</t>
        </is>
      </c>
      <c r="B228" s="1" t="n">
        <v>43795</v>
      </c>
      <c r="C228" s="1" t="n">
        <v>45641</v>
      </c>
      <c r="D228" t="inlineStr">
        <is>
          <t>VÄSTERBOTTENS LÄN</t>
        </is>
      </c>
      <c r="E228" t="inlineStr">
        <is>
          <t>UMEÅ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64785-2019</t>
        </is>
      </c>
      <c r="B229" s="1" t="n">
        <v>43801</v>
      </c>
      <c r="C229" s="1" t="n">
        <v>45641</v>
      </c>
      <c r="D229" t="inlineStr">
        <is>
          <t>VÄSTERBOTTENS LÄN</t>
        </is>
      </c>
      <c r="E229" t="inlineStr">
        <is>
          <t>UMEÅ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65020-2019</t>
        </is>
      </c>
      <c r="B230" s="1" t="n">
        <v>43801</v>
      </c>
      <c r="C230" s="1" t="n">
        <v>45641</v>
      </c>
      <c r="D230" t="inlineStr">
        <is>
          <t>VÄSTERBOTTENS LÄN</t>
        </is>
      </c>
      <c r="E230" t="inlineStr">
        <is>
          <t>UMEÅ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66124-2019</t>
        </is>
      </c>
      <c r="B231" s="1" t="n">
        <v>43801</v>
      </c>
      <c r="C231" s="1" t="n">
        <v>45641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66120-2019</t>
        </is>
      </c>
      <c r="B232" s="1" t="n">
        <v>43801</v>
      </c>
      <c r="C232" s="1" t="n">
        <v>45641</v>
      </c>
      <c r="D232" t="inlineStr">
        <is>
          <t>VÄSTERBOTTENS LÄN</t>
        </is>
      </c>
      <c r="E232" t="inlineStr">
        <is>
          <t>UMEÅ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65227-2019</t>
        </is>
      </c>
      <c r="B233" s="1" t="n">
        <v>43802</v>
      </c>
      <c r="C233" s="1" t="n">
        <v>45641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66471-2019</t>
        </is>
      </c>
      <c r="B234" s="1" t="n">
        <v>43802</v>
      </c>
      <c r="C234" s="1" t="n">
        <v>45641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65576-2019</t>
        </is>
      </c>
      <c r="B235" s="1" t="n">
        <v>43804</v>
      </c>
      <c r="C235" s="1" t="n">
        <v>45641</v>
      </c>
      <c r="D235" t="inlineStr">
        <is>
          <t>VÄSTERBOTTENS LÄN</t>
        </is>
      </c>
      <c r="E235" t="inlineStr">
        <is>
          <t>UMEÅ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65840-2019</t>
        </is>
      </c>
      <c r="B236" s="1" t="n">
        <v>43805</v>
      </c>
      <c r="C236" s="1" t="n">
        <v>45641</v>
      </c>
      <c r="D236" t="inlineStr">
        <is>
          <t>VÄSTERBOTTENS LÄN</t>
        </is>
      </c>
      <c r="E236" t="inlineStr">
        <is>
          <t>UMEÅ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65851-2019</t>
        </is>
      </c>
      <c r="B237" s="1" t="n">
        <v>43805</v>
      </c>
      <c r="C237" s="1" t="n">
        <v>45641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66990-2019</t>
        </is>
      </c>
      <c r="B238" s="1" t="n">
        <v>43805</v>
      </c>
      <c r="C238" s="1" t="n">
        <v>45641</v>
      </c>
      <c r="D238" t="inlineStr">
        <is>
          <t>VÄSTERBOTTENS LÄN</t>
        </is>
      </c>
      <c r="E238" t="inlineStr">
        <is>
          <t>UMEÅ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67659-2019</t>
        </is>
      </c>
      <c r="B239" s="1" t="n">
        <v>43815</v>
      </c>
      <c r="C239" s="1" t="n">
        <v>45641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68623-2019</t>
        </is>
      </c>
      <c r="B240" s="1" t="n">
        <v>43818</v>
      </c>
      <c r="C240" s="1" t="n">
        <v>45641</v>
      </c>
      <c r="D240" t="inlineStr">
        <is>
          <t>VÄSTERBOTTENS LÄN</t>
        </is>
      </c>
      <c r="E240" t="inlineStr">
        <is>
          <t>UMEÅ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68858-2019</t>
        </is>
      </c>
      <c r="B241" s="1" t="n">
        <v>43820</v>
      </c>
      <c r="C241" s="1" t="n">
        <v>45641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3108-2020</t>
        </is>
      </c>
      <c r="B242" s="1" t="n">
        <v>43843</v>
      </c>
      <c r="C242" s="1" t="n">
        <v>45641</v>
      </c>
      <c r="D242" t="inlineStr">
        <is>
          <t>VÄSTERBOTTENS LÄN</t>
        </is>
      </c>
      <c r="E242" t="inlineStr">
        <is>
          <t>UMEÅ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1601-2020</t>
        </is>
      </c>
      <c r="B243" s="1" t="n">
        <v>43844</v>
      </c>
      <c r="C243" s="1" t="n">
        <v>45641</v>
      </c>
      <c r="D243" t="inlineStr">
        <is>
          <t>VÄSTERBOTTENS LÄN</t>
        </is>
      </c>
      <c r="E243" t="inlineStr">
        <is>
          <t>UMEÅ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5022-2020</t>
        </is>
      </c>
      <c r="B244" s="1" t="n">
        <v>43853</v>
      </c>
      <c r="C244" s="1" t="n">
        <v>45641</v>
      </c>
      <c r="D244" t="inlineStr">
        <is>
          <t>VÄSTERBOTTENS LÄN</t>
        </is>
      </c>
      <c r="E244" t="inlineStr">
        <is>
          <t>UMEÅ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4771-2020</t>
        </is>
      </c>
      <c r="B245" s="1" t="n">
        <v>43859</v>
      </c>
      <c r="C245" s="1" t="n">
        <v>45641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8187-2020</t>
        </is>
      </c>
      <c r="B246" s="1" t="n">
        <v>43873</v>
      </c>
      <c r="C246" s="1" t="n">
        <v>45641</v>
      </c>
      <c r="D246" t="inlineStr">
        <is>
          <t>VÄSTERBOTTENS LÄN</t>
        </is>
      </c>
      <c r="E246" t="inlineStr">
        <is>
          <t>UMEÅ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11085-2020</t>
        </is>
      </c>
      <c r="B247" s="1" t="n">
        <v>43885</v>
      </c>
      <c r="C247" s="1" t="n">
        <v>45641</v>
      </c>
      <c r="D247" t="inlineStr">
        <is>
          <t>VÄSTERBOTTENS LÄN</t>
        </is>
      </c>
      <c r="E247" t="inlineStr">
        <is>
          <t>UMEÅ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11084-2020</t>
        </is>
      </c>
      <c r="B248" s="1" t="n">
        <v>43885</v>
      </c>
      <c r="C248" s="1" t="n">
        <v>45641</v>
      </c>
      <c r="D248" t="inlineStr">
        <is>
          <t>VÄSTERBOTTENS LÄN</t>
        </is>
      </c>
      <c r="E248" t="inlineStr">
        <is>
          <t>UMEÅ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11087-2020</t>
        </is>
      </c>
      <c r="B249" s="1" t="n">
        <v>43885</v>
      </c>
      <c r="C249" s="1" t="n">
        <v>45641</v>
      </c>
      <c r="D249" t="inlineStr">
        <is>
          <t>VÄSTERBOTTENS LÄN</t>
        </is>
      </c>
      <c r="E249" t="inlineStr">
        <is>
          <t>UMEÅ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11495-2020</t>
        </is>
      </c>
      <c r="B250" s="1" t="n">
        <v>43887</v>
      </c>
      <c r="C250" s="1" t="n">
        <v>45641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10745-2020</t>
        </is>
      </c>
      <c r="B251" s="1" t="n">
        <v>43888</v>
      </c>
      <c r="C251" s="1" t="n">
        <v>45641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29.5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11888-2020</t>
        </is>
      </c>
      <c r="B252" s="1" t="n">
        <v>43888</v>
      </c>
      <c r="C252" s="1" t="n">
        <v>45641</v>
      </c>
      <c r="D252" t="inlineStr">
        <is>
          <t>VÄSTERBOTTENS LÄN</t>
        </is>
      </c>
      <c r="E252" t="inlineStr">
        <is>
          <t>UMEÅ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11947-2020</t>
        </is>
      </c>
      <c r="B253" s="1" t="n">
        <v>43889</v>
      </c>
      <c r="C253" s="1" t="n">
        <v>45641</v>
      </c>
      <c r="D253" t="inlineStr">
        <is>
          <t>VÄSTERBOTTENS LÄN</t>
        </is>
      </c>
      <c r="E253" t="inlineStr">
        <is>
          <t>UMEÅ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16540-2020</t>
        </is>
      </c>
      <c r="B254" s="1" t="n">
        <v>43909</v>
      </c>
      <c r="C254" s="1" t="n">
        <v>45641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15095-2020</t>
        </is>
      </c>
      <c r="B255" s="1" t="n">
        <v>43910</v>
      </c>
      <c r="C255" s="1" t="n">
        <v>45641</v>
      </c>
      <c r="D255" t="inlineStr">
        <is>
          <t>VÄSTERBOTTENS LÄN</t>
        </is>
      </c>
      <c r="E255" t="inlineStr">
        <is>
          <t>UMEÅ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16823-2020</t>
        </is>
      </c>
      <c r="B256" s="1" t="n">
        <v>43913</v>
      </c>
      <c r="C256" s="1" t="n">
        <v>45641</v>
      </c>
      <c r="D256" t="inlineStr">
        <is>
          <t>VÄSTERBOTTENS LÄN</t>
        </is>
      </c>
      <c r="E256" t="inlineStr">
        <is>
          <t>UMEÅ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16871-2020</t>
        </is>
      </c>
      <c r="B257" s="1" t="n">
        <v>43921</v>
      </c>
      <c r="C257" s="1" t="n">
        <v>45641</v>
      </c>
      <c r="D257" t="inlineStr">
        <is>
          <t>VÄSTERBOTTENS LÄN</t>
        </is>
      </c>
      <c r="E257" t="inlineStr">
        <is>
          <t>UMEÅ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16868-2020</t>
        </is>
      </c>
      <c r="B258" s="1" t="n">
        <v>43921</v>
      </c>
      <c r="C258" s="1" t="n">
        <v>45641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17016-2020</t>
        </is>
      </c>
      <c r="B259" s="1" t="n">
        <v>43921</v>
      </c>
      <c r="C259" s="1" t="n">
        <v>45641</v>
      </c>
      <c r="D259" t="inlineStr">
        <is>
          <t>VÄSTERBOTTENS LÄN</t>
        </is>
      </c>
      <c r="E259" t="inlineStr">
        <is>
          <t>UMEÅ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17092-2020</t>
        </is>
      </c>
      <c r="B260" s="1" t="n">
        <v>43922</v>
      </c>
      <c r="C260" s="1" t="n">
        <v>45641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18233-2020</t>
        </is>
      </c>
      <c r="B261" s="1" t="n">
        <v>43928</v>
      </c>
      <c r="C261" s="1" t="n">
        <v>45641</v>
      </c>
      <c r="D261" t="inlineStr">
        <is>
          <t>VÄSTERBOTTENS LÄN</t>
        </is>
      </c>
      <c r="E261" t="inlineStr">
        <is>
          <t>UMEÅ</t>
        </is>
      </c>
      <c r="G261" t="n">
        <v>26.8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18636-2020</t>
        </is>
      </c>
      <c r="B262" s="1" t="n">
        <v>43928</v>
      </c>
      <c r="C262" s="1" t="n">
        <v>45641</v>
      </c>
      <c r="D262" t="inlineStr">
        <is>
          <t>VÄSTERBOTTENS LÄN</t>
        </is>
      </c>
      <c r="E262" t="inlineStr">
        <is>
          <t>UMEÅ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18908-2020</t>
        </is>
      </c>
      <c r="B263" s="1" t="n">
        <v>43930</v>
      </c>
      <c r="C263" s="1" t="n">
        <v>45641</v>
      </c>
      <c r="D263" t="inlineStr">
        <is>
          <t>VÄSTERBOTTENS LÄN</t>
        </is>
      </c>
      <c r="E263" t="inlineStr">
        <is>
          <t>UMEÅ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19580-2020</t>
        </is>
      </c>
      <c r="B264" s="1" t="n">
        <v>43941</v>
      </c>
      <c r="C264" s="1" t="n">
        <v>45641</v>
      </c>
      <c r="D264" t="inlineStr">
        <is>
          <t>VÄSTERBOTTENS LÄN</t>
        </is>
      </c>
      <c r="E264" t="inlineStr">
        <is>
          <t>UMEÅ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19541-2020</t>
        </is>
      </c>
      <c r="B265" s="1" t="n">
        <v>43941</v>
      </c>
      <c r="C265" s="1" t="n">
        <v>45641</v>
      </c>
      <c r="D265" t="inlineStr">
        <is>
          <t>VÄSTERBOTTENS LÄN</t>
        </is>
      </c>
      <c r="E265" t="inlineStr">
        <is>
          <t>UMEÅ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19767-2020</t>
        </is>
      </c>
      <c r="B266" s="1" t="n">
        <v>43942</v>
      </c>
      <c r="C266" s="1" t="n">
        <v>45641</v>
      </c>
      <c r="D266" t="inlineStr">
        <is>
          <t>VÄSTERBOTTENS LÄN</t>
        </is>
      </c>
      <c r="E266" t="inlineStr">
        <is>
          <t>UMEÅ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20288-2020</t>
        </is>
      </c>
      <c r="B267" s="1" t="n">
        <v>43945</v>
      </c>
      <c r="C267" s="1" t="n">
        <v>45641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20956-2020</t>
        </is>
      </c>
      <c r="B268" s="1" t="n">
        <v>43950</v>
      </c>
      <c r="C268" s="1" t="n">
        <v>45641</v>
      </c>
      <c r="D268" t="inlineStr">
        <is>
          <t>VÄSTERBOTTENS LÄN</t>
        </is>
      </c>
      <c r="E268" t="inlineStr">
        <is>
          <t>UMEÅ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21235-2020</t>
        </is>
      </c>
      <c r="B269" s="1" t="n">
        <v>43952</v>
      </c>
      <c r="C269" s="1" t="n">
        <v>45641</v>
      </c>
      <c r="D269" t="inlineStr">
        <is>
          <t>VÄSTERBOTTENS LÄN</t>
        </is>
      </c>
      <c r="E269" t="inlineStr">
        <is>
          <t>UMEÅ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21282-2020</t>
        </is>
      </c>
      <c r="B270" s="1" t="n">
        <v>43955</v>
      </c>
      <c r="C270" s="1" t="n">
        <v>45641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21288-2020</t>
        </is>
      </c>
      <c r="B271" s="1" t="n">
        <v>43955</v>
      </c>
      <c r="C271" s="1" t="n">
        <v>45641</v>
      </c>
      <c r="D271" t="inlineStr">
        <is>
          <t>VÄSTERBOTTENS LÄN</t>
        </is>
      </c>
      <c r="E271" t="inlineStr">
        <is>
          <t>UMEÅ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21283-2020</t>
        </is>
      </c>
      <c r="B272" s="1" t="n">
        <v>43955</v>
      </c>
      <c r="C272" s="1" t="n">
        <v>45641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22030-2020</t>
        </is>
      </c>
      <c r="B273" s="1" t="n">
        <v>43959</v>
      </c>
      <c r="C273" s="1" t="n">
        <v>45641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22142-2020</t>
        </is>
      </c>
      <c r="B274" s="1" t="n">
        <v>43961</v>
      </c>
      <c r="C274" s="1" t="n">
        <v>45641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22136-2020</t>
        </is>
      </c>
      <c r="B275" s="1" t="n">
        <v>43961</v>
      </c>
      <c r="C275" s="1" t="n">
        <v>45641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22442-2020</t>
        </is>
      </c>
      <c r="B276" s="1" t="n">
        <v>43963</v>
      </c>
      <c r="C276" s="1" t="n">
        <v>45641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22423-2020</t>
        </is>
      </c>
      <c r="B277" s="1" t="n">
        <v>43963</v>
      </c>
      <c r="C277" s="1" t="n">
        <v>45641</v>
      </c>
      <c r="D277" t="inlineStr">
        <is>
          <t>VÄSTERBOTTENS LÄN</t>
        </is>
      </c>
      <c r="E277" t="inlineStr">
        <is>
          <t>UMEÅ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22436-2020</t>
        </is>
      </c>
      <c r="B278" s="1" t="n">
        <v>43963</v>
      </c>
      <c r="C278" s="1" t="n">
        <v>45641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22956-2020</t>
        </is>
      </c>
      <c r="B279" s="1" t="n">
        <v>43965</v>
      </c>
      <c r="C279" s="1" t="n">
        <v>45641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23106-2020</t>
        </is>
      </c>
      <c r="B280" s="1" t="n">
        <v>43965</v>
      </c>
      <c r="C280" s="1" t="n">
        <v>45641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22975-2020</t>
        </is>
      </c>
      <c r="B281" s="1" t="n">
        <v>43965</v>
      </c>
      <c r="C281" s="1" t="n">
        <v>45641</v>
      </c>
      <c r="D281" t="inlineStr">
        <is>
          <t>VÄSTERBOTTENS LÄN</t>
        </is>
      </c>
      <c r="E281" t="inlineStr">
        <is>
          <t>UMEÅ</t>
        </is>
      </c>
      <c r="G281" t="n">
        <v>27.5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23193-2020</t>
        </is>
      </c>
      <c r="B282" s="1" t="n">
        <v>43966</v>
      </c>
      <c r="C282" s="1" t="n">
        <v>45641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25.9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23489-2020</t>
        </is>
      </c>
      <c r="B283" s="1" t="n">
        <v>43966</v>
      </c>
      <c r="C283" s="1" t="n">
        <v>45641</v>
      </c>
      <c r="D283" t="inlineStr">
        <is>
          <t>VÄSTERBOTTENS LÄN</t>
        </is>
      </c>
      <c r="E283" t="inlineStr">
        <is>
          <t>UMEÅ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23487-2020</t>
        </is>
      </c>
      <c r="B284" s="1" t="n">
        <v>43966</v>
      </c>
      <c r="C284" s="1" t="n">
        <v>45641</v>
      </c>
      <c r="D284" t="inlineStr">
        <is>
          <t>VÄSTERBOTTENS LÄN</t>
        </is>
      </c>
      <c r="E284" t="inlineStr">
        <is>
          <t>UMEÅ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24258-2020</t>
        </is>
      </c>
      <c r="B285" s="1" t="n">
        <v>43976</v>
      </c>
      <c r="C285" s="1" t="n">
        <v>45641</v>
      </c>
      <c r="D285" t="inlineStr">
        <is>
          <t>VÄSTERBOTTENS LÄN</t>
        </is>
      </c>
      <c r="E285" t="inlineStr">
        <is>
          <t>UMEÅ</t>
        </is>
      </c>
      <c r="F285" t="inlineStr">
        <is>
          <t>Kommuner</t>
        </is>
      </c>
      <c r="G285" t="n">
        <v>17.4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24702-2020</t>
        </is>
      </c>
      <c r="B286" s="1" t="n">
        <v>43978</v>
      </c>
      <c r="C286" s="1" t="n">
        <v>45641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24715-2020</t>
        </is>
      </c>
      <c r="B287" s="1" t="n">
        <v>43978</v>
      </c>
      <c r="C287" s="1" t="n">
        <v>45641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25178-2020</t>
        </is>
      </c>
      <c r="B288" s="1" t="n">
        <v>43980</v>
      </c>
      <c r="C288" s="1" t="n">
        <v>45641</v>
      </c>
      <c r="D288" t="inlineStr">
        <is>
          <t>VÄSTERBOTTENS LÄN</t>
        </is>
      </c>
      <c r="E288" t="inlineStr">
        <is>
          <t>UMEÅ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26580-2020</t>
        </is>
      </c>
      <c r="B289" s="1" t="n">
        <v>43986</v>
      </c>
      <c r="C289" s="1" t="n">
        <v>45641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26362-2020</t>
        </is>
      </c>
      <c r="B290" s="1" t="n">
        <v>43986</v>
      </c>
      <c r="C290" s="1" t="n">
        <v>45641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26988-2020</t>
        </is>
      </c>
      <c r="B291" s="1" t="n">
        <v>43991</v>
      </c>
      <c r="C291" s="1" t="n">
        <v>45641</v>
      </c>
      <c r="D291" t="inlineStr">
        <is>
          <t>VÄSTERBOTTENS LÄN</t>
        </is>
      </c>
      <c r="E291" t="inlineStr">
        <is>
          <t>UMEÅ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28039-2020</t>
        </is>
      </c>
      <c r="B292" s="1" t="n">
        <v>43993</v>
      </c>
      <c r="C292" s="1" t="n">
        <v>45641</v>
      </c>
      <c r="D292" t="inlineStr">
        <is>
          <t>VÄSTERBOTTENS LÄN</t>
        </is>
      </c>
      <c r="E292" t="inlineStr">
        <is>
          <t>UMEÅ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29026-2020</t>
        </is>
      </c>
      <c r="B293" s="1" t="n">
        <v>43999</v>
      </c>
      <c r="C293" s="1" t="n">
        <v>45641</v>
      </c>
      <c r="D293" t="inlineStr">
        <is>
          <t>VÄSTERBOTTENS LÄN</t>
        </is>
      </c>
      <c r="E293" t="inlineStr">
        <is>
          <t>UMEÅ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29252-2020</t>
        </is>
      </c>
      <c r="B294" s="1" t="n">
        <v>44000</v>
      </c>
      <c r="C294" s="1" t="n">
        <v>45641</v>
      </c>
      <c r="D294" t="inlineStr">
        <is>
          <t>VÄSTERBOTTENS LÄN</t>
        </is>
      </c>
      <c r="E294" t="inlineStr">
        <is>
          <t>UMEÅ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29720-2020</t>
        </is>
      </c>
      <c r="B295" s="1" t="n">
        <v>44005</v>
      </c>
      <c r="C295" s="1" t="n">
        <v>45641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29735-2020</t>
        </is>
      </c>
      <c r="B296" s="1" t="n">
        <v>44005</v>
      </c>
      <c r="C296" s="1" t="n">
        <v>45641</v>
      </c>
      <c r="D296" t="inlineStr">
        <is>
          <t>VÄSTERBOTTENS LÄN</t>
        </is>
      </c>
      <c r="E296" t="inlineStr">
        <is>
          <t>UMEÅ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29734-2020</t>
        </is>
      </c>
      <c r="B297" s="1" t="n">
        <v>44005</v>
      </c>
      <c r="C297" s="1" t="n">
        <v>45641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30234-2020</t>
        </is>
      </c>
      <c r="B298" s="1" t="n">
        <v>44006</v>
      </c>
      <c r="C298" s="1" t="n">
        <v>45641</v>
      </c>
      <c r="D298" t="inlineStr">
        <is>
          <t>VÄSTERBOTTENS LÄN</t>
        </is>
      </c>
      <c r="E298" t="inlineStr">
        <is>
          <t>UMEÅ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30632-2020</t>
        </is>
      </c>
      <c r="B299" s="1" t="n">
        <v>44008</v>
      </c>
      <c r="C299" s="1" t="n">
        <v>45641</v>
      </c>
      <c r="D299" t="inlineStr">
        <is>
          <t>VÄSTERBOTTENS LÄN</t>
        </is>
      </c>
      <c r="E299" t="inlineStr">
        <is>
          <t>UMEÅ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30555-2020</t>
        </is>
      </c>
      <c r="B300" s="1" t="n">
        <v>44008</v>
      </c>
      <c r="C300" s="1" t="n">
        <v>45641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30861-2020</t>
        </is>
      </c>
      <c r="B301" s="1" t="n">
        <v>44011</v>
      </c>
      <c r="C301" s="1" t="n">
        <v>45641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31057-2020</t>
        </is>
      </c>
      <c r="B302" s="1" t="n">
        <v>44012</v>
      </c>
      <c r="C302" s="1" t="n">
        <v>45641</v>
      </c>
      <c r="D302" t="inlineStr">
        <is>
          <t>VÄSTERBOTTENS LÄN</t>
        </is>
      </c>
      <c r="E302" t="inlineStr">
        <is>
          <t>UMEÅ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31237-2020</t>
        </is>
      </c>
      <c r="B303" s="1" t="n">
        <v>44012</v>
      </c>
      <c r="C303" s="1" t="n">
        <v>45641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31467-2020</t>
        </is>
      </c>
      <c r="B304" s="1" t="n">
        <v>44013</v>
      </c>
      <c r="C304" s="1" t="n">
        <v>45641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32571-2020</t>
        </is>
      </c>
      <c r="B305" s="1" t="n">
        <v>44018</v>
      </c>
      <c r="C305" s="1" t="n">
        <v>45641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33021-2020</t>
        </is>
      </c>
      <c r="B306" s="1" t="n">
        <v>44019</v>
      </c>
      <c r="C306" s="1" t="n">
        <v>45641</v>
      </c>
      <c r="D306" t="inlineStr">
        <is>
          <t>VÄSTERBOTTENS LÄN</t>
        </is>
      </c>
      <c r="E306" t="inlineStr">
        <is>
          <t>UMEÅ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33574-2020</t>
        </is>
      </c>
      <c r="B307" s="1" t="n">
        <v>44021</v>
      </c>
      <c r="C307" s="1" t="n">
        <v>45641</v>
      </c>
      <c r="D307" t="inlineStr">
        <is>
          <t>VÄSTERBOTTENS LÄN</t>
        </is>
      </c>
      <c r="E307" t="inlineStr">
        <is>
          <t>UMEÅ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35687-2020</t>
        </is>
      </c>
      <c r="B308" s="1" t="n">
        <v>44046</v>
      </c>
      <c r="C308" s="1" t="n">
        <v>45641</v>
      </c>
      <c r="D308" t="inlineStr">
        <is>
          <t>VÄSTERBOTTENS LÄN</t>
        </is>
      </c>
      <c r="E308" t="inlineStr">
        <is>
          <t>UMEÅ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36531-2020</t>
        </is>
      </c>
      <c r="B309" s="1" t="n">
        <v>44050</v>
      </c>
      <c r="C309" s="1" t="n">
        <v>45641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38075-2020</t>
        </is>
      </c>
      <c r="B310" s="1" t="n">
        <v>44057</v>
      </c>
      <c r="C310" s="1" t="n">
        <v>45641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38073-2020</t>
        </is>
      </c>
      <c r="B311" s="1" t="n">
        <v>44057</v>
      </c>
      <c r="C311" s="1" t="n">
        <v>45641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39001-2020</t>
        </is>
      </c>
      <c r="B312" s="1" t="n">
        <v>44062</v>
      </c>
      <c r="C312" s="1" t="n">
        <v>45641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40105-2020</t>
        </is>
      </c>
      <c r="B313" s="1" t="n">
        <v>44068</v>
      </c>
      <c r="C313" s="1" t="n">
        <v>45641</v>
      </c>
      <c r="D313" t="inlineStr">
        <is>
          <t>VÄSTERBOTTENS LÄN</t>
        </is>
      </c>
      <c r="E313" t="inlineStr">
        <is>
          <t>UMEÅ</t>
        </is>
      </c>
      <c r="F313" t="inlineStr">
        <is>
          <t>Övriga Aktiebolag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40419-2020</t>
        </is>
      </c>
      <c r="B314" s="1" t="n">
        <v>44069</v>
      </c>
      <c r="C314" s="1" t="n">
        <v>45641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41440-2020</t>
        </is>
      </c>
      <c r="B315" s="1" t="n">
        <v>44073</v>
      </c>
      <c r="C315" s="1" t="n">
        <v>45641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41696-2020</t>
        </is>
      </c>
      <c r="B316" s="1" t="n">
        <v>44074</v>
      </c>
      <c r="C316" s="1" t="n">
        <v>45641</v>
      </c>
      <c r="D316" t="inlineStr">
        <is>
          <t>VÄSTERBOTTENS LÄN</t>
        </is>
      </c>
      <c r="E316" t="inlineStr">
        <is>
          <t>UMEÅ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43607-2020</t>
        </is>
      </c>
      <c r="B317" s="1" t="n">
        <v>44078</v>
      </c>
      <c r="C317" s="1" t="n">
        <v>45641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44707-2020</t>
        </is>
      </c>
      <c r="B318" s="1" t="n">
        <v>44083</v>
      </c>
      <c r="C318" s="1" t="n">
        <v>45641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44367-2020</t>
        </is>
      </c>
      <c r="B319" s="1" t="n">
        <v>44084</v>
      </c>
      <c r="C319" s="1" t="n">
        <v>45641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46845-2020</t>
        </is>
      </c>
      <c r="B320" s="1" t="n">
        <v>44090</v>
      </c>
      <c r="C320" s="1" t="n">
        <v>45641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46380-2020</t>
        </is>
      </c>
      <c r="B321" s="1" t="n">
        <v>44092</v>
      </c>
      <c r="C321" s="1" t="n">
        <v>45641</v>
      </c>
      <c r="D321" t="inlineStr">
        <is>
          <t>VÄSTERBOTTENS LÄN</t>
        </is>
      </c>
      <c r="E321" t="inlineStr">
        <is>
          <t>UMEÅ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47641-2020</t>
        </is>
      </c>
      <c r="B322" s="1" t="n">
        <v>44095</v>
      </c>
      <c r="C322" s="1" t="n">
        <v>45641</v>
      </c>
      <c r="D322" t="inlineStr">
        <is>
          <t>VÄSTERBOTTENS LÄN</t>
        </is>
      </c>
      <c r="E322" t="inlineStr">
        <is>
          <t>UMEÅ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47580-2020</t>
        </is>
      </c>
      <c r="B323" s="1" t="n">
        <v>44095</v>
      </c>
      <c r="C323" s="1" t="n">
        <v>45641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48946-2020</t>
        </is>
      </c>
      <c r="B324" s="1" t="n">
        <v>44102</v>
      </c>
      <c r="C324" s="1" t="n">
        <v>45641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48948-2020</t>
        </is>
      </c>
      <c r="B325" s="1" t="n">
        <v>44102</v>
      </c>
      <c r="C325" s="1" t="n">
        <v>45641</v>
      </c>
      <c r="D325" t="inlineStr">
        <is>
          <t>VÄSTERBOTTENS LÄN</t>
        </is>
      </c>
      <c r="E325" t="inlineStr">
        <is>
          <t>UMEÅ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48906-2020</t>
        </is>
      </c>
      <c r="B326" s="1" t="n">
        <v>44104</v>
      </c>
      <c r="C326" s="1" t="n">
        <v>45641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49356-2020</t>
        </is>
      </c>
      <c r="B327" s="1" t="n">
        <v>44105</v>
      </c>
      <c r="C327" s="1" t="n">
        <v>45641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50744-2020</t>
        </is>
      </c>
      <c r="B328" s="1" t="n">
        <v>44105</v>
      </c>
      <c r="C328" s="1" t="n">
        <v>45641</v>
      </c>
      <c r="D328" t="inlineStr">
        <is>
          <t>VÄSTERBOTTENS LÄN</t>
        </is>
      </c>
      <c r="E328" t="inlineStr">
        <is>
          <t>UMEÅ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50723-2020</t>
        </is>
      </c>
      <c r="B329" s="1" t="n">
        <v>44105</v>
      </c>
      <c r="C329" s="1" t="n">
        <v>45641</v>
      </c>
      <c r="D329" t="inlineStr">
        <is>
          <t>VÄSTERBOTTENS LÄN</t>
        </is>
      </c>
      <c r="E329" t="inlineStr">
        <is>
          <t>UMEÅ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51412-2020</t>
        </is>
      </c>
      <c r="B330" s="1" t="n">
        <v>44106</v>
      </c>
      <c r="C330" s="1" t="n">
        <v>45641</v>
      </c>
      <c r="D330" t="inlineStr">
        <is>
          <t>VÄSTERBOTTENS LÄN</t>
        </is>
      </c>
      <c r="E330" t="inlineStr">
        <is>
          <t>UMEÅ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50097-2020</t>
        </is>
      </c>
      <c r="B331" s="1" t="n">
        <v>44109</v>
      </c>
      <c r="C331" s="1" t="n">
        <v>45641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50323-2020</t>
        </is>
      </c>
      <c r="B332" s="1" t="n">
        <v>44110</v>
      </c>
      <c r="C332" s="1" t="n">
        <v>45641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52451-2020</t>
        </is>
      </c>
      <c r="B333" s="1" t="n">
        <v>44113</v>
      </c>
      <c r="C333" s="1" t="n">
        <v>45641</v>
      </c>
      <c r="D333" t="inlineStr">
        <is>
          <t>VÄSTERBOTTENS LÄN</t>
        </is>
      </c>
      <c r="E333" t="inlineStr">
        <is>
          <t>UMEÅ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53294-2020</t>
        </is>
      </c>
      <c r="B334" s="1" t="n">
        <v>44123</v>
      </c>
      <c r="C334" s="1" t="n">
        <v>45641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53782-2020</t>
        </is>
      </c>
      <c r="B335" s="1" t="n">
        <v>44123</v>
      </c>
      <c r="C335" s="1" t="n">
        <v>45641</v>
      </c>
      <c r="D335" t="inlineStr">
        <is>
          <t>VÄSTERBOTTENS LÄN</t>
        </is>
      </c>
      <c r="E335" t="inlineStr">
        <is>
          <t>UMEÅ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53448-2020</t>
        </is>
      </c>
      <c r="B336" s="1" t="n">
        <v>44123</v>
      </c>
      <c r="C336" s="1" t="n">
        <v>45641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53836-2020</t>
        </is>
      </c>
      <c r="B337" s="1" t="n">
        <v>44124</v>
      </c>
      <c r="C337" s="1" t="n">
        <v>45641</v>
      </c>
      <c r="D337" t="inlineStr">
        <is>
          <t>VÄSTERBOTTENS LÄN</t>
        </is>
      </c>
      <c r="E337" t="inlineStr">
        <is>
          <t>UMEÅ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54436-2020</t>
        </is>
      </c>
      <c r="B338" s="1" t="n">
        <v>44124</v>
      </c>
      <c r="C338" s="1" t="n">
        <v>45641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55411-2020</t>
        </is>
      </c>
      <c r="B339" s="1" t="n">
        <v>44131</v>
      </c>
      <c r="C339" s="1" t="n">
        <v>45641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55773-2020</t>
        </is>
      </c>
      <c r="B340" s="1" t="n">
        <v>44132</v>
      </c>
      <c r="C340" s="1" t="n">
        <v>45641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56208-2020</t>
        </is>
      </c>
      <c r="B341" s="1" t="n">
        <v>44133</v>
      </c>
      <c r="C341" s="1" t="n">
        <v>45641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58213-2020</t>
        </is>
      </c>
      <c r="B342" s="1" t="n">
        <v>44140</v>
      </c>
      <c r="C342" s="1" t="n">
        <v>45641</v>
      </c>
      <c r="D342" t="inlineStr">
        <is>
          <t>VÄSTERBOTTENS LÄN</t>
        </is>
      </c>
      <c r="E342" t="inlineStr">
        <is>
          <t>UMEÅ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57786-2020</t>
        </is>
      </c>
      <c r="B343" s="1" t="n">
        <v>44141</v>
      </c>
      <c r="C343" s="1" t="n">
        <v>45641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57958-2020</t>
        </is>
      </c>
      <c r="B344" s="1" t="n">
        <v>44143</v>
      </c>
      <c r="C344" s="1" t="n">
        <v>45641</v>
      </c>
      <c r="D344" t="inlineStr">
        <is>
          <t>VÄSTERBOTTENS LÄN</t>
        </is>
      </c>
      <c r="E344" t="inlineStr">
        <is>
          <t>UMEÅ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58263-2020</t>
        </is>
      </c>
      <c r="B345" s="1" t="n">
        <v>44144</v>
      </c>
      <c r="C345" s="1" t="n">
        <v>45641</v>
      </c>
      <c r="D345" t="inlineStr">
        <is>
          <t>VÄSTERBOTTENS LÄN</t>
        </is>
      </c>
      <c r="E345" t="inlineStr">
        <is>
          <t>UMEÅ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58710-2020</t>
        </is>
      </c>
      <c r="B346" s="1" t="n">
        <v>44146</v>
      </c>
      <c r="C346" s="1" t="n">
        <v>45641</v>
      </c>
      <c r="D346" t="inlineStr">
        <is>
          <t>VÄSTERBOTTENS LÄN</t>
        </is>
      </c>
      <c r="E346" t="inlineStr">
        <is>
          <t>UMEÅ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58913-2020</t>
        </is>
      </c>
      <c r="B347" s="1" t="n">
        <v>44146</v>
      </c>
      <c r="C347" s="1" t="n">
        <v>45641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58916-2020</t>
        </is>
      </c>
      <c r="B348" s="1" t="n">
        <v>44146</v>
      </c>
      <c r="C348" s="1" t="n">
        <v>45641</v>
      </c>
      <c r="D348" t="inlineStr">
        <is>
          <t>VÄSTERBOTTENS LÄN</t>
        </is>
      </c>
      <c r="E348" t="inlineStr">
        <is>
          <t>UMEÅ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59196-2020</t>
        </is>
      </c>
      <c r="B349" s="1" t="n">
        <v>44147</v>
      </c>
      <c r="C349" s="1" t="n">
        <v>45641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59386-2020</t>
        </is>
      </c>
      <c r="B350" s="1" t="n">
        <v>44148</v>
      </c>
      <c r="C350" s="1" t="n">
        <v>45641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60157-2020</t>
        </is>
      </c>
      <c r="B351" s="1" t="n">
        <v>44151</v>
      </c>
      <c r="C351" s="1" t="n">
        <v>45641</v>
      </c>
      <c r="D351" t="inlineStr">
        <is>
          <t>VÄSTERBOTTENS LÄN</t>
        </is>
      </c>
      <c r="E351" t="inlineStr">
        <is>
          <t>UMEÅ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61241-2020</t>
        </is>
      </c>
      <c r="B352" s="1" t="n">
        <v>44153</v>
      </c>
      <c r="C352" s="1" t="n">
        <v>45641</v>
      </c>
      <c r="D352" t="inlineStr">
        <is>
          <t>VÄSTERBOTTENS LÄN</t>
        </is>
      </c>
      <c r="E352" t="inlineStr">
        <is>
          <t>UMEÅ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61351-2020</t>
        </is>
      </c>
      <c r="B353" s="1" t="n">
        <v>44155</v>
      </c>
      <c r="C353" s="1" t="n">
        <v>45641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61451-2020</t>
        </is>
      </c>
      <c r="B354" s="1" t="n">
        <v>44158</v>
      </c>
      <c r="C354" s="1" t="n">
        <v>45641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61450-2020</t>
        </is>
      </c>
      <c r="B355" s="1" t="n">
        <v>44158</v>
      </c>
      <c r="C355" s="1" t="n">
        <v>45641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61918-2020</t>
        </is>
      </c>
      <c r="B356" s="1" t="n">
        <v>44158</v>
      </c>
      <c r="C356" s="1" t="n">
        <v>45641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62332-2020</t>
        </is>
      </c>
      <c r="B357" s="1" t="n">
        <v>44158</v>
      </c>
      <c r="C357" s="1" t="n">
        <v>45641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62937-2020</t>
        </is>
      </c>
      <c r="B358" s="1" t="n">
        <v>44160</v>
      </c>
      <c r="C358" s="1" t="n">
        <v>45641</v>
      </c>
      <c r="D358" t="inlineStr">
        <is>
          <t>VÄSTERBOTTENS LÄN</t>
        </is>
      </c>
      <c r="E358" t="inlineStr">
        <is>
          <t>UMEÅ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62581-2020</t>
        </is>
      </c>
      <c r="B359" s="1" t="n">
        <v>44160</v>
      </c>
      <c r="C359" s="1" t="n">
        <v>45641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62955-2020</t>
        </is>
      </c>
      <c r="B360" s="1" t="n">
        <v>44162</v>
      </c>
      <c r="C360" s="1" t="n">
        <v>45641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63377-2020</t>
        </is>
      </c>
      <c r="B361" s="1" t="n">
        <v>44165</v>
      </c>
      <c r="C361" s="1" t="n">
        <v>45641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67444-2020</t>
        </is>
      </c>
      <c r="B362" s="1" t="n">
        <v>44179</v>
      </c>
      <c r="C362" s="1" t="n">
        <v>45641</v>
      </c>
      <c r="D362" t="inlineStr">
        <is>
          <t>VÄSTERBOTTENS LÄN</t>
        </is>
      </c>
      <c r="E362" t="inlineStr">
        <is>
          <t>UMEÅ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67007-2020</t>
        </is>
      </c>
      <c r="B363" s="1" t="n">
        <v>44180</v>
      </c>
      <c r="C363" s="1" t="n">
        <v>45641</v>
      </c>
      <c r="D363" t="inlineStr">
        <is>
          <t>VÄSTERBOTTENS LÄN</t>
        </is>
      </c>
      <c r="E363" t="inlineStr">
        <is>
          <t>UMEÅ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67854-2020</t>
        </is>
      </c>
      <c r="B364" s="1" t="n">
        <v>44182</v>
      </c>
      <c r="C364" s="1" t="n">
        <v>45641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352-2021</t>
        </is>
      </c>
      <c r="B365" s="1" t="n">
        <v>44186</v>
      </c>
      <c r="C365" s="1" t="n">
        <v>45641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68705-2020</t>
        </is>
      </c>
      <c r="B366" s="1" t="n">
        <v>44186</v>
      </c>
      <c r="C366" s="1" t="n">
        <v>45641</v>
      </c>
      <c r="D366" t="inlineStr">
        <is>
          <t>VÄSTERBOTTENS LÄN</t>
        </is>
      </c>
      <c r="E366" t="inlineStr">
        <is>
          <t>UMEÅ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68823-2020</t>
        </is>
      </c>
      <c r="B367" s="1" t="n">
        <v>44186</v>
      </c>
      <c r="C367" s="1" t="n">
        <v>45641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338-2021</t>
        </is>
      </c>
      <c r="B368" s="1" t="n">
        <v>44186</v>
      </c>
      <c r="C368" s="1" t="n">
        <v>45641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68662-2020</t>
        </is>
      </c>
      <c r="B369" s="1" t="n">
        <v>44187</v>
      </c>
      <c r="C369" s="1" t="n">
        <v>45641</v>
      </c>
      <c r="D369" t="inlineStr">
        <is>
          <t>VÄSTERBOTTENS LÄN</t>
        </is>
      </c>
      <c r="E369" t="inlineStr">
        <is>
          <t>UMEÅ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69596-2020</t>
        </is>
      </c>
      <c r="B370" s="1" t="n">
        <v>44194</v>
      </c>
      <c r="C370" s="1" t="n">
        <v>45641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2505-2021</t>
        </is>
      </c>
      <c r="B371" s="1" t="n">
        <v>44214</v>
      </c>
      <c r="C371" s="1" t="n">
        <v>45641</v>
      </c>
      <c r="D371" t="inlineStr">
        <is>
          <t>VÄSTERBOTTENS LÄN</t>
        </is>
      </c>
      <c r="E371" t="inlineStr">
        <is>
          <t>UMEÅ</t>
        </is>
      </c>
      <c r="F371" t="inlineStr">
        <is>
          <t>Kommuner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2947-2021</t>
        </is>
      </c>
      <c r="B372" s="1" t="n">
        <v>44214</v>
      </c>
      <c r="C372" s="1" t="n">
        <v>45641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2789-2021</t>
        </is>
      </c>
      <c r="B373" s="1" t="n">
        <v>44214</v>
      </c>
      <c r="C373" s="1" t="n">
        <v>45641</v>
      </c>
      <c r="D373" t="inlineStr">
        <is>
          <t>VÄSTERBOTTENS LÄN</t>
        </is>
      </c>
      <c r="E373" t="inlineStr">
        <is>
          <t>UMEÅ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2943-2021</t>
        </is>
      </c>
      <c r="B374" s="1" t="n">
        <v>44214</v>
      </c>
      <c r="C374" s="1" t="n">
        <v>45641</v>
      </c>
      <c r="D374" t="inlineStr">
        <is>
          <t>VÄSTERBOTTENS LÄN</t>
        </is>
      </c>
      <c r="E374" t="inlineStr">
        <is>
          <t>UMEÅ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3914-2021</t>
        </is>
      </c>
      <c r="B375" s="1" t="n">
        <v>44217</v>
      </c>
      <c r="C375" s="1" t="n">
        <v>45641</v>
      </c>
      <c r="D375" t="inlineStr">
        <is>
          <t>VÄSTERBOTTENS LÄN</t>
        </is>
      </c>
      <c r="E375" t="inlineStr">
        <is>
          <t>UMEÅ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3748-2021</t>
        </is>
      </c>
      <c r="B376" s="1" t="n">
        <v>44221</v>
      </c>
      <c r="C376" s="1" t="n">
        <v>45641</v>
      </c>
      <c r="D376" t="inlineStr">
        <is>
          <t>VÄSTERBOTTENS LÄN</t>
        </is>
      </c>
      <c r="E376" t="inlineStr">
        <is>
          <t>UMEÅ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4478-2021</t>
        </is>
      </c>
      <c r="B377" s="1" t="n">
        <v>44222</v>
      </c>
      <c r="C377" s="1" t="n">
        <v>45641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4473-2021</t>
        </is>
      </c>
      <c r="B378" s="1" t="n">
        <v>44222</v>
      </c>
      <c r="C378" s="1" t="n">
        <v>45641</v>
      </c>
      <c r="D378" t="inlineStr">
        <is>
          <t>VÄSTERBOTTENS LÄN</t>
        </is>
      </c>
      <c r="E378" t="inlineStr">
        <is>
          <t>UMEÅ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4449-2021</t>
        </is>
      </c>
      <c r="B379" s="1" t="n">
        <v>44224</v>
      </c>
      <c r="C379" s="1" t="n">
        <v>45641</v>
      </c>
      <c r="D379" t="inlineStr">
        <is>
          <t>VÄSTERBOTTENS LÄN</t>
        </is>
      </c>
      <c r="E379" t="inlineStr">
        <is>
          <t>UMEÅ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6174-2021</t>
        </is>
      </c>
      <c r="B380" s="1" t="n">
        <v>44232</v>
      </c>
      <c r="C380" s="1" t="n">
        <v>45641</v>
      </c>
      <c r="D380" t="inlineStr">
        <is>
          <t>VÄSTERBOTTENS LÄN</t>
        </is>
      </c>
      <c r="E380" t="inlineStr">
        <is>
          <t>UMEÅ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6116-2021</t>
        </is>
      </c>
      <c r="B381" s="1" t="n">
        <v>44232</v>
      </c>
      <c r="C381" s="1" t="n">
        <v>45641</v>
      </c>
      <c r="D381" t="inlineStr">
        <is>
          <t>VÄSTERBOTTENS LÄN</t>
        </is>
      </c>
      <c r="E381" t="inlineStr">
        <is>
          <t>UMEÅ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8800-2021</t>
        </is>
      </c>
      <c r="B382" s="1" t="n">
        <v>44246</v>
      </c>
      <c r="C382" s="1" t="n">
        <v>45641</v>
      </c>
      <c r="D382" t="inlineStr">
        <is>
          <t>VÄSTERBOTTENS LÄN</t>
        </is>
      </c>
      <c r="E382" t="inlineStr">
        <is>
          <t>UMEÅ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9308-2021</t>
        </is>
      </c>
      <c r="B383" s="1" t="n">
        <v>44249</v>
      </c>
      <c r="C383" s="1" t="n">
        <v>45641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9170-2021</t>
        </is>
      </c>
      <c r="B384" s="1" t="n">
        <v>44249</v>
      </c>
      <c r="C384" s="1" t="n">
        <v>45641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9169-2021</t>
        </is>
      </c>
      <c r="B385" s="1" t="n">
        <v>44249</v>
      </c>
      <c r="C385" s="1" t="n">
        <v>45641</v>
      </c>
      <c r="D385" t="inlineStr">
        <is>
          <t>VÄSTERBOTTENS LÄN</t>
        </is>
      </c>
      <c r="E385" t="inlineStr">
        <is>
          <t>UMEÅ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9780-2021</t>
        </is>
      </c>
      <c r="B386" s="1" t="n">
        <v>44251</v>
      </c>
      <c r="C386" s="1" t="n">
        <v>45641</v>
      </c>
      <c r="D386" t="inlineStr">
        <is>
          <t>VÄSTERBOTTENS LÄN</t>
        </is>
      </c>
      <c r="E386" t="inlineStr">
        <is>
          <t>UMEÅ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10445-2021</t>
        </is>
      </c>
      <c r="B387" s="1" t="n">
        <v>44257</v>
      </c>
      <c r="C387" s="1" t="n">
        <v>45641</v>
      </c>
      <c r="D387" t="inlineStr">
        <is>
          <t>VÄSTERBOTTENS LÄN</t>
        </is>
      </c>
      <c r="E387" t="inlineStr">
        <is>
          <t>UMEÅ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13745-2021</t>
        </is>
      </c>
      <c r="B388" s="1" t="n">
        <v>44274</v>
      </c>
      <c r="C388" s="1" t="n">
        <v>45641</v>
      </c>
      <c r="D388" t="inlineStr">
        <is>
          <t>VÄSTERBOTTENS LÄN</t>
        </is>
      </c>
      <c r="E388" t="inlineStr">
        <is>
          <t>UMEÅ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14619-2021</t>
        </is>
      </c>
      <c r="B389" s="1" t="n">
        <v>44280</v>
      </c>
      <c r="C389" s="1" t="n">
        <v>45641</v>
      </c>
      <c r="D389" t="inlineStr">
        <is>
          <t>VÄSTERBOTTENS LÄN</t>
        </is>
      </c>
      <c r="E389" t="inlineStr">
        <is>
          <t>UMEÅ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16045-2021</t>
        </is>
      </c>
      <c r="B390" s="1" t="n">
        <v>44287</v>
      </c>
      <c r="C390" s="1" t="n">
        <v>45641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16410-2021</t>
        </is>
      </c>
      <c r="B391" s="1" t="n">
        <v>44293</v>
      </c>
      <c r="C391" s="1" t="n">
        <v>45641</v>
      </c>
      <c r="D391" t="inlineStr">
        <is>
          <t>VÄSTERBOTTENS LÄN</t>
        </is>
      </c>
      <c r="E391" t="inlineStr">
        <is>
          <t>UMEÅ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16909-2021</t>
        </is>
      </c>
      <c r="B392" s="1" t="n">
        <v>44294</v>
      </c>
      <c r="C392" s="1" t="n">
        <v>45641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17438-2021</t>
        </is>
      </c>
      <c r="B393" s="1" t="n">
        <v>44299</v>
      </c>
      <c r="C393" s="1" t="n">
        <v>45641</v>
      </c>
      <c r="D393" t="inlineStr">
        <is>
          <t>VÄSTERBOTTENS LÄN</t>
        </is>
      </c>
      <c r="E393" t="inlineStr">
        <is>
          <t>UMEÅ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18455-2021</t>
        </is>
      </c>
      <c r="B394" s="1" t="n">
        <v>44305</v>
      </c>
      <c r="C394" s="1" t="n">
        <v>45641</v>
      </c>
      <c r="D394" t="inlineStr">
        <is>
          <t>VÄSTERBOTTENS LÄN</t>
        </is>
      </c>
      <c r="E394" t="inlineStr">
        <is>
          <t>UMEÅ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18685-2021</t>
        </is>
      </c>
      <c r="B395" s="1" t="n">
        <v>44306</v>
      </c>
      <c r="C395" s="1" t="n">
        <v>45641</v>
      </c>
      <c r="D395" t="inlineStr">
        <is>
          <t>VÄSTERBOTTENS LÄN</t>
        </is>
      </c>
      <c r="E395" t="inlineStr">
        <is>
          <t>UMEÅ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19062-2021</t>
        </is>
      </c>
      <c r="B396" s="1" t="n">
        <v>44308</v>
      </c>
      <c r="C396" s="1" t="n">
        <v>45641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19074-2021</t>
        </is>
      </c>
      <c r="B397" s="1" t="n">
        <v>44308</v>
      </c>
      <c r="C397" s="1" t="n">
        <v>45641</v>
      </c>
      <c r="D397" t="inlineStr">
        <is>
          <t>VÄSTERBOTTENS LÄN</t>
        </is>
      </c>
      <c r="E397" t="inlineStr">
        <is>
          <t>UMEÅ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19058-2021</t>
        </is>
      </c>
      <c r="B398" s="1" t="n">
        <v>44308</v>
      </c>
      <c r="C398" s="1" t="n">
        <v>45641</v>
      </c>
      <c r="D398" t="inlineStr">
        <is>
          <t>VÄSTERBOTTENS LÄN</t>
        </is>
      </c>
      <c r="E398" t="inlineStr">
        <is>
          <t>UMEÅ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19543-2021</t>
        </is>
      </c>
      <c r="B399" s="1" t="n">
        <v>44309</v>
      </c>
      <c r="C399" s="1" t="n">
        <v>45641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19749-2021</t>
        </is>
      </c>
      <c r="B400" s="1" t="n">
        <v>44312</v>
      </c>
      <c r="C400" s="1" t="n">
        <v>45641</v>
      </c>
      <c r="D400" t="inlineStr">
        <is>
          <t>VÄSTERBOTTENS LÄN</t>
        </is>
      </c>
      <c r="E400" t="inlineStr">
        <is>
          <t>UMEÅ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20498-2021</t>
        </is>
      </c>
      <c r="B401" s="1" t="n">
        <v>44313</v>
      </c>
      <c r="C401" s="1" t="n">
        <v>45641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20454-2021</t>
        </is>
      </c>
      <c r="B402" s="1" t="n">
        <v>44314</v>
      </c>
      <c r="C402" s="1" t="n">
        <v>45641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20459-2021</t>
        </is>
      </c>
      <c r="B403" s="1" t="n">
        <v>44314</v>
      </c>
      <c r="C403" s="1" t="n">
        <v>45641</v>
      </c>
      <c r="D403" t="inlineStr">
        <is>
          <t>VÄSTERBOTTENS LÄN</t>
        </is>
      </c>
      <c r="E403" t="inlineStr">
        <is>
          <t>UMEÅ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21261-2021</t>
        </is>
      </c>
      <c r="B404" s="1" t="n">
        <v>44320</v>
      </c>
      <c r="C404" s="1" t="n">
        <v>45641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21581-2021</t>
        </is>
      </c>
      <c r="B405" s="1" t="n">
        <v>44321</v>
      </c>
      <c r="C405" s="1" t="n">
        <v>45641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21628-2021</t>
        </is>
      </c>
      <c r="B406" s="1" t="n">
        <v>44322</v>
      </c>
      <c r="C406" s="1" t="n">
        <v>45641</v>
      </c>
      <c r="D406" t="inlineStr">
        <is>
          <t>VÄSTERBOTTENS LÄN</t>
        </is>
      </c>
      <c r="E406" t="inlineStr">
        <is>
          <t>UMEÅ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45641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45641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45641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45641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45641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45641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45641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45641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45641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45641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45641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45641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45641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45641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45641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45641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45641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45641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45641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45641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45641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45641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45641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45641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45641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45641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45641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45641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45641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45641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45641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45641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45641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45641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45641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45641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45641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45641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45641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45641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45641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45641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45641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45641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45641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45641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45641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45641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45641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45641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45641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45641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45641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45641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45641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45641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45641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45641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45641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45641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45641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45641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45641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45641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45641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45641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45641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45641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45641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45641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45641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45641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45641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45641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45641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45641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45641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45641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45641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45641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45641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45641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45641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45641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45641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45641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45641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45641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45641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45641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45641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45641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45641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45641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45641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45641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45641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45641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45641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45641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45641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45641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45641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45641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45641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45641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45641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45641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45641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45641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45641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45641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45641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45641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45641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45641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45641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45641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45641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45641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45641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45641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45641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45641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45641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45641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45641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45641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45641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45641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45641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45641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45641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45641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45641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45641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45641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45641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45641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45641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45641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45641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45641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45641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45641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45641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45641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45641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45641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45641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45641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45641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45641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45641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45641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45641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45641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45641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45641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45641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45641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45641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45641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45641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45641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45641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45641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45641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45641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45641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45641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45641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45641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45641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45641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45641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45641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45641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45641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45641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45641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45641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45641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45641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45641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45641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45641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45641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45641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45641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45641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45641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45641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45641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45641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45641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45641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45641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45641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45641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45641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45641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45641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45641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45641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45641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45641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45641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45641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45641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45641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45641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45641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45641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45641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45641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45641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45641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45641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45641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45641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45641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45641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45641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45641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45641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45641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45641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45641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45641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45641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45641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45641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45641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45641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45641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45641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45641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45641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45641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45641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45641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45641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45641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45641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45641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45641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45641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45641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45641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45641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45641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45641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45641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45641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45641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45641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45641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45641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45641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45641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45641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45641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45641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45641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45641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45641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45641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45641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45641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45641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45641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45641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45641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45641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45641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45641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45641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45641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45641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45641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45641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45641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45641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45641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45641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45641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45641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45641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45641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45641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45641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45641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45641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45641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45641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45641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45641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45641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45641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45641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45641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45641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45641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45641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45641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45641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45641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45641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45641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45641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45641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45641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45641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45641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45641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45641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45641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45641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45641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45641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45641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45641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45641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45641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45641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45641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45641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45641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45641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45641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45641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45641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45641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45641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45641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45641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45641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45641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45641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45641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45641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45641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45641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45641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45641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45641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45641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45641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45641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45641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45641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45641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45641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45641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45641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45641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45641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45641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45641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45641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45641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45641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45641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45641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45641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45641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45641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45641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45641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45641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45641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45641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45641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45641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45641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45641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45641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45641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45641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45641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45641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45641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45641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45641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45641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45641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45641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45641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45641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45641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45641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45641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45641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45641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45641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45641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45641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45641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45641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45641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45641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45641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45641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45641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45641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45641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45641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45641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45641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45641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45641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45641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45641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45641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45641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45641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45641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45641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45641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45641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45641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45641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45641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45641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45641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45641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45641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45641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45641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45641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45641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45641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45641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45641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45641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45641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45641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45641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45641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45641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45641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45641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45641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45641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45641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45641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45641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45641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45641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45641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45641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45641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45641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45641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45641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45641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45641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45641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45641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45641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45641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45641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45641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45641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45641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45641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45641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45641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45641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45641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45641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45641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45641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45641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45641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45641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45641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45641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45641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45641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45641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45641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45641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45641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45641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45641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45641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45641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45641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45641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45641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45641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45641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45641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45641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45641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45641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45641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45641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45641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45641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45641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45641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45641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45641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45641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45641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45641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45641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45641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45641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45641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45641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45641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45641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45641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45641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45641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45641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45641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45641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45641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45641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45641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45641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45641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45641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45641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45641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45641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45641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45641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45641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45641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45641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45641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45641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45641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45641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45641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45641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45641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45641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45641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45641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45641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45641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45641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45641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45641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45641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45641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45641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45641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45641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45641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45641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45641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45641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45641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45641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45641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45641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45641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45641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45641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45641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45641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45641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45641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45641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45641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45641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45641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45641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45641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45641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45641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45641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45641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45641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45641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45641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45641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45641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45641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45641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45641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45641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45641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45641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45641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45641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45641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45641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45641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45641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45641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45641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45641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45641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45641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45641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45641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45641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45641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45641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45641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45641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45641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45641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45641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45641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45641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45641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45641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45641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45641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45641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45641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45641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45641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45641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45641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45641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45641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45641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45641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45641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45641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45641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45641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45641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45641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45641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45641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45641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45641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45641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45641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45641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45641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45641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45641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45641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45641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45641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45641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45641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45641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45641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45641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45641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45641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45641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45641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45641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45641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45641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45641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45641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45641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45641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45641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45641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45641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45641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45641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45641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45641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45641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45641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45641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45641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45641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45641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45641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45641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45641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45641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45641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45641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45641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45641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45641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45641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45641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45641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45641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45641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45641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45641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45641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45641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45641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45641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45641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45641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45641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45641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45641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45641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45641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45641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45641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45641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45641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45641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45641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45641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45641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45641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45641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45641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45641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45641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45641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45641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45641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45641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45641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45641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45641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45641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45641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45641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45641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45641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45641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45641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45641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45641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45641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45641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45641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45641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45641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45641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45641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45641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45641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45641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45641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45641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45641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45641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45641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45641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45641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45641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45641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45641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45641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45641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45641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45641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45641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45641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45641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45641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45641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45641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45641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45641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45641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45641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45641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45641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45641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45641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45641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45641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45641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45641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45641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45641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45641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45641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45641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45641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45641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45641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45641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45641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45641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45641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45641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45641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45641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45641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45641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45641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45641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45641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45641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45641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45641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45641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45641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45641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45641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45641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45641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45641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45641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45641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45641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45641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45641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45641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45641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45641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45641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45641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45641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45641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45641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45641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45641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45641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45641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45641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45641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45641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45641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45641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45641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45641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45641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45641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45641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45641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45641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45641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45641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45641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45641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45641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45641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45641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45641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45641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45641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45641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45641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45641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45641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45641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45641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45641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45641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45641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45641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45641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45641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45641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45641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45641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45641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45641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45641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45641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45641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45641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45641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45641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45641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45641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45641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45641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45641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45641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45641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45641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45641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45641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45641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45641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45641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45641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45641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45641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45641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45641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45641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45641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45641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45641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45641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45641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45641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45641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45641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45641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45641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45641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45641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45641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45641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45641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45641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45641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45641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45641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45641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45641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45641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45641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45641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45641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45641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45641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45641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45641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45641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45641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45641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45641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45641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45641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45641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45641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45641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45641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45641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45641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45641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45641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45641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45641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45641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45641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45641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45641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45641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45641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45641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45641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45641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45641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45641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45641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45641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45641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45641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45641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45641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45641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45641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45641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45641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53731-2024</t>
        </is>
      </c>
      <c r="B1359" s="1" t="n">
        <v>45615</v>
      </c>
      <c r="C1359" s="1" t="n">
        <v>45641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45641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45641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45641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45641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45641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45641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54565-2024</t>
        </is>
      </c>
      <c r="B1366" s="1" t="n">
        <v>45617</v>
      </c>
      <c r="C1366" s="1" t="n">
        <v>45641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45641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45641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45641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45641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45641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45641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45641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45641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45641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56083-2024</t>
        </is>
      </c>
      <c r="B1376" s="1" t="n">
        <v>45623</v>
      </c>
      <c r="C1376" s="1" t="n">
        <v>45641</v>
      </c>
      <c r="D1376" t="inlineStr">
        <is>
          <t>VÄSTERBOTTENS LÄN</t>
        </is>
      </c>
      <c r="E1376" t="inlineStr">
        <is>
          <t>UMEÅ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45641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45641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45641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45641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45641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45641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45641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45641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45641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45641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45641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45641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45641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58680-2024</t>
        </is>
      </c>
      <c r="B1390" s="1" t="n">
        <v>45635</v>
      </c>
      <c r="C1390" s="1" t="n">
        <v>45641</v>
      </c>
      <c r="D1390" t="inlineStr">
        <is>
          <t>VÄSTERBOTTENS LÄN</t>
        </is>
      </c>
      <c r="E1390" t="inlineStr">
        <is>
          <t>UMEÅ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58708-2024</t>
        </is>
      </c>
      <c r="B1391" s="1" t="n">
        <v>45635</v>
      </c>
      <c r="C1391" s="1" t="n">
        <v>45641</v>
      </c>
      <c r="D1391" t="inlineStr">
        <is>
          <t>VÄSTERBOTTENS LÄN</t>
        </is>
      </c>
      <c r="E1391" t="inlineStr">
        <is>
          <t>UMEÅ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58440-2024</t>
        </is>
      </c>
      <c r="B1392" s="1" t="n">
        <v>45635</v>
      </c>
      <c r="C1392" s="1" t="n">
        <v>45641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45641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59029-2024</t>
        </is>
      </c>
      <c r="B1394" s="1" t="n">
        <v>45636</v>
      </c>
      <c r="C1394" s="1" t="n">
        <v>45641</v>
      </c>
      <c r="D1394" t="inlineStr">
        <is>
          <t>VÄSTERBOTTENS LÄN</t>
        </is>
      </c>
      <c r="E1394" t="inlineStr">
        <is>
          <t>UMEÅ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45641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45641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45641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45641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59738-2024</t>
        </is>
      </c>
      <c r="B1399" s="1" t="n">
        <v>45639</v>
      </c>
      <c r="C1399" s="1" t="n">
        <v>45641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2024-12-15T15:13:21Z</dcterms:created>
  <dcterms:modified xmlns:dcterms="http://purl.org/dc/terms/" xmlns:xsi="http://www.w3.org/2001/XMLSchema-instance" xsi:type="dcterms:W3CDTF">2024-12-15T15:13:22Z</dcterms:modified>
</cp:coreProperties>
</file>