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45812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45812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45812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45812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45812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45812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45812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45812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45812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45812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45812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45812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45812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45812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45812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45812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45812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45812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45812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45812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45812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24934-2025</t>
        </is>
      </c>
      <c r="B23" s="1" t="n">
        <v>45799</v>
      </c>
      <c r="C23" s="1" t="n">
        <v>45812</v>
      </c>
      <c r="D23" t="inlineStr">
        <is>
          <t>VÄSTERBOTTENS LÄN</t>
        </is>
      </c>
      <c r="E23" t="inlineStr">
        <is>
          <t>UMEÅ</t>
        </is>
      </c>
      <c r="G23" t="n">
        <v>24.9</v>
      </c>
      <c r="H23" t="n">
        <v>2</v>
      </c>
      <c r="I23" t="n">
        <v>3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9</v>
      </c>
      <c r="R23" s="2" t="inlineStr">
        <is>
          <t>Garnlav
Granticka
Leptoporus mollis
Spillkråka
Tretåig hackspett
Ullticka
Kattfotslav
Vedticka
Vågbandad barkbock</t>
        </is>
      </c>
      <c r="S23">
        <f>HYPERLINK("https://klasma.github.io/Logging_242480/artfynd/A 24934-2025 artfynd.xlsx", "A 24934-2025")</f>
        <v/>
      </c>
      <c r="T23">
        <f>HYPERLINK("https://klasma.github.io/Logging_242480/kartor/A 24934-2025 karta.png", "A 24934-2025")</f>
        <v/>
      </c>
      <c r="V23">
        <f>HYPERLINK("https://klasma.github.io/Logging_242480/klagomål/A 24934-2025 FSC-klagomål.docx", "A 24934-2025")</f>
        <v/>
      </c>
      <c r="W23">
        <f>HYPERLINK("https://klasma.github.io/Logging_242480/klagomålsmail/A 24934-2025 FSC-klagomål mail.docx", "A 24934-2025")</f>
        <v/>
      </c>
      <c r="X23">
        <f>HYPERLINK("https://klasma.github.io/Logging_242480/tillsyn/A 24934-2025 tillsynsbegäran.docx", "A 24934-2025")</f>
        <v/>
      </c>
      <c r="Y23">
        <f>HYPERLINK("https://klasma.github.io/Logging_242480/tillsynsmail/A 24934-2025 tillsynsbegäran mail.docx", "A 24934-2025")</f>
        <v/>
      </c>
      <c r="Z23">
        <f>HYPERLINK("https://klasma.github.io/Logging_242480/fåglar/A 24934-2025 prioriterade fågelarter.docx", "A 24934-2025")</f>
        <v/>
      </c>
    </row>
    <row r="24" ht="15" customHeight="1">
      <c r="A24" t="inlineStr">
        <is>
          <t>A 9245-2022</t>
        </is>
      </c>
      <c r="B24" s="1" t="n">
        <v>44616</v>
      </c>
      <c r="C24" s="1" t="n">
        <v>45812</v>
      </c>
      <c r="D24" t="inlineStr">
        <is>
          <t>VÄSTERBOTTENS LÄN</t>
        </is>
      </c>
      <c r="E24" t="inlineStr">
        <is>
          <t>UMEÅ</t>
        </is>
      </c>
      <c r="G24" t="n">
        <v>2.8</v>
      </c>
      <c r="H24" t="n">
        <v>2</v>
      </c>
      <c r="I24" t="n">
        <v>2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Gropticka
Harticka
Järpe
Lundsångare
Ullticka
Violettgrå tagellav
Mörk husmossa
Vedticka</t>
        </is>
      </c>
      <c r="S24">
        <f>HYPERLINK("https://klasma.github.io/Logging_2480/artfynd/A 9245-2022 artfynd.xlsx", "A 9245-2022")</f>
        <v/>
      </c>
      <c r="T24">
        <f>HYPERLINK("https://klasma.github.io/Logging_2480/kartor/A 9245-2022 karta.png", "A 9245-2022")</f>
        <v/>
      </c>
      <c r="V24">
        <f>HYPERLINK("https://klasma.github.io/Logging_2480/klagomål/A 9245-2022 FSC-klagomål.docx", "A 9245-2022")</f>
        <v/>
      </c>
      <c r="W24">
        <f>HYPERLINK("https://klasma.github.io/Logging_2480/klagomålsmail/A 9245-2022 FSC-klagomål mail.docx", "A 9245-2022")</f>
        <v/>
      </c>
      <c r="X24">
        <f>HYPERLINK("https://klasma.github.io/Logging_2480/tillsyn/A 9245-2022 tillsynsbegäran.docx", "A 9245-2022")</f>
        <v/>
      </c>
      <c r="Y24">
        <f>HYPERLINK("https://klasma.github.io/Logging_2480/tillsynsmail/A 9245-2022 tillsynsbegäran mail.docx", "A 9245-2022")</f>
        <v/>
      </c>
      <c r="Z24">
        <f>HYPERLINK("https://klasma.github.io/Logging_2480/fåglar/A 9245-2022 prioriterade fågelarter.docx", "A 9245-2022")</f>
        <v/>
      </c>
    </row>
    <row r="25" ht="15" customHeight="1">
      <c r="A25" t="inlineStr">
        <is>
          <t>A 41407-2022</t>
        </is>
      </c>
      <c r="B25" s="1" t="n">
        <v>44826</v>
      </c>
      <c r="C25" s="1" t="n">
        <v>45812</v>
      </c>
      <c r="D25" t="inlineStr">
        <is>
          <t>VÄSTERBOTTENS LÄN</t>
        </is>
      </c>
      <c r="E25" t="inlineStr">
        <is>
          <t>UMEÅ</t>
        </is>
      </c>
      <c r="G25" t="n">
        <v>5.6</v>
      </c>
      <c r="H25" t="n">
        <v>2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Garnlav
Leptoporus mollis
Rosenticka
Spillkråka
Stjärntagging
Tretåig hackspett
Ullticka
Vedticka</t>
        </is>
      </c>
      <c r="S25">
        <f>HYPERLINK("https://klasma.github.io/Logging_2480/artfynd/A 41407-2022 artfynd.xlsx", "A 41407-2022")</f>
        <v/>
      </c>
      <c r="T25">
        <f>HYPERLINK("https://klasma.github.io/Logging_2480/kartor/A 41407-2022 karta.png", "A 41407-2022")</f>
        <v/>
      </c>
      <c r="V25">
        <f>HYPERLINK("https://klasma.github.io/Logging_2480/klagomål/A 41407-2022 FSC-klagomål.docx", "A 41407-2022")</f>
        <v/>
      </c>
      <c r="W25">
        <f>HYPERLINK("https://klasma.github.io/Logging_2480/klagomålsmail/A 41407-2022 FSC-klagomål mail.docx", "A 41407-2022")</f>
        <v/>
      </c>
      <c r="X25">
        <f>HYPERLINK("https://klasma.github.io/Logging_2480/tillsyn/A 41407-2022 tillsynsbegäran.docx", "A 41407-2022")</f>
        <v/>
      </c>
      <c r="Y25">
        <f>HYPERLINK("https://klasma.github.io/Logging_2480/tillsynsmail/A 41407-2022 tillsynsbegäran mail.docx", "A 41407-2022")</f>
        <v/>
      </c>
      <c r="Z25">
        <f>HYPERLINK("https://klasma.github.io/Logging_2480/fåglar/A 41407-2022 prioriterade fågelarter.docx", "A 41407-2022")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45812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45812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45812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45812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45812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45812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45812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45812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45812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45812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45812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45812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45812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45812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45812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45812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45812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45812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45812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45812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45812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45812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45812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45812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45812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45812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45812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45812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45812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45812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45812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45812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45812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45812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45812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45812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45812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45812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45812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45812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45812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45812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45812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45812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45812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45812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45812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45812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45812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45812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45812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45812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45812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45812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45812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45812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45812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45812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45812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45812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45812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45812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45812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45812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45812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45812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45812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45812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45812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45812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45812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45812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45812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45812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45812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45812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45812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45812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45812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45812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45812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45812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45812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45812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45812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45812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45812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45812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45812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45812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45812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45812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45812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45812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45812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45812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45812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45812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45812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45812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45812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45812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45812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45812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45812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45812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45812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45812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45812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45812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45812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45812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45812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45812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45812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45812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45812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45812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45812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45812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45812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45812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45812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45812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45812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45812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45812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45812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45812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45812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45812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45812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45812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45812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45812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45812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45812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45812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45812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45812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45812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45812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45812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45812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45812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45812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45812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45812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45812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45812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45812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45812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45812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45812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45812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45812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45812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45812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45812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45812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45812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45812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45812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45812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45812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45812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45812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45812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45812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45812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45812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45812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45812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45812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45812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45812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45812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45812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45812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45812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45812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45812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45812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45812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45812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45812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45812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45812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45812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45812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45812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45812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45812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45812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45812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45812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45812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45812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45812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45812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45812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45812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45812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45812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45812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45812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45812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45812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45812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45812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45812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45812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45812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45812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45812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45812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45812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45812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45812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45812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45812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45812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45812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45812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45812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45812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45812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45812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45812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45812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45812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45812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45812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45812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45812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45812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45812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45812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45812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45812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45812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45812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45812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45812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45812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45812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45812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45812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45812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45812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45812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45812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45812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45812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45812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45812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45812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45812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45812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45812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45812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45812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45812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45812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45812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45812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45812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45812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45812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45812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45812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45812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45812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45812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45812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45812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45812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45812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45812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45812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45812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45812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45812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45812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45812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45812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45812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45812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45812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45812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45812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45812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45812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45812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45812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45812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45812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45812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45812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45812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45812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45812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45812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45812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45812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45812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45812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45812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45812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45812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45812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45812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45812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45812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45812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45812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45812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45812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45812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45812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45812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45812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45812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45812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45812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45812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45812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45812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45812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45812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45812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45812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45812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45812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45812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45812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45812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45812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45812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45812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45812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45812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45812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45812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45812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45812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45812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45812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45812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45812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45812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45812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45812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45812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45812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45812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45812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45812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45812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45812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45812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45812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45812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45812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45812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45812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45812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45812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45812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45812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45812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45812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45812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45812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45812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45812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45812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45812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45812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45812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45812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45812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45812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45812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45812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45812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45812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45812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45812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45812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45812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45812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45812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45812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45812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45812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45812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45812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45812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45812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45812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45812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45812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45812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45812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45812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45812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45812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45812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45812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45812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45812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45812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45812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45812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45812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45812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45812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45812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45812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45812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45812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45812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45812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45812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45812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45812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45812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45812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45812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45812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45812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45812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45812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45812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45812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45812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45812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45812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45812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45812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45812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45812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45812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45812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45812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45812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45812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45812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45812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45812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45812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45812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45812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45812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45812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45812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45812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45812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45812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45812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45812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45812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45812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45812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45812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45812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45812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45812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45812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45812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45812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45812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45812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45812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45812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45812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45812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45812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45812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45812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45812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45812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45812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45812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45812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45812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45812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45812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45812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45812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45812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45812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45812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45812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45812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45812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45812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45812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45812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45812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45812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45812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45812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45812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45812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45812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45812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45812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45812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45812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45812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45812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45812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45812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45812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45812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45812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45812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45812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45812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45812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45812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45812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45812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45812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45812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45812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45812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45812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45812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45812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45812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45812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45812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45812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45812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45812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45812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45812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45812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45812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45812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45812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45812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45812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45812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45812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45812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45812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45812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45812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45812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45812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45812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45812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45812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45812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45812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45812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45812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45812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45812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45812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45812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45812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45812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45812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45812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45812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45812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45812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45812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45812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45812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45812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45812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45812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45812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45812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45812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45812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45812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45812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45812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45812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45812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45812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45812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45812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45812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45812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45812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45812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45812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45812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45812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45812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45812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45812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45812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45812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45812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45812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45812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45812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45812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45812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45812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45812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45812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45812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45812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45812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45812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45812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45812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45812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45812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45812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45812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45812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45812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45812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45812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45812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45812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45812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45812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45812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45812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45812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45812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45812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45812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45812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45812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45812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45812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45812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45812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45812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45812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45812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45812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45812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45812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45812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45812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45812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45812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45812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45812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45812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45812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45812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45812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45812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45812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45812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45812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45812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45812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45812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45812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45812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45812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45812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45812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45812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45812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45812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45812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45812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45812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45812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45812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45812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45812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45812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45812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45812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45812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45812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45812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45812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45812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45812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45812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45812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45812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45812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45812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45812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45812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45812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45812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45812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45812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45812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45812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45812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45812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45812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45812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45812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45812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45812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45812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45812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45812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45812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45812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45812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45812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45812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45812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45812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45812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45812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45812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45812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45812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45812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45812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45812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45812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45812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45812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45812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45812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45812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45812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45812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45812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45812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45812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45812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45812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45812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45812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45812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45812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45812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45812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45812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45812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45812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45812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45812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45812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45812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45812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45812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45812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45812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45812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45812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45812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45812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45812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45812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45812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45812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45812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45812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45812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45812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45812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45812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45812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45812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45812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45812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45812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45812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45812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45812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45812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45812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45812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45812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45812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45812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45812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45812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45812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45812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45812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45812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45812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45812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45812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45812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45812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45812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45812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45812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45812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45812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45812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45812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45812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45812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45812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45812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45812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45812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45812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45812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45812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45812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45812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45812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45812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45812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45812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45812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45812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45812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45812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45812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45812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45812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45812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45812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45812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45812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45812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45812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45812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45812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45812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45812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45812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45812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45812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45812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45812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45812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45812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45812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45812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45812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45812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45812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45812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45812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45812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45812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45812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45812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45812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45812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45812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45812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45812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45812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45812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45812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45812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45812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45812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45812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45812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45812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45812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45812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45812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45812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45812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45812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45812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45812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45812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45812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45812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45812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45812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45812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45812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45812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45812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45812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45812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45812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45812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45812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45812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45812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45812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45812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45812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45812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45812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45812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45812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45812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45812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45812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45812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45812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45812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45812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45812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45812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45812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45812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45812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45812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45812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45812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45812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45812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45812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45812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45812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45812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45812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45812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45812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45812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45812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45812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45812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45812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45812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45812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45812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45812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45812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45812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45812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45812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45812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45812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45812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45812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45812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45812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45812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45812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45812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45812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45812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45812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45812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45812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45812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45812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45812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45812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45812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45812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45812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45812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45812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45812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45812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45812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45812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45812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45812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45812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45812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45812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45812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45812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45812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45812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45812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45812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45812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45812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45812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45812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45812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45812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45812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45812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45812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45812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45812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45812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45812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45812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45812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45812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45812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45812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45812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45812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45812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45812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45812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45812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45812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45812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45812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45812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45812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45812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45812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45812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45812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45812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45812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45812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45812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45812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45812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45812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45812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45812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45812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45812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45812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45812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45812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45812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45812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45812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45812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45812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45812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45812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45812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45812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45812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45812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45812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45812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45812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45812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45812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45812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45812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45812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45812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45812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45812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45812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45812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45812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45812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45812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45812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45812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45812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45812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45812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45812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45812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45812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45812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45812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45812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45812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45812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45812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45812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45812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45812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45812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45812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45812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45812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45812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45812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45812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45812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45812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45812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45812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45812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45812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45812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45812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45812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45812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45812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45812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45812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45812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45812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45812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45812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45812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45812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45812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45812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45812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45812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45812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45812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45812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45812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45812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45812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45812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45812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45812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45812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45812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45812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45812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45812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45812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45812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45812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45812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45812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45812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45812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45812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45812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45812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45812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45812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45812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45812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45812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45812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45812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45812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45812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45812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45812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45812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45812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45812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45812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45812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45812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45812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45812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45812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45812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45812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45812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45812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45812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45812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45812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45812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45812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45812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45812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45812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45812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45812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45812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45812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45812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45812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45812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45812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45812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45812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45812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45812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45812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45812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45812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45812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45812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45812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45812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45812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45812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45812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45812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45812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45812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45812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45812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45812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45812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45812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45812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45812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45812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45812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45812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45812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45812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45812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45812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45812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45812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45812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45812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45812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45812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45812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45812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45812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45812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45812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45812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45812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45812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45812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45812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45812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45812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45812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45812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45812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45812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45812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45812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45812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45812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45812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45812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45812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45812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45812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45812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45812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45812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45812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45812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45812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45812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45812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45812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45812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45812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45812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45812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45812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45812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45812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45812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45812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45812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45812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45812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45812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45812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45812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45812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45812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45812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45812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45812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45812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45812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45812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45812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45812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45812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45812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45812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45812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45812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45812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45812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45812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45812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45812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45812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45812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45812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45812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45812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45812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45812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45812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45812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45812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45812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45812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45812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45812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45812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45812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45812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45812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45812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45812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45812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45812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45812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45812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45812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45812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45812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45812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45812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45812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45812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45812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45812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45812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45812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45812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45812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45812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45812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45812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45812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45812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45812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45812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45812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45812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45812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45812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45812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45812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45812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45812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45812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45812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45812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45812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45812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45812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45812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45812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45812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45812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45812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45812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45812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45812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45812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45812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45812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45812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45812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45812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45812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45812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45812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45812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45812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45812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45812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45812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45812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45812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45812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45812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45812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45812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45812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45812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45812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45812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45812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45812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45812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45812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45812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45812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45812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45812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45812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45812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45812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45812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45812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45812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45812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45812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45812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45812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45812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45812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45812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45812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45812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45812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45812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45812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45812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45812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45812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45812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45812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45812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45812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45812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45812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45812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45812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45812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45812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45812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45812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45812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45812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45812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45812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45812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45812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45812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45812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45812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45812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45812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45812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45812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45812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45812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45812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45812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45812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45812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45812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45812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45812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45812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45812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45812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45812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45812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45812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45812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45812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45812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45812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45812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45812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45812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45812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45812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45812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45812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45812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45812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45812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45812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45812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45812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45812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45812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45812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45812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45812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45812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45812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45812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45812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45812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45812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45812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45812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45812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45812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45812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45812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45812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45812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45812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45812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45812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45812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45812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45812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45812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45812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45812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45812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45812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45812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45812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45812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45812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45812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45812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45812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45812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45812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45812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45812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45812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45812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45812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45812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45812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45812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45812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45812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45812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45812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45812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45812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45812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45812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45812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45812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45812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45812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45812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45812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45812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45812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45812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45812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45812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45812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45812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45812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45812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45812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45812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45812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45812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45812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45812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45812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45812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45812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45812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45812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45812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45812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45812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45812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45812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45812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45812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45812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45812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45812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45812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45812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45812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45812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45812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45812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45812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45812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45812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45812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45812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45812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45812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45812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45812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45812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45812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22145-2025</t>
        </is>
      </c>
      <c r="B1573" s="1" t="n">
        <v>45785</v>
      </c>
      <c r="C1573" s="1" t="n">
        <v>45812</v>
      </c>
      <c r="D1573" t="inlineStr">
        <is>
          <t>VÄSTERBOTTENS LÄN</t>
        </is>
      </c>
      <c r="E1573" t="inlineStr">
        <is>
          <t>UMEÅ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22159-2025</t>
        </is>
      </c>
      <c r="B1574" s="1" t="n">
        <v>45785</v>
      </c>
      <c r="C1574" s="1" t="n">
        <v>45812</v>
      </c>
      <c r="D1574" t="inlineStr">
        <is>
          <t>VÄSTERBOTTENS LÄN</t>
        </is>
      </c>
      <c r="E1574" t="inlineStr">
        <is>
          <t>UMEÅ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22161-2025</t>
        </is>
      </c>
      <c r="B1575" s="1" t="n">
        <v>45785</v>
      </c>
      <c r="C1575" s="1" t="n">
        <v>45812</v>
      </c>
      <c r="D1575" t="inlineStr">
        <is>
          <t>VÄSTERBOTTENS LÄN</t>
        </is>
      </c>
      <c r="E1575" t="inlineStr">
        <is>
          <t>UMEÅ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45812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45812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45812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45812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45812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45812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45812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45812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45812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23442-2025</t>
        </is>
      </c>
      <c r="B1585" s="1" t="n">
        <v>45792</v>
      </c>
      <c r="C1585" s="1" t="n">
        <v>45812</v>
      </c>
      <c r="D1585" t="inlineStr">
        <is>
          <t>VÄSTERBOTTENS LÄN</t>
        </is>
      </c>
      <c r="E1585" t="inlineStr">
        <is>
          <t>UMEÅ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23500-2025</t>
        </is>
      </c>
      <c r="B1586" s="1" t="n">
        <v>45792</v>
      </c>
      <c r="C1586" s="1" t="n">
        <v>45812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45812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45812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45812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45812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25533-2025</t>
        </is>
      </c>
      <c r="B1591" s="1" t="n">
        <v>45803</v>
      </c>
      <c r="C1591" s="1" t="n">
        <v>45812</v>
      </c>
      <c r="D1591" t="inlineStr">
        <is>
          <t>VÄSTERBOTTENS LÄN</t>
        </is>
      </c>
      <c r="E1591" t="inlineStr">
        <is>
          <t>UMEÅ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25534-2025</t>
        </is>
      </c>
      <c r="B1592" s="1" t="n">
        <v>45803</v>
      </c>
      <c r="C1592" s="1" t="n">
        <v>45812</v>
      </c>
      <c r="D1592" t="inlineStr">
        <is>
          <t>VÄSTERBOTTENS LÄN</t>
        </is>
      </c>
      <c r="E1592" t="inlineStr">
        <is>
          <t>UMEÅ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25683-2025</t>
        </is>
      </c>
      <c r="B1593" s="1" t="n">
        <v>45803</v>
      </c>
      <c r="C1593" s="1" t="n">
        <v>45812</v>
      </c>
      <c r="D1593" t="inlineStr">
        <is>
          <t>VÄSTERBOTTENS LÄN</t>
        </is>
      </c>
      <c r="E1593" t="inlineStr">
        <is>
          <t>UMEÅ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25690-2025</t>
        </is>
      </c>
      <c r="B1594" s="1" t="n">
        <v>45803</v>
      </c>
      <c r="C1594" s="1" t="n">
        <v>45812</v>
      </c>
      <c r="D1594" t="inlineStr">
        <is>
          <t>VÄSTERBOTTENS LÄN</t>
        </is>
      </c>
      <c r="E1594" t="inlineStr">
        <is>
          <t>UMEÅ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45812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45812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25699-2025</t>
        </is>
      </c>
      <c r="B1597" s="1" t="n">
        <v>45803</v>
      </c>
      <c r="C1597" s="1" t="n">
        <v>45812</v>
      </c>
      <c r="D1597" t="inlineStr">
        <is>
          <t>VÄSTERBOTTENS LÄN</t>
        </is>
      </c>
      <c r="E1597" t="inlineStr">
        <is>
          <t>UMEÅ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25762-2025</t>
        </is>
      </c>
      <c r="B1598" s="1" t="n">
        <v>45804</v>
      </c>
      <c r="C1598" s="1" t="n">
        <v>45812</v>
      </c>
      <c r="D1598" t="inlineStr">
        <is>
          <t>VÄSTERBOTTENS LÄN</t>
        </is>
      </c>
      <c r="E1598" t="inlineStr">
        <is>
          <t>UMEÅ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45812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26183-2025</t>
        </is>
      </c>
      <c r="B1600" s="1" t="n">
        <v>45805</v>
      </c>
      <c r="C1600" s="1" t="n">
        <v>45812</v>
      </c>
      <c r="D1600" t="inlineStr">
        <is>
          <t>VÄSTERBOTTENS LÄN</t>
        </is>
      </c>
      <c r="E1600" t="inlineStr">
        <is>
          <t>UMEÅ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26310-2025</t>
        </is>
      </c>
      <c r="B1601" s="1" t="n">
        <v>45805</v>
      </c>
      <c r="C1601" s="1" t="n">
        <v>45812</v>
      </c>
      <c r="D1601" t="inlineStr">
        <is>
          <t>VÄSTERBOTTENS LÄN</t>
        </is>
      </c>
      <c r="E1601" t="inlineStr">
        <is>
          <t>UMEÅ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26484-2025</t>
        </is>
      </c>
      <c r="B1602" s="1" t="n">
        <v>45807</v>
      </c>
      <c r="C1602" s="1" t="n">
        <v>45812</v>
      </c>
      <c r="D1602" t="inlineStr">
        <is>
          <t>VÄSTERBOTTENS LÄN</t>
        </is>
      </c>
      <c r="E1602" t="inlineStr">
        <is>
          <t>UMEÅ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26930-2025</t>
        </is>
      </c>
      <c r="B1603" s="1" t="n">
        <v>45811</v>
      </c>
      <c r="C1603" s="1" t="n">
        <v>45812</v>
      </c>
      <c r="D1603" t="inlineStr">
        <is>
          <t>VÄSTERBOTTENS LÄN</t>
        </is>
      </c>
      <c r="E1603" t="inlineStr">
        <is>
          <t>UMEÅ</t>
        </is>
      </c>
      <c r="F1603" t="inlineStr">
        <is>
          <t>Sveaskog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2025-06-04T18:19:24Z</dcterms:created>
  <dcterms:modified xmlns:dcterms="http://purl.org/dc/terms/" xmlns:xsi="http://www.w3.org/2001/XMLSchema-instance" xsi:type="dcterms:W3CDTF">2025-06-04T18:19:25Z</dcterms:modified>
</cp:coreProperties>
</file>