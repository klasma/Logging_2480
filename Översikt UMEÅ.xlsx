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46132</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46132</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46132</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46132</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46132</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46132</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46132</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46132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46132</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49036-2024</t>
        </is>
      </c>
      <c r="B19" s="1" t="n">
        <v>45594</v>
      </c>
      <c r="C19" s="1" t="n">
        <v>46132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46132</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46132</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46132</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46132</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46132</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46132</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46132</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46132</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46132</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46132</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46132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46132</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46132</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46132</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46132</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46132</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46132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46132</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46132</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46132</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46132</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46132</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33008-2022</t>
        </is>
      </c>
      <c r="B45" s="1" t="n">
        <v>44785.31300925926</v>
      </c>
      <c r="C45" s="1" t="n">
        <v>46132</v>
      </c>
      <c r="D45" t="inlineStr">
        <is>
          <t>VÄSTERBOTTENS LÄN</t>
        </is>
      </c>
      <c r="E45" t="inlineStr">
        <is>
          <t>UMEÅ</t>
        </is>
      </c>
      <c r="F45" t="inlineStr">
        <is>
          <t>Kommuner</t>
        </is>
      </c>
      <c r="G45" t="n">
        <v>1.6</v>
      </c>
      <c r="H45" t="n">
        <v>1</v>
      </c>
      <c r="I45" t="n">
        <v>2</v>
      </c>
      <c r="J45" t="n">
        <v>2</v>
      </c>
      <c r="K45" t="n">
        <v>0</v>
      </c>
      <c r="L45" t="n">
        <v>0</v>
      </c>
      <c r="M45" t="n">
        <v>0</v>
      </c>
      <c r="N45" t="n">
        <v>0</v>
      </c>
      <c r="O45" t="n">
        <v>2</v>
      </c>
      <c r="P45" t="n">
        <v>0</v>
      </c>
      <c r="Q45" t="n">
        <v>4</v>
      </c>
      <c r="R45" s="2" t="inlineStr">
        <is>
          <t>Kötticka
Spillkråka
Trådticka
Vedticka</t>
        </is>
      </c>
      <c r="S45">
        <f>HYPERLINK("https://klasma.github.io/Logging_2480/artfynd/A 33008-2022 artfynd.xlsx", "A 33008-2022")</f>
        <v/>
      </c>
      <c r="T45">
        <f>HYPERLINK("https://klasma.github.io/Logging_2480/kartor/A 33008-2022 karta.png", "A 33008-2022")</f>
        <v/>
      </c>
      <c r="V45">
        <f>HYPERLINK("https://klasma.github.io/Logging_2480/klagomål/A 33008-2022 FSC-klagomål.docx", "A 33008-2022")</f>
        <v/>
      </c>
      <c r="W45">
        <f>HYPERLINK("https://klasma.github.io/Logging_2480/klagomålsmail/A 33008-2022 FSC-klagomål mail.docx", "A 33008-2022")</f>
        <v/>
      </c>
      <c r="X45">
        <f>HYPERLINK("https://klasma.github.io/Logging_2480/tillsyn/A 33008-2022 tillsynsbegäran.docx", "A 33008-2022")</f>
        <v/>
      </c>
      <c r="Y45">
        <f>HYPERLINK("https://klasma.github.io/Logging_2480/tillsynsmail/A 33008-2022 tillsynsbegäran mail.docx", "A 33008-2022")</f>
        <v/>
      </c>
      <c r="Z45">
        <f>HYPERLINK("https://klasma.github.io/Logging_2480/fåglar/A 33008-2022 prioriterade fågelarter.docx", "A 33008-2022")</f>
        <v/>
      </c>
    </row>
    <row r="46" ht="15" customHeight="1">
      <c r="A46" t="inlineStr">
        <is>
          <t>A 11826-2026</t>
        </is>
      </c>
      <c r="B46" s="1" t="n">
        <v>46085.41011574074</v>
      </c>
      <c r="C46" s="1" t="n">
        <v>46132</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33974-2024</t>
        </is>
      </c>
      <c r="B47" s="1" t="n">
        <v>45523.49939814815</v>
      </c>
      <c r="C47" s="1" t="n">
        <v>46132</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46132</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46132</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46132</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46132</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46132</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46132</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46132</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46132</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46132</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46132</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46132</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46132</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54319-2025</t>
        </is>
      </c>
      <c r="B61" s="1" t="n">
        <v>45965</v>
      </c>
      <c r="C61" s="1" t="n">
        <v>46132</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38443-2021</t>
        </is>
      </c>
      <c r="B62" s="1" t="n">
        <v>44406</v>
      </c>
      <c r="C62" s="1" t="n">
        <v>46132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46132</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46132</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46132</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46132</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46132</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46132</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46132</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46132</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46132</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46132</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60047-2025</t>
        </is>
      </c>
      <c r="B74" s="1" t="n">
        <v>45993.6286574074</v>
      </c>
      <c r="C74" s="1" t="n">
        <v>46132</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7050-2024</t>
        </is>
      </c>
      <c r="B75" s="1" t="n">
        <v>45343</v>
      </c>
      <c r="C75" s="1" t="n">
        <v>46132</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46132</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8715-2024</t>
        </is>
      </c>
      <c r="B77" s="1" t="n">
        <v>45356</v>
      </c>
      <c r="C77" s="1" t="n">
        <v>46132</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46132</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46132</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2549-2026</t>
        </is>
      </c>
      <c r="B80" s="1" t="n">
        <v>46037</v>
      </c>
      <c r="C80" s="1" t="n">
        <v>46132</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38393-2021</t>
        </is>
      </c>
      <c r="B81" s="1" t="n">
        <v>44406</v>
      </c>
      <c r="C81" s="1" t="n">
        <v>46132</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46132</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46132</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46132</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46132</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46132</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46132</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46132</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46132</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46132</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46132</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46132</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46132</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46132</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58670-2023</t>
        </is>
      </c>
      <c r="B95" s="1" t="n">
        <v>45251</v>
      </c>
      <c r="C95" s="1" t="n">
        <v>46132</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18248-2021</t>
        </is>
      </c>
      <c r="B96" s="1" t="n">
        <v>44305</v>
      </c>
      <c r="C96" s="1" t="n">
        <v>46132</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49359-2023</t>
        </is>
      </c>
      <c r="B97" s="1" t="n">
        <v>45211.33486111111</v>
      </c>
      <c r="C97" s="1" t="n">
        <v>46132</v>
      </c>
      <c r="D97" t="inlineStr">
        <is>
          <t>VÄSTERBOTTENS LÄN</t>
        </is>
      </c>
      <c r="E97" t="inlineStr">
        <is>
          <t>UMEÅ</t>
        </is>
      </c>
      <c r="G97" t="n">
        <v>5.2</v>
      </c>
      <c r="H97" t="n">
        <v>1</v>
      </c>
      <c r="I97" t="n">
        <v>0</v>
      </c>
      <c r="J97" t="n">
        <v>0</v>
      </c>
      <c r="K97" t="n">
        <v>0</v>
      </c>
      <c r="L97" t="n">
        <v>0</v>
      </c>
      <c r="M97" t="n">
        <v>0</v>
      </c>
      <c r="N97" t="n">
        <v>0</v>
      </c>
      <c r="O97" t="n">
        <v>0</v>
      </c>
      <c r="P97" t="n">
        <v>0</v>
      </c>
      <c r="Q97" t="n">
        <v>1</v>
      </c>
      <c r="R97" s="2" t="inlineStr">
        <is>
          <t>Orre</t>
        </is>
      </c>
      <c r="S97">
        <f>HYPERLINK("https://klasma.github.io/Logging_2480/artfynd/A 49359-2023 artfynd.xlsx", "A 49359-2023")</f>
        <v/>
      </c>
      <c r="T97">
        <f>HYPERLINK("https://klasma.github.io/Logging_2480/kartor/A 49359-2023 karta.png", "A 49359-2023")</f>
        <v/>
      </c>
      <c r="V97">
        <f>HYPERLINK("https://klasma.github.io/Logging_2480/klagomål/A 49359-2023 FSC-klagomål.docx", "A 49359-2023")</f>
        <v/>
      </c>
      <c r="W97">
        <f>HYPERLINK("https://klasma.github.io/Logging_2480/klagomålsmail/A 49359-2023 FSC-klagomål mail.docx", "A 49359-2023")</f>
        <v/>
      </c>
      <c r="X97">
        <f>HYPERLINK("https://klasma.github.io/Logging_2480/tillsyn/A 49359-2023 tillsynsbegäran.docx", "A 49359-2023")</f>
        <v/>
      </c>
      <c r="Y97">
        <f>HYPERLINK("https://klasma.github.io/Logging_2480/tillsynsmail/A 49359-2023 tillsynsbegäran mail.docx", "A 49359-2023")</f>
        <v/>
      </c>
      <c r="Z97">
        <f>HYPERLINK("https://klasma.github.io/Logging_2480/fåglar/A 49359-2023 prioriterade fågelarter.docx", "A 49359-2023")</f>
        <v/>
      </c>
    </row>
    <row r="98" ht="15" customHeight="1">
      <c r="A98" t="inlineStr">
        <is>
          <t>A 40851-2024</t>
        </is>
      </c>
      <c r="B98" s="1" t="n">
        <v>45558</v>
      </c>
      <c r="C98" s="1" t="n">
        <v>46132</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43029-2024</t>
        </is>
      </c>
      <c r="B99" s="1" t="n">
        <v>45567.41245370371</v>
      </c>
      <c r="C99" s="1" t="n">
        <v>46132</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29397-2025</t>
        </is>
      </c>
      <c r="B100" s="1" t="n">
        <v>45824.60902777778</v>
      </c>
      <c r="C100" s="1" t="n">
        <v>46132</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11502-2022</t>
        </is>
      </c>
      <c r="B101" s="1" t="n">
        <v>44631</v>
      </c>
      <c r="C101" s="1" t="n">
        <v>46132</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42835-2025</t>
        </is>
      </c>
      <c r="B102" s="1" t="n">
        <v>45908</v>
      </c>
      <c r="C102" s="1" t="n">
        <v>46132</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26250-2023</t>
        </is>
      </c>
      <c r="B103" s="1" t="n">
        <v>45086</v>
      </c>
      <c r="C103" s="1" t="n">
        <v>46132</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49497-2025</t>
        </is>
      </c>
      <c r="B104" s="1" t="n">
        <v>45939.36646990741</v>
      </c>
      <c r="C104" s="1" t="n">
        <v>46132</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51990-2023</t>
        </is>
      </c>
      <c r="B105" s="1" t="n">
        <v>45216</v>
      </c>
      <c r="C105" s="1" t="n">
        <v>46132</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43550-2024</t>
        </is>
      </c>
      <c r="B106" s="1" t="n">
        <v>45569.38002314815</v>
      </c>
      <c r="C106" s="1" t="n">
        <v>46132</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46132</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34496-2025</t>
        </is>
      </c>
      <c r="B108" s="1" t="n">
        <v>45847</v>
      </c>
      <c r="C108" s="1" t="n">
        <v>46132</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36880-2025</t>
        </is>
      </c>
      <c r="B109" s="1" t="n">
        <v>45874.43534722222</v>
      </c>
      <c r="C109" s="1" t="n">
        <v>46132</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45633-2024</t>
        </is>
      </c>
      <c r="B110" s="1" t="n">
        <v>45579</v>
      </c>
      <c r="C110" s="1" t="n">
        <v>46132</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43519-2022</t>
        </is>
      </c>
      <c r="B111" s="1" t="n">
        <v>44837</v>
      </c>
      <c r="C111" s="1" t="n">
        <v>46132</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17091-2025</t>
        </is>
      </c>
      <c r="B112" s="1" t="n">
        <v>45755.64905092592</v>
      </c>
      <c r="C112" s="1" t="n">
        <v>46132</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62145-2025</t>
        </is>
      </c>
      <c r="B113" s="1" t="n">
        <v>46006.47403935185</v>
      </c>
      <c r="C113" s="1" t="n">
        <v>46132</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10945-2025</t>
        </is>
      </c>
      <c r="B114" s="1" t="n">
        <v>45723.33811342593</v>
      </c>
      <c r="C114" s="1" t="n">
        <v>46132</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18248-2021</t>
        </is>
      </c>
      <c r="B115" s="1" t="n">
        <v>44305</v>
      </c>
      <c r="C115" s="1" t="n">
        <v>46132</v>
      </c>
      <c r="D115" t="inlineStr">
        <is>
          <t>VÄSTERBOTTENS LÄN</t>
        </is>
      </c>
      <c r="E115" t="inlineStr">
        <is>
          <t>UMEÅ</t>
        </is>
      </c>
      <c r="G115" t="n">
        <v>22</v>
      </c>
      <c r="H115" t="n">
        <v>1</v>
      </c>
      <c r="I115" t="n">
        <v>0</v>
      </c>
      <c r="J115" t="n">
        <v>0</v>
      </c>
      <c r="K115" t="n">
        <v>0</v>
      </c>
      <c r="L115" t="n">
        <v>0</v>
      </c>
      <c r="M115" t="n">
        <v>0</v>
      </c>
      <c r="N115" t="n">
        <v>0</v>
      </c>
      <c r="O115" t="n">
        <v>0</v>
      </c>
      <c r="P115" t="n">
        <v>0</v>
      </c>
      <c r="Q115" t="n">
        <v>1</v>
      </c>
      <c r="R115" s="2" t="inlineStr">
        <is>
          <t>Bivråk</t>
        </is>
      </c>
      <c r="S115">
        <f>HYPERLINK("https://klasma.github.io/Logging_2480/artfynd/A 18248-2021 artfynd.xlsx", "A 18248-2021")</f>
        <v/>
      </c>
      <c r="T115">
        <f>HYPERLINK("https://klasma.github.io/Logging_2480/kartor/A 18248-2021 karta.png", "A 18248-2021")</f>
        <v/>
      </c>
      <c r="V115">
        <f>HYPERLINK("https://klasma.github.io/Logging_2480/klagomål/A 18248-2021 FSC-klagomål.docx", "A 18248-2021")</f>
        <v/>
      </c>
      <c r="W115">
        <f>HYPERLINK("https://klasma.github.io/Logging_2480/klagomålsmail/A 18248-2021 FSC-klagomål mail.docx", "A 18248-2021")</f>
        <v/>
      </c>
      <c r="X115">
        <f>HYPERLINK("https://klasma.github.io/Logging_2480/tillsyn/A 18248-2021 tillsynsbegäran.docx", "A 18248-2021")</f>
        <v/>
      </c>
      <c r="Y115">
        <f>HYPERLINK("https://klasma.github.io/Logging_2480/tillsynsmail/A 18248-2021 tillsynsbegäran mail.docx", "A 18248-2021")</f>
        <v/>
      </c>
      <c r="Z115">
        <f>HYPERLINK("https://klasma.github.io/Logging_2480/fåglar/A 18248-2021 prioriterade fågelarter.docx", "A 18248-2021")</f>
        <v/>
      </c>
    </row>
    <row r="116" ht="15" customHeight="1">
      <c r="A116" t="inlineStr">
        <is>
          <t>A 60084-2025</t>
        </is>
      </c>
      <c r="B116" s="1" t="n">
        <v>45993.70097222222</v>
      </c>
      <c r="C116" s="1" t="n">
        <v>46132</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28262-2023</t>
        </is>
      </c>
      <c r="B117" s="1" t="n">
        <v>45099</v>
      </c>
      <c r="C117" s="1" t="n">
        <v>46132</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922-2026</t>
        </is>
      </c>
      <c r="B118" s="1" t="n">
        <v>46030.49030092593</v>
      </c>
      <c r="C118" s="1" t="n">
        <v>46132</v>
      </c>
      <c r="D118" t="inlineStr">
        <is>
          <t>VÄSTERBOTTENS LÄN</t>
        </is>
      </c>
      <c r="E118" t="inlineStr">
        <is>
          <t>UMEÅ</t>
        </is>
      </c>
      <c r="G118" t="n">
        <v>5.2</v>
      </c>
      <c r="H118" t="n">
        <v>1</v>
      </c>
      <c r="I118" t="n">
        <v>0</v>
      </c>
      <c r="J118" t="n">
        <v>0</v>
      </c>
      <c r="K118" t="n">
        <v>0</v>
      </c>
      <c r="L118" t="n">
        <v>0</v>
      </c>
      <c r="M118" t="n">
        <v>0</v>
      </c>
      <c r="N118" t="n">
        <v>0</v>
      </c>
      <c r="O118" t="n">
        <v>0</v>
      </c>
      <c r="P118" t="n">
        <v>0</v>
      </c>
      <c r="Q118" t="n">
        <v>1</v>
      </c>
      <c r="R118" s="2" t="inlineStr">
        <is>
          <t>Fläcknycklar</t>
        </is>
      </c>
      <c r="S118">
        <f>HYPERLINK("https://klasma.github.io/Logging_2480/artfynd/A 922-2026 artfynd.xlsx", "A 922-2026")</f>
        <v/>
      </c>
      <c r="T118">
        <f>HYPERLINK("https://klasma.github.io/Logging_2480/kartor/A 922-2026 karta.png", "A 922-2026")</f>
        <v/>
      </c>
      <c r="V118">
        <f>HYPERLINK("https://klasma.github.io/Logging_2480/klagomål/A 922-2026 FSC-klagomål.docx", "A 922-2026")</f>
        <v/>
      </c>
      <c r="W118">
        <f>HYPERLINK("https://klasma.github.io/Logging_2480/klagomålsmail/A 922-2026 FSC-klagomål mail.docx", "A 922-2026")</f>
        <v/>
      </c>
      <c r="X118">
        <f>HYPERLINK("https://klasma.github.io/Logging_2480/tillsyn/A 922-2026 tillsynsbegäran.docx", "A 922-2026")</f>
        <v/>
      </c>
      <c r="Y118">
        <f>HYPERLINK("https://klasma.github.io/Logging_2480/tillsynsmail/A 922-2026 tillsynsbegäran mail.docx", "A 922-2026")</f>
        <v/>
      </c>
    </row>
    <row r="119" ht="15" customHeight="1">
      <c r="A119" t="inlineStr">
        <is>
          <t>A 39554-2023</t>
        </is>
      </c>
      <c r="B119" s="1" t="n">
        <v>45167</v>
      </c>
      <c r="C119" s="1" t="n">
        <v>46132</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4913-2026</t>
        </is>
      </c>
      <c r="B120" s="1" t="n">
        <v>46048.72559027778</v>
      </c>
      <c r="C120" s="1" t="n">
        <v>46132</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12686-2026</t>
        </is>
      </c>
      <c r="B121" s="1" t="n">
        <v>46091.56337962963</v>
      </c>
      <c r="C121" s="1" t="n">
        <v>46132</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31311-2023</t>
        </is>
      </c>
      <c r="B122" s="1" t="n">
        <v>45104</v>
      </c>
      <c r="C122" s="1" t="n">
        <v>46132</v>
      </c>
      <c r="D122" t="inlineStr">
        <is>
          <t>VÄSTERBOTTENS LÄN</t>
        </is>
      </c>
      <c r="E122" t="inlineStr">
        <is>
          <t>UMEÅ</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31311-2023 artfynd.xlsx", "A 31311-2023")</f>
        <v/>
      </c>
      <c r="T122">
        <f>HYPERLINK("https://klasma.github.io/Logging_2480/kartor/A 31311-2023 karta.png", "A 31311-2023")</f>
        <v/>
      </c>
      <c r="V122">
        <f>HYPERLINK("https://klasma.github.io/Logging_2480/klagomål/A 31311-2023 FSC-klagomål.docx", "A 31311-2023")</f>
        <v/>
      </c>
      <c r="W122">
        <f>HYPERLINK("https://klasma.github.io/Logging_2480/klagomålsmail/A 31311-2023 FSC-klagomål mail.docx", "A 31311-2023")</f>
        <v/>
      </c>
      <c r="X122">
        <f>HYPERLINK("https://klasma.github.io/Logging_2480/tillsyn/A 31311-2023 tillsynsbegäran.docx", "A 31311-2023")</f>
        <v/>
      </c>
      <c r="Y122">
        <f>HYPERLINK("https://klasma.github.io/Logging_2480/tillsynsmail/A 31311-2023 tillsynsbegäran mail.docx", "A 31311-2023")</f>
        <v/>
      </c>
    </row>
    <row r="123" ht="15" customHeight="1">
      <c r="A123" t="inlineStr">
        <is>
          <t>A 26932-2024</t>
        </is>
      </c>
      <c r="B123" s="1" t="n">
        <v>45470</v>
      </c>
      <c r="C123" s="1" t="n">
        <v>46132</v>
      </c>
      <c r="D123" t="inlineStr">
        <is>
          <t>VÄSTERBOTTENS LÄN</t>
        </is>
      </c>
      <c r="E123" t="inlineStr">
        <is>
          <t>UMEÅ</t>
        </is>
      </c>
      <c r="G123" t="n">
        <v>4</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26932-2024 artfynd.xlsx", "A 26932-2024")</f>
        <v/>
      </c>
      <c r="T123">
        <f>HYPERLINK("https://klasma.github.io/Logging_2480/kartor/A 26932-2024 karta.png", "A 26932-2024")</f>
        <v/>
      </c>
      <c r="V123">
        <f>HYPERLINK("https://klasma.github.io/Logging_2480/klagomål/A 26932-2024 FSC-klagomål.docx", "A 26932-2024")</f>
        <v/>
      </c>
      <c r="W123">
        <f>HYPERLINK("https://klasma.github.io/Logging_2480/klagomålsmail/A 26932-2024 FSC-klagomål mail.docx", "A 26932-2024")</f>
        <v/>
      </c>
      <c r="X123">
        <f>HYPERLINK("https://klasma.github.io/Logging_2480/tillsyn/A 26932-2024 tillsynsbegäran.docx", "A 26932-2024")</f>
        <v/>
      </c>
      <c r="Y123">
        <f>HYPERLINK("https://klasma.github.io/Logging_2480/tillsynsmail/A 26932-2024 tillsynsbegäran mail.docx", "A 26932-2024")</f>
        <v/>
      </c>
    </row>
    <row r="124" ht="15" customHeight="1">
      <c r="A124" t="inlineStr">
        <is>
          <t>A 16839-2022</t>
        </is>
      </c>
      <c r="B124" s="1" t="n">
        <v>44673</v>
      </c>
      <c r="C124" s="1" t="n">
        <v>46132</v>
      </c>
      <c r="D124" t="inlineStr">
        <is>
          <t>VÄSTERBOTTENS LÄN</t>
        </is>
      </c>
      <c r="E124" t="inlineStr">
        <is>
          <t>UMEÅ</t>
        </is>
      </c>
      <c r="G124" t="n">
        <v>3</v>
      </c>
      <c r="H124" t="n">
        <v>1</v>
      </c>
      <c r="I124" t="n">
        <v>0</v>
      </c>
      <c r="J124" t="n">
        <v>1</v>
      </c>
      <c r="K124" t="n">
        <v>0</v>
      </c>
      <c r="L124" t="n">
        <v>0</v>
      </c>
      <c r="M124" t="n">
        <v>0</v>
      </c>
      <c r="N124" t="n">
        <v>0</v>
      </c>
      <c r="O124" t="n">
        <v>1</v>
      </c>
      <c r="P124" t="n">
        <v>0</v>
      </c>
      <c r="Q124" t="n">
        <v>1</v>
      </c>
      <c r="R124" s="2" t="inlineStr">
        <is>
          <t>Kråka</t>
        </is>
      </c>
      <c r="S124">
        <f>HYPERLINK("https://klasma.github.io/Logging_2480/artfynd/A 16839-2022 artfynd.xlsx", "A 16839-2022")</f>
        <v/>
      </c>
      <c r="T124">
        <f>HYPERLINK("https://klasma.github.io/Logging_2480/kartor/A 16839-2022 karta.png", "A 16839-2022")</f>
        <v/>
      </c>
      <c r="V124">
        <f>HYPERLINK("https://klasma.github.io/Logging_2480/klagomål/A 16839-2022 FSC-klagomål.docx", "A 16839-2022")</f>
        <v/>
      </c>
      <c r="W124">
        <f>HYPERLINK("https://klasma.github.io/Logging_2480/klagomålsmail/A 16839-2022 FSC-klagomål mail.docx", "A 16839-2022")</f>
        <v/>
      </c>
      <c r="X124">
        <f>HYPERLINK("https://klasma.github.io/Logging_2480/tillsyn/A 16839-2022 tillsynsbegäran.docx", "A 16839-2022")</f>
        <v/>
      </c>
      <c r="Y124">
        <f>HYPERLINK("https://klasma.github.io/Logging_2480/tillsynsmail/A 16839-2022 tillsynsbegäran mail.docx", "A 16839-2022")</f>
        <v/>
      </c>
      <c r="Z124">
        <f>HYPERLINK("https://klasma.github.io/Logging_2480/fåglar/A 16839-2022 prioriterade fågelarter.docx", "A 16839-2022")</f>
        <v/>
      </c>
    </row>
    <row r="125" ht="15" customHeight="1">
      <c r="A125" t="inlineStr">
        <is>
          <t>A 30266-2023</t>
        </is>
      </c>
      <c r="B125" s="1" t="n">
        <v>45110</v>
      </c>
      <c r="C125" s="1" t="n">
        <v>46132</v>
      </c>
      <c r="D125" t="inlineStr">
        <is>
          <t>VÄSTERBOTTENS LÄN</t>
        </is>
      </c>
      <c r="E125" t="inlineStr">
        <is>
          <t>UMEÅ</t>
        </is>
      </c>
      <c r="F125" t="inlineStr">
        <is>
          <t>Holmen skog AB</t>
        </is>
      </c>
      <c r="G125" t="n">
        <v>4.7</v>
      </c>
      <c r="H125" t="n">
        <v>0</v>
      </c>
      <c r="I125" t="n">
        <v>0</v>
      </c>
      <c r="J125" t="n">
        <v>1</v>
      </c>
      <c r="K125" t="n">
        <v>0</v>
      </c>
      <c r="L125" t="n">
        <v>0</v>
      </c>
      <c r="M125" t="n">
        <v>0</v>
      </c>
      <c r="N125" t="n">
        <v>0</v>
      </c>
      <c r="O125" t="n">
        <v>1</v>
      </c>
      <c r="P125" t="n">
        <v>0</v>
      </c>
      <c r="Q125" t="n">
        <v>1</v>
      </c>
      <c r="R125" s="2" t="inlineStr">
        <is>
          <t>Tallticka</t>
        </is>
      </c>
      <c r="S125">
        <f>HYPERLINK("https://klasma.github.io/Logging_2480/artfynd/A 30266-2023 artfynd.xlsx", "A 30266-2023")</f>
        <v/>
      </c>
      <c r="T125">
        <f>HYPERLINK("https://klasma.github.io/Logging_2480/kartor/A 30266-2023 karta.png", "A 30266-2023")</f>
        <v/>
      </c>
      <c r="V125">
        <f>HYPERLINK("https://klasma.github.io/Logging_2480/klagomål/A 30266-2023 FSC-klagomål.docx", "A 30266-2023")</f>
        <v/>
      </c>
      <c r="W125">
        <f>HYPERLINK("https://klasma.github.io/Logging_2480/klagomålsmail/A 30266-2023 FSC-klagomål mail.docx", "A 30266-2023")</f>
        <v/>
      </c>
      <c r="X125">
        <f>HYPERLINK("https://klasma.github.io/Logging_2480/tillsyn/A 30266-2023 tillsynsbegäran.docx", "A 30266-2023")</f>
        <v/>
      </c>
      <c r="Y125">
        <f>HYPERLINK("https://klasma.github.io/Logging_2480/tillsynsmail/A 30266-2023 tillsynsbegäran mail.docx", "A 30266-2023")</f>
        <v/>
      </c>
    </row>
    <row r="126" ht="15" customHeight="1">
      <c r="A126" t="inlineStr">
        <is>
          <t>A 10747-2026</t>
        </is>
      </c>
      <c r="B126" s="1" t="n">
        <v>46078.52120370371</v>
      </c>
      <c r="C126" s="1" t="n">
        <v>46132</v>
      </c>
      <c r="D126" t="inlineStr">
        <is>
          <t>VÄSTERBOTTENS LÄN</t>
        </is>
      </c>
      <c r="E126" t="inlineStr">
        <is>
          <t>UMEÅ</t>
        </is>
      </c>
      <c r="G126" t="n">
        <v>2.9</v>
      </c>
      <c r="H126" t="n">
        <v>0</v>
      </c>
      <c r="I126" t="n">
        <v>0</v>
      </c>
      <c r="J126" t="n">
        <v>1</v>
      </c>
      <c r="K126" t="n">
        <v>0</v>
      </c>
      <c r="L126" t="n">
        <v>0</v>
      </c>
      <c r="M126" t="n">
        <v>0</v>
      </c>
      <c r="N126" t="n">
        <v>0</v>
      </c>
      <c r="O126" t="n">
        <v>1</v>
      </c>
      <c r="P126" t="n">
        <v>0</v>
      </c>
      <c r="Q126" t="n">
        <v>1</v>
      </c>
      <c r="R126" s="2" t="inlineStr">
        <is>
          <t>Spinnfingersvamp</t>
        </is>
      </c>
      <c r="S126">
        <f>HYPERLINK("https://klasma.github.io/Logging_2480/artfynd/A 10747-2026 artfynd.xlsx", "A 10747-2026")</f>
        <v/>
      </c>
      <c r="T126">
        <f>HYPERLINK("https://klasma.github.io/Logging_2480/kartor/A 10747-2026 karta.png", "A 10747-2026")</f>
        <v/>
      </c>
      <c r="V126">
        <f>HYPERLINK("https://klasma.github.io/Logging_2480/klagomål/A 10747-2026 FSC-klagomål.docx", "A 10747-2026")</f>
        <v/>
      </c>
      <c r="W126">
        <f>HYPERLINK("https://klasma.github.io/Logging_2480/klagomålsmail/A 10747-2026 FSC-klagomål mail.docx", "A 10747-2026")</f>
        <v/>
      </c>
      <c r="X126">
        <f>HYPERLINK("https://klasma.github.io/Logging_2480/tillsyn/A 10747-2026 tillsynsbegäran.docx", "A 10747-2026")</f>
        <v/>
      </c>
      <c r="Y126">
        <f>HYPERLINK("https://klasma.github.io/Logging_2480/tillsynsmail/A 10747-2026 tillsynsbegäran mail.docx", "A 10747-2026")</f>
        <v/>
      </c>
    </row>
    <row r="127" ht="15" customHeight="1">
      <c r="A127" t="inlineStr">
        <is>
          <t>A 59075-2022</t>
        </is>
      </c>
      <c r="B127" s="1" t="n">
        <v>44904</v>
      </c>
      <c r="C127" s="1" t="n">
        <v>46132</v>
      </c>
      <c r="D127" t="inlineStr">
        <is>
          <t>VÄSTERBOTTENS LÄN</t>
        </is>
      </c>
      <c r="E127" t="inlineStr">
        <is>
          <t>UMEÅ</t>
        </is>
      </c>
      <c r="G127" t="n">
        <v>0.4</v>
      </c>
      <c r="H127" t="n">
        <v>0</v>
      </c>
      <c r="I127" t="n">
        <v>1</v>
      </c>
      <c r="J127" t="n">
        <v>0</v>
      </c>
      <c r="K127" t="n">
        <v>0</v>
      </c>
      <c r="L127" t="n">
        <v>0</v>
      </c>
      <c r="M127" t="n">
        <v>0</v>
      </c>
      <c r="N127" t="n">
        <v>0</v>
      </c>
      <c r="O127" t="n">
        <v>0</v>
      </c>
      <c r="P127" t="n">
        <v>0</v>
      </c>
      <c r="Q127" t="n">
        <v>1</v>
      </c>
      <c r="R127" s="2" t="inlineStr">
        <is>
          <t>Vedticka</t>
        </is>
      </c>
      <c r="S127">
        <f>HYPERLINK("https://klasma.github.io/Logging_2480/artfynd/A 59075-2022 artfynd.xlsx", "A 59075-2022")</f>
        <v/>
      </c>
      <c r="T127">
        <f>HYPERLINK("https://klasma.github.io/Logging_2480/kartor/A 59075-2022 karta.png", "A 59075-2022")</f>
        <v/>
      </c>
      <c r="V127">
        <f>HYPERLINK("https://klasma.github.io/Logging_2480/klagomål/A 59075-2022 FSC-klagomål.docx", "A 59075-2022")</f>
        <v/>
      </c>
      <c r="W127">
        <f>HYPERLINK("https://klasma.github.io/Logging_2480/klagomålsmail/A 59075-2022 FSC-klagomål mail.docx", "A 59075-2022")</f>
        <v/>
      </c>
      <c r="X127">
        <f>HYPERLINK("https://klasma.github.io/Logging_2480/tillsyn/A 59075-2022 tillsynsbegäran.docx", "A 59075-2022")</f>
        <v/>
      </c>
      <c r="Y127">
        <f>HYPERLINK("https://klasma.github.io/Logging_2480/tillsynsmail/A 59075-2022 tillsynsbegäran mail.docx", "A 59075-2022")</f>
        <v/>
      </c>
    </row>
    <row r="128" ht="15" customHeight="1">
      <c r="A128" t="inlineStr">
        <is>
          <t>A 31318-2022</t>
        </is>
      </c>
      <c r="B128" s="1" t="n">
        <v>44772</v>
      </c>
      <c r="C128" s="1" t="n">
        <v>46132</v>
      </c>
      <c r="D128" t="inlineStr">
        <is>
          <t>VÄSTERBOTTENS LÄN</t>
        </is>
      </c>
      <c r="E128" t="inlineStr">
        <is>
          <t>UMEÅ</t>
        </is>
      </c>
      <c r="G128" t="n">
        <v>11.3</v>
      </c>
      <c r="H128" t="n">
        <v>1</v>
      </c>
      <c r="I128" t="n">
        <v>0</v>
      </c>
      <c r="J128" t="n">
        <v>1</v>
      </c>
      <c r="K128" t="n">
        <v>0</v>
      </c>
      <c r="L128" t="n">
        <v>0</v>
      </c>
      <c r="M128" t="n">
        <v>0</v>
      </c>
      <c r="N128" t="n">
        <v>0</v>
      </c>
      <c r="O128" t="n">
        <v>1</v>
      </c>
      <c r="P128" t="n">
        <v>0</v>
      </c>
      <c r="Q128" t="n">
        <v>1</v>
      </c>
      <c r="R128" s="2" t="inlineStr">
        <is>
          <t>Sävsparv</t>
        </is>
      </c>
      <c r="S128">
        <f>HYPERLINK("https://klasma.github.io/Logging_2480/artfynd/A 31318-2022 artfynd.xlsx", "A 31318-2022")</f>
        <v/>
      </c>
      <c r="T128">
        <f>HYPERLINK("https://klasma.github.io/Logging_2480/kartor/A 31318-2022 karta.png", "A 31318-2022")</f>
        <v/>
      </c>
      <c r="V128">
        <f>HYPERLINK("https://klasma.github.io/Logging_2480/klagomål/A 31318-2022 FSC-klagomål.docx", "A 31318-2022")</f>
        <v/>
      </c>
      <c r="W128">
        <f>HYPERLINK("https://klasma.github.io/Logging_2480/klagomålsmail/A 31318-2022 FSC-klagomål mail.docx", "A 31318-2022")</f>
        <v/>
      </c>
      <c r="X128">
        <f>HYPERLINK("https://klasma.github.io/Logging_2480/tillsyn/A 31318-2022 tillsynsbegäran.docx", "A 31318-2022")</f>
        <v/>
      </c>
      <c r="Y128">
        <f>HYPERLINK("https://klasma.github.io/Logging_2480/tillsynsmail/A 31318-2022 tillsynsbegäran mail.docx", "A 31318-2022")</f>
        <v/>
      </c>
      <c r="Z128">
        <f>HYPERLINK("https://klasma.github.io/Logging_2480/fåglar/A 31318-2022 prioriterade fågelarter.docx", "A 31318-2022")</f>
        <v/>
      </c>
    </row>
    <row r="129" ht="15" customHeight="1">
      <c r="A129" t="inlineStr">
        <is>
          <t>A 18556-2026</t>
        </is>
      </c>
      <c r="B129" s="1" t="n">
        <v>46127.57793981482</v>
      </c>
      <c r="C129" s="1" t="n">
        <v>46132</v>
      </c>
      <c r="D129" t="inlineStr">
        <is>
          <t>VÄSTERBOTTENS LÄN</t>
        </is>
      </c>
      <c r="E129" t="inlineStr">
        <is>
          <t>UMEÅ</t>
        </is>
      </c>
      <c r="G129" t="n">
        <v>2.8</v>
      </c>
      <c r="H129" t="n">
        <v>0</v>
      </c>
      <c r="I129" t="n">
        <v>0</v>
      </c>
      <c r="J129" t="n">
        <v>1</v>
      </c>
      <c r="K129" t="n">
        <v>0</v>
      </c>
      <c r="L129" t="n">
        <v>0</v>
      </c>
      <c r="M129" t="n">
        <v>0</v>
      </c>
      <c r="N129" t="n">
        <v>0</v>
      </c>
      <c r="O129" t="n">
        <v>1</v>
      </c>
      <c r="P129" t="n">
        <v>0</v>
      </c>
      <c r="Q129" t="n">
        <v>1</v>
      </c>
      <c r="R129" s="2" t="inlineStr">
        <is>
          <t>Harticka</t>
        </is>
      </c>
      <c r="S129">
        <f>HYPERLINK("https://klasma.github.io/Logging_2480/artfynd/A 18556-2026 artfynd.xlsx", "A 18556-2026")</f>
        <v/>
      </c>
      <c r="T129">
        <f>HYPERLINK("https://klasma.github.io/Logging_2480/kartor/A 18556-2026 karta.png", "A 18556-2026")</f>
        <v/>
      </c>
      <c r="V129">
        <f>HYPERLINK("https://klasma.github.io/Logging_2480/klagomål/A 18556-2026 FSC-klagomål.docx", "A 18556-2026")</f>
        <v/>
      </c>
      <c r="W129">
        <f>HYPERLINK("https://klasma.github.io/Logging_2480/klagomålsmail/A 18556-2026 FSC-klagomål mail.docx", "A 18556-2026")</f>
        <v/>
      </c>
      <c r="X129">
        <f>HYPERLINK("https://klasma.github.io/Logging_2480/tillsyn/A 18556-2026 tillsynsbegäran.docx", "A 18556-2026")</f>
        <v/>
      </c>
      <c r="Y129">
        <f>HYPERLINK("https://klasma.github.io/Logging_2480/tillsynsmail/A 18556-2026 tillsynsbegäran mail.docx", "A 18556-2026")</f>
        <v/>
      </c>
    </row>
    <row r="130" ht="15" customHeight="1">
      <c r="A130" t="inlineStr">
        <is>
          <t>A 41674-2023</t>
        </is>
      </c>
      <c r="B130" s="1" t="n">
        <v>45176</v>
      </c>
      <c r="C130" s="1" t="n">
        <v>46132</v>
      </c>
      <c r="D130" t="inlineStr">
        <is>
          <t>VÄSTERBOTTENS LÄN</t>
        </is>
      </c>
      <c r="E130" t="inlineStr">
        <is>
          <t>UMEÅ</t>
        </is>
      </c>
      <c r="F130" t="inlineStr">
        <is>
          <t>Holmen skog AB</t>
        </is>
      </c>
      <c r="G130" t="n">
        <v>4.1</v>
      </c>
      <c r="H130" t="n">
        <v>1</v>
      </c>
      <c r="I130" t="n">
        <v>0</v>
      </c>
      <c r="J130" t="n">
        <v>1</v>
      </c>
      <c r="K130" t="n">
        <v>0</v>
      </c>
      <c r="L130" t="n">
        <v>0</v>
      </c>
      <c r="M130" t="n">
        <v>0</v>
      </c>
      <c r="N130" t="n">
        <v>0</v>
      </c>
      <c r="O130" t="n">
        <v>1</v>
      </c>
      <c r="P130" t="n">
        <v>0</v>
      </c>
      <c r="Q130" t="n">
        <v>1</v>
      </c>
      <c r="R130" s="2" t="inlineStr">
        <is>
          <t>Nordfladdermus</t>
        </is>
      </c>
      <c r="S130">
        <f>HYPERLINK("https://klasma.github.io/Logging_2480/artfynd/A 41674-2023 artfynd.xlsx", "A 41674-2023")</f>
        <v/>
      </c>
      <c r="T130">
        <f>HYPERLINK("https://klasma.github.io/Logging_2480/kartor/A 41674-2023 karta.png", "A 41674-2023")</f>
        <v/>
      </c>
      <c r="V130">
        <f>HYPERLINK("https://klasma.github.io/Logging_2480/klagomål/A 41674-2023 FSC-klagomål.docx", "A 41674-2023")</f>
        <v/>
      </c>
      <c r="W130">
        <f>HYPERLINK("https://klasma.github.io/Logging_2480/klagomålsmail/A 41674-2023 FSC-klagomål mail.docx", "A 41674-2023")</f>
        <v/>
      </c>
      <c r="X130">
        <f>HYPERLINK("https://klasma.github.io/Logging_2480/tillsyn/A 41674-2023 tillsynsbegäran.docx", "A 41674-2023")</f>
        <v/>
      </c>
      <c r="Y130">
        <f>HYPERLINK("https://klasma.github.io/Logging_2480/tillsynsmail/A 41674-2023 tillsynsbegäran mail.docx", "A 41674-2023")</f>
        <v/>
      </c>
    </row>
    <row r="131" ht="15" customHeight="1">
      <c r="A131" t="inlineStr">
        <is>
          <t>A 63810-2023</t>
        </is>
      </c>
      <c r="B131" s="1" t="n">
        <v>45275</v>
      </c>
      <c r="C131" s="1" t="n">
        <v>46132</v>
      </c>
      <c r="D131" t="inlineStr">
        <is>
          <t>VÄSTERBOTTENS LÄN</t>
        </is>
      </c>
      <c r="E131" t="inlineStr">
        <is>
          <t>UMEÅ</t>
        </is>
      </c>
      <c r="G131" t="n">
        <v>1.1</v>
      </c>
      <c r="H131" t="n">
        <v>1</v>
      </c>
      <c r="I131" t="n">
        <v>0</v>
      </c>
      <c r="J131" t="n">
        <v>1</v>
      </c>
      <c r="K131" t="n">
        <v>0</v>
      </c>
      <c r="L131" t="n">
        <v>0</v>
      </c>
      <c r="M131" t="n">
        <v>0</v>
      </c>
      <c r="N131" t="n">
        <v>0</v>
      </c>
      <c r="O131" t="n">
        <v>1</v>
      </c>
      <c r="P131" t="n">
        <v>0</v>
      </c>
      <c r="Q131" t="n">
        <v>1</v>
      </c>
      <c r="R131" s="2" t="inlineStr">
        <is>
          <t>Spillkråka</t>
        </is>
      </c>
      <c r="S131">
        <f>HYPERLINK("https://klasma.github.io/Logging_2480/artfynd/A 63810-2023 artfynd.xlsx", "A 63810-2023")</f>
        <v/>
      </c>
      <c r="T131">
        <f>HYPERLINK("https://klasma.github.io/Logging_2480/kartor/A 63810-2023 karta.png", "A 63810-2023")</f>
        <v/>
      </c>
      <c r="V131">
        <f>HYPERLINK("https://klasma.github.io/Logging_2480/klagomål/A 63810-2023 FSC-klagomål.docx", "A 63810-2023")</f>
        <v/>
      </c>
      <c r="W131">
        <f>HYPERLINK("https://klasma.github.io/Logging_2480/klagomålsmail/A 63810-2023 FSC-klagomål mail.docx", "A 63810-2023")</f>
        <v/>
      </c>
      <c r="X131">
        <f>HYPERLINK("https://klasma.github.io/Logging_2480/tillsyn/A 63810-2023 tillsynsbegäran.docx", "A 63810-2023")</f>
        <v/>
      </c>
      <c r="Y131">
        <f>HYPERLINK("https://klasma.github.io/Logging_2480/tillsynsmail/A 63810-2023 tillsynsbegäran mail.docx", "A 63810-2023")</f>
        <v/>
      </c>
      <c r="Z131">
        <f>HYPERLINK("https://klasma.github.io/Logging_2480/fåglar/A 63810-2023 prioriterade fågelarter.docx", "A 63810-2023")</f>
        <v/>
      </c>
    </row>
    <row r="132" ht="15" customHeight="1">
      <c r="A132" t="inlineStr">
        <is>
          <t>A 45429-2024</t>
        </is>
      </c>
      <c r="B132" s="1" t="n">
        <v>45576</v>
      </c>
      <c r="C132" s="1" t="n">
        <v>46132</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49850-2021</t>
        </is>
      </c>
      <c r="B133" s="1" t="n">
        <v>44455</v>
      </c>
      <c r="C133" s="1" t="n">
        <v>46132</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15654-2023</t>
        </is>
      </c>
      <c r="B134" s="1" t="n">
        <v>45019</v>
      </c>
      <c r="C134" s="1" t="n">
        <v>46132</v>
      </c>
      <c r="D134" t="inlineStr">
        <is>
          <t>VÄSTERBOTTENS LÄN</t>
        </is>
      </c>
      <c r="E134" t="inlineStr">
        <is>
          <t>UMEÅ</t>
        </is>
      </c>
      <c r="F134" t="inlineStr">
        <is>
          <t>Kommuner</t>
        </is>
      </c>
      <c r="G134" t="n">
        <v>3.2</v>
      </c>
      <c r="H134" t="n">
        <v>0</v>
      </c>
      <c r="I134" t="n">
        <v>0</v>
      </c>
      <c r="J134" t="n">
        <v>1</v>
      </c>
      <c r="K134" t="n">
        <v>0</v>
      </c>
      <c r="L134" t="n">
        <v>0</v>
      </c>
      <c r="M134" t="n">
        <v>0</v>
      </c>
      <c r="N134" t="n">
        <v>0</v>
      </c>
      <c r="O134" t="n">
        <v>1</v>
      </c>
      <c r="P134" t="n">
        <v>0</v>
      </c>
      <c r="Q134" t="n">
        <v>1</v>
      </c>
      <c r="R134" s="2" t="inlineStr">
        <is>
          <t>Garnlav</t>
        </is>
      </c>
      <c r="S134">
        <f>HYPERLINK("https://klasma.github.io/Logging_2480/artfynd/A 15654-2023 artfynd.xlsx", "A 15654-2023")</f>
        <v/>
      </c>
      <c r="T134">
        <f>HYPERLINK("https://klasma.github.io/Logging_2480/kartor/A 15654-2023 karta.png", "A 15654-2023")</f>
        <v/>
      </c>
      <c r="V134">
        <f>HYPERLINK("https://klasma.github.io/Logging_2480/klagomål/A 15654-2023 FSC-klagomål.docx", "A 15654-2023")</f>
        <v/>
      </c>
      <c r="W134">
        <f>HYPERLINK("https://klasma.github.io/Logging_2480/klagomålsmail/A 15654-2023 FSC-klagomål mail.docx", "A 15654-2023")</f>
        <v/>
      </c>
      <c r="X134">
        <f>HYPERLINK("https://klasma.github.io/Logging_2480/tillsyn/A 15654-2023 tillsynsbegäran.docx", "A 15654-2023")</f>
        <v/>
      </c>
      <c r="Y134">
        <f>HYPERLINK("https://klasma.github.io/Logging_2480/tillsynsmail/A 15654-2023 tillsynsbegäran mail.docx", "A 15654-2023")</f>
        <v/>
      </c>
    </row>
    <row r="135" ht="15" customHeight="1">
      <c r="A135" t="inlineStr">
        <is>
          <t>A 40665-2024</t>
        </is>
      </c>
      <c r="B135" s="1" t="n">
        <v>45558.34784722222</v>
      </c>
      <c r="C135" s="1" t="n">
        <v>46132</v>
      </c>
      <c r="D135" t="inlineStr">
        <is>
          <t>VÄSTERBOTTENS LÄN</t>
        </is>
      </c>
      <c r="E135" t="inlineStr">
        <is>
          <t>UMEÅ</t>
        </is>
      </c>
      <c r="G135" t="n">
        <v>15.3</v>
      </c>
      <c r="H135" t="n">
        <v>0</v>
      </c>
      <c r="I135" t="n">
        <v>0</v>
      </c>
      <c r="J135" t="n">
        <v>1</v>
      </c>
      <c r="K135" t="n">
        <v>0</v>
      </c>
      <c r="L135" t="n">
        <v>0</v>
      </c>
      <c r="M135" t="n">
        <v>0</v>
      </c>
      <c r="N135" t="n">
        <v>0</v>
      </c>
      <c r="O135" t="n">
        <v>1</v>
      </c>
      <c r="P135" t="n">
        <v>0</v>
      </c>
      <c r="Q135" t="n">
        <v>1</v>
      </c>
      <c r="R135" s="2" t="inlineStr">
        <is>
          <t>Garnlav</t>
        </is>
      </c>
      <c r="S135">
        <f>HYPERLINK("https://klasma.github.io/Logging_2480/artfynd/A 40665-2024 artfynd.xlsx", "A 40665-2024")</f>
        <v/>
      </c>
      <c r="T135">
        <f>HYPERLINK("https://klasma.github.io/Logging_2480/kartor/A 40665-2024 karta.png", "A 40665-2024")</f>
        <v/>
      </c>
      <c r="V135">
        <f>HYPERLINK("https://klasma.github.io/Logging_2480/klagomål/A 40665-2024 FSC-klagomål.docx", "A 40665-2024")</f>
        <v/>
      </c>
      <c r="W135">
        <f>HYPERLINK("https://klasma.github.io/Logging_2480/klagomålsmail/A 40665-2024 FSC-klagomål mail.docx", "A 40665-2024")</f>
        <v/>
      </c>
      <c r="X135">
        <f>HYPERLINK("https://klasma.github.io/Logging_2480/tillsyn/A 40665-2024 tillsynsbegäran.docx", "A 40665-2024")</f>
        <v/>
      </c>
      <c r="Y135">
        <f>HYPERLINK("https://klasma.github.io/Logging_2480/tillsynsmail/A 40665-2024 tillsynsbegäran mail.docx", "A 40665-2024")</f>
        <v/>
      </c>
    </row>
    <row r="136" ht="15" customHeight="1">
      <c r="A136" t="inlineStr">
        <is>
          <t>A 15767-2024</t>
        </is>
      </c>
      <c r="B136" s="1" t="n">
        <v>45404</v>
      </c>
      <c r="C136" s="1" t="n">
        <v>46132</v>
      </c>
      <c r="D136" t="inlineStr">
        <is>
          <t>VÄSTERBOTTENS LÄN</t>
        </is>
      </c>
      <c r="E136" t="inlineStr">
        <is>
          <t>UMEÅ</t>
        </is>
      </c>
      <c r="G136" t="n">
        <v>7.8</v>
      </c>
      <c r="H136" t="n">
        <v>1</v>
      </c>
      <c r="I136" t="n">
        <v>0</v>
      </c>
      <c r="J136" t="n">
        <v>1</v>
      </c>
      <c r="K136" t="n">
        <v>0</v>
      </c>
      <c r="L136" t="n">
        <v>0</v>
      </c>
      <c r="M136" t="n">
        <v>0</v>
      </c>
      <c r="N136" t="n">
        <v>0</v>
      </c>
      <c r="O136" t="n">
        <v>1</v>
      </c>
      <c r="P136" t="n">
        <v>0</v>
      </c>
      <c r="Q136" t="n">
        <v>1</v>
      </c>
      <c r="R136" s="2" t="inlineStr">
        <is>
          <t>Talltita</t>
        </is>
      </c>
      <c r="S136">
        <f>HYPERLINK("https://klasma.github.io/Logging_2480/artfynd/A 15767-2024 artfynd.xlsx", "A 15767-2024")</f>
        <v/>
      </c>
      <c r="T136">
        <f>HYPERLINK("https://klasma.github.io/Logging_2480/kartor/A 15767-2024 karta.png", "A 15767-2024")</f>
        <v/>
      </c>
      <c r="V136">
        <f>HYPERLINK("https://klasma.github.io/Logging_2480/klagomål/A 15767-2024 FSC-klagomål.docx", "A 15767-2024")</f>
        <v/>
      </c>
      <c r="W136">
        <f>HYPERLINK("https://klasma.github.io/Logging_2480/klagomålsmail/A 15767-2024 FSC-klagomål mail.docx", "A 15767-2024")</f>
        <v/>
      </c>
      <c r="X136">
        <f>HYPERLINK("https://klasma.github.io/Logging_2480/tillsyn/A 15767-2024 tillsynsbegäran.docx", "A 15767-2024")</f>
        <v/>
      </c>
      <c r="Y136">
        <f>HYPERLINK("https://klasma.github.io/Logging_2480/tillsynsmail/A 15767-2024 tillsynsbegäran mail.docx", "A 15767-2024")</f>
        <v/>
      </c>
      <c r="Z136">
        <f>HYPERLINK("https://klasma.github.io/Logging_2480/fåglar/A 15767-2024 prioriterade fågelarter.docx", "A 15767-2024")</f>
        <v/>
      </c>
    </row>
    <row r="137" ht="15" customHeight="1">
      <c r="A137" t="inlineStr">
        <is>
          <t>A 18703-2024</t>
        </is>
      </c>
      <c r="B137" s="1" t="n">
        <v>45426</v>
      </c>
      <c r="C137" s="1" t="n">
        <v>46132</v>
      </c>
      <c r="D137" t="inlineStr">
        <is>
          <t>VÄSTERBOTTENS LÄN</t>
        </is>
      </c>
      <c r="E137" t="inlineStr">
        <is>
          <t>UMEÅ</t>
        </is>
      </c>
      <c r="F137" t="inlineStr">
        <is>
          <t>Holmen skog AB</t>
        </is>
      </c>
      <c r="G137" t="n">
        <v>2</v>
      </c>
      <c r="H137" t="n">
        <v>1</v>
      </c>
      <c r="I137" t="n">
        <v>0</v>
      </c>
      <c r="J137" t="n">
        <v>1</v>
      </c>
      <c r="K137" t="n">
        <v>0</v>
      </c>
      <c r="L137" t="n">
        <v>0</v>
      </c>
      <c r="M137" t="n">
        <v>0</v>
      </c>
      <c r="N137" t="n">
        <v>0</v>
      </c>
      <c r="O137" t="n">
        <v>1</v>
      </c>
      <c r="P137" t="n">
        <v>0</v>
      </c>
      <c r="Q137" t="n">
        <v>1</v>
      </c>
      <c r="R137" s="2" t="inlineStr">
        <is>
          <t>Spillkråka</t>
        </is>
      </c>
      <c r="S137">
        <f>HYPERLINK("https://klasma.github.io/Logging_2480/artfynd/A 18703-2024 artfynd.xlsx", "A 18703-2024")</f>
        <v/>
      </c>
      <c r="T137">
        <f>HYPERLINK("https://klasma.github.io/Logging_2480/kartor/A 18703-2024 karta.png", "A 18703-2024")</f>
        <v/>
      </c>
      <c r="V137">
        <f>HYPERLINK("https://klasma.github.io/Logging_2480/klagomål/A 18703-2024 FSC-klagomål.docx", "A 18703-2024")</f>
        <v/>
      </c>
      <c r="W137">
        <f>HYPERLINK("https://klasma.github.io/Logging_2480/klagomålsmail/A 18703-2024 FSC-klagomål mail.docx", "A 18703-2024")</f>
        <v/>
      </c>
      <c r="X137">
        <f>HYPERLINK("https://klasma.github.io/Logging_2480/tillsyn/A 18703-2024 tillsynsbegäran.docx", "A 18703-2024")</f>
        <v/>
      </c>
      <c r="Y137">
        <f>HYPERLINK("https://klasma.github.io/Logging_2480/tillsynsmail/A 18703-2024 tillsynsbegäran mail.docx", "A 18703-2024")</f>
        <v/>
      </c>
      <c r="Z137">
        <f>HYPERLINK("https://klasma.github.io/Logging_2480/fåglar/A 18703-2024 prioriterade fågelarter.docx", "A 18703-2024")</f>
        <v/>
      </c>
    </row>
    <row r="138" ht="15" customHeight="1">
      <c r="A138" t="inlineStr">
        <is>
          <t>A 56135-2024</t>
        </is>
      </c>
      <c r="B138" s="1" t="n">
        <v>45624</v>
      </c>
      <c r="C138" s="1" t="n">
        <v>46132</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39233-2022</t>
        </is>
      </c>
      <c r="B139" s="1" t="n">
        <v>44817.5884375</v>
      </c>
      <c r="C139" s="1" t="n">
        <v>46132</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46132</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46132</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46132</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46132</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46132</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46132</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46132</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46132</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46132</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46132</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46132</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46132</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46132</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14431-2022</t>
        </is>
      </c>
      <c r="B153" s="1" t="n">
        <v>44652.92739583334</v>
      </c>
      <c r="C153" s="1" t="n">
        <v>46132</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46132</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46132</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46132</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38447-2021</t>
        </is>
      </c>
      <c r="B157" s="1" t="n">
        <v>44406</v>
      </c>
      <c r="C157" s="1" t="n">
        <v>46132</v>
      </c>
      <c r="D157" t="inlineStr">
        <is>
          <t>VÄSTERBOTTENS LÄN</t>
        </is>
      </c>
      <c r="E157" t="inlineStr">
        <is>
          <t>UMEÅ</t>
        </is>
      </c>
      <c r="F157" t="inlineStr">
        <is>
          <t>Övriga statliga verk och myndigheter</t>
        </is>
      </c>
      <c r="G157" t="n">
        <v>0.3</v>
      </c>
      <c r="H157" t="n">
        <v>0</v>
      </c>
      <c r="I157" t="n">
        <v>0</v>
      </c>
      <c r="J157" t="n">
        <v>0</v>
      </c>
      <c r="K157" t="n">
        <v>0</v>
      </c>
      <c r="L157" t="n">
        <v>0</v>
      </c>
      <c r="M157" t="n">
        <v>0</v>
      </c>
      <c r="N157" t="n">
        <v>0</v>
      </c>
      <c r="O157" t="n">
        <v>0</v>
      </c>
      <c r="P157" t="n">
        <v>0</v>
      </c>
      <c r="Q157" t="n">
        <v>0</v>
      </c>
      <c r="R157" s="2" t="inlineStr"/>
    </row>
    <row r="158" ht="15" customHeight="1">
      <c r="A158" t="inlineStr">
        <is>
          <t>A 38535-2021</t>
        </is>
      </c>
      <c r="B158" s="1" t="n">
        <v>44407</v>
      </c>
      <c r="C158" s="1" t="n">
        <v>46132</v>
      </c>
      <c r="D158" t="inlineStr">
        <is>
          <t>VÄSTERBOTTENS LÄN</t>
        </is>
      </c>
      <c r="E158" t="inlineStr">
        <is>
          <t>UMEÅ</t>
        </is>
      </c>
      <c r="F158" t="inlineStr">
        <is>
          <t>Kommuner</t>
        </is>
      </c>
      <c r="G158" t="n">
        <v>2.2</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46132</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46132</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46132</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46132</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46132</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46132</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46132</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54225-2021</t>
        </is>
      </c>
      <c r="B166" s="1" t="n">
        <v>44470.62471064815</v>
      </c>
      <c r="C166" s="1" t="n">
        <v>46132</v>
      </c>
      <c r="D166" t="inlineStr">
        <is>
          <t>VÄSTERBOTTENS LÄN</t>
        </is>
      </c>
      <c r="E166" t="inlineStr">
        <is>
          <t>UMEÅ</t>
        </is>
      </c>
      <c r="G166" t="n">
        <v>1.1</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46132</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46132</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46132</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46132</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46132</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46132</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46132</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46132</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46132</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46132</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46132</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38391-2021</t>
        </is>
      </c>
      <c r="B178" s="1" t="n">
        <v>44406</v>
      </c>
      <c r="C178" s="1" t="n">
        <v>46132</v>
      </c>
      <c r="D178" t="inlineStr">
        <is>
          <t>VÄSTERBOTTENS LÄN</t>
        </is>
      </c>
      <c r="E178" t="inlineStr">
        <is>
          <t>UMEÅ</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46132</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46132</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46132</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46132</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46132</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46132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67495-2021</t>
        </is>
      </c>
      <c r="B185" s="1" t="n">
        <v>44524</v>
      </c>
      <c r="C185" s="1" t="n">
        <v>46132</v>
      </c>
      <c r="D185" t="inlineStr">
        <is>
          <t>VÄSTERBOTTENS LÄN</t>
        </is>
      </c>
      <c r="E185" t="inlineStr">
        <is>
          <t>UMEÅ</t>
        </is>
      </c>
      <c r="G185" t="n">
        <v>1.5</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46132</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46132</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46132</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46132</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46132</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46132</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46132</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46132</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46132</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46132</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46132</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46132</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46132</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46132</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46132</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46132</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46132</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46132</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46132</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46132</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46132</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46132</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46132</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46132</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46132</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46410-2022</t>
        </is>
      </c>
      <c r="B211" s="1" t="n">
        <v>44846</v>
      </c>
      <c r="C211" s="1" t="n">
        <v>46132</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46132</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46132</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46132</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46132</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46132</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46132</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46132</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46132</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46132</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46132</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46132</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46132</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46132</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46132</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46132</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46132</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46132</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46132</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46132</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46132</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46132</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46132</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46132</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46132</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46132</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46132</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46132</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46132</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46132</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46132</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46132</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46132</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46132</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46132</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46132</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46132</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46132</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46132</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46132</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44475.92033564814</v>
      </c>
      <c r="C251" s="1" t="n">
        <v>46132</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46132</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46132</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46132</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46132</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46132</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46132</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16003-2024</t>
        </is>
      </c>
      <c r="B258" s="1" t="n">
        <v>45405</v>
      </c>
      <c r="C258" s="1" t="n">
        <v>46132</v>
      </c>
      <c r="D258" t="inlineStr">
        <is>
          <t>VÄSTERBOTTENS LÄN</t>
        </is>
      </c>
      <c r="E258" t="inlineStr">
        <is>
          <t>UMEÅ</t>
        </is>
      </c>
      <c r="G258" t="n">
        <v>1.3</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46132</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9147-2025</t>
        </is>
      </c>
      <c r="B260" s="1" t="n">
        <v>45714</v>
      </c>
      <c r="C260" s="1" t="n">
        <v>46132</v>
      </c>
      <c r="D260" t="inlineStr">
        <is>
          <t>VÄSTERBOTTENS LÄN</t>
        </is>
      </c>
      <c r="E260" t="inlineStr">
        <is>
          <t>UMEÅ</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46132</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19972-2025</t>
        </is>
      </c>
      <c r="B262" s="1" t="n">
        <v>45771.68980324074</v>
      </c>
      <c r="C262" s="1" t="n">
        <v>46132</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46132</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46132</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12780-2025</t>
        </is>
      </c>
      <c r="B265" s="1" t="n">
        <v>45733.59627314815</v>
      </c>
      <c r="C265" s="1" t="n">
        <v>46132</v>
      </c>
      <c r="D265" t="inlineStr">
        <is>
          <t>VÄSTERBOTTENS LÄN</t>
        </is>
      </c>
      <c r="E265" t="inlineStr">
        <is>
          <t>UMEÅ</t>
        </is>
      </c>
      <c r="G265" t="n">
        <v>2.8</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46132</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46132</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33952-2022</t>
        </is>
      </c>
      <c r="B268" s="1" t="n">
        <v>44790</v>
      </c>
      <c r="C268" s="1" t="n">
        <v>46132</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21228-2025</t>
        </is>
      </c>
      <c r="B269" s="1" t="n">
        <v>45779.52741898148</v>
      </c>
      <c r="C269" s="1" t="n">
        <v>46132</v>
      </c>
      <c r="D269" t="inlineStr">
        <is>
          <t>VÄSTERBOTTENS LÄN</t>
        </is>
      </c>
      <c r="E269" t="inlineStr">
        <is>
          <t>UMEÅ</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46132</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21159-2024</t>
        </is>
      </c>
      <c r="B271" s="1" t="n">
        <v>45440.42893518518</v>
      </c>
      <c r="C271" s="1" t="n">
        <v>46132</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18455-2021</t>
        </is>
      </c>
      <c r="B272" s="1" t="n">
        <v>44305</v>
      </c>
      <c r="C272" s="1" t="n">
        <v>46132</v>
      </c>
      <c r="D272" t="inlineStr">
        <is>
          <t>VÄSTERBOTTENS LÄN</t>
        </is>
      </c>
      <c r="E272" t="inlineStr">
        <is>
          <t>UMEÅ</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17632-2024</t>
        </is>
      </c>
      <c r="B273" s="1" t="n">
        <v>45418</v>
      </c>
      <c r="C273" s="1" t="n">
        <v>46132</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38237-2025</t>
        </is>
      </c>
      <c r="B274" s="1" t="n">
        <v>45883.36371527778</v>
      </c>
      <c r="C274" s="1" t="n">
        <v>46132</v>
      </c>
      <c r="D274" t="inlineStr">
        <is>
          <t>VÄSTERBOTTENS LÄN</t>
        </is>
      </c>
      <c r="E274" t="inlineStr">
        <is>
          <t>UMEÅ</t>
        </is>
      </c>
      <c r="G274" t="n">
        <v>2.2</v>
      </c>
      <c r="H274" t="n">
        <v>0</v>
      </c>
      <c r="I274" t="n">
        <v>0</v>
      </c>
      <c r="J274" t="n">
        <v>0</v>
      </c>
      <c r="K274" t="n">
        <v>0</v>
      </c>
      <c r="L274" t="n">
        <v>0</v>
      </c>
      <c r="M274" t="n">
        <v>0</v>
      </c>
      <c r="N274" t="n">
        <v>0</v>
      </c>
      <c r="O274" t="n">
        <v>0</v>
      </c>
      <c r="P274" t="n">
        <v>0</v>
      </c>
      <c r="Q274" t="n">
        <v>0</v>
      </c>
      <c r="R274" s="2" t="inlineStr"/>
    </row>
    <row r="275" ht="15" customHeight="1">
      <c r="A275" t="inlineStr">
        <is>
          <t>A 19272-2025</t>
        </is>
      </c>
      <c r="B275" s="1" t="n">
        <v>45769.52287037037</v>
      </c>
      <c r="C275" s="1" t="n">
        <v>46132</v>
      </c>
      <c r="D275" t="inlineStr">
        <is>
          <t>VÄSTERBOTTENS LÄN</t>
        </is>
      </c>
      <c r="E275" t="inlineStr">
        <is>
          <t>UMEÅ</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43357-2021</t>
        </is>
      </c>
      <c r="B276" s="1" t="n">
        <v>44432</v>
      </c>
      <c r="C276" s="1" t="n">
        <v>46132</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38424-2025</t>
        </is>
      </c>
      <c r="B277" s="1" t="n">
        <v>45883.63340277778</v>
      </c>
      <c r="C277" s="1" t="n">
        <v>46132</v>
      </c>
      <c r="D277" t="inlineStr">
        <is>
          <t>VÄSTERBOTTENS LÄN</t>
        </is>
      </c>
      <c r="E277" t="inlineStr">
        <is>
          <t>UMEÅ</t>
        </is>
      </c>
      <c r="G277" t="n">
        <v>11.9</v>
      </c>
      <c r="H277" t="n">
        <v>0</v>
      </c>
      <c r="I277" t="n">
        <v>0</v>
      </c>
      <c r="J277" t="n">
        <v>0</v>
      </c>
      <c r="K277" t="n">
        <v>0</v>
      </c>
      <c r="L277" t="n">
        <v>0</v>
      </c>
      <c r="M277" t="n">
        <v>0</v>
      </c>
      <c r="N277" t="n">
        <v>0</v>
      </c>
      <c r="O277" t="n">
        <v>0</v>
      </c>
      <c r="P277" t="n">
        <v>0</v>
      </c>
      <c r="Q277" t="n">
        <v>0</v>
      </c>
      <c r="R277" s="2" t="inlineStr"/>
    </row>
    <row r="278" ht="15" customHeight="1">
      <c r="A278" t="inlineStr">
        <is>
          <t>A 15903-2025</t>
        </is>
      </c>
      <c r="B278" s="1" t="n">
        <v>45749</v>
      </c>
      <c r="C278" s="1" t="n">
        <v>46132</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22007-2025</t>
        </is>
      </c>
      <c r="B279" s="1" t="n">
        <v>45784</v>
      </c>
      <c r="C279" s="1" t="n">
        <v>46132</v>
      </c>
      <c r="D279" t="inlineStr">
        <is>
          <t>VÄSTERBOTTENS LÄN</t>
        </is>
      </c>
      <c r="E279" t="inlineStr">
        <is>
          <t>UMEÅ</t>
        </is>
      </c>
      <c r="G279" t="n">
        <v>2.2</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46132</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21794-2025</t>
        </is>
      </c>
      <c r="B281" s="1" t="n">
        <v>45783.67894675926</v>
      </c>
      <c r="C281" s="1" t="n">
        <v>46132</v>
      </c>
      <c r="D281" t="inlineStr">
        <is>
          <t>VÄSTERBOTTENS LÄN</t>
        </is>
      </c>
      <c r="E281" t="inlineStr">
        <is>
          <t>UMEÅ</t>
        </is>
      </c>
      <c r="G281" t="n">
        <v>6</v>
      </c>
      <c r="H281" t="n">
        <v>0</v>
      </c>
      <c r="I281" t="n">
        <v>0</v>
      </c>
      <c r="J281" t="n">
        <v>0</v>
      </c>
      <c r="K281" t="n">
        <v>0</v>
      </c>
      <c r="L281" t="n">
        <v>0</v>
      </c>
      <c r="M281" t="n">
        <v>0</v>
      </c>
      <c r="N281" t="n">
        <v>0</v>
      </c>
      <c r="O281" t="n">
        <v>0</v>
      </c>
      <c r="P281" t="n">
        <v>0</v>
      </c>
      <c r="Q281" t="n">
        <v>0</v>
      </c>
      <c r="R281" s="2" t="inlineStr"/>
    </row>
    <row r="282" ht="15" customHeight="1">
      <c r="A282" t="inlineStr">
        <is>
          <t>A 22004-2025</t>
        </is>
      </c>
      <c r="B282" s="1" t="n">
        <v>45784</v>
      </c>
      <c r="C282" s="1" t="n">
        <v>46132</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21610-2025</t>
        </is>
      </c>
      <c r="B283" s="1" t="n">
        <v>45783.39127314815</v>
      </c>
      <c r="C283" s="1" t="n">
        <v>46132</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21612-2025</t>
        </is>
      </c>
      <c r="B284" s="1" t="n">
        <v>45783.39449074074</v>
      </c>
      <c r="C284" s="1" t="n">
        <v>46132</v>
      </c>
      <c r="D284" t="inlineStr">
        <is>
          <t>VÄSTERBOTTENS LÄN</t>
        </is>
      </c>
      <c r="E284" t="inlineStr">
        <is>
          <t>UMEÅ</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21795-2025</t>
        </is>
      </c>
      <c r="B285" s="1" t="n">
        <v>45783.68131944445</v>
      </c>
      <c r="C285" s="1" t="n">
        <v>46132</v>
      </c>
      <c r="D285" t="inlineStr">
        <is>
          <t>VÄSTERBOTTENS LÄN</t>
        </is>
      </c>
      <c r="E285" t="inlineStr">
        <is>
          <t>UMEÅ</t>
        </is>
      </c>
      <c r="F285" t="inlineStr">
        <is>
          <t>Kyrkan</t>
        </is>
      </c>
      <c r="G285" t="n">
        <v>3.3</v>
      </c>
      <c r="H285" t="n">
        <v>0</v>
      </c>
      <c r="I285" t="n">
        <v>0</v>
      </c>
      <c r="J285" t="n">
        <v>0</v>
      </c>
      <c r="K285" t="n">
        <v>0</v>
      </c>
      <c r="L285" t="n">
        <v>0</v>
      </c>
      <c r="M285" t="n">
        <v>0</v>
      </c>
      <c r="N285" t="n">
        <v>0</v>
      </c>
      <c r="O285" t="n">
        <v>0</v>
      </c>
      <c r="P285" t="n">
        <v>0</v>
      </c>
      <c r="Q285" t="n">
        <v>0</v>
      </c>
      <c r="R285" s="2" t="inlineStr"/>
    </row>
    <row r="286" ht="15" customHeight="1">
      <c r="A286" t="inlineStr">
        <is>
          <t>A 51327-2025</t>
        </is>
      </c>
      <c r="B286" s="1" t="n">
        <v>45950.40690972222</v>
      </c>
      <c r="C286" s="1" t="n">
        <v>46132</v>
      </c>
      <c r="D286" t="inlineStr">
        <is>
          <t>VÄSTERBOTTENS LÄN</t>
        </is>
      </c>
      <c r="E286" t="inlineStr">
        <is>
          <t>UMEÅ</t>
        </is>
      </c>
      <c r="G286" t="n">
        <v>4.8</v>
      </c>
      <c r="H286" t="n">
        <v>0</v>
      </c>
      <c r="I286" t="n">
        <v>0</v>
      </c>
      <c r="J286" t="n">
        <v>0</v>
      </c>
      <c r="K286" t="n">
        <v>0</v>
      </c>
      <c r="L286" t="n">
        <v>0</v>
      </c>
      <c r="M286" t="n">
        <v>0</v>
      </c>
      <c r="N286" t="n">
        <v>0</v>
      </c>
      <c r="O286" t="n">
        <v>0</v>
      </c>
      <c r="P286" t="n">
        <v>0</v>
      </c>
      <c r="Q286" t="n">
        <v>0</v>
      </c>
      <c r="R286" s="2" t="inlineStr"/>
    </row>
    <row r="287" ht="15" customHeight="1">
      <c r="A287" t="inlineStr">
        <is>
          <t>A 19061-2024</t>
        </is>
      </c>
      <c r="B287" s="1" t="n">
        <v>45427.93501157407</v>
      </c>
      <c r="C287" s="1" t="n">
        <v>46132</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46413-2022</t>
        </is>
      </c>
      <c r="B288" s="1" t="n">
        <v>44846</v>
      </c>
      <c r="C288" s="1" t="n">
        <v>46132</v>
      </c>
      <c r="D288" t="inlineStr">
        <is>
          <t>VÄSTERBOTTENS LÄN</t>
        </is>
      </c>
      <c r="E288" t="inlineStr">
        <is>
          <t>UMEÅ</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51455-2025</t>
        </is>
      </c>
      <c r="B289" s="1" t="n">
        <v>45950.59583333333</v>
      </c>
      <c r="C289" s="1" t="n">
        <v>46132</v>
      </c>
      <c r="D289" t="inlineStr">
        <is>
          <t>VÄSTERBOTTENS LÄN</t>
        </is>
      </c>
      <c r="E289" t="inlineStr">
        <is>
          <t>UMEÅ</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51352-2025</t>
        </is>
      </c>
      <c r="B290" s="1" t="n">
        <v>45950.43679398148</v>
      </c>
      <c r="C290" s="1" t="n">
        <v>46132</v>
      </c>
      <c r="D290" t="inlineStr">
        <is>
          <t>VÄSTERBOTTENS LÄN</t>
        </is>
      </c>
      <c r="E290" t="inlineStr">
        <is>
          <t>UMEÅ</t>
        </is>
      </c>
      <c r="G290" t="n">
        <v>2.9</v>
      </c>
      <c r="H290" t="n">
        <v>0</v>
      </c>
      <c r="I290" t="n">
        <v>0</v>
      </c>
      <c r="J290" t="n">
        <v>0</v>
      </c>
      <c r="K290" t="n">
        <v>0</v>
      </c>
      <c r="L290" t="n">
        <v>0</v>
      </c>
      <c r="M290" t="n">
        <v>0</v>
      </c>
      <c r="N290" t="n">
        <v>0</v>
      </c>
      <c r="O290" t="n">
        <v>0</v>
      </c>
      <c r="P290" t="n">
        <v>0</v>
      </c>
      <c r="Q290" t="n">
        <v>0</v>
      </c>
      <c r="R290" s="2" t="inlineStr"/>
    </row>
    <row r="291" ht="15" customHeight="1">
      <c r="A291" t="inlineStr">
        <is>
          <t>A 51930-2025</t>
        </is>
      </c>
      <c r="B291" s="1" t="n">
        <v>45952.49821759259</v>
      </c>
      <c r="C291" s="1" t="n">
        <v>46132</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22755-2024</t>
        </is>
      </c>
      <c r="B292" s="1" t="n">
        <v>45448.42561342593</v>
      </c>
      <c r="C292" s="1" t="n">
        <v>46132</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56676-2021</t>
        </is>
      </c>
      <c r="B293" s="1" t="n">
        <v>44481.32383101852</v>
      </c>
      <c r="C293" s="1" t="n">
        <v>46132</v>
      </c>
      <c r="D293" t="inlineStr">
        <is>
          <t>VÄSTERBOTTENS LÄN</t>
        </is>
      </c>
      <c r="E293" t="inlineStr">
        <is>
          <t>UMEÅ</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22145-2025</t>
        </is>
      </c>
      <c r="B294" s="1" t="n">
        <v>45785.55422453704</v>
      </c>
      <c r="C294" s="1" t="n">
        <v>46132</v>
      </c>
      <c r="D294" t="inlineStr">
        <is>
          <t>VÄSTERBOTTENS LÄN</t>
        </is>
      </c>
      <c r="E294" t="inlineStr">
        <is>
          <t>UMEÅ</t>
        </is>
      </c>
      <c r="G294" t="n">
        <v>0.3</v>
      </c>
      <c r="H294" t="n">
        <v>0</v>
      </c>
      <c r="I294" t="n">
        <v>0</v>
      </c>
      <c r="J294" t="n">
        <v>0</v>
      </c>
      <c r="K294" t="n">
        <v>0</v>
      </c>
      <c r="L294" t="n">
        <v>0</v>
      </c>
      <c r="M294" t="n">
        <v>0</v>
      </c>
      <c r="N294" t="n">
        <v>0</v>
      </c>
      <c r="O294" t="n">
        <v>0</v>
      </c>
      <c r="P294" t="n">
        <v>0</v>
      </c>
      <c r="Q294" t="n">
        <v>0</v>
      </c>
      <c r="R294" s="2" t="inlineStr"/>
    </row>
    <row r="295" ht="15" customHeight="1">
      <c r="A295" t="inlineStr">
        <is>
          <t>A 22146-2025</t>
        </is>
      </c>
      <c r="B295" s="1" t="n">
        <v>45785.55462962963</v>
      </c>
      <c r="C295" s="1" t="n">
        <v>46132</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51689-2025</t>
        </is>
      </c>
      <c r="B296" s="1" t="n">
        <v>45951.53252314815</v>
      </c>
      <c r="C296" s="1" t="n">
        <v>46132</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51547-2025</t>
        </is>
      </c>
      <c r="B297" s="1" t="n">
        <v>45950.78769675926</v>
      </c>
      <c r="C297" s="1" t="n">
        <v>46132</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52076-2025</t>
        </is>
      </c>
      <c r="B298" s="1" t="n">
        <v>45952.65568287037</v>
      </c>
      <c r="C298" s="1" t="n">
        <v>46132</v>
      </c>
      <c r="D298" t="inlineStr">
        <is>
          <t>VÄSTERBOTTENS LÄN</t>
        </is>
      </c>
      <c r="E298" t="inlineStr">
        <is>
          <t>UMEÅ</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44968-2022</t>
        </is>
      </c>
      <c r="B299" s="1" t="n">
        <v>44840</v>
      </c>
      <c r="C299" s="1" t="n">
        <v>46132</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52006-2025</t>
        </is>
      </c>
      <c r="B300" s="1" t="n">
        <v>45952.593125</v>
      </c>
      <c r="C300" s="1" t="n">
        <v>46132</v>
      </c>
      <c r="D300" t="inlineStr">
        <is>
          <t>VÄSTERBOTTENS LÄN</t>
        </is>
      </c>
      <c r="E300" t="inlineStr">
        <is>
          <t>UMEÅ</t>
        </is>
      </c>
      <c r="F300" t="inlineStr">
        <is>
          <t>Holmen skog AB</t>
        </is>
      </c>
      <c r="G300" t="n">
        <v>5.5</v>
      </c>
      <c r="H300" t="n">
        <v>0</v>
      </c>
      <c r="I300" t="n">
        <v>0</v>
      </c>
      <c r="J300" t="n">
        <v>0</v>
      </c>
      <c r="K300" t="n">
        <v>0</v>
      </c>
      <c r="L300" t="n">
        <v>0</v>
      </c>
      <c r="M300" t="n">
        <v>0</v>
      </c>
      <c r="N300" t="n">
        <v>0</v>
      </c>
      <c r="O300" t="n">
        <v>0</v>
      </c>
      <c r="P300" t="n">
        <v>0</v>
      </c>
      <c r="Q300" t="n">
        <v>0</v>
      </c>
      <c r="R300" s="2" t="inlineStr"/>
    </row>
    <row r="301" ht="15" customHeight="1">
      <c r="A301" t="inlineStr">
        <is>
          <t>A 51629-2025</t>
        </is>
      </c>
      <c r="B301" s="1" t="n">
        <v>45951.42306712963</v>
      </c>
      <c r="C301" s="1" t="n">
        <v>46132</v>
      </c>
      <c r="D301" t="inlineStr">
        <is>
          <t>VÄSTERBOTTENS LÄN</t>
        </is>
      </c>
      <c r="E301" t="inlineStr">
        <is>
          <t>UMEÅ</t>
        </is>
      </c>
      <c r="G301" t="n">
        <v>4.2</v>
      </c>
      <c r="H301" t="n">
        <v>0</v>
      </c>
      <c r="I301" t="n">
        <v>0</v>
      </c>
      <c r="J301" t="n">
        <v>0</v>
      </c>
      <c r="K301" t="n">
        <v>0</v>
      </c>
      <c r="L301" t="n">
        <v>0</v>
      </c>
      <c r="M301" t="n">
        <v>0</v>
      </c>
      <c r="N301" t="n">
        <v>0</v>
      </c>
      <c r="O301" t="n">
        <v>0</v>
      </c>
      <c r="P301" t="n">
        <v>0</v>
      </c>
      <c r="Q301" t="n">
        <v>0</v>
      </c>
      <c r="R301" s="2" t="inlineStr"/>
    </row>
    <row r="302" ht="15" customHeight="1">
      <c r="A302" t="inlineStr">
        <is>
          <t>A 51971-2025</t>
        </is>
      </c>
      <c r="B302" s="1" t="n">
        <v>45952.55809027778</v>
      </c>
      <c r="C302" s="1" t="n">
        <v>46132</v>
      </c>
      <c r="D302" t="inlineStr">
        <is>
          <t>VÄSTERBOTTENS LÄN</t>
        </is>
      </c>
      <c r="E302" t="inlineStr">
        <is>
          <t>UMEÅ</t>
        </is>
      </c>
      <c r="G302" t="n">
        <v>3.4</v>
      </c>
      <c r="H302" t="n">
        <v>0</v>
      </c>
      <c r="I302" t="n">
        <v>0</v>
      </c>
      <c r="J302" t="n">
        <v>0</v>
      </c>
      <c r="K302" t="n">
        <v>0</v>
      </c>
      <c r="L302" t="n">
        <v>0</v>
      </c>
      <c r="M302" t="n">
        <v>0</v>
      </c>
      <c r="N302" t="n">
        <v>0</v>
      </c>
      <c r="O302" t="n">
        <v>0</v>
      </c>
      <c r="P302" t="n">
        <v>0</v>
      </c>
      <c r="Q302" t="n">
        <v>0</v>
      </c>
      <c r="R302" s="2" t="inlineStr"/>
    </row>
    <row r="303" ht="15" customHeight="1">
      <c r="A303" t="inlineStr">
        <is>
          <t>A 59228-2023</t>
        </is>
      </c>
      <c r="B303" s="1" t="n">
        <v>45252</v>
      </c>
      <c r="C303" s="1" t="n">
        <v>46132</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51621-2025</t>
        </is>
      </c>
      <c r="B304" s="1" t="n">
        <v>45951.41319444445</v>
      </c>
      <c r="C304" s="1" t="n">
        <v>46132</v>
      </c>
      <c r="D304" t="inlineStr">
        <is>
          <t>VÄSTERBOTTENS LÄN</t>
        </is>
      </c>
      <c r="E304" t="inlineStr">
        <is>
          <t>UMEÅ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45484.9237037037</v>
      </c>
      <c r="C305" s="1" t="n">
        <v>46132</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51970-2025</t>
        </is>
      </c>
      <c r="B306" s="1" t="n">
        <v>45952.5571875</v>
      </c>
      <c r="C306" s="1" t="n">
        <v>46132</v>
      </c>
      <c r="D306" t="inlineStr">
        <is>
          <t>VÄSTERBOTTENS LÄN</t>
        </is>
      </c>
      <c r="E306" t="inlineStr">
        <is>
          <t>UMEÅ</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52082-2025</t>
        </is>
      </c>
      <c r="B307" s="1" t="n">
        <v>45952.66583333333</v>
      </c>
      <c r="C307" s="1" t="n">
        <v>46132</v>
      </c>
      <c r="D307" t="inlineStr">
        <is>
          <t>VÄSTERBOTTENS LÄN</t>
        </is>
      </c>
      <c r="E307" t="inlineStr">
        <is>
          <t>UMEÅ</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955-2024</t>
        </is>
      </c>
      <c r="B308" s="1" t="n">
        <v>45301</v>
      </c>
      <c r="C308" s="1" t="n">
        <v>46132</v>
      </c>
      <c r="D308" t="inlineStr">
        <is>
          <t>VÄSTERBOTTENS LÄN</t>
        </is>
      </c>
      <c r="E308" t="inlineStr">
        <is>
          <t>UMEÅ</t>
        </is>
      </c>
      <c r="G308" t="n">
        <v>3.7</v>
      </c>
      <c r="H308" t="n">
        <v>0</v>
      </c>
      <c r="I308" t="n">
        <v>0</v>
      </c>
      <c r="J308" t="n">
        <v>0</v>
      </c>
      <c r="K308" t="n">
        <v>0</v>
      </c>
      <c r="L308" t="n">
        <v>0</v>
      </c>
      <c r="M308" t="n">
        <v>0</v>
      </c>
      <c r="N308" t="n">
        <v>0</v>
      </c>
      <c r="O308" t="n">
        <v>0</v>
      </c>
      <c r="P308" t="n">
        <v>0</v>
      </c>
      <c r="Q308" t="n">
        <v>0</v>
      </c>
      <c r="R308" s="2" t="inlineStr"/>
    </row>
    <row r="309" ht="15" customHeight="1">
      <c r="A309" t="inlineStr">
        <is>
          <t>A 51961-2025</t>
        </is>
      </c>
      <c r="B309" s="1" t="n">
        <v>45952.54824074074</v>
      </c>
      <c r="C309" s="1" t="n">
        <v>46132</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52056-2025</t>
        </is>
      </c>
      <c r="B310" s="1" t="n">
        <v>45952.63239583333</v>
      </c>
      <c r="C310" s="1" t="n">
        <v>46132</v>
      </c>
      <c r="D310" t="inlineStr">
        <is>
          <t>VÄSTERBOTTENS LÄN</t>
        </is>
      </c>
      <c r="E310" t="inlineStr">
        <is>
          <t>UMEÅ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22161-2025</t>
        </is>
      </c>
      <c r="B311" s="1" t="n">
        <v>45785.58844907407</v>
      </c>
      <c r="C311" s="1" t="n">
        <v>46132</v>
      </c>
      <c r="D311" t="inlineStr">
        <is>
          <t>VÄSTERBOTTENS LÄN</t>
        </is>
      </c>
      <c r="E311" t="inlineStr">
        <is>
          <t>UMEÅ</t>
        </is>
      </c>
      <c r="G311" t="n">
        <v>0.8</v>
      </c>
      <c r="H311" t="n">
        <v>0</v>
      </c>
      <c r="I311" t="n">
        <v>0</v>
      </c>
      <c r="J311" t="n">
        <v>0</v>
      </c>
      <c r="K311" t="n">
        <v>0</v>
      </c>
      <c r="L311" t="n">
        <v>0</v>
      </c>
      <c r="M311" t="n">
        <v>0</v>
      </c>
      <c r="N311" t="n">
        <v>0</v>
      </c>
      <c r="O311" t="n">
        <v>0</v>
      </c>
      <c r="P311" t="n">
        <v>0</v>
      </c>
      <c r="Q311" t="n">
        <v>0</v>
      </c>
      <c r="R311" s="2" t="inlineStr"/>
    </row>
    <row r="312" ht="15" customHeight="1">
      <c r="A312" t="inlineStr">
        <is>
          <t>A 34488-2021</t>
        </is>
      </c>
      <c r="B312" s="1" t="n">
        <v>44382.3005787037</v>
      </c>
      <c r="C312" s="1" t="n">
        <v>46132</v>
      </c>
      <c r="D312" t="inlineStr">
        <is>
          <t>VÄSTERBOTTENS LÄN</t>
        </is>
      </c>
      <c r="E312" t="inlineStr">
        <is>
          <t>UMEÅ</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51889-2025</t>
        </is>
      </c>
      <c r="B313" s="1" t="n">
        <v>45952.41400462963</v>
      </c>
      <c r="C313" s="1" t="n">
        <v>46132</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51958-2025</t>
        </is>
      </c>
      <c r="B314" s="1" t="n">
        <v>45952.54373842593</v>
      </c>
      <c r="C314" s="1" t="n">
        <v>46132</v>
      </c>
      <c r="D314" t="inlineStr">
        <is>
          <t>VÄSTERBOTTENS LÄN</t>
        </is>
      </c>
      <c r="E314" t="inlineStr">
        <is>
          <t>UMEÅ</t>
        </is>
      </c>
      <c r="G314" t="n">
        <v>4.3</v>
      </c>
      <c r="H314" t="n">
        <v>0</v>
      </c>
      <c r="I314" t="n">
        <v>0</v>
      </c>
      <c r="J314" t="n">
        <v>0</v>
      </c>
      <c r="K314" t="n">
        <v>0</v>
      </c>
      <c r="L314" t="n">
        <v>0</v>
      </c>
      <c r="M314" t="n">
        <v>0</v>
      </c>
      <c r="N314" t="n">
        <v>0</v>
      </c>
      <c r="O314" t="n">
        <v>0</v>
      </c>
      <c r="P314" t="n">
        <v>0</v>
      </c>
      <c r="Q314" t="n">
        <v>0</v>
      </c>
      <c r="R314" s="2" t="inlineStr"/>
    </row>
    <row r="315" ht="15" customHeight="1">
      <c r="A315" t="inlineStr">
        <is>
          <t>A 51716-2025</t>
        </is>
      </c>
      <c r="B315" s="1" t="n">
        <v>45951.5771875</v>
      </c>
      <c r="C315" s="1" t="n">
        <v>46132</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51901-2025</t>
        </is>
      </c>
      <c r="B316" s="1" t="n">
        <v>45952.44668981482</v>
      </c>
      <c r="C316" s="1" t="n">
        <v>46132</v>
      </c>
      <c r="D316" t="inlineStr">
        <is>
          <t>VÄSTERBOTTENS LÄN</t>
        </is>
      </c>
      <c r="E316" t="inlineStr">
        <is>
          <t>UMEÅ</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10568-2024</t>
        </is>
      </c>
      <c r="B317" s="1" t="n">
        <v>45366</v>
      </c>
      <c r="C317" s="1" t="n">
        <v>46132</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46132</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38235-2025</t>
        </is>
      </c>
      <c r="B319" s="1" t="n">
        <v>45883.36050925926</v>
      </c>
      <c r="C319" s="1" t="n">
        <v>46132</v>
      </c>
      <c r="D319" t="inlineStr">
        <is>
          <t>VÄSTERBOTTENS LÄN</t>
        </is>
      </c>
      <c r="E319" t="inlineStr">
        <is>
          <t>UMEÅ</t>
        </is>
      </c>
      <c r="G319" t="n">
        <v>7.7</v>
      </c>
      <c r="H319" t="n">
        <v>0</v>
      </c>
      <c r="I319" t="n">
        <v>0</v>
      </c>
      <c r="J319" t="n">
        <v>0</v>
      </c>
      <c r="K319" t="n">
        <v>0</v>
      </c>
      <c r="L319" t="n">
        <v>0</v>
      </c>
      <c r="M319" t="n">
        <v>0</v>
      </c>
      <c r="N319" t="n">
        <v>0</v>
      </c>
      <c r="O319" t="n">
        <v>0</v>
      </c>
      <c r="P319" t="n">
        <v>0</v>
      </c>
      <c r="Q319" t="n">
        <v>0</v>
      </c>
      <c r="R319" s="2" t="inlineStr"/>
    </row>
    <row r="320" ht="15" customHeight="1">
      <c r="A320" t="inlineStr">
        <is>
          <t>A 52210-2025</t>
        </is>
      </c>
      <c r="B320" s="1" t="n">
        <v>45953.42037037037</v>
      </c>
      <c r="C320" s="1" t="n">
        <v>46132</v>
      </c>
      <c r="D320" t="inlineStr">
        <is>
          <t>VÄSTERBOTTENS LÄN</t>
        </is>
      </c>
      <c r="E320" t="inlineStr">
        <is>
          <t>UMEÅ</t>
        </is>
      </c>
      <c r="F320" t="inlineStr">
        <is>
          <t>Holmen skog AB</t>
        </is>
      </c>
      <c r="G320" t="n">
        <v>8.1</v>
      </c>
      <c r="H320" t="n">
        <v>0</v>
      </c>
      <c r="I320" t="n">
        <v>0</v>
      </c>
      <c r="J320" t="n">
        <v>0</v>
      </c>
      <c r="K320" t="n">
        <v>0</v>
      </c>
      <c r="L320" t="n">
        <v>0</v>
      </c>
      <c r="M320" t="n">
        <v>0</v>
      </c>
      <c r="N320" t="n">
        <v>0</v>
      </c>
      <c r="O320" t="n">
        <v>0</v>
      </c>
      <c r="P320" t="n">
        <v>0</v>
      </c>
      <c r="Q320" t="n">
        <v>0</v>
      </c>
      <c r="R320" s="2" t="inlineStr"/>
    </row>
    <row r="321" ht="15" customHeight="1">
      <c r="A321" t="inlineStr">
        <is>
          <t>A 58708-2024</t>
        </is>
      </c>
      <c r="B321" s="1" t="n">
        <v>45635</v>
      </c>
      <c r="C321" s="1" t="n">
        <v>46132</v>
      </c>
      <c r="D321" t="inlineStr">
        <is>
          <t>VÄSTERBOTTENS LÄN</t>
        </is>
      </c>
      <c r="E321" t="inlineStr">
        <is>
          <t>UMEÅ</t>
        </is>
      </c>
      <c r="G321" t="n">
        <v>10.8</v>
      </c>
      <c r="H321" t="n">
        <v>0</v>
      </c>
      <c r="I321" t="n">
        <v>0</v>
      </c>
      <c r="J321" t="n">
        <v>0</v>
      </c>
      <c r="K321" t="n">
        <v>0</v>
      </c>
      <c r="L321" t="n">
        <v>0</v>
      </c>
      <c r="M321" t="n">
        <v>0</v>
      </c>
      <c r="N321" t="n">
        <v>0</v>
      </c>
      <c r="O321" t="n">
        <v>0</v>
      </c>
      <c r="P321" t="n">
        <v>0</v>
      </c>
      <c r="Q321" t="n">
        <v>0</v>
      </c>
      <c r="R321" s="2" t="inlineStr"/>
    </row>
    <row r="322" ht="15" customHeight="1">
      <c r="A322" t="inlineStr">
        <is>
          <t>A 22657-2025</t>
        </is>
      </c>
      <c r="B322" s="1" t="n">
        <v>45789.47297453704</v>
      </c>
      <c r="C322" s="1" t="n">
        <v>46132</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45359-2024</t>
        </is>
      </c>
      <c r="B323" s="1" t="n">
        <v>45576.48241898148</v>
      </c>
      <c r="C323" s="1" t="n">
        <v>46132</v>
      </c>
      <c r="D323" t="inlineStr">
        <is>
          <t>VÄSTERBOTTENS LÄN</t>
        </is>
      </c>
      <c r="E323" t="inlineStr">
        <is>
          <t>UMEÅ</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45872-2024</t>
        </is>
      </c>
      <c r="B324" s="1" t="n">
        <v>45580.37296296296</v>
      </c>
      <c r="C324" s="1" t="n">
        <v>46132</v>
      </c>
      <c r="D324" t="inlineStr">
        <is>
          <t>VÄSTERBOTTENS LÄN</t>
        </is>
      </c>
      <c r="E324" t="inlineStr">
        <is>
          <t>UMEÅ</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22912-2025</t>
        </is>
      </c>
      <c r="B325" s="1" t="n">
        <v>45790</v>
      </c>
      <c r="C325" s="1" t="n">
        <v>46132</v>
      </c>
      <c r="D325" t="inlineStr">
        <is>
          <t>VÄSTERBOTTENS LÄN</t>
        </is>
      </c>
      <c r="E325" t="inlineStr">
        <is>
          <t>UMEÅ</t>
        </is>
      </c>
      <c r="G325" t="n">
        <v>2.4</v>
      </c>
      <c r="H325" t="n">
        <v>0</v>
      </c>
      <c r="I325" t="n">
        <v>0</v>
      </c>
      <c r="J325" t="n">
        <v>0</v>
      </c>
      <c r="K325" t="n">
        <v>0</v>
      </c>
      <c r="L325" t="n">
        <v>0</v>
      </c>
      <c r="M325" t="n">
        <v>0</v>
      </c>
      <c r="N325" t="n">
        <v>0</v>
      </c>
      <c r="O325" t="n">
        <v>0</v>
      </c>
      <c r="P325" t="n">
        <v>0</v>
      </c>
      <c r="Q325" t="n">
        <v>0</v>
      </c>
      <c r="R325" s="2" t="inlineStr"/>
    </row>
    <row r="326" ht="15" customHeight="1">
      <c r="A326" t="inlineStr">
        <is>
          <t>A 38887-2025</t>
        </is>
      </c>
      <c r="B326" s="1" t="n">
        <v>45887.58591435185</v>
      </c>
      <c r="C326" s="1" t="n">
        <v>46132</v>
      </c>
      <c r="D326" t="inlineStr">
        <is>
          <t>VÄSTERBOTTENS LÄN</t>
        </is>
      </c>
      <c r="E326" t="inlineStr">
        <is>
          <t>UMEÅ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52163-2025</t>
        </is>
      </c>
      <c r="B327" s="1" t="n">
        <v>45953.36163194444</v>
      </c>
      <c r="C327" s="1" t="n">
        <v>46132</v>
      </c>
      <c r="D327" t="inlineStr">
        <is>
          <t>VÄSTERBOTTENS LÄN</t>
        </is>
      </c>
      <c r="E327" t="inlineStr">
        <is>
          <t>UMEÅ</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56563-2021</t>
        </is>
      </c>
      <c r="B328" s="1" t="n">
        <v>44480</v>
      </c>
      <c r="C328" s="1" t="n">
        <v>46132</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15664-2025</t>
        </is>
      </c>
      <c r="B329" s="1" t="n">
        <v>45748</v>
      </c>
      <c r="C329" s="1" t="n">
        <v>46132</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22851-2025</t>
        </is>
      </c>
      <c r="B330" s="1" t="n">
        <v>45790.34162037037</v>
      </c>
      <c r="C330" s="1" t="n">
        <v>46132</v>
      </c>
      <c r="D330" t="inlineStr">
        <is>
          <t>VÄSTERBOTTENS LÄN</t>
        </is>
      </c>
      <c r="E330" t="inlineStr">
        <is>
          <t>UMEÅ</t>
        </is>
      </c>
      <c r="F330" t="inlineStr">
        <is>
          <t>Holmen skog AB</t>
        </is>
      </c>
      <c r="G330" t="n">
        <v>20.6</v>
      </c>
      <c r="H330" t="n">
        <v>0</v>
      </c>
      <c r="I330" t="n">
        <v>0</v>
      </c>
      <c r="J330" t="n">
        <v>0</v>
      </c>
      <c r="K330" t="n">
        <v>0</v>
      </c>
      <c r="L330" t="n">
        <v>0</v>
      </c>
      <c r="M330" t="n">
        <v>0</v>
      </c>
      <c r="N330" t="n">
        <v>0</v>
      </c>
      <c r="O330" t="n">
        <v>0</v>
      </c>
      <c r="P330" t="n">
        <v>0</v>
      </c>
      <c r="Q330" t="n">
        <v>0</v>
      </c>
      <c r="R330" s="2" t="inlineStr"/>
    </row>
    <row r="331" ht="15" customHeight="1">
      <c r="A331" t="inlineStr">
        <is>
          <t>A 52155-2025</t>
        </is>
      </c>
      <c r="B331" s="1" t="n">
        <v>45953.3543287037</v>
      </c>
      <c r="C331" s="1" t="n">
        <v>46132</v>
      </c>
      <c r="D331" t="inlineStr">
        <is>
          <t>VÄSTERBOTTENS LÄN</t>
        </is>
      </c>
      <c r="E331" t="inlineStr">
        <is>
          <t>UMEÅ</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52232-2025</t>
        </is>
      </c>
      <c r="B332" s="1" t="n">
        <v>45953.45091435185</v>
      </c>
      <c r="C332" s="1" t="n">
        <v>46132</v>
      </c>
      <c r="D332" t="inlineStr">
        <is>
          <t>VÄSTERBOTTENS LÄN</t>
        </is>
      </c>
      <c r="E332" t="inlineStr">
        <is>
          <t>UMEÅ</t>
        </is>
      </c>
      <c r="F332" t="inlineStr">
        <is>
          <t>Holmen skog AB</t>
        </is>
      </c>
      <c r="G332" t="n">
        <v>7.7</v>
      </c>
      <c r="H332" t="n">
        <v>0</v>
      </c>
      <c r="I332" t="n">
        <v>0</v>
      </c>
      <c r="J332" t="n">
        <v>0</v>
      </c>
      <c r="K332" t="n">
        <v>0</v>
      </c>
      <c r="L332" t="n">
        <v>0</v>
      </c>
      <c r="M332" t="n">
        <v>0</v>
      </c>
      <c r="N332" t="n">
        <v>0</v>
      </c>
      <c r="O332" t="n">
        <v>0</v>
      </c>
      <c r="P332" t="n">
        <v>0</v>
      </c>
      <c r="Q332" t="n">
        <v>0</v>
      </c>
      <c r="R332" s="2" t="inlineStr"/>
    </row>
    <row r="333" ht="15" customHeight="1">
      <c r="A333" t="inlineStr">
        <is>
          <t>A 25687-2024</t>
        </is>
      </c>
      <c r="B333" s="1" t="n">
        <v>45463</v>
      </c>
      <c r="C333" s="1" t="n">
        <v>46132</v>
      </c>
      <c r="D333" t="inlineStr">
        <is>
          <t>VÄSTERBOTTENS LÄN</t>
        </is>
      </c>
      <c r="E333" t="inlineStr">
        <is>
          <t>UMEÅ</t>
        </is>
      </c>
      <c r="G333" t="n">
        <v>1</v>
      </c>
      <c r="H333" t="n">
        <v>0</v>
      </c>
      <c r="I333" t="n">
        <v>0</v>
      </c>
      <c r="J333" t="n">
        <v>0</v>
      </c>
      <c r="K333" t="n">
        <v>0</v>
      </c>
      <c r="L333" t="n">
        <v>0</v>
      </c>
      <c r="M333" t="n">
        <v>0</v>
      </c>
      <c r="N333" t="n">
        <v>0</v>
      </c>
      <c r="O333" t="n">
        <v>0</v>
      </c>
      <c r="P333" t="n">
        <v>0</v>
      </c>
      <c r="Q333" t="n">
        <v>0</v>
      </c>
      <c r="R333" s="2" t="inlineStr"/>
    </row>
    <row r="334" ht="15" customHeight="1">
      <c r="A334" t="inlineStr">
        <is>
          <t>A 23271-2025</t>
        </is>
      </c>
      <c r="B334" s="1" t="n">
        <v>45791.5622337963</v>
      </c>
      <c r="C334" s="1" t="n">
        <v>46132</v>
      </c>
      <c r="D334" t="inlineStr">
        <is>
          <t>VÄSTERBOTTENS LÄN</t>
        </is>
      </c>
      <c r="E334" t="inlineStr">
        <is>
          <t>UMEÅ</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23442-2025</t>
        </is>
      </c>
      <c r="B335" s="1" t="n">
        <v>45792.3788425926</v>
      </c>
      <c r="C335" s="1" t="n">
        <v>46132</v>
      </c>
      <c r="D335" t="inlineStr">
        <is>
          <t>VÄSTERBOTTENS LÄN</t>
        </is>
      </c>
      <c r="E335" t="inlineStr">
        <is>
          <t>UMEÅ</t>
        </is>
      </c>
      <c r="G335" t="n">
        <v>4.7</v>
      </c>
      <c r="H335" t="n">
        <v>0</v>
      </c>
      <c r="I335" t="n">
        <v>0</v>
      </c>
      <c r="J335" t="n">
        <v>0</v>
      </c>
      <c r="K335" t="n">
        <v>0</v>
      </c>
      <c r="L335" t="n">
        <v>0</v>
      </c>
      <c r="M335" t="n">
        <v>0</v>
      </c>
      <c r="N335" t="n">
        <v>0</v>
      </c>
      <c r="O335" t="n">
        <v>0</v>
      </c>
      <c r="P335" t="n">
        <v>0</v>
      </c>
      <c r="Q335" t="n">
        <v>0</v>
      </c>
      <c r="R335" s="2" t="inlineStr"/>
    </row>
    <row r="336" ht="15" customHeight="1">
      <c r="A336" t="inlineStr">
        <is>
          <t>A 23500-2025</t>
        </is>
      </c>
      <c r="B336" s="1" t="n">
        <v>45792.48252314814</v>
      </c>
      <c r="C336" s="1" t="n">
        <v>46132</v>
      </c>
      <c r="D336" t="inlineStr">
        <is>
          <t>VÄSTERBOTTENS LÄN</t>
        </is>
      </c>
      <c r="E336" t="inlineStr">
        <is>
          <t>UMEÅ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59029-2024</t>
        </is>
      </c>
      <c r="B337" s="1" t="n">
        <v>45636</v>
      </c>
      <c r="C337" s="1" t="n">
        <v>46132</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23563-2025</t>
        </is>
      </c>
      <c r="B338" s="1" t="n">
        <v>45792.58780092592</v>
      </c>
      <c r="C338" s="1" t="n">
        <v>46132</v>
      </c>
      <c r="D338" t="inlineStr">
        <is>
          <t>VÄSTERBOTTENS LÄN</t>
        </is>
      </c>
      <c r="E338" t="inlineStr">
        <is>
          <t>UMEÅ</t>
        </is>
      </c>
      <c r="G338" t="n">
        <v>8.5</v>
      </c>
      <c r="H338" t="n">
        <v>0</v>
      </c>
      <c r="I338" t="n">
        <v>0</v>
      </c>
      <c r="J338" t="n">
        <v>0</v>
      </c>
      <c r="K338" t="n">
        <v>0</v>
      </c>
      <c r="L338" t="n">
        <v>0</v>
      </c>
      <c r="M338" t="n">
        <v>0</v>
      </c>
      <c r="N338" t="n">
        <v>0</v>
      </c>
      <c r="O338" t="n">
        <v>0</v>
      </c>
      <c r="P338" t="n">
        <v>0</v>
      </c>
      <c r="Q338" t="n">
        <v>0</v>
      </c>
      <c r="R338" s="2" t="inlineStr"/>
    </row>
    <row r="339" ht="15" customHeight="1">
      <c r="A339" t="inlineStr">
        <is>
          <t>A 52238-2025</t>
        </is>
      </c>
      <c r="B339" s="1" t="n">
        <v>45953.46032407408</v>
      </c>
      <c r="C339" s="1" t="n">
        <v>46132</v>
      </c>
      <c r="D339" t="inlineStr">
        <is>
          <t>VÄSTERBOTTENS LÄN</t>
        </is>
      </c>
      <c r="E339" t="inlineStr">
        <is>
          <t>UMEÅ</t>
        </is>
      </c>
      <c r="F339" t="inlineStr">
        <is>
          <t>Holmen skog AB</t>
        </is>
      </c>
      <c r="G339" t="n">
        <v>0.9</v>
      </c>
      <c r="H339" t="n">
        <v>0</v>
      </c>
      <c r="I339" t="n">
        <v>0</v>
      </c>
      <c r="J339" t="n">
        <v>0</v>
      </c>
      <c r="K339" t="n">
        <v>0</v>
      </c>
      <c r="L339" t="n">
        <v>0</v>
      </c>
      <c r="M339" t="n">
        <v>0</v>
      </c>
      <c r="N339" t="n">
        <v>0</v>
      </c>
      <c r="O339" t="n">
        <v>0</v>
      </c>
      <c r="P339" t="n">
        <v>0</v>
      </c>
      <c r="Q339" t="n">
        <v>0</v>
      </c>
      <c r="R339" s="2" t="inlineStr"/>
    </row>
    <row r="340" ht="15" customHeight="1">
      <c r="A340" t="inlineStr">
        <is>
          <t>A 39523-2025</t>
        </is>
      </c>
      <c r="B340" s="1" t="n">
        <v>45890.43826388889</v>
      </c>
      <c r="C340" s="1" t="n">
        <v>46132</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19074-2021</t>
        </is>
      </c>
      <c r="B341" s="1" t="n">
        <v>44308</v>
      </c>
      <c r="C341" s="1" t="n">
        <v>46132</v>
      </c>
      <c r="D341" t="inlineStr">
        <is>
          <t>VÄSTERBOTTENS LÄN</t>
        </is>
      </c>
      <c r="E341" t="inlineStr">
        <is>
          <t>UMEÅ</t>
        </is>
      </c>
      <c r="G341" t="n">
        <v>2.6</v>
      </c>
      <c r="H341" t="n">
        <v>0</v>
      </c>
      <c r="I341" t="n">
        <v>0</v>
      </c>
      <c r="J341" t="n">
        <v>0</v>
      </c>
      <c r="K341" t="n">
        <v>0</v>
      </c>
      <c r="L341" t="n">
        <v>0</v>
      </c>
      <c r="M341" t="n">
        <v>0</v>
      </c>
      <c r="N341" t="n">
        <v>0</v>
      </c>
      <c r="O341" t="n">
        <v>0</v>
      </c>
      <c r="P341" t="n">
        <v>0</v>
      </c>
      <c r="Q341" t="n">
        <v>0</v>
      </c>
      <c r="R341" s="2" t="inlineStr"/>
    </row>
    <row r="342" ht="15" customHeight="1">
      <c r="A342" t="inlineStr">
        <is>
          <t>A 35434-2024</t>
        </is>
      </c>
      <c r="B342" s="1" t="n">
        <v>45531.41466435185</v>
      </c>
      <c r="C342" s="1" t="n">
        <v>46132</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22674-2025</t>
        </is>
      </c>
      <c r="B343" s="1" t="n">
        <v>45789.49047453704</v>
      </c>
      <c r="C343" s="1" t="n">
        <v>46132</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23472-2025</t>
        </is>
      </c>
      <c r="B344" s="1" t="n">
        <v>45792</v>
      </c>
      <c r="C344" s="1" t="n">
        <v>46132</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39373-2025</t>
        </is>
      </c>
      <c r="B345" s="1" t="n">
        <v>45889.58655092592</v>
      </c>
      <c r="C345" s="1" t="n">
        <v>46132</v>
      </c>
      <c r="D345" t="inlineStr">
        <is>
          <t>VÄSTERBOTTENS LÄN</t>
        </is>
      </c>
      <c r="E345" t="inlineStr">
        <is>
          <t>UMEÅ</t>
        </is>
      </c>
      <c r="G345" t="n">
        <v>7.3</v>
      </c>
      <c r="H345" t="n">
        <v>0</v>
      </c>
      <c r="I345" t="n">
        <v>0</v>
      </c>
      <c r="J345" t="n">
        <v>0</v>
      </c>
      <c r="K345" t="n">
        <v>0</v>
      </c>
      <c r="L345" t="n">
        <v>0</v>
      </c>
      <c r="M345" t="n">
        <v>0</v>
      </c>
      <c r="N345" t="n">
        <v>0</v>
      </c>
      <c r="O345" t="n">
        <v>0</v>
      </c>
      <c r="P345" t="n">
        <v>0</v>
      </c>
      <c r="Q345" t="n">
        <v>0</v>
      </c>
      <c r="R345" s="2" t="inlineStr"/>
    </row>
    <row r="346" ht="15" customHeight="1">
      <c r="A346" t="inlineStr">
        <is>
          <t>A 47141-2021</t>
        </is>
      </c>
      <c r="B346" s="1" t="n">
        <v>44446.91958333334</v>
      </c>
      <c r="C346" s="1" t="n">
        <v>46132</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23474-2025</t>
        </is>
      </c>
      <c r="B347" s="1" t="n">
        <v>45792.4493287037</v>
      </c>
      <c r="C347" s="1" t="n">
        <v>46132</v>
      </c>
      <c r="D347" t="inlineStr">
        <is>
          <t>VÄSTERBOTTENS LÄN</t>
        </is>
      </c>
      <c r="E347" t="inlineStr">
        <is>
          <t>UMEÅ</t>
        </is>
      </c>
      <c r="G347" t="n">
        <v>4.8</v>
      </c>
      <c r="H347" t="n">
        <v>0</v>
      </c>
      <c r="I347" t="n">
        <v>0</v>
      </c>
      <c r="J347" t="n">
        <v>0</v>
      </c>
      <c r="K347" t="n">
        <v>0</v>
      </c>
      <c r="L347" t="n">
        <v>0</v>
      </c>
      <c r="M347" t="n">
        <v>0</v>
      </c>
      <c r="N347" t="n">
        <v>0</v>
      </c>
      <c r="O347" t="n">
        <v>0</v>
      </c>
      <c r="P347" t="n">
        <v>0</v>
      </c>
      <c r="Q347" t="n">
        <v>0</v>
      </c>
      <c r="R347" s="2" t="inlineStr"/>
    </row>
    <row r="348" ht="15" customHeight="1">
      <c r="A348" t="inlineStr">
        <is>
          <t>A 17928-2023</t>
        </is>
      </c>
      <c r="B348" s="1" t="n">
        <v>45037</v>
      </c>
      <c r="C348" s="1" t="n">
        <v>46132</v>
      </c>
      <c r="D348" t="inlineStr">
        <is>
          <t>VÄSTERBOTTENS LÄN</t>
        </is>
      </c>
      <c r="E348" t="inlineStr">
        <is>
          <t>UMEÅ</t>
        </is>
      </c>
      <c r="F348" t="inlineStr">
        <is>
          <t>Kommuner</t>
        </is>
      </c>
      <c r="G348" t="n">
        <v>1.1</v>
      </c>
      <c r="H348" t="n">
        <v>0</v>
      </c>
      <c r="I348" t="n">
        <v>0</v>
      </c>
      <c r="J348" t="n">
        <v>0</v>
      </c>
      <c r="K348" t="n">
        <v>0</v>
      </c>
      <c r="L348" t="n">
        <v>0</v>
      </c>
      <c r="M348" t="n">
        <v>0</v>
      </c>
      <c r="N348" t="n">
        <v>0</v>
      </c>
      <c r="O348" t="n">
        <v>0</v>
      </c>
      <c r="P348" t="n">
        <v>0</v>
      </c>
      <c r="Q348" t="n">
        <v>0</v>
      </c>
      <c r="R348" s="2" t="inlineStr"/>
    </row>
    <row r="349" ht="15" customHeight="1">
      <c r="A349" t="inlineStr">
        <is>
          <t>A 48635-2024</t>
        </is>
      </c>
      <c r="B349" s="1" t="n">
        <v>45593.46998842592</v>
      </c>
      <c r="C349" s="1" t="n">
        <v>46132</v>
      </c>
      <c r="D349" t="inlineStr">
        <is>
          <t>VÄSTERBOTTENS LÄN</t>
        </is>
      </c>
      <c r="E349" t="inlineStr">
        <is>
          <t>UMEÅ</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46132</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31200-2024</t>
        </is>
      </c>
      <c r="B351" s="1" t="n">
        <v>45503</v>
      </c>
      <c r="C351" s="1" t="n">
        <v>46132</v>
      </c>
      <c r="D351" t="inlineStr">
        <is>
          <t>VÄSTERBOTTENS LÄN</t>
        </is>
      </c>
      <c r="E351" t="inlineStr">
        <is>
          <t>UMEÅ</t>
        </is>
      </c>
      <c r="F351" t="inlineStr">
        <is>
          <t>Holmen skog AB</t>
        </is>
      </c>
      <c r="G351" t="n">
        <v>3.7</v>
      </c>
      <c r="H351" t="n">
        <v>0</v>
      </c>
      <c r="I351" t="n">
        <v>0</v>
      </c>
      <c r="J351" t="n">
        <v>0</v>
      </c>
      <c r="K351" t="n">
        <v>0</v>
      </c>
      <c r="L351" t="n">
        <v>0</v>
      </c>
      <c r="M351" t="n">
        <v>0</v>
      </c>
      <c r="N351" t="n">
        <v>0</v>
      </c>
      <c r="O351" t="n">
        <v>0</v>
      </c>
      <c r="P351" t="n">
        <v>0</v>
      </c>
      <c r="Q351" t="n">
        <v>0</v>
      </c>
      <c r="R351" s="2" t="inlineStr"/>
    </row>
    <row r="352" ht="15" customHeight="1">
      <c r="A352" t="inlineStr">
        <is>
          <t>A 53181-2021</t>
        </is>
      </c>
      <c r="B352" s="1" t="n">
        <v>44467</v>
      </c>
      <c r="C352" s="1" t="n">
        <v>46132</v>
      </c>
      <c r="D352" t="inlineStr">
        <is>
          <t>VÄSTERBOTTENS LÄN</t>
        </is>
      </c>
      <c r="E352" t="inlineStr">
        <is>
          <t>UMEÅ</t>
        </is>
      </c>
      <c r="G352" t="n">
        <v>3.1</v>
      </c>
      <c r="H352" t="n">
        <v>0</v>
      </c>
      <c r="I352" t="n">
        <v>0</v>
      </c>
      <c r="J352" t="n">
        <v>0</v>
      </c>
      <c r="K352" t="n">
        <v>0</v>
      </c>
      <c r="L352" t="n">
        <v>0</v>
      </c>
      <c r="M352" t="n">
        <v>0</v>
      </c>
      <c r="N352" t="n">
        <v>0</v>
      </c>
      <c r="O352" t="n">
        <v>0</v>
      </c>
      <c r="P352" t="n">
        <v>0</v>
      </c>
      <c r="Q352" t="n">
        <v>0</v>
      </c>
      <c r="R352" s="2" t="inlineStr"/>
    </row>
    <row r="353" ht="15" customHeight="1">
      <c r="A353" t="inlineStr">
        <is>
          <t>A 32510-2025</t>
        </is>
      </c>
      <c r="B353" s="1" t="n">
        <v>45838.47287037037</v>
      </c>
      <c r="C353" s="1" t="n">
        <v>46132</v>
      </c>
      <c r="D353" t="inlineStr">
        <is>
          <t>VÄSTERBOTTENS LÄN</t>
        </is>
      </c>
      <c r="E353" t="inlineStr">
        <is>
          <t>UMEÅ</t>
        </is>
      </c>
      <c r="G353" t="n">
        <v>7.1</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46132</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29932-2025</t>
        </is>
      </c>
      <c r="B355" s="1" t="n">
        <v>45826.43984953704</v>
      </c>
      <c r="C355" s="1" t="n">
        <v>46132</v>
      </c>
      <c r="D355" t="inlineStr">
        <is>
          <t>VÄSTERBOTTENS LÄN</t>
        </is>
      </c>
      <c r="E355" t="inlineStr">
        <is>
          <t>UMEÅ</t>
        </is>
      </c>
      <c r="G355" t="n">
        <v>2.9</v>
      </c>
      <c r="H355" t="n">
        <v>0</v>
      </c>
      <c r="I355" t="n">
        <v>0</v>
      </c>
      <c r="J355" t="n">
        <v>0</v>
      </c>
      <c r="K355" t="n">
        <v>0</v>
      </c>
      <c r="L355" t="n">
        <v>0</v>
      </c>
      <c r="M355" t="n">
        <v>0</v>
      </c>
      <c r="N355" t="n">
        <v>0</v>
      </c>
      <c r="O355" t="n">
        <v>0</v>
      </c>
      <c r="P355" t="n">
        <v>0</v>
      </c>
      <c r="Q355" t="n">
        <v>0</v>
      </c>
      <c r="R355" s="2" t="inlineStr"/>
    </row>
    <row r="356" ht="15" customHeight="1">
      <c r="A356" t="inlineStr">
        <is>
          <t>A 40039-2025</t>
        </is>
      </c>
      <c r="B356" s="1" t="n">
        <v>45894.39484953704</v>
      </c>
      <c r="C356" s="1" t="n">
        <v>46132</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40040-2025</t>
        </is>
      </c>
      <c r="B357" s="1" t="n">
        <v>45894.39736111111</v>
      </c>
      <c r="C357" s="1" t="n">
        <v>46132</v>
      </c>
      <c r="D357" t="inlineStr">
        <is>
          <t>VÄSTERBOTTENS LÄN</t>
        </is>
      </c>
      <c r="E357" t="inlineStr">
        <is>
          <t>UMEÅ</t>
        </is>
      </c>
      <c r="G357" t="n">
        <v>6.5</v>
      </c>
      <c r="H357" t="n">
        <v>0</v>
      </c>
      <c r="I357" t="n">
        <v>0</v>
      </c>
      <c r="J357" t="n">
        <v>0</v>
      </c>
      <c r="K357" t="n">
        <v>0</v>
      </c>
      <c r="L357" t="n">
        <v>0</v>
      </c>
      <c r="M357" t="n">
        <v>0</v>
      </c>
      <c r="N357" t="n">
        <v>0</v>
      </c>
      <c r="O357" t="n">
        <v>0</v>
      </c>
      <c r="P357" t="n">
        <v>0</v>
      </c>
      <c r="Q357" t="n">
        <v>0</v>
      </c>
      <c r="R357" s="2" t="inlineStr"/>
    </row>
    <row r="358" ht="15" customHeight="1">
      <c r="A358" t="inlineStr">
        <is>
          <t>A 39836-2025</t>
        </is>
      </c>
      <c r="B358" s="1" t="n">
        <v>45891.56422453704</v>
      </c>
      <c r="C358" s="1" t="n">
        <v>46132</v>
      </c>
      <c r="D358" t="inlineStr">
        <is>
          <t>VÄSTERBOTTENS LÄN</t>
        </is>
      </c>
      <c r="E358" t="inlineStr">
        <is>
          <t>UMEÅ</t>
        </is>
      </c>
      <c r="G358" t="n">
        <v>1.8</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46132</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23751-2024</t>
        </is>
      </c>
      <c r="B360" s="1" t="n">
        <v>45455</v>
      </c>
      <c r="C360" s="1" t="n">
        <v>46132</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40158-2025</t>
        </is>
      </c>
      <c r="B361" s="1" t="n">
        <v>45894.60689814815</v>
      </c>
      <c r="C361" s="1" t="n">
        <v>46132</v>
      </c>
      <c r="D361" t="inlineStr">
        <is>
          <t>VÄSTERBOTTENS LÄN</t>
        </is>
      </c>
      <c r="E361" t="inlineStr">
        <is>
          <t>UMEÅ</t>
        </is>
      </c>
      <c r="G361" t="n">
        <v>7.2</v>
      </c>
      <c r="H361" t="n">
        <v>0</v>
      </c>
      <c r="I361" t="n">
        <v>0</v>
      </c>
      <c r="J361" t="n">
        <v>0</v>
      </c>
      <c r="K361" t="n">
        <v>0</v>
      </c>
      <c r="L361" t="n">
        <v>0</v>
      </c>
      <c r="M361" t="n">
        <v>0</v>
      </c>
      <c r="N361" t="n">
        <v>0</v>
      </c>
      <c r="O361" t="n">
        <v>0</v>
      </c>
      <c r="P361" t="n">
        <v>0</v>
      </c>
      <c r="Q361" t="n">
        <v>0</v>
      </c>
      <c r="R361" s="2" t="inlineStr"/>
    </row>
    <row r="362" ht="15" customHeight="1">
      <c r="A362" t="inlineStr">
        <is>
          <t>A 34550-2023</t>
        </is>
      </c>
      <c r="B362" s="1" t="n">
        <v>45140.49451388889</v>
      </c>
      <c r="C362" s="1" t="n">
        <v>46132</v>
      </c>
      <c r="D362" t="inlineStr">
        <is>
          <t>VÄSTERBOTTENS LÄN</t>
        </is>
      </c>
      <c r="E362" t="inlineStr">
        <is>
          <t>UMEÅ</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44244-2024</t>
        </is>
      </c>
      <c r="B363" s="1" t="n">
        <v>45573.42783564814</v>
      </c>
      <c r="C363" s="1" t="n">
        <v>46132</v>
      </c>
      <c r="D363" t="inlineStr">
        <is>
          <t>VÄSTERBOTTENS LÄN</t>
        </is>
      </c>
      <c r="E363" t="inlineStr">
        <is>
          <t>UMEÅ</t>
        </is>
      </c>
      <c r="G363" t="n">
        <v>3</v>
      </c>
      <c r="H363" t="n">
        <v>0</v>
      </c>
      <c r="I363" t="n">
        <v>0</v>
      </c>
      <c r="J363" t="n">
        <v>0</v>
      </c>
      <c r="K363" t="n">
        <v>0</v>
      </c>
      <c r="L363" t="n">
        <v>0</v>
      </c>
      <c r="M363" t="n">
        <v>0</v>
      </c>
      <c r="N363" t="n">
        <v>0</v>
      </c>
      <c r="O363" t="n">
        <v>0</v>
      </c>
      <c r="P363" t="n">
        <v>0</v>
      </c>
      <c r="Q363" t="n">
        <v>0</v>
      </c>
      <c r="R363" s="2" t="inlineStr"/>
    </row>
    <row r="364" ht="15" customHeight="1">
      <c r="A364" t="inlineStr">
        <is>
          <t>A 34709-2023</t>
        </is>
      </c>
      <c r="B364" s="1" t="n">
        <v>45141</v>
      </c>
      <c r="C364" s="1" t="n">
        <v>46132</v>
      </c>
      <c r="D364" t="inlineStr">
        <is>
          <t>VÄSTERBOTTENS LÄN</t>
        </is>
      </c>
      <c r="E364" t="inlineStr">
        <is>
          <t>UMEÅ</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32813-2024</t>
        </is>
      </c>
      <c r="B365" s="1" t="n">
        <v>45516.57533564815</v>
      </c>
      <c r="C365" s="1" t="n">
        <v>46132</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38144-2024</t>
        </is>
      </c>
      <c r="B366" s="1" t="n">
        <v>45545.42693287037</v>
      </c>
      <c r="C366" s="1" t="n">
        <v>46132</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27154-2024</t>
        </is>
      </c>
      <c r="B367" s="1" t="n">
        <v>45471.56107638889</v>
      </c>
      <c r="C367" s="1" t="n">
        <v>46132</v>
      </c>
      <c r="D367" t="inlineStr">
        <is>
          <t>VÄSTERBOTTENS LÄN</t>
        </is>
      </c>
      <c r="E367" t="inlineStr">
        <is>
          <t>UMEÅ</t>
        </is>
      </c>
      <c r="F367" t="inlineStr">
        <is>
          <t>Holmen skog AB</t>
        </is>
      </c>
      <c r="G367" t="n">
        <v>1.6</v>
      </c>
      <c r="H367" t="n">
        <v>0</v>
      </c>
      <c r="I367" t="n">
        <v>0</v>
      </c>
      <c r="J367" t="n">
        <v>0</v>
      </c>
      <c r="K367" t="n">
        <v>0</v>
      </c>
      <c r="L367" t="n">
        <v>0</v>
      </c>
      <c r="M367" t="n">
        <v>0</v>
      </c>
      <c r="N367" t="n">
        <v>0</v>
      </c>
      <c r="O367" t="n">
        <v>0</v>
      </c>
      <c r="P367" t="n">
        <v>0</v>
      </c>
      <c r="Q367" t="n">
        <v>0</v>
      </c>
      <c r="R367" s="2" t="inlineStr"/>
    </row>
    <row r="368" ht="15" customHeight="1">
      <c r="A368" t="inlineStr">
        <is>
          <t>A 59343-2023</t>
        </is>
      </c>
      <c r="B368" s="1" t="n">
        <v>45253</v>
      </c>
      <c r="C368" s="1" t="n">
        <v>46132</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22365-2024</t>
        </is>
      </c>
      <c r="B369" s="1" t="n">
        <v>45446</v>
      </c>
      <c r="C369" s="1" t="n">
        <v>46132</v>
      </c>
      <c r="D369" t="inlineStr">
        <is>
          <t>VÄSTERBOTTENS LÄN</t>
        </is>
      </c>
      <c r="E369" t="inlineStr">
        <is>
          <t>UMEÅ</t>
        </is>
      </c>
      <c r="G369" t="n">
        <v>1.5</v>
      </c>
      <c r="H369" t="n">
        <v>0</v>
      </c>
      <c r="I369" t="n">
        <v>0</v>
      </c>
      <c r="J369" t="n">
        <v>0</v>
      </c>
      <c r="K369" t="n">
        <v>0</v>
      </c>
      <c r="L369" t="n">
        <v>0</v>
      </c>
      <c r="M369" t="n">
        <v>0</v>
      </c>
      <c r="N369" t="n">
        <v>0</v>
      </c>
      <c r="O369" t="n">
        <v>0</v>
      </c>
      <c r="P369" t="n">
        <v>0</v>
      </c>
      <c r="Q369" t="n">
        <v>0</v>
      </c>
      <c r="R369" s="2" t="inlineStr"/>
    </row>
    <row r="370" ht="15" customHeight="1">
      <c r="A370" t="inlineStr">
        <is>
          <t>A 58278-2024</t>
        </is>
      </c>
      <c r="B370" s="1" t="n">
        <v>45632.57494212963</v>
      </c>
      <c r="C370" s="1" t="n">
        <v>46132</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52710-2025</t>
        </is>
      </c>
      <c r="B371" s="1" t="n">
        <v>45957.29408564815</v>
      </c>
      <c r="C371" s="1" t="n">
        <v>46132</v>
      </c>
      <c r="D371" t="inlineStr">
        <is>
          <t>VÄSTERBOTTENS LÄN</t>
        </is>
      </c>
      <c r="E371" t="inlineStr">
        <is>
          <t>UMEÅ</t>
        </is>
      </c>
      <c r="G371" t="n">
        <v>4.4</v>
      </c>
      <c r="H371" t="n">
        <v>0</v>
      </c>
      <c r="I371" t="n">
        <v>0</v>
      </c>
      <c r="J371" t="n">
        <v>0</v>
      </c>
      <c r="K371" t="n">
        <v>0</v>
      </c>
      <c r="L371" t="n">
        <v>0</v>
      </c>
      <c r="M371" t="n">
        <v>0</v>
      </c>
      <c r="N371" t="n">
        <v>0</v>
      </c>
      <c r="O371" t="n">
        <v>0</v>
      </c>
      <c r="P371" t="n">
        <v>0</v>
      </c>
      <c r="Q371" t="n">
        <v>0</v>
      </c>
      <c r="R371" s="2" t="inlineStr"/>
    </row>
    <row r="372" ht="15" customHeight="1">
      <c r="A372" t="inlineStr">
        <is>
          <t>A 52919-2025</t>
        </is>
      </c>
      <c r="B372" s="1" t="n">
        <v>45957.61322916667</v>
      </c>
      <c r="C372" s="1" t="n">
        <v>46132</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52926-2025</t>
        </is>
      </c>
      <c r="B373" s="1" t="n">
        <v>45957.6184375</v>
      </c>
      <c r="C373" s="1" t="n">
        <v>46132</v>
      </c>
      <c r="D373" t="inlineStr">
        <is>
          <t>VÄSTERBOTTENS LÄN</t>
        </is>
      </c>
      <c r="E373" t="inlineStr">
        <is>
          <t>UMEÅ</t>
        </is>
      </c>
      <c r="G373" t="n">
        <v>7.1</v>
      </c>
      <c r="H373" t="n">
        <v>0</v>
      </c>
      <c r="I373" t="n">
        <v>0</v>
      </c>
      <c r="J373" t="n">
        <v>0</v>
      </c>
      <c r="K373" t="n">
        <v>0</v>
      </c>
      <c r="L373" t="n">
        <v>0</v>
      </c>
      <c r="M373" t="n">
        <v>0</v>
      </c>
      <c r="N373" t="n">
        <v>0</v>
      </c>
      <c r="O373" t="n">
        <v>0</v>
      </c>
      <c r="P373" t="n">
        <v>0</v>
      </c>
      <c r="Q373" t="n">
        <v>0</v>
      </c>
      <c r="R373" s="2" t="inlineStr"/>
    </row>
    <row r="374" ht="15" customHeight="1">
      <c r="A374" t="inlineStr">
        <is>
          <t>A 52312-2022</t>
        </is>
      </c>
      <c r="B374" s="1" t="n">
        <v>44873</v>
      </c>
      <c r="C374" s="1" t="n">
        <v>46132</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40949-2025</t>
        </is>
      </c>
      <c r="B375" s="1" t="n">
        <v>45897.6609837963</v>
      </c>
      <c r="C375" s="1" t="n">
        <v>46132</v>
      </c>
      <c r="D375" t="inlineStr">
        <is>
          <t>VÄSTERBOTTENS LÄN</t>
        </is>
      </c>
      <c r="E375" t="inlineStr">
        <is>
          <t>UMEÅ</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30050-2024</t>
        </is>
      </c>
      <c r="B376" s="1" t="n">
        <v>45488</v>
      </c>
      <c r="C376" s="1" t="n">
        <v>46132</v>
      </c>
      <c r="D376" t="inlineStr">
        <is>
          <t>VÄSTERBOTTENS LÄN</t>
        </is>
      </c>
      <c r="E376" t="inlineStr">
        <is>
          <t>UMEÅ</t>
        </is>
      </c>
      <c r="G376" t="n">
        <v>2.6</v>
      </c>
      <c r="H376" t="n">
        <v>0</v>
      </c>
      <c r="I376" t="n">
        <v>0</v>
      </c>
      <c r="J376" t="n">
        <v>0</v>
      </c>
      <c r="K376" t="n">
        <v>0</v>
      </c>
      <c r="L376" t="n">
        <v>0</v>
      </c>
      <c r="M376" t="n">
        <v>0</v>
      </c>
      <c r="N376" t="n">
        <v>0</v>
      </c>
      <c r="O376" t="n">
        <v>0</v>
      </c>
      <c r="P376" t="n">
        <v>0</v>
      </c>
      <c r="Q376" t="n">
        <v>0</v>
      </c>
      <c r="R376" s="2" t="inlineStr"/>
    </row>
    <row r="377" ht="15" customHeight="1">
      <c r="A377" t="inlineStr">
        <is>
          <t>A 7430-2022</t>
        </is>
      </c>
      <c r="B377" s="1" t="n">
        <v>44606.933125</v>
      </c>
      <c r="C377" s="1" t="n">
        <v>46132</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41176-2025</t>
        </is>
      </c>
      <c r="B378" s="1" t="n">
        <v>45898</v>
      </c>
      <c r="C378" s="1" t="n">
        <v>46132</v>
      </c>
      <c r="D378" t="inlineStr">
        <is>
          <t>VÄSTERBOTTENS LÄN</t>
        </is>
      </c>
      <c r="E378" t="inlineStr">
        <is>
          <t>UMEÅ</t>
        </is>
      </c>
      <c r="G378" t="n">
        <v>4.3</v>
      </c>
      <c r="H378" t="n">
        <v>0</v>
      </c>
      <c r="I378" t="n">
        <v>0</v>
      </c>
      <c r="J378" t="n">
        <v>0</v>
      </c>
      <c r="K378" t="n">
        <v>0</v>
      </c>
      <c r="L378" t="n">
        <v>0</v>
      </c>
      <c r="M378" t="n">
        <v>0</v>
      </c>
      <c r="N378" t="n">
        <v>0</v>
      </c>
      <c r="O378" t="n">
        <v>0</v>
      </c>
      <c r="P378" t="n">
        <v>0</v>
      </c>
      <c r="Q378" t="n">
        <v>0</v>
      </c>
      <c r="R378" s="2" t="inlineStr"/>
    </row>
    <row r="379" ht="15" customHeight="1">
      <c r="A379" t="inlineStr">
        <is>
          <t>A 37856-2024</t>
        </is>
      </c>
      <c r="B379" s="1" t="n">
        <v>45544</v>
      </c>
      <c r="C379" s="1" t="n">
        <v>46132</v>
      </c>
      <c r="D379" t="inlineStr">
        <is>
          <t>VÄSTERBOTTENS LÄN</t>
        </is>
      </c>
      <c r="E379" t="inlineStr">
        <is>
          <t>UMEÅ</t>
        </is>
      </c>
      <c r="G379" t="n">
        <v>5.4</v>
      </c>
      <c r="H379" t="n">
        <v>0</v>
      </c>
      <c r="I379" t="n">
        <v>0</v>
      </c>
      <c r="J379" t="n">
        <v>0</v>
      </c>
      <c r="K379" t="n">
        <v>0</v>
      </c>
      <c r="L379" t="n">
        <v>0</v>
      </c>
      <c r="M379" t="n">
        <v>0</v>
      </c>
      <c r="N379" t="n">
        <v>0</v>
      </c>
      <c r="O379" t="n">
        <v>0</v>
      </c>
      <c r="P379" t="n">
        <v>0</v>
      </c>
      <c r="Q379" t="n">
        <v>0</v>
      </c>
      <c r="R379" s="2" t="inlineStr"/>
    </row>
    <row r="380" ht="15" customHeight="1">
      <c r="A380" t="inlineStr">
        <is>
          <t>A 56332-2023</t>
        </is>
      </c>
      <c r="B380" s="1" t="n">
        <v>45243.34</v>
      </c>
      <c r="C380" s="1" t="n">
        <v>46132</v>
      </c>
      <c r="D380" t="inlineStr">
        <is>
          <t>VÄSTERBOTTENS LÄN</t>
        </is>
      </c>
      <c r="E380" t="inlineStr">
        <is>
          <t>UMEÅ</t>
        </is>
      </c>
      <c r="G380" t="n">
        <v>1.7</v>
      </c>
      <c r="H380" t="n">
        <v>0</v>
      </c>
      <c r="I380" t="n">
        <v>0</v>
      </c>
      <c r="J380" t="n">
        <v>0</v>
      </c>
      <c r="K380" t="n">
        <v>0</v>
      </c>
      <c r="L380" t="n">
        <v>0</v>
      </c>
      <c r="M380" t="n">
        <v>0</v>
      </c>
      <c r="N380" t="n">
        <v>0</v>
      </c>
      <c r="O380" t="n">
        <v>0</v>
      </c>
      <c r="P380" t="n">
        <v>0</v>
      </c>
      <c r="Q380" t="n">
        <v>0</v>
      </c>
      <c r="R380" s="2" t="inlineStr"/>
    </row>
    <row r="381" ht="15" customHeight="1">
      <c r="A381" t="inlineStr">
        <is>
          <t>A 29656-2024</t>
        </is>
      </c>
      <c r="B381" s="1" t="n">
        <v>45484.92354166666</v>
      </c>
      <c r="C381" s="1" t="n">
        <v>46132</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41163-2025</t>
        </is>
      </c>
      <c r="B382" s="1" t="n">
        <v>45898.53366898148</v>
      </c>
      <c r="C382" s="1" t="n">
        <v>46132</v>
      </c>
      <c r="D382" t="inlineStr">
        <is>
          <t>VÄSTERBOTTENS LÄN</t>
        </is>
      </c>
      <c r="E382" t="inlineStr">
        <is>
          <t>UMEÅ</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40736-2025</t>
        </is>
      </c>
      <c r="B383" s="1" t="n">
        <v>45897.36565972222</v>
      </c>
      <c r="C383" s="1" t="n">
        <v>46132</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39233-2025</t>
        </is>
      </c>
      <c r="B384" s="1" t="n">
        <v>45889</v>
      </c>
      <c r="C384" s="1" t="n">
        <v>46132</v>
      </c>
      <c r="D384" t="inlineStr">
        <is>
          <t>VÄSTERBOTTENS LÄN</t>
        </is>
      </c>
      <c r="E384" t="inlineStr">
        <is>
          <t>UMEÅ</t>
        </is>
      </c>
      <c r="G384" t="n">
        <v>7.7</v>
      </c>
      <c r="H384" t="n">
        <v>0</v>
      </c>
      <c r="I384" t="n">
        <v>0</v>
      </c>
      <c r="J384" t="n">
        <v>0</v>
      </c>
      <c r="K384" t="n">
        <v>0</v>
      </c>
      <c r="L384" t="n">
        <v>0</v>
      </c>
      <c r="M384" t="n">
        <v>0</v>
      </c>
      <c r="N384" t="n">
        <v>0</v>
      </c>
      <c r="O384" t="n">
        <v>0</v>
      </c>
      <c r="P384" t="n">
        <v>0</v>
      </c>
      <c r="Q384" t="n">
        <v>0</v>
      </c>
      <c r="R384" s="2" t="inlineStr"/>
    </row>
    <row r="385" ht="15" customHeight="1">
      <c r="A385" t="inlineStr">
        <is>
          <t>A 52882-2025</t>
        </is>
      </c>
      <c r="B385" s="1" t="n">
        <v>45957.55465277778</v>
      </c>
      <c r="C385" s="1" t="n">
        <v>46132</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52925-2025</t>
        </is>
      </c>
      <c r="B386" s="1" t="n">
        <v>45957.6162962963</v>
      </c>
      <c r="C386" s="1" t="n">
        <v>46132</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52928-2025</t>
        </is>
      </c>
      <c r="B387" s="1" t="n">
        <v>45957.62016203703</v>
      </c>
      <c r="C387" s="1" t="n">
        <v>46132</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24540-2025</t>
        </is>
      </c>
      <c r="B388" s="1" t="n">
        <v>45798.44232638889</v>
      </c>
      <c r="C388" s="1" t="n">
        <v>46132</v>
      </c>
      <c r="D388" t="inlineStr">
        <is>
          <t>VÄSTERBOTTENS LÄN</t>
        </is>
      </c>
      <c r="E388" t="inlineStr">
        <is>
          <t>UMEÅ</t>
        </is>
      </c>
      <c r="G388" t="n">
        <v>9</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46132</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24595-2025</t>
        </is>
      </c>
      <c r="B390" s="1" t="n">
        <v>45798</v>
      </c>
      <c r="C390" s="1" t="n">
        <v>46132</v>
      </c>
      <c r="D390" t="inlineStr">
        <is>
          <t>VÄSTERBOTTENS LÄN</t>
        </is>
      </c>
      <c r="E390" t="inlineStr">
        <is>
          <t>UMEÅ</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40924-2025</t>
        </is>
      </c>
      <c r="B391" s="1" t="n">
        <v>45897.63927083334</v>
      </c>
      <c r="C391" s="1" t="n">
        <v>46132</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28855-2024</t>
        </is>
      </c>
      <c r="B392" s="1" t="n">
        <v>45478</v>
      </c>
      <c r="C392" s="1" t="n">
        <v>46132</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28997-2024</t>
        </is>
      </c>
      <c r="B393" s="1" t="n">
        <v>45481</v>
      </c>
      <c r="C393" s="1" t="n">
        <v>46132</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52679-2022</t>
        </is>
      </c>
      <c r="B394" s="1" t="n">
        <v>44874</v>
      </c>
      <c r="C394" s="1" t="n">
        <v>46132</v>
      </c>
      <c r="D394" t="inlineStr">
        <is>
          <t>VÄSTERBOTTENS LÄN</t>
        </is>
      </c>
      <c r="E394" t="inlineStr">
        <is>
          <t>UMEÅ</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41466-2025</t>
        </is>
      </c>
      <c r="B395" s="1" t="n">
        <v>45901</v>
      </c>
      <c r="C395" s="1" t="n">
        <v>46132</v>
      </c>
      <c r="D395" t="inlineStr">
        <is>
          <t>VÄSTERBOTTENS LÄN</t>
        </is>
      </c>
      <c r="E395" t="inlineStr">
        <is>
          <t>UMEÅ</t>
        </is>
      </c>
      <c r="G395" t="n">
        <v>0.3</v>
      </c>
      <c r="H395" t="n">
        <v>0</v>
      </c>
      <c r="I395" t="n">
        <v>0</v>
      </c>
      <c r="J395" t="n">
        <v>0</v>
      </c>
      <c r="K395" t="n">
        <v>0</v>
      </c>
      <c r="L395" t="n">
        <v>0</v>
      </c>
      <c r="M395" t="n">
        <v>0</v>
      </c>
      <c r="N395" t="n">
        <v>0</v>
      </c>
      <c r="O395" t="n">
        <v>0</v>
      </c>
      <c r="P395" t="n">
        <v>0</v>
      </c>
      <c r="Q395" t="n">
        <v>0</v>
      </c>
      <c r="R395" s="2" t="inlineStr"/>
    </row>
    <row r="396" ht="15" customHeight="1">
      <c r="A396" t="inlineStr">
        <is>
          <t>A 52990-2025</t>
        </is>
      </c>
      <c r="B396" s="1" t="n">
        <v>45957.71711805555</v>
      </c>
      <c r="C396" s="1" t="n">
        <v>46132</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46132</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41580-2025</t>
        </is>
      </c>
      <c r="B398" s="1" t="n">
        <v>45901.62168981481</v>
      </c>
      <c r="C398" s="1" t="n">
        <v>46132</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43973-2024</t>
        </is>
      </c>
      <c r="B399" s="1" t="n">
        <v>45572.49059027778</v>
      </c>
      <c r="C399" s="1" t="n">
        <v>46132</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52706-2025</t>
        </is>
      </c>
      <c r="B400" s="1" t="n">
        <v>45957.28523148148</v>
      </c>
      <c r="C400" s="1" t="n">
        <v>46132</v>
      </c>
      <c r="D400" t="inlineStr">
        <is>
          <t>VÄSTERBOTTENS LÄN</t>
        </is>
      </c>
      <c r="E400" t="inlineStr">
        <is>
          <t>UMEÅ</t>
        </is>
      </c>
      <c r="G400" t="n">
        <v>2</v>
      </c>
      <c r="H400" t="n">
        <v>0</v>
      </c>
      <c r="I400" t="n">
        <v>0</v>
      </c>
      <c r="J400" t="n">
        <v>0</v>
      </c>
      <c r="K400" t="n">
        <v>0</v>
      </c>
      <c r="L400" t="n">
        <v>0</v>
      </c>
      <c r="M400" t="n">
        <v>0</v>
      </c>
      <c r="N400" t="n">
        <v>0</v>
      </c>
      <c r="O400" t="n">
        <v>0</v>
      </c>
      <c r="P400" t="n">
        <v>0</v>
      </c>
      <c r="Q400" t="n">
        <v>0</v>
      </c>
      <c r="R400" s="2" t="inlineStr"/>
    </row>
    <row r="401" ht="15" customHeight="1">
      <c r="A401" t="inlineStr">
        <is>
          <t>A 12141-2025</t>
        </is>
      </c>
      <c r="B401" s="1" t="n">
        <v>45729.40373842593</v>
      </c>
      <c r="C401" s="1" t="n">
        <v>46132</v>
      </c>
      <c r="D401" t="inlineStr">
        <is>
          <t>VÄSTERBOTTENS LÄN</t>
        </is>
      </c>
      <c r="E401" t="inlineStr">
        <is>
          <t>UMEÅ</t>
        </is>
      </c>
      <c r="G401" t="n">
        <v>6.6</v>
      </c>
      <c r="H401" t="n">
        <v>0</v>
      </c>
      <c r="I401" t="n">
        <v>0</v>
      </c>
      <c r="J401" t="n">
        <v>0</v>
      </c>
      <c r="K401" t="n">
        <v>0</v>
      </c>
      <c r="L401" t="n">
        <v>0</v>
      </c>
      <c r="M401" t="n">
        <v>0</v>
      </c>
      <c r="N401" t="n">
        <v>0</v>
      </c>
      <c r="O401" t="n">
        <v>0</v>
      </c>
      <c r="P401" t="n">
        <v>0</v>
      </c>
      <c r="Q401" t="n">
        <v>0</v>
      </c>
      <c r="R401" s="2" t="inlineStr"/>
    </row>
    <row r="402" ht="15" customHeight="1">
      <c r="A402" t="inlineStr">
        <is>
          <t>A 19678-2024</t>
        </is>
      </c>
      <c r="B402" s="1" t="n">
        <v>45432.48533564815</v>
      </c>
      <c r="C402" s="1" t="n">
        <v>46132</v>
      </c>
      <c r="D402" t="inlineStr">
        <is>
          <t>VÄSTERBOTTENS LÄN</t>
        </is>
      </c>
      <c r="E402" t="inlineStr">
        <is>
          <t>UMEÅ</t>
        </is>
      </c>
      <c r="G402" t="n">
        <v>3.5</v>
      </c>
      <c r="H402" t="n">
        <v>0</v>
      </c>
      <c r="I402" t="n">
        <v>0</v>
      </c>
      <c r="J402" t="n">
        <v>0</v>
      </c>
      <c r="K402" t="n">
        <v>0</v>
      </c>
      <c r="L402" t="n">
        <v>0</v>
      </c>
      <c r="M402" t="n">
        <v>0</v>
      </c>
      <c r="N402" t="n">
        <v>0</v>
      </c>
      <c r="O402" t="n">
        <v>0</v>
      </c>
      <c r="P402" t="n">
        <v>0</v>
      </c>
      <c r="Q402" t="n">
        <v>0</v>
      </c>
      <c r="R402" s="2" t="inlineStr"/>
    </row>
    <row r="403" ht="15" customHeight="1">
      <c r="A403" t="inlineStr">
        <is>
          <t>A 35631-2024</t>
        </is>
      </c>
      <c r="B403" s="1" t="n">
        <v>45531.74990740741</v>
      </c>
      <c r="C403" s="1" t="n">
        <v>46132</v>
      </c>
      <c r="D403" t="inlineStr">
        <is>
          <t>VÄSTERBOTTENS LÄN</t>
        </is>
      </c>
      <c r="E403" t="inlineStr">
        <is>
          <t>UMEÅ</t>
        </is>
      </c>
      <c r="G403" t="n">
        <v>0.6</v>
      </c>
      <c r="H403" t="n">
        <v>0</v>
      </c>
      <c r="I403" t="n">
        <v>0</v>
      </c>
      <c r="J403" t="n">
        <v>0</v>
      </c>
      <c r="K403" t="n">
        <v>0</v>
      </c>
      <c r="L403" t="n">
        <v>0</v>
      </c>
      <c r="M403" t="n">
        <v>0</v>
      </c>
      <c r="N403" t="n">
        <v>0</v>
      </c>
      <c r="O403" t="n">
        <v>0</v>
      </c>
      <c r="P403" t="n">
        <v>0</v>
      </c>
      <c r="Q403" t="n">
        <v>0</v>
      </c>
      <c r="R403" s="2" t="inlineStr"/>
    </row>
    <row r="404" ht="15" customHeight="1">
      <c r="A404" t="inlineStr">
        <is>
          <t>A 19189-2024</t>
        </is>
      </c>
      <c r="B404" s="1" t="n">
        <v>45428</v>
      </c>
      <c r="C404" s="1" t="n">
        <v>46132</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26924-2024</t>
        </is>
      </c>
      <c r="B405" s="1" t="n">
        <v>45470.93101851852</v>
      </c>
      <c r="C405" s="1" t="n">
        <v>46132</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15376-2025</t>
        </is>
      </c>
      <c r="B406" s="1" t="n">
        <v>45747.40657407408</v>
      </c>
      <c r="C406" s="1" t="n">
        <v>46132</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25689-2025</t>
        </is>
      </c>
      <c r="B407" s="1" t="n">
        <v>45803.66111111111</v>
      </c>
      <c r="C407" s="1" t="n">
        <v>46132</v>
      </c>
      <c r="D407" t="inlineStr">
        <is>
          <t>VÄSTERBOTTENS LÄN</t>
        </is>
      </c>
      <c r="E407" t="inlineStr">
        <is>
          <t>UMEÅ</t>
        </is>
      </c>
      <c r="G407" t="n">
        <v>2.2</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46132</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46132</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42204-2025</t>
        </is>
      </c>
      <c r="B410" s="1" t="n">
        <v>45904.49043981481</v>
      </c>
      <c r="C410" s="1" t="n">
        <v>46132</v>
      </c>
      <c r="D410" t="inlineStr">
        <is>
          <t>VÄSTERBOTTENS LÄN</t>
        </is>
      </c>
      <c r="E410" t="inlineStr">
        <is>
          <t>UMEÅ</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53271-2025</t>
        </is>
      </c>
      <c r="B411" s="1" t="n">
        <v>45958.70387731482</v>
      </c>
      <c r="C411" s="1" t="n">
        <v>46132</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24780-2025</t>
        </is>
      </c>
      <c r="B412" s="1" t="n">
        <v>45799</v>
      </c>
      <c r="C412" s="1" t="n">
        <v>46132</v>
      </c>
      <c r="D412" t="inlineStr">
        <is>
          <t>VÄSTERBOTTENS LÄN</t>
        </is>
      </c>
      <c r="E412" t="inlineStr">
        <is>
          <t>UMEÅ</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46132</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42198-2025</t>
        </is>
      </c>
      <c r="B414" s="1" t="n">
        <v>45904.48623842592</v>
      </c>
      <c r="C414" s="1" t="n">
        <v>46132</v>
      </c>
      <c r="D414" t="inlineStr">
        <is>
          <t>VÄSTERBOTTENS LÄN</t>
        </is>
      </c>
      <c r="E414" t="inlineStr">
        <is>
          <t>UMEÅ</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46132</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33049-2025</t>
        </is>
      </c>
      <c r="B416" s="1" t="n">
        <v>45840.42099537037</v>
      </c>
      <c r="C416" s="1" t="n">
        <v>46132</v>
      </c>
      <c r="D416" t="inlineStr">
        <is>
          <t>VÄSTERBOTTENS LÄN</t>
        </is>
      </c>
      <c r="E416" t="inlineStr">
        <is>
          <t>UMEÅ</t>
        </is>
      </c>
      <c r="G416" t="n">
        <v>3.6</v>
      </c>
      <c r="H416" t="n">
        <v>0</v>
      </c>
      <c r="I416" t="n">
        <v>0</v>
      </c>
      <c r="J416" t="n">
        <v>0</v>
      </c>
      <c r="K416" t="n">
        <v>0</v>
      </c>
      <c r="L416" t="n">
        <v>0</v>
      </c>
      <c r="M416" t="n">
        <v>0</v>
      </c>
      <c r="N416" t="n">
        <v>0</v>
      </c>
      <c r="O416" t="n">
        <v>0</v>
      </c>
      <c r="P416" t="n">
        <v>0</v>
      </c>
      <c r="Q416" t="n">
        <v>0</v>
      </c>
      <c r="R416" s="2" t="inlineStr"/>
    </row>
    <row r="417" ht="15" customHeight="1">
      <c r="A417" t="inlineStr">
        <is>
          <t>A 31805-2025</t>
        </is>
      </c>
      <c r="B417" s="1" t="n">
        <v>45834.55314814814</v>
      </c>
      <c r="C417" s="1" t="n">
        <v>46132</v>
      </c>
      <c r="D417" t="inlineStr">
        <is>
          <t>VÄSTERBOTTENS LÄN</t>
        </is>
      </c>
      <c r="E417" t="inlineStr">
        <is>
          <t>UMEÅ</t>
        </is>
      </c>
      <c r="G417" t="n">
        <v>3.5</v>
      </c>
      <c r="H417" t="n">
        <v>0</v>
      </c>
      <c r="I417" t="n">
        <v>0</v>
      </c>
      <c r="J417" t="n">
        <v>0</v>
      </c>
      <c r="K417" t="n">
        <v>0</v>
      </c>
      <c r="L417" t="n">
        <v>0</v>
      </c>
      <c r="M417" t="n">
        <v>0</v>
      </c>
      <c r="N417" t="n">
        <v>0</v>
      </c>
      <c r="O417" t="n">
        <v>0</v>
      </c>
      <c r="P417" t="n">
        <v>0</v>
      </c>
      <c r="Q417" t="n">
        <v>0</v>
      </c>
      <c r="R417" s="2" t="inlineStr"/>
    </row>
    <row r="418" ht="15" customHeight="1">
      <c r="A418" t="inlineStr">
        <is>
          <t>A 42176-2025</t>
        </is>
      </c>
      <c r="B418" s="1" t="n">
        <v>45904.44513888889</v>
      </c>
      <c r="C418" s="1" t="n">
        <v>46132</v>
      </c>
      <c r="D418" t="inlineStr">
        <is>
          <t>VÄSTERBOTTENS LÄN</t>
        </is>
      </c>
      <c r="E418" t="inlineStr">
        <is>
          <t>UMEÅ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33883-2024</t>
        </is>
      </c>
      <c r="B419" s="1" t="n">
        <v>45522.81311342592</v>
      </c>
      <c r="C419" s="1" t="n">
        <v>46132</v>
      </c>
      <c r="D419" t="inlineStr">
        <is>
          <t>VÄSTERBOTTENS LÄN</t>
        </is>
      </c>
      <c r="E419" t="inlineStr">
        <is>
          <t>UMEÅ</t>
        </is>
      </c>
      <c r="F419" t="inlineStr">
        <is>
          <t>Holmen skog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34121-2021</t>
        </is>
      </c>
      <c r="B420" s="1" t="n">
        <v>44379</v>
      </c>
      <c r="C420" s="1" t="n">
        <v>46132</v>
      </c>
      <c r="D420" t="inlineStr">
        <is>
          <t>VÄSTERBOTTENS LÄN</t>
        </is>
      </c>
      <c r="E420" t="inlineStr">
        <is>
          <t>UMEÅ</t>
        </is>
      </c>
      <c r="G420" t="n">
        <v>2.5</v>
      </c>
      <c r="H420" t="n">
        <v>0</v>
      </c>
      <c r="I420" t="n">
        <v>0</v>
      </c>
      <c r="J420" t="n">
        <v>0</v>
      </c>
      <c r="K420" t="n">
        <v>0</v>
      </c>
      <c r="L420" t="n">
        <v>0</v>
      </c>
      <c r="M420" t="n">
        <v>0</v>
      </c>
      <c r="N420" t="n">
        <v>0</v>
      </c>
      <c r="O420" t="n">
        <v>0</v>
      </c>
      <c r="P420" t="n">
        <v>0</v>
      </c>
      <c r="Q420" t="n">
        <v>0</v>
      </c>
      <c r="R420" s="2" t="inlineStr"/>
    </row>
    <row r="421" ht="15" customHeight="1">
      <c r="A421" t="inlineStr">
        <is>
          <t>A 38135-2024</t>
        </is>
      </c>
      <c r="B421" s="1" t="n">
        <v>45545.41424768518</v>
      </c>
      <c r="C421" s="1" t="n">
        <v>46132</v>
      </c>
      <c r="D421" t="inlineStr">
        <is>
          <t>VÄSTERBOTTENS LÄN</t>
        </is>
      </c>
      <c r="E421" t="inlineStr">
        <is>
          <t>UMEÅ</t>
        </is>
      </c>
      <c r="G421" t="n">
        <v>8.6</v>
      </c>
      <c r="H421" t="n">
        <v>0</v>
      </c>
      <c r="I421" t="n">
        <v>0</v>
      </c>
      <c r="J421" t="n">
        <v>0</v>
      </c>
      <c r="K421" t="n">
        <v>0</v>
      </c>
      <c r="L421" t="n">
        <v>0</v>
      </c>
      <c r="M421" t="n">
        <v>0</v>
      </c>
      <c r="N421" t="n">
        <v>0</v>
      </c>
      <c r="O421" t="n">
        <v>0</v>
      </c>
      <c r="P421" t="n">
        <v>0</v>
      </c>
      <c r="Q421" t="n">
        <v>0</v>
      </c>
      <c r="R421" s="2" t="inlineStr"/>
    </row>
    <row r="422" ht="15" customHeight="1">
      <c r="A422" t="inlineStr">
        <is>
          <t>A 52992-2025</t>
        </is>
      </c>
      <c r="B422" s="1" t="n">
        <v>45957.72361111111</v>
      </c>
      <c r="C422" s="1" t="n">
        <v>46132</v>
      </c>
      <c r="D422" t="inlineStr">
        <is>
          <t>VÄSTERBOTTENS LÄN</t>
        </is>
      </c>
      <c r="E422" t="inlineStr">
        <is>
          <t>UMEÅ</t>
        </is>
      </c>
      <c r="G422" t="n">
        <v>0.5</v>
      </c>
      <c r="H422" t="n">
        <v>0</v>
      </c>
      <c r="I422" t="n">
        <v>0</v>
      </c>
      <c r="J422" t="n">
        <v>0</v>
      </c>
      <c r="K422" t="n">
        <v>0</v>
      </c>
      <c r="L422" t="n">
        <v>0</v>
      </c>
      <c r="M422" t="n">
        <v>0</v>
      </c>
      <c r="N422" t="n">
        <v>0</v>
      </c>
      <c r="O422" t="n">
        <v>0</v>
      </c>
      <c r="P422" t="n">
        <v>0</v>
      </c>
      <c r="Q422" t="n">
        <v>0</v>
      </c>
      <c r="R422" s="2" t="inlineStr"/>
    </row>
    <row r="423" ht="15" customHeight="1">
      <c r="A423" t="inlineStr">
        <is>
          <t>A 25838-2025</t>
        </is>
      </c>
      <c r="B423" s="1" t="n">
        <v>45804.44883101852</v>
      </c>
      <c r="C423" s="1" t="n">
        <v>46132</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36901-2024</t>
        </is>
      </c>
      <c r="B424" s="1" t="n">
        <v>45538.62810185185</v>
      </c>
      <c r="C424" s="1" t="n">
        <v>46132</v>
      </c>
      <c r="D424" t="inlineStr">
        <is>
          <t>VÄSTERBOTTENS LÄN</t>
        </is>
      </c>
      <c r="E424" t="inlineStr">
        <is>
          <t>UMEÅ</t>
        </is>
      </c>
      <c r="F424" t="inlineStr">
        <is>
          <t>Holmen skog AB</t>
        </is>
      </c>
      <c r="G424" t="n">
        <v>4.4</v>
      </c>
      <c r="H424" t="n">
        <v>0</v>
      </c>
      <c r="I424" t="n">
        <v>0</v>
      </c>
      <c r="J424" t="n">
        <v>0</v>
      </c>
      <c r="K424" t="n">
        <v>0</v>
      </c>
      <c r="L424" t="n">
        <v>0</v>
      </c>
      <c r="M424" t="n">
        <v>0</v>
      </c>
      <c r="N424" t="n">
        <v>0</v>
      </c>
      <c r="O424" t="n">
        <v>0</v>
      </c>
      <c r="P424" t="n">
        <v>0</v>
      </c>
      <c r="Q424" t="n">
        <v>0</v>
      </c>
      <c r="R424" s="2" t="inlineStr"/>
    </row>
    <row r="425" ht="15" customHeight="1">
      <c r="A425" t="inlineStr">
        <is>
          <t>A 36932-2024</t>
        </is>
      </c>
      <c r="B425" s="1" t="n">
        <v>45538</v>
      </c>
      <c r="C425" s="1" t="n">
        <v>46132</v>
      </c>
      <c r="D425" t="inlineStr">
        <is>
          <t>VÄSTERBOTTENS LÄN</t>
        </is>
      </c>
      <c r="E425" t="inlineStr">
        <is>
          <t>UMEÅ</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42617-2025</t>
        </is>
      </c>
      <c r="B426" s="1" t="n">
        <v>45905.71921296296</v>
      </c>
      <c r="C426" s="1" t="n">
        <v>46132</v>
      </c>
      <c r="D426" t="inlineStr">
        <is>
          <t>VÄSTERBOTTENS LÄN</t>
        </is>
      </c>
      <c r="E426" t="inlineStr">
        <is>
          <t>UMEÅ</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37014-2024</t>
        </is>
      </c>
      <c r="B427" s="1" t="n">
        <v>45539</v>
      </c>
      <c r="C427" s="1" t="n">
        <v>46132</v>
      </c>
      <c r="D427" t="inlineStr">
        <is>
          <t>VÄSTERBOTTENS LÄN</t>
        </is>
      </c>
      <c r="E427" t="inlineStr">
        <is>
          <t>UMEÅ</t>
        </is>
      </c>
      <c r="G427" t="n">
        <v>3.2</v>
      </c>
      <c r="H427" t="n">
        <v>0</v>
      </c>
      <c r="I427" t="n">
        <v>0</v>
      </c>
      <c r="J427" t="n">
        <v>0</v>
      </c>
      <c r="K427" t="n">
        <v>0</v>
      </c>
      <c r="L427" t="n">
        <v>0</v>
      </c>
      <c r="M427" t="n">
        <v>0</v>
      </c>
      <c r="N427" t="n">
        <v>0</v>
      </c>
      <c r="O427" t="n">
        <v>0</v>
      </c>
      <c r="P427" t="n">
        <v>0</v>
      </c>
      <c r="Q427" t="n">
        <v>0</v>
      </c>
      <c r="R427" s="2" t="inlineStr"/>
    </row>
    <row r="428" ht="15" customHeight="1">
      <c r="A428" t="inlineStr">
        <is>
          <t>A 42855-2025</t>
        </is>
      </c>
      <c r="B428" s="1" t="n">
        <v>45908</v>
      </c>
      <c r="C428" s="1" t="n">
        <v>46132</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29652-2024</t>
        </is>
      </c>
      <c r="B429" s="1" t="n">
        <v>45484.92328703704</v>
      </c>
      <c r="C429" s="1" t="n">
        <v>46132</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42854-2025</t>
        </is>
      </c>
      <c r="B430" s="1" t="n">
        <v>45908.60465277778</v>
      </c>
      <c r="C430" s="1" t="n">
        <v>46132</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26310-2025</t>
        </is>
      </c>
      <c r="B431" s="1" t="n">
        <v>45805.65432870371</v>
      </c>
      <c r="C431" s="1" t="n">
        <v>46132</v>
      </c>
      <c r="D431" t="inlineStr">
        <is>
          <t>VÄSTERBOTTENS LÄN</t>
        </is>
      </c>
      <c r="E431" t="inlineStr">
        <is>
          <t>UMEÅ</t>
        </is>
      </c>
      <c r="G431" t="n">
        <v>2</v>
      </c>
      <c r="H431" t="n">
        <v>0</v>
      </c>
      <c r="I431" t="n">
        <v>0</v>
      </c>
      <c r="J431" t="n">
        <v>0</v>
      </c>
      <c r="K431" t="n">
        <v>0</v>
      </c>
      <c r="L431" t="n">
        <v>0</v>
      </c>
      <c r="M431" t="n">
        <v>0</v>
      </c>
      <c r="N431" t="n">
        <v>0</v>
      </c>
      <c r="O431" t="n">
        <v>0</v>
      </c>
      <c r="P431" t="n">
        <v>0</v>
      </c>
      <c r="Q431" t="n">
        <v>0</v>
      </c>
      <c r="R431" s="2" t="inlineStr"/>
    </row>
    <row r="432" ht="15" customHeight="1">
      <c r="A432" t="inlineStr">
        <is>
          <t>A 43016-2025</t>
        </is>
      </c>
      <c r="B432" s="1" t="n">
        <v>45909.49864583334</v>
      </c>
      <c r="C432" s="1" t="n">
        <v>46132</v>
      </c>
      <c r="D432" t="inlineStr">
        <is>
          <t>VÄSTERBOTTENS LÄN</t>
        </is>
      </c>
      <c r="E432" t="inlineStr">
        <is>
          <t>UMEÅ</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53247-2025</t>
        </is>
      </c>
      <c r="B433" s="1" t="n">
        <v>45958.6490625</v>
      </c>
      <c r="C433" s="1" t="n">
        <v>46132</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42987-2025</t>
        </is>
      </c>
      <c r="B434" s="1" t="n">
        <v>45909</v>
      </c>
      <c r="C434" s="1" t="n">
        <v>46132</v>
      </c>
      <c r="D434" t="inlineStr">
        <is>
          <t>VÄSTERBOTTENS LÄN</t>
        </is>
      </c>
      <c r="E434" t="inlineStr">
        <is>
          <t>UMEÅ</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52966-2025</t>
        </is>
      </c>
      <c r="B435" s="1" t="n">
        <v>45957.66818287037</v>
      </c>
      <c r="C435" s="1" t="n">
        <v>46132</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52996-2025</t>
        </is>
      </c>
      <c r="B436" s="1" t="n">
        <v>45957.73085648148</v>
      </c>
      <c r="C436" s="1" t="n">
        <v>46132</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42939-2025</t>
        </is>
      </c>
      <c r="B437" s="1" t="n">
        <v>45909</v>
      </c>
      <c r="C437" s="1" t="n">
        <v>46132</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26183-2025</t>
        </is>
      </c>
      <c r="B438" s="1" t="n">
        <v>45805.47530092593</v>
      </c>
      <c r="C438" s="1" t="n">
        <v>46132</v>
      </c>
      <c r="D438" t="inlineStr">
        <is>
          <t>VÄSTERBOTTENS LÄN</t>
        </is>
      </c>
      <c r="E438" t="inlineStr">
        <is>
          <t>UMEÅ</t>
        </is>
      </c>
      <c r="F438" t="inlineStr">
        <is>
          <t>Holmen skog AB</t>
        </is>
      </c>
      <c r="G438" t="n">
        <v>2.4</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45909.66037037037</v>
      </c>
      <c r="C439" s="1" t="n">
        <v>46132</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1003-2025</t>
        </is>
      </c>
      <c r="B440" s="1" t="n">
        <v>45666.47462962963</v>
      </c>
      <c r="C440" s="1" t="n">
        <v>46132</v>
      </c>
      <c r="D440" t="inlineStr">
        <is>
          <t>VÄSTERBOTTENS LÄN</t>
        </is>
      </c>
      <c r="E440" t="inlineStr">
        <is>
          <t>UMEÅ</t>
        </is>
      </c>
      <c r="G440" t="n">
        <v>13.5</v>
      </c>
      <c r="H440" t="n">
        <v>0</v>
      </c>
      <c r="I440" t="n">
        <v>0</v>
      </c>
      <c r="J440" t="n">
        <v>0</v>
      </c>
      <c r="K440" t="n">
        <v>0</v>
      </c>
      <c r="L440" t="n">
        <v>0</v>
      </c>
      <c r="M440" t="n">
        <v>0</v>
      </c>
      <c r="N440" t="n">
        <v>0</v>
      </c>
      <c r="O440" t="n">
        <v>0</v>
      </c>
      <c r="P440" t="n">
        <v>0</v>
      </c>
      <c r="Q440" t="n">
        <v>0</v>
      </c>
      <c r="R440" s="2" t="inlineStr"/>
    </row>
    <row r="441" ht="15" customHeight="1">
      <c r="A441" t="inlineStr">
        <is>
          <t>A 37007-2024</t>
        </is>
      </c>
      <c r="B441" s="1" t="n">
        <v>45539</v>
      </c>
      <c r="C441" s="1" t="n">
        <v>46132</v>
      </c>
      <c r="D441" t="inlineStr">
        <is>
          <t>VÄSTERBOTTENS LÄN</t>
        </is>
      </c>
      <c r="E441" t="inlineStr">
        <is>
          <t>UMEÅ</t>
        </is>
      </c>
      <c r="G441" t="n">
        <v>6.2</v>
      </c>
      <c r="H441" t="n">
        <v>0</v>
      </c>
      <c r="I441" t="n">
        <v>0</v>
      </c>
      <c r="J441" t="n">
        <v>0</v>
      </c>
      <c r="K441" t="n">
        <v>0</v>
      </c>
      <c r="L441" t="n">
        <v>0</v>
      </c>
      <c r="M441" t="n">
        <v>0</v>
      </c>
      <c r="N441" t="n">
        <v>0</v>
      </c>
      <c r="O441" t="n">
        <v>0</v>
      </c>
      <c r="P441" t="n">
        <v>0</v>
      </c>
      <c r="Q441" t="n">
        <v>0</v>
      </c>
      <c r="R441" s="2" t="inlineStr"/>
    </row>
    <row r="442" ht="15" customHeight="1">
      <c r="A442" t="inlineStr">
        <is>
          <t>A 2048-2023</t>
        </is>
      </c>
      <c r="B442" s="1" t="n">
        <v>44939</v>
      </c>
      <c r="C442" s="1" t="n">
        <v>46132</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43687-2025</t>
        </is>
      </c>
      <c r="B443" s="1" t="n">
        <v>45912</v>
      </c>
      <c r="C443" s="1" t="n">
        <v>46132</v>
      </c>
      <c r="D443" t="inlineStr">
        <is>
          <t>VÄSTERBOTTENS LÄN</t>
        </is>
      </c>
      <c r="E443" t="inlineStr">
        <is>
          <t>UMEÅ</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43697-2025</t>
        </is>
      </c>
      <c r="B444" s="1" t="n">
        <v>45912.39591435185</v>
      </c>
      <c r="C444" s="1" t="n">
        <v>46132</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22538-2024</t>
        </is>
      </c>
      <c r="B445" s="1" t="n">
        <v>45447.46972222222</v>
      </c>
      <c r="C445" s="1" t="n">
        <v>46132</v>
      </c>
      <c r="D445" t="inlineStr">
        <is>
          <t>VÄSTERBOTTENS LÄN</t>
        </is>
      </c>
      <c r="E445" t="inlineStr">
        <is>
          <t>UMEÅ</t>
        </is>
      </c>
      <c r="F445" t="inlineStr">
        <is>
          <t>Holmen skog AB</t>
        </is>
      </c>
      <c r="G445" t="n">
        <v>7.1</v>
      </c>
      <c r="H445" t="n">
        <v>0</v>
      </c>
      <c r="I445" t="n">
        <v>0</v>
      </c>
      <c r="J445" t="n">
        <v>0</v>
      </c>
      <c r="K445" t="n">
        <v>0</v>
      </c>
      <c r="L445" t="n">
        <v>0</v>
      </c>
      <c r="M445" t="n">
        <v>0</v>
      </c>
      <c r="N445" t="n">
        <v>0</v>
      </c>
      <c r="O445" t="n">
        <v>0</v>
      </c>
      <c r="P445" t="n">
        <v>0</v>
      </c>
      <c r="Q445" t="n">
        <v>0</v>
      </c>
      <c r="R445" s="2" t="inlineStr"/>
    </row>
    <row r="446" ht="15" customHeight="1">
      <c r="A446" t="inlineStr">
        <is>
          <t>A 43708-2025</t>
        </is>
      </c>
      <c r="B446" s="1" t="n">
        <v>45912.40680555555</v>
      </c>
      <c r="C446" s="1" t="n">
        <v>46132</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43840-2025</t>
        </is>
      </c>
      <c r="B447" s="1" t="n">
        <v>45912.63535879629</v>
      </c>
      <c r="C447" s="1" t="n">
        <v>46132</v>
      </c>
      <c r="D447" t="inlineStr">
        <is>
          <t>VÄSTERBOTTENS LÄN</t>
        </is>
      </c>
      <c r="E447" t="inlineStr">
        <is>
          <t>UMEÅ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43889-2025</t>
        </is>
      </c>
      <c r="B448" s="1" t="n">
        <v>45912.6982175926</v>
      </c>
      <c r="C448" s="1" t="n">
        <v>46132</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46132</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15979-2024</t>
        </is>
      </c>
      <c r="B450" s="1" t="n">
        <v>45405</v>
      </c>
      <c r="C450" s="1" t="n">
        <v>46132</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55053-2023</t>
        </is>
      </c>
      <c r="B451" s="1" t="n">
        <v>45237</v>
      </c>
      <c r="C451" s="1" t="n">
        <v>46132</v>
      </c>
      <c r="D451" t="inlineStr">
        <is>
          <t>VÄSTERBOTTENS LÄN</t>
        </is>
      </c>
      <c r="E451" t="inlineStr">
        <is>
          <t>UMEÅ</t>
        </is>
      </c>
      <c r="G451" t="n">
        <v>1.3</v>
      </c>
      <c r="H451" t="n">
        <v>0</v>
      </c>
      <c r="I451" t="n">
        <v>0</v>
      </c>
      <c r="J451" t="n">
        <v>0</v>
      </c>
      <c r="K451" t="n">
        <v>0</v>
      </c>
      <c r="L451" t="n">
        <v>0</v>
      </c>
      <c r="M451" t="n">
        <v>0</v>
      </c>
      <c r="N451" t="n">
        <v>0</v>
      </c>
      <c r="O451" t="n">
        <v>0</v>
      </c>
      <c r="P451" t="n">
        <v>0</v>
      </c>
      <c r="Q451" t="n">
        <v>0</v>
      </c>
      <c r="R451" s="2" t="inlineStr"/>
    </row>
    <row r="452" ht="15" customHeight="1">
      <c r="A452" t="inlineStr">
        <is>
          <t>A 38434-2021</t>
        </is>
      </c>
      <c r="B452" s="1" t="n">
        <v>44406</v>
      </c>
      <c r="C452" s="1" t="n">
        <v>46132</v>
      </c>
      <c r="D452" t="inlineStr">
        <is>
          <t>VÄSTERBOTTENS LÄN</t>
        </is>
      </c>
      <c r="E452" t="inlineStr">
        <is>
          <t>UMEÅ</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40348-2021</t>
        </is>
      </c>
      <c r="B453" s="1" t="n">
        <v>44419.57832175926</v>
      </c>
      <c r="C453" s="1" t="n">
        <v>46132</v>
      </c>
      <c r="D453" t="inlineStr">
        <is>
          <t>VÄSTERBOTTENS LÄN</t>
        </is>
      </c>
      <c r="E453" t="inlineStr">
        <is>
          <t>UMEÅ</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53370-2025</t>
        </is>
      </c>
      <c r="B454" s="1" t="n">
        <v>45959.4962962963</v>
      </c>
      <c r="C454" s="1" t="n">
        <v>46132</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43789-2025</t>
        </is>
      </c>
      <c r="B455" s="1" t="n">
        <v>45912.53976851852</v>
      </c>
      <c r="C455" s="1" t="n">
        <v>46132</v>
      </c>
      <c r="D455" t="inlineStr">
        <is>
          <t>VÄSTERBOTTENS LÄN</t>
        </is>
      </c>
      <c r="E455" t="inlineStr">
        <is>
          <t>UMEÅ</t>
        </is>
      </c>
      <c r="F455" t="inlineStr">
        <is>
          <t>Holmen skog AB</t>
        </is>
      </c>
      <c r="G455" t="n">
        <v>21.1</v>
      </c>
      <c r="H455" t="n">
        <v>0</v>
      </c>
      <c r="I455" t="n">
        <v>0</v>
      </c>
      <c r="J455" t="n">
        <v>0</v>
      </c>
      <c r="K455" t="n">
        <v>0</v>
      </c>
      <c r="L455" t="n">
        <v>0</v>
      </c>
      <c r="M455" t="n">
        <v>0</v>
      </c>
      <c r="N455" t="n">
        <v>0</v>
      </c>
      <c r="O455" t="n">
        <v>0</v>
      </c>
      <c r="P455" t="n">
        <v>0</v>
      </c>
      <c r="Q455" t="n">
        <v>0</v>
      </c>
      <c r="R455" s="2" t="inlineStr"/>
    </row>
    <row r="456" ht="15" customHeight="1">
      <c r="A456" t="inlineStr">
        <is>
          <t>A 53336-2025</t>
        </is>
      </c>
      <c r="B456" s="1" t="n">
        <v>45959.39545138889</v>
      </c>
      <c r="C456" s="1" t="n">
        <v>46132</v>
      </c>
      <c r="D456" t="inlineStr">
        <is>
          <t>VÄSTERBOTTENS LÄN</t>
        </is>
      </c>
      <c r="E456" t="inlineStr">
        <is>
          <t>UMEÅ</t>
        </is>
      </c>
      <c r="G456" t="n">
        <v>9.9</v>
      </c>
      <c r="H456" t="n">
        <v>0</v>
      </c>
      <c r="I456" t="n">
        <v>0</v>
      </c>
      <c r="J456" t="n">
        <v>0</v>
      </c>
      <c r="K456" t="n">
        <v>0</v>
      </c>
      <c r="L456" t="n">
        <v>0</v>
      </c>
      <c r="M456" t="n">
        <v>0</v>
      </c>
      <c r="N456" t="n">
        <v>0</v>
      </c>
      <c r="O456" t="n">
        <v>0</v>
      </c>
      <c r="P456" t="n">
        <v>0</v>
      </c>
      <c r="Q456" t="n">
        <v>0</v>
      </c>
      <c r="R456" s="2" t="inlineStr"/>
    </row>
    <row r="457" ht="15" customHeight="1">
      <c r="A457" t="inlineStr">
        <is>
          <t>A 27246-2025</t>
        </is>
      </c>
      <c r="B457" s="1" t="n">
        <v>45812.46246527778</v>
      </c>
      <c r="C457" s="1" t="n">
        <v>46132</v>
      </c>
      <c r="D457" t="inlineStr">
        <is>
          <t>VÄSTERBOTTENS LÄN</t>
        </is>
      </c>
      <c r="E457" t="inlineStr">
        <is>
          <t>UMEÅ</t>
        </is>
      </c>
      <c r="G457" t="n">
        <v>7.2</v>
      </c>
      <c r="H457" t="n">
        <v>0</v>
      </c>
      <c r="I457" t="n">
        <v>0</v>
      </c>
      <c r="J457" t="n">
        <v>0</v>
      </c>
      <c r="K457" t="n">
        <v>0</v>
      </c>
      <c r="L457" t="n">
        <v>0</v>
      </c>
      <c r="M457" t="n">
        <v>0</v>
      </c>
      <c r="N457" t="n">
        <v>0</v>
      </c>
      <c r="O457" t="n">
        <v>0</v>
      </c>
      <c r="P457" t="n">
        <v>0</v>
      </c>
      <c r="Q457" t="n">
        <v>0</v>
      </c>
      <c r="R457" s="2" t="inlineStr"/>
    </row>
    <row r="458" ht="15" customHeight="1">
      <c r="A458" t="inlineStr">
        <is>
          <t>A 2659-2023</t>
        </is>
      </c>
      <c r="B458" s="1" t="n">
        <v>44944</v>
      </c>
      <c r="C458" s="1" t="n">
        <v>46132</v>
      </c>
      <c r="D458" t="inlineStr">
        <is>
          <t>VÄSTERBOTTENS LÄN</t>
        </is>
      </c>
      <c r="E458" t="inlineStr">
        <is>
          <t>UMEÅ</t>
        </is>
      </c>
      <c r="G458" t="n">
        <v>0.5</v>
      </c>
      <c r="H458" t="n">
        <v>0</v>
      </c>
      <c r="I458" t="n">
        <v>0</v>
      </c>
      <c r="J458" t="n">
        <v>0</v>
      </c>
      <c r="K458" t="n">
        <v>0</v>
      </c>
      <c r="L458" t="n">
        <v>0</v>
      </c>
      <c r="M458" t="n">
        <v>0</v>
      </c>
      <c r="N458" t="n">
        <v>0</v>
      </c>
      <c r="O458" t="n">
        <v>0</v>
      </c>
      <c r="P458" t="n">
        <v>0</v>
      </c>
      <c r="Q458" t="n">
        <v>0</v>
      </c>
      <c r="R458" s="2" t="inlineStr"/>
    </row>
    <row r="459" ht="15" customHeight="1">
      <c r="A459" t="inlineStr">
        <is>
          <t>A 26930-2025</t>
        </is>
      </c>
      <c r="B459" s="1" t="n">
        <v>45811.39753472222</v>
      </c>
      <c r="C459" s="1" t="n">
        <v>46132</v>
      </c>
      <c r="D459" t="inlineStr">
        <is>
          <t>VÄSTERBOTTENS LÄN</t>
        </is>
      </c>
      <c r="E459" t="inlineStr">
        <is>
          <t>UMEÅ</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34320-2024</t>
        </is>
      </c>
      <c r="B460" s="1" t="n">
        <v>45524</v>
      </c>
      <c r="C460" s="1" t="n">
        <v>46132</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11511-2022</t>
        </is>
      </c>
      <c r="B461" s="1" t="n">
        <v>44631.33300925926</v>
      </c>
      <c r="C461" s="1" t="n">
        <v>46132</v>
      </c>
      <c r="D461" t="inlineStr">
        <is>
          <t>VÄSTERBOTTENS LÄN</t>
        </is>
      </c>
      <c r="E461" t="inlineStr">
        <is>
          <t>UMEÅ</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54693-2025</t>
        </is>
      </c>
      <c r="B462" s="1" t="n">
        <v>45966.46192129629</v>
      </c>
      <c r="C462" s="1" t="n">
        <v>46132</v>
      </c>
      <c r="D462" t="inlineStr">
        <is>
          <t>VÄSTERBOTTENS LÄN</t>
        </is>
      </c>
      <c r="E462" t="inlineStr">
        <is>
          <t>UMEÅ</t>
        </is>
      </c>
      <c r="G462" t="n">
        <v>2.8</v>
      </c>
      <c r="H462" t="n">
        <v>0</v>
      </c>
      <c r="I462" t="n">
        <v>0</v>
      </c>
      <c r="J462" t="n">
        <v>0</v>
      </c>
      <c r="K462" t="n">
        <v>0</v>
      </c>
      <c r="L462" t="n">
        <v>0</v>
      </c>
      <c r="M462" t="n">
        <v>0</v>
      </c>
      <c r="N462" t="n">
        <v>0</v>
      </c>
      <c r="O462" t="n">
        <v>0</v>
      </c>
      <c r="P462" t="n">
        <v>0</v>
      </c>
      <c r="Q462" t="n">
        <v>0</v>
      </c>
      <c r="R462" s="2" t="inlineStr"/>
    </row>
    <row r="463" ht="15" customHeight="1">
      <c r="A463" t="inlineStr">
        <is>
          <t>A 30021-2024</t>
        </is>
      </c>
      <c r="B463" s="1" t="n">
        <v>45488</v>
      </c>
      <c r="C463" s="1" t="n">
        <v>46132</v>
      </c>
      <c r="D463" t="inlineStr">
        <is>
          <t>VÄSTERBOTTENS LÄN</t>
        </is>
      </c>
      <c r="E463" t="inlineStr">
        <is>
          <t>UMEÅ</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44494-2025</t>
        </is>
      </c>
      <c r="B464" s="1" t="n">
        <v>45916.66503472222</v>
      </c>
      <c r="C464" s="1" t="n">
        <v>46132</v>
      </c>
      <c r="D464" t="inlineStr">
        <is>
          <t>VÄSTERBOTTENS LÄN</t>
        </is>
      </c>
      <c r="E464" t="inlineStr">
        <is>
          <t>UMEÅ</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30020-2024</t>
        </is>
      </c>
      <c r="B465" s="1" t="n">
        <v>45488</v>
      </c>
      <c r="C465" s="1" t="n">
        <v>46132</v>
      </c>
      <c r="D465" t="inlineStr">
        <is>
          <t>VÄSTERBOTTENS LÄN</t>
        </is>
      </c>
      <c r="E465" t="inlineStr">
        <is>
          <t>UMEÅ</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49875-2025</t>
        </is>
      </c>
      <c r="B466" s="1" t="n">
        <v>45940.55391203704</v>
      </c>
      <c r="C466" s="1" t="n">
        <v>46132</v>
      </c>
      <c r="D466" t="inlineStr">
        <is>
          <t>VÄSTERBOTTENS LÄN</t>
        </is>
      </c>
      <c r="E466" t="inlineStr">
        <is>
          <t>UMEÅ</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56085-2024</t>
        </is>
      </c>
      <c r="B467" s="1" t="n">
        <v>45623</v>
      </c>
      <c r="C467" s="1" t="n">
        <v>46132</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46132</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27172-2025</t>
        </is>
      </c>
      <c r="B469" s="1" t="n">
        <v>45812.34858796297</v>
      </c>
      <c r="C469" s="1" t="n">
        <v>46132</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27173-2025</t>
        </is>
      </c>
      <c r="B470" s="1" t="n">
        <v>45812.34997685185</v>
      </c>
      <c r="C470" s="1" t="n">
        <v>46132</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16021-2025</t>
        </is>
      </c>
      <c r="B471" s="1" t="n">
        <v>45749</v>
      </c>
      <c r="C471" s="1" t="n">
        <v>46132</v>
      </c>
      <c r="D471" t="inlineStr">
        <is>
          <t>VÄSTERBOTTENS LÄN</t>
        </is>
      </c>
      <c r="E471" t="inlineStr">
        <is>
          <t>UMEÅ</t>
        </is>
      </c>
      <c r="G471" t="n">
        <v>4.5</v>
      </c>
      <c r="H471" t="n">
        <v>0</v>
      </c>
      <c r="I471" t="n">
        <v>0</v>
      </c>
      <c r="J471" t="n">
        <v>0</v>
      </c>
      <c r="K471" t="n">
        <v>0</v>
      </c>
      <c r="L471" t="n">
        <v>0</v>
      </c>
      <c r="M471" t="n">
        <v>0</v>
      </c>
      <c r="N471" t="n">
        <v>0</v>
      </c>
      <c r="O471" t="n">
        <v>0</v>
      </c>
      <c r="P471" t="n">
        <v>0</v>
      </c>
      <c r="Q471" t="n">
        <v>0</v>
      </c>
      <c r="R471" s="2" t="inlineStr"/>
    </row>
    <row r="472" ht="15" customHeight="1">
      <c r="A472" t="inlineStr">
        <is>
          <t>A 54320-2025</t>
        </is>
      </c>
      <c r="B472" s="1" t="n">
        <v>45965.34202546296</v>
      </c>
      <c r="C472" s="1" t="n">
        <v>46132</v>
      </c>
      <c r="D472" t="inlineStr">
        <is>
          <t>VÄSTERBOTTENS LÄN</t>
        </is>
      </c>
      <c r="E472" t="inlineStr">
        <is>
          <t>UMEÅ</t>
        </is>
      </c>
      <c r="G472" t="n">
        <v>2.9</v>
      </c>
      <c r="H472" t="n">
        <v>0</v>
      </c>
      <c r="I472" t="n">
        <v>0</v>
      </c>
      <c r="J472" t="n">
        <v>0</v>
      </c>
      <c r="K472" t="n">
        <v>0</v>
      </c>
      <c r="L472" t="n">
        <v>0</v>
      </c>
      <c r="M472" t="n">
        <v>0</v>
      </c>
      <c r="N472" t="n">
        <v>0</v>
      </c>
      <c r="O472" t="n">
        <v>0</v>
      </c>
      <c r="P472" t="n">
        <v>0</v>
      </c>
      <c r="Q472" t="n">
        <v>0</v>
      </c>
      <c r="R472" s="2" t="inlineStr"/>
    </row>
    <row r="473" ht="15" customHeight="1">
      <c r="A473" t="inlineStr">
        <is>
          <t>A 44064-2025</t>
        </is>
      </c>
      <c r="B473" s="1" t="n">
        <v>45915.54059027778</v>
      </c>
      <c r="C473" s="1" t="n">
        <v>46132</v>
      </c>
      <c r="D473" t="inlineStr">
        <is>
          <t>VÄSTERBOTTENS LÄN</t>
        </is>
      </c>
      <c r="E473" t="inlineStr">
        <is>
          <t>UMEÅ</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54321-2025</t>
        </is>
      </c>
      <c r="B474" s="1" t="n">
        <v>45965.34315972222</v>
      </c>
      <c r="C474" s="1" t="n">
        <v>46132</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54796-2025</t>
        </is>
      </c>
      <c r="B475" s="1" t="n">
        <v>45966.63635416667</v>
      </c>
      <c r="C475" s="1" t="n">
        <v>46132</v>
      </c>
      <c r="D475" t="inlineStr">
        <is>
          <t>VÄSTERBOTTENS LÄN</t>
        </is>
      </c>
      <c r="E475" t="inlineStr">
        <is>
          <t>UMEÅ</t>
        </is>
      </c>
      <c r="G475" t="n">
        <v>7.2</v>
      </c>
      <c r="H475" t="n">
        <v>0</v>
      </c>
      <c r="I475" t="n">
        <v>0</v>
      </c>
      <c r="J475" t="n">
        <v>0</v>
      </c>
      <c r="K475" t="n">
        <v>0</v>
      </c>
      <c r="L475" t="n">
        <v>0</v>
      </c>
      <c r="M475" t="n">
        <v>0</v>
      </c>
      <c r="N475" t="n">
        <v>0</v>
      </c>
      <c r="O475" t="n">
        <v>0</v>
      </c>
      <c r="P475" t="n">
        <v>0</v>
      </c>
      <c r="Q475" t="n">
        <v>0</v>
      </c>
      <c r="R475" s="2" t="inlineStr"/>
    </row>
    <row r="476" ht="15" customHeight="1">
      <c r="A476" t="inlineStr">
        <is>
          <t>A 54797-2025</t>
        </is>
      </c>
      <c r="B476" s="1" t="n">
        <v>45966.63638888889</v>
      </c>
      <c r="C476" s="1" t="n">
        <v>46132</v>
      </c>
      <c r="D476" t="inlineStr">
        <is>
          <t>VÄSTERBOTTENS LÄN</t>
        </is>
      </c>
      <c r="E476" t="inlineStr">
        <is>
          <t>UMEÅ</t>
        </is>
      </c>
      <c r="G476" t="n">
        <v>7</v>
      </c>
      <c r="H476" t="n">
        <v>0</v>
      </c>
      <c r="I476" t="n">
        <v>0</v>
      </c>
      <c r="J476" t="n">
        <v>0</v>
      </c>
      <c r="K476" t="n">
        <v>0</v>
      </c>
      <c r="L476" t="n">
        <v>0</v>
      </c>
      <c r="M476" t="n">
        <v>0</v>
      </c>
      <c r="N476" t="n">
        <v>0</v>
      </c>
      <c r="O476" t="n">
        <v>0</v>
      </c>
      <c r="P476" t="n">
        <v>0</v>
      </c>
      <c r="Q476" t="n">
        <v>0</v>
      </c>
      <c r="R476" s="2" t="inlineStr"/>
    </row>
    <row r="477" ht="15" customHeight="1">
      <c r="A477" t="inlineStr">
        <is>
          <t>A 44168-2025</t>
        </is>
      </c>
      <c r="B477" s="1" t="n">
        <v>45915.59853009259</v>
      </c>
      <c r="C477" s="1" t="n">
        <v>46132</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44081-2025</t>
        </is>
      </c>
      <c r="B478" s="1" t="n">
        <v>45915.55290509259</v>
      </c>
      <c r="C478" s="1" t="n">
        <v>46132</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42160-2024</t>
        </is>
      </c>
      <c r="B479" s="1" t="n">
        <v>45562.45623842593</v>
      </c>
      <c r="C479" s="1" t="n">
        <v>46132</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42014-2024</t>
        </is>
      </c>
      <c r="B480" s="1" t="n">
        <v>45561.69625</v>
      </c>
      <c r="C480" s="1" t="n">
        <v>46132</v>
      </c>
      <c r="D480" t="inlineStr">
        <is>
          <t>VÄSTERBOTTENS LÄN</t>
        </is>
      </c>
      <c r="E480" t="inlineStr">
        <is>
          <t>UMEÅ</t>
        </is>
      </c>
      <c r="G480" t="n">
        <v>3.5</v>
      </c>
      <c r="H480" t="n">
        <v>0</v>
      </c>
      <c r="I480" t="n">
        <v>0</v>
      </c>
      <c r="J480" t="n">
        <v>0</v>
      </c>
      <c r="K480" t="n">
        <v>0</v>
      </c>
      <c r="L480" t="n">
        <v>0</v>
      </c>
      <c r="M480" t="n">
        <v>0</v>
      </c>
      <c r="N480" t="n">
        <v>0</v>
      </c>
      <c r="O480" t="n">
        <v>0</v>
      </c>
      <c r="P480" t="n">
        <v>0</v>
      </c>
      <c r="Q480" t="n">
        <v>0</v>
      </c>
      <c r="R480" s="2" t="inlineStr"/>
    </row>
    <row r="481" ht="15" customHeight="1">
      <c r="A481" t="inlineStr">
        <is>
          <t>A 44730-2025</t>
        </is>
      </c>
      <c r="B481" s="1" t="n">
        <v>45917.65262731481</v>
      </c>
      <c r="C481" s="1" t="n">
        <v>46132</v>
      </c>
      <c r="D481" t="inlineStr">
        <is>
          <t>VÄSTERBOTTENS LÄN</t>
        </is>
      </c>
      <c r="E481" t="inlineStr">
        <is>
          <t>UMEÅ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1821-2022</t>
        </is>
      </c>
      <c r="B482" s="1" t="n">
        <v>44574.65519675926</v>
      </c>
      <c r="C482" s="1" t="n">
        <v>46132</v>
      </c>
      <c r="D482" t="inlineStr">
        <is>
          <t>VÄSTERBOTTENS LÄN</t>
        </is>
      </c>
      <c r="E482" t="inlineStr">
        <is>
          <t>UMEÅ</t>
        </is>
      </c>
      <c r="G482" t="n">
        <v>0.5</v>
      </c>
      <c r="H482" t="n">
        <v>0</v>
      </c>
      <c r="I482" t="n">
        <v>0</v>
      </c>
      <c r="J482" t="n">
        <v>0</v>
      </c>
      <c r="K482" t="n">
        <v>0</v>
      </c>
      <c r="L482" t="n">
        <v>0</v>
      </c>
      <c r="M482" t="n">
        <v>0</v>
      </c>
      <c r="N482" t="n">
        <v>0</v>
      </c>
      <c r="O482" t="n">
        <v>0</v>
      </c>
      <c r="P482" t="n">
        <v>0</v>
      </c>
      <c r="Q482" t="n">
        <v>0</v>
      </c>
      <c r="R482" s="2" t="inlineStr"/>
    </row>
    <row r="483" ht="15" customHeight="1">
      <c r="A483" t="inlineStr">
        <is>
          <t>A 44838-2025</t>
        </is>
      </c>
      <c r="B483" s="1" t="n">
        <v>45918.42427083333</v>
      </c>
      <c r="C483" s="1" t="n">
        <v>46132</v>
      </c>
      <c r="D483" t="inlineStr">
        <is>
          <t>VÄSTERBOTTENS LÄN</t>
        </is>
      </c>
      <c r="E483" t="inlineStr">
        <is>
          <t>UMEÅ</t>
        </is>
      </c>
      <c r="G483" t="n">
        <v>0.6</v>
      </c>
      <c r="H483" t="n">
        <v>0</v>
      </c>
      <c r="I483" t="n">
        <v>0</v>
      </c>
      <c r="J483" t="n">
        <v>0</v>
      </c>
      <c r="K483" t="n">
        <v>0</v>
      </c>
      <c r="L483" t="n">
        <v>0</v>
      </c>
      <c r="M483" t="n">
        <v>0</v>
      </c>
      <c r="N483" t="n">
        <v>0</v>
      </c>
      <c r="O483" t="n">
        <v>0</v>
      </c>
      <c r="P483" t="n">
        <v>0</v>
      </c>
      <c r="Q483" t="n">
        <v>0</v>
      </c>
      <c r="R483" s="2" t="inlineStr"/>
    </row>
    <row r="484" ht="15" customHeight="1">
      <c r="A484" t="inlineStr">
        <is>
          <t>A 44725-2025</t>
        </is>
      </c>
      <c r="B484" s="1" t="n">
        <v>45917.64240740741</v>
      </c>
      <c r="C484" s="1" t="n">
        <v>46132</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14242-2023</t>
        </is>
      </c>
      <c r="B485" s="1" t="n">
        <v>45009</v>
      </c>
      <c r="C485" s="1" t="n">
        <v>46132</v>
      </c>
      <c r="D485" t="inlineStr">
        <is>
          <t>VÄSTERBOTTENS LÄN</t>
        </is>
      </c>
      <c r="E485" t="inlineStr">
        <is>
          <t>UMEÅ</t>
        </is>
      </c>
      <c r="G485" t="n">
        <v>1.3</v>
      </c>
      <c r="H485" t="n">
        <v>0</v>
      </c>
      <c r="I485" t="n">
        <v>0</v>
      </c>
      <c r="J485" t="n">
        <v>0</v>
      </c>
      <c r="K485" t="n">
        <v>0</v>
      </c>
      <c r="L485" t="n">
        <v>0</v>
      </c>
      <c r="M485" t="n">
        <v>0</v>
      </c>
      <c r="N485" t="n">
        <v>0</v>
      </c>
      <c r="O485" t="n">
        <v>0</v>
      </c>
      <c r="P485" t="n">
        <v>0</v>
      </c>
      <c r="Q485" t="n">
        <v>0</v>
      </c>
      <c r="R485" s="2" t="inlineStr"/>
    </row>
    <row r="486" ht="15" customHeight="1">
      <c r="A486" t="inlineStr">
        <is>
          <t>A 27681-2025</t>
        </is>
      </c>
      <c r="B486" s="1" t="n">
        <v>45813.646875</v>
      </c>
      <c r="C486" s="1" t="n">
        <v>46132</v>
      </c>
      <c r="D486" t="inlineStr">
        <is>
          <t>VÄSTERBOTTENS LÄN</t>
        </is>
      </c>
      <c r="E486" t="inlineStr">
        <is>
          <t>UMEÅ</t>
        </is>
      </c>
      <c r="G486" t="n">
        <v>6.9</v>
      </c>
      <c r="H486" t="n">
        <v>0</v>
      </c>
      <c r="I486" t="n">
        <v>0</v>
      </c>
      <c r="J486" t="n">
        <v>0</v>
      </c>
      <c r="K486" t="n">
        <v>0</v>
      </c>
      <c r="L486" t="n">
        <v>0</v>
      </c>
      <c r="M486" t="n">
        <v>0</v>
      </c>
      <c r="N486" t="n">
        <v>0</v>
      </c>
      <c r="O486" t="n">
        <v>0</v>
      </c>
      <c r="P486" t="n">
        <v>0</v>
      </c>
      <c r="Q486" t="n">
        <v>0</v>
      </c>
      <c r="R486" s="2" t="inlineStr"/>
    </row>
    <row r="487" ht="15" customHeight="1">
      <c r="A487" t="inlineStr">
        <is>
          <t>A 44751-2025</t>
        </is>
      </c>
      <c r="B487" s="1" t="n">
        <v>45917.68104166666</v>
      </c>
      <c r="C487" s="1" t="n">
        <v>46132</v>
      </c>
      <c r="D487" t="inlineStr">
        <is>
          <t>VÄSTERBOTTENS LÄN</t>
        </is>
      </c>
      <c r="E487" t="inlineStr">
        <is>
          <t>UMEÅ</t>
        </is>
      </c>
      <c r="G487" t="n">
        <v>9.1</v>
      </c>
      <c r="H487" t="n">
        <v>0</v>
      </c>
      <c r="I487" t="n">
        <v>0</v>
      </c>
      <c r="J487" t="n">
        <v>0</v>
      </c>
      <c r="K487" t="n">
        <v>0</v>
      </c>
      <c r="L487" t="n">
        <v>0</v>
      </c>
      <c r="M487" t="n">
        <v>0</v>
      </c>
      <c r="N487" t="n">
        <v>0</v>
      </c>
      <c r="O487" t="n">
        <v>0</v>
      </c>
      <c r="P487" t="n">
        <v>0</v>
      </c>
      <c r="Q487" t="n">
        <v>0</v>
      </c>
      <c r="R487" s="2" t="inlineStr"/>
    </row>
    <row r="488" ht="15" customHeight="1">
      <c r="A488" t="inlineStr">
        <is>
          <t>A 15656-2023</t>
        </is>
      </c>
      <c r="B488" s="1" t="n">
        <v>45019</v>
      </c>
      <c r="C488" s="1" t="n">
        <v>46132</v>
      </c>
      <c r="D488" t="inlineStr">
        <is>
          <t>VÄSTERBOTTENS LÄN</t>
        </is>
      </c>
      <c r="E488" t="inlineStr">
        <is>
          <t>UMEÅ</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39615-2024</t>
        </is>
      </c>
      <c r="B489" s="1" t="n">
        <v>45552</v>
      </c>
      <c r="C489" s="1" t="n">
        <v>46132</v>
      </c>
      <c r="D489" t="inlineStr">
        <is>
          <t>VÄSTERBOTTENS LÄN</t>
        </is>
      </c>
      <c r="E489" t="inlineStr">
        <is>
          <t>UMEÅ</t>
        </is>
      </c>
      <c r="F489" t="inlineStr">
        <is>
          <t>Holmen skog AB</t>
        </is>
      </c>
      <c r="G489" t="n">
        <v>9.4</v>
      </c>
      <c r="H489" t="n">
        <v>0</v>
      </c>
      <c r="I489" t="n">
        <v>0</v>
      </c>
      <c r="J489" t="n">
        <v>0</v>
      </c>
      <c r="K489" t="n">
        <v>0</v>
      </c>
      <c r="L489" t="n">
        <v>0</v>
      </c>
      <c r="M489" t="n">
        <v>0</v>
      </c>
      <c r="N489" t="n">
        <v>0</v>
      </c>
      <c r="O489" t="n">
        <v>0</v>
      </c>
      <c r="P489" t="n">
        <v>0</v>
      </c>
      <c r="Q489" t="n">
        <v>0</v>
      </c>
      <c r="R489" s="2" t="inlineStr"/>
    </row>
    <row r="490" ht="15" customHeight="1">
      <c r="A490" t="inlineStr">
        <is>
          <t>A 27689-2025</t>
        </is>
      </c>
      <c r="B490" s="1" t="n">
        <v>45813.65648148148</v>
      </c>
      <c r="C490" s="1" t="n">
        <v>46132</v>
      </c>
      <c r="D490" t="inlineStr">
        <is>
          <t>VÄSTERBOTTENS LÄN</t>
        </is>
      </c>
      <c r="E490" t="inlineStr">
        <is>
          <t>UMEÅ</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32788-2024</t>
        </is>
      </c>
      <c r="B491" s="1" t="n">
        <v>45516.5365625</v>
      </c>
      <c r="C491" s="1" t="n">
        <v>46132</v>
      </c>
      <c r="D491" t="inlineStr">
        <is>
          <t>VÄSTERBOTTENS LÄN</t>
        </is>
      </c>
      <c r="E491" t="inlineStr">
        <is>
          <t>UMEÅ</t>
        </is>
      </c>
      <c r="G491" t="n">
        <v>1.3</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45769.44732638889</v>
      </c>
      <c r="C492" s="1" t="n">
        <v>46132</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55658-2025</t>
        </is>
      </c>
      <c r="B493" s="1" t="n">
        <v>45972.3912037037</v>
      </c>
      <c r="C493" s="1" t="n">
        <v>46132</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21081-2024</t>
        </is>
      </c>
      <c r="B494" s="1" t="n">
        <v>45439</v>
      </c>
      <c r="C494" s="1" t="n">
        <v>46132</v>
      </c>
      <c r="D494" t="inlineStr">
        <is>
          <t>VÄSTERBOTTENS LÄN</t>
        </is>
      </c>
      <c r="E494" t="inlineStr">
        <is>
          <t>UMEÅ</t>
        </is>
      </c>
      <c r="G494" t="n">
        <v>3</v>
      </c>
      <c r="H494" t="n">
        <v>0</v>
      </c>
      <c r="I494" t="n">
        <v>0</v>
      </c>
      <c r="J494" t="n">
        <v>0</v>
      </c>
      <c r="K494" t="n">
        <v>0</v>
      </c>
      <c r="L494" t="n">
        <v>0</v>
      </c>
      <c r="M494" t="n">
        <v>0</v>
      </c>
      <c r="N494" t="n">
        <v>0</v>
      </c>
      <c r="O494" t="n">
        <v>0</v>
      </c>
      <c r="P494" t="n">
        <v>0</v>
      </c>
      <c r="Q494" t="n">
        <v>0</v>
      </c>
      <c r="R494" s="2" t="inlineStr"/>
    </row>
    <row r="495" ht="15" customHeight="1">
      <c r="A495" t="inlineStr">
        <is>
          <t>A 45184-2025</t>
        </is>
      </c>
      <c r="B495" s="1" t="n">
        <v>45919.53916666667</v>
      </c>
      <c r="C495" s="1" t="n">
        <v>46132</v>
      </c>
      <c r="D495" t="inlineStr">
        <is>
          <t>VÄSTERBOTTENS LÄN</t>
        </is>
      </c>
      <c r="E495" t="inlineStr">
        <is>
          <t>UMEÅ</t>
        </is>
      </c>
      <c r="F495" t="inlineStr">
        <is>
          <t>Holmen skog AB</t>
        </is>
      </c>
      <c r="G495" t="n">
        <v>14.7</v>
      </c>
      <c r="H495" t="n">
        <v>0</v>
      </c>
      <c r="I495" t="n">
        <v>0</v>
      </c>
      <c r="J495" t="n">
        <v>0</v>
      </c>
      <c r="K495" t="n">
        <v>0</v>
      </c>
      <c r="L495" t="n">
        <v>0</v>
      </c>
      <c r="M495" t="n">
        <v>0</v>
      </c>
      <c r="N495" t="n">
        <v>0</v>
      </c>
      <c r="O495" t="n">
        <v>0</v>
      </c>
      <c r="P495" t="n">
        <v>0</v>
      </c>
      <c r="Q495" t="n">
        <v>0</v>
      </c>
      <c r="R495" s="2" t="inlineStr"/>
    </row>
    <row r="496" ht="15" customHeight="1">
      <c r="A496" t="inlineStr">
        <is>
          <t>A 46232-2024</t>
        </is>
      </c>
      <c r="B496" s="1" t="n">
        <v>45581.57825231482</v>
      </c>
      <c r="C496" s="1" t="n">
        <v>46132</v>
      </c>
      <c r="D496" t="inlineStr">
        <is>
          <t>VÄSTERBOTTENS LÄN</t>
        </is>
      </c>
      <c r="E496" t="inlineStr">
        <is>
          <t>UMEÅ</t>
        </is>
      </c>
      <c r="G496" t="n">
        <v>4.1</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46132</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31441-2024</t>
        </is>
      </c>
      <c r="B498" s="1" t="n">
        <v>45505</v>
      </c>
      <c r="C498" s="1" t="n">
        <v>46132</v>
      </c>
      <c r="D498" t="inlineStr">
        <is>
          <t>VÄSTERBOTTENS LÄN</t>
        </is>
      </c>
      <c r="E498" t="inlineStr">
        <is>
          <t>UMEÅ</t>
        </is>
      </c>
      <c r="G498" t="n">
        <v>2.7</v>
      </c>
      <c r="H498" t="n">
        <v>0</v>
      </c>
      <c r="I498" t="n">
        <v>0</v>
      </c>
      <c r="J498" t="n">
        <v>0</v>
      </c>
      <c r="K498" t="n">
        <v>0</v>
      </c>
      <c r="L498" t="n">
        <v>0</v>
      </c>
      <c r="M498" t="n">
        <v>0</v>
      </c>
      <c r="N498" t="n">
        <v>0</v>
      </c>
      <c r="O498" t="n">
        <v>0</v>
      </c>
      <c r="P498" t="n">
        <v>0</v>
      </c>
      <c r="Q498" t="n">
        <v>0</v>
      </c>
      <c r="R498" s="2" t="inlineStr"/>
    </row>
    <row r="499" ht="15" customHeight="1">
      <c r="A499" t="inlineStr">
        <is>
          <t>A 46062-2025</t>
        </is>
      </c>
      <c r="B499" s="1" t="n">
        <v>45924.4768287037</v>
      </c>
      <c r="C499" s="1" t="n">
        <v>46132</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46132</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43124-2024</t>
        </is>
      </c>
      <c r="B501" s="1" t="n">
        <v>45567</v>
      </c>
      <c r="C501" s="1" t="n">
        <v>46132</v>
      </c>
      <c r="D501" t="inlineStr">
        <is>
          <t>VÄSTERBOTTENS LÄN</t>
        </is>
      </c>
      <c r="E501" t="inlineStr">
        <is>
          <t>UMEÅ</t>
        </is>
      </c>
      <c r="G501" t="n">
        <v>0.4</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46132</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45769-2025</t>
        </is>
      </c>
      <c r="B503" s="1" t="n">
        <v>45923.53181712963</v>
      </c>
      <c r="C503" s="1" t="n">
        <v>46132</v>
      </c>
      <c r="D503" t="inlineStr">
        <is>
          <t>VÄSTERBOTTENS LÄN</t>
        </is>
      </c>
      <c r="E503" t="inlineStr">
        <is>
          <t>UMEÅ</t>
        </is>
      </c>
      <c r="G503" t="n">
        <v>11.3</v>
      </c>
      <c r="H503" t="n">
        <v>0</v>
      </c>
      <c r="I503" t="n">
        <v>0</v>
      </c>
      <c r="J503" t="n">
        <v>0</v>
      </c>
      <c r="K503" t="n">
        <v>0</v>
      </c>
      <c r="L503" t="n">
        <v>0</v>
      </c>
      <c r="M503" t="n">
        <v>0</v>
      </c>
      <c r="N503" t="n">
        <v>0</v>
      </c>
      <c r="O503" t="n">
        <v>0</v>
      </c>
      <c r="P503" t="n">
        <v>0</v>
      </c>
      <c r="Q503" t="n">
        <v>0</v>
      </c>
      <c r="R503" s="2" t="inlineStr"/>
    </row>
    <row r="504" ht="15" customHeight="1">
      <c r="A504" t="inlineStr">
        <is>
          <t>A 58954-2024</t>
        </is>
      </c>
      <c r="B504" s="1" t="n">
        <v>45636.57275462963</v>
      </c>
      <c r="C504" s="1" t="n">
        <v>46132</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45672-2025</t>
        </is>
      </c>
      <c r="B505" s="1" t="n">
        <v>45923.35769675926</v>
      </c>
      <c r="C505" s="1" t="n">
        <v>46132</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28832-2025</t>
        </is>
      </c>
      <c r="B506" s="1" t="n">
        <v>45820.55613425926</v>
      </c>
      <c r="C506" s="1" t="n">
        <v>46132</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45670-2025</t>
        </is>
      </c>
      <c r="B507" s="1" t="n">
        <v>45923.35368055556</v>
      </c>
      <c r="C507" s="1" t="n">
        <v>46132</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45759-2025</t>
        </is>
      </c>
      <c r="B508" s="1" t="n">
        <v>45923.5107175926</v>
      </c>
      <c r="C508" s="1" t="n">
        <v>46132</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22159-2025</t>
        </is>
      </c>
      <c r="B509" s="1" t="n">
        <v>45785.58716435185</v>
      </c>
      <c r="C509" s="1" t="n">
        <v>46132</v>
      </c>
      <c r="D509" t="inlineStr">
        <is>
          <t>VÄSTERBOTTENS LÄN</t>
        </is>
      </c>
      <c r="E509" t="inlineStr">
        <is>
          <t>UMEÅ</t>
        </is>
      </c>
      <c r="G509" t="n">
        <v>1.8</v>
      </c>
      <c r="H509" t="n">
        <v>0</v>
      </c>
      <c r="I509" t="n">
        <v>0</v>
      </c>
      <c r="J509" t="n">
        <v>0</v>
      </c>
      <c r="K509" t="n">
        <v>0</v>
      </c>
      <c r="L509" t="n">
        <v>0</v>
      </c>
      <c r="M509" t="n">
        <v>0</v>
      </c>
      <c r="N509" t="n">
        <v>0</v>
      </c>
      <c r="O509" t="n">
        <v>0</v>
      </c>
      <c r="P509" t="n">
        <v>0</v>
      </c>
      <c r="Q509" t="n">
        <v>0</v>
      </c>
      <c r="R509" s="2" t="inlineStr"/>
    </row>
    <row r="510" ht="15" customHeight="1">
      <c r="A510" t="inlineStr">
        <is>
          <t>A 46413-2025</t>
        </is>
      </c>
      <c r="B510" s="1" t="n">
        <v>45925.57604166667</v>
      </c>
      <c r="C510" s="1" t="n">
        <v>46132</v>
      </c>
      <c r="D510" t="inlineStr">
        <is>
          <t>VÄSTERBOTTENS LÄN</t>
        </is>
      </c>
      <c r="E510" t="inlineStr">
        <is>
          <t>UMEÅ</t>
        </is>
      </c>
      <c r="F510" t="inlineStr">
        <is>
          <t>Holmen skog AB</t>
        </is>
      </c>
      <c r="G510" t="n">
        <v>14.3</v>
      </c>
      <c r="H510" t="n">
        <v>0</v>
      </c>
      <c r="I510" t="n">
        <v>0</v>
      </c>
      <c r="J510" t="n">
        <v>0</v>
      </c>
      <c r="K510" t="n">
        <v>0</v>
      </c>
      <c r="L510" t="n">
        <v>0</v>
      </c>
      <c r="M510" t="n">
        <v>0</v>
      </c>
      <c r="N510" t="n">
        <v>0</v>
      </c>
      <c r="O510" t="n">
        <v>0</v>
      </c>
      <c r="P510" t="n">
        <v>0</v>
      </c>
      <c r="Q510" t="n">
        <v>0</v>
      </c>
      <c r="R510" s="2" t="inlineStr"/>
    </row>
    <row r="511" ht="15" customHeight="1">
      <c r="A511" t="inlineStr">
        <is>
          <t>A 19053-2023</t>
        </is>
      </c>
      <c r="B511" s="1" t="n">
        <v>45047</v>
      </c>
      <c r="C511" s="1" t="n">
        <v>46132</v>
      </c>
      <c r="D511" t="inlineStr">
        <is>
          <t>VÄSTERBOTTENS LÄN</t>
        </is>
      </c>
      <c r="E511" t="inlineStr">
        <is>
          <t>UMEÅ</t>
        </is>
      </c>
      <c r="G511" t="n">
        <v>4.8</v>
      </c>
      <c r="H511" t="n">
        <v>0</v>
      </c>
      <c r="I511" t="n">
        <v>0</v>
      </c>
      <c r="J511" t="n">
        <v>0</v>
      </c>
      <c r="K511" t="n">
        <v>0</v>
      </c>
      <c r="L511" t="n">
        <v>0</v>
      </c>
      <c r="M511" t="n">
        <v>0</v>
      </c>
      <c r="N511" t="n">
        <v>0</v>
      </c>
      <c r="O511" t="n">
        <v>0</v>
      </c>
      <c r="P511" t="n">
        <v>0</v>
      </c>
      <c r="Q511" t="n">
        <v>0</v>
      </c>
      <c r="R511" s="2" t="inlineStr"/>
    </row>
    <row r="512" ht="15" customHeight="1">
      <c r="A512" t="inlineStr">
        <is>
          <t>A 46682-2025</t>
        </is>
      </c>
      <c r="B512" s="1" t="n">
        <v>45926.54784722222</v>
      </c>
      <c r="C512" s="1" t="n">
        <v>46132</v>
      </c>
      <c r="D512" t="inlineStr">
        <is>
          <t>VÄSTERBOTTENS LÄN</t>
        </is>
      </c>
      <c r="E512" t="inlineStr">
        <is>
          <t>UMEÅ</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46592-2025</t>
        </is>
      </c>
      <c r="B513" s="1" t="n">
        <v>45926.39637731481</v>
      </c>
      <c r="C513" s="1" t="n">
        <v>46132</v>
      </c>
      <c r="D513" t="inlineStr">
        <is>
          <t>VÄSTERBOTTENS LÄN</t>
        </is>
      </c>
      <c r="E513" t="inlineStr">
        <is>
          <t>UMEÅ</t>
        </is>
      </c>
      <c r="G513" t="n">
        <v>1.8</v>
      </c>
      <c r="H513" t="n">
        <v>0</v>
      </c>
      <c r="I513" t="n">
        <v>0</v>
      </c>
      <c r="J513" t="n">
        <v>0</v>
      </c>
      <c r="K513" t="n">
        <v>0</v>
      </c>
      <c r="L513" t="n">
        <v>0</v>
      </c>
      <c r="M513" t="n">
        <v>0</v>
      </c>
      <c r="N513" t="n">
        <v>0</v>
      </c>
      <c r="O513" t="n">
        <v>0</v>
      </c>
      <c r="P513" t="n">
        <v>0</v>
      </c>
      <c r="Q513" t="n">
        <v>0</v>
      </c>
      <c r="R513" s="2" t="inlineStr"/>
    </row>
    <row r="514" ht="15" customHeight="1">
      <c r="A514" t="inlineStr">
        <is>
          <t>A 28836-2025</t>
        </is>
      </c>
      <c r="B514" s="1" t="n">
        <v>45820.55875</v>
      </c>
      <c r="C514" s="1" t="n">
        <v>46132</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34777-2021</t>
        </is>
      </c>
      <c r="B515" s="1" t="n">
        <v>44382</v>
      </c>
      <c r="C515" s="1" t="n">
        <v>46132</v>
      </c>
      <c r="D515" t="inlineStr">
        <is>
          <t>VÄSTERBOTTENS LÄN</t>
        </is>
      </c>
      <c r="E515" t="inlineStr">
        <is>
          <t>UMEÅ</t>
        </is>
      </c>
      <c r="G515" t="n">
        <v>3.7</v>
      </c>
      <c r="H515" t="n">
        <v>0</v>
      </c>
      <c r="I515" t="n">
        <v>0</v>
      </c>
      <c r="J515" t="n">
        <v>0</v>
      </c>
      <c r="K515" t="n">
        <v>0</v>
      </c>
      <c r="L515" t="n">
        <v>0</v>
      </c>
      <c r="M515" t="n">
        <v>0</v>
      </c>
      <c r="N515" t="n">
        <v>0</v>
      </c>
      <c r="O515" t="n">
        <v>0</v>
      </c>
      <c r="P515" t="n">
        <v>0</v>
      </c>
      <c r="Q515" t="n">
        <v>0</v>
      </c>
      <c r="R515" s="2" t="inlineStr"/>
    </row>
    <row r="516" ht="15" customHeight="1">
      <c r="A516" t="inlineStr">
        <is>
          <t>A 28827-2025</t>
        </is>
      </c>
      <c r="B516" s="1" t="n">
        <v>45820.55162037037</v>
      </c>
      <c r="C516" s="1" t="n">
        <v>46132</v>
      </c>
      <c r="D516" t="inlineStr">
        <is>
          <t>VÄSTERBOTTENS LÄN</t>
        </is>
      </c>
      <c r="E516" t="inlineStr">
        <is>
          <t>UMEÅ</t>
        </is>
      </c>
      <c r="G516" t="n">
        <v>3.1</v>
      </c>
      <c r="H516" t="n">
        <v>0</v>
      </c>
      <c r="I516" t="n">
        <v>0</v>
      </c>
      <c r="J516" t="n">
        <v>0</v>
      </c>
      <c r="K516" t="n">
        <v>0</v>
      </c>
      <c r="L516" t="n">
        <v>0</v>
      </c>
      <c r="M516" t="n">
        <v>0</v>
      </c>
      <c r="N516" t="n">
        <v>0</v>
      </c>
      <c r="O516" t="n">
        <v>0</v>
      </c>
      <c r="P516" t="n">
        <v>0</v>
      </c>
      <c r="Q516" t="n">
        <v>0</v>
      </c>
      <c r="R516" s="2" t="inlineStr"/>
    </row>
    <row r="517" ht="15" customHeight="1">
      <c r="A517" t="inlineStr">
        <is>
          <t>A 11157-2022</t>
        </is>
      </c>
      <c r="B517" s="1" t="n">
        <v>44629.39452546297</v>
      </c>
      <c r="C517" s="1" t="n">
        <v>46132</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7382-2022</t>
        </is>
      </c>
      <c r="B518" s="1" t="n">
        <v>44606.61752314815</v>
      </c>
      <c r="C518" s="1" t="n">
        <v>46132</v>
      </c>
      <c r="D518" t="inlineStr">
        <is>
          <t>VÄSTERBOTTENS LÄN</t>
        </is>
      </c>
      <c r="E518" t="inlineStr">
        <is>
          <t>UMEÅ</t>
        </is>
      </c>
      <c r="G518" t="n">
        <v>3.8</v>
      </c>
      <c r="H518" t="n">
        <v>0</v>
      </c>
      <c r="I518" t="n">
        <v>0</v>
      </c>
      <c r="J518" t="n">
        <v>0</v>
      </c>
      <c r="K518" t="n">
        <v>0</v>
      </c>
      <c r="L518" t="n">
        <v>0</v>
      </c>
      <c r="M518" t="n">
        <v>0</v>
      </c>
      <c r="N518" t="n">
        <v>0</v>
      </c>
      <c r="O518" t="n">
        <v>0</v>
      </c>
      <c r="P518" t="n">
        <v>0</v>
      </c>
      <c r="Q518" t="n">
        <v>0</v>
      </c>
      <c r="R518" s="2" t="inlineStr"/>
    </row>
    <row r="519" ht="15" customHeight="1">
      <c r="A519" t="inlineStr">
        <is>
          <t>A 55752-2025</t>
        </is>
      </c>
      <c r="B519" s="1" t="n">
        <v>45972.58538194445</v>
      </c>
      <c r="C519" s="1" t="n">
        <v>46132</v>
      </c>
      <c r="D519" t="inlineStr">
        <is>
          <t>VÄSTERBOTTENS LÄN</t>
        </is>
      </c>
      <c r="E519" t="inlineStr">
        <is>
          <t>UMEÅ</t>
        </is>
      </c>
      <c r="G519" t="n">
        <v>1.9</v>
      </c>
      <c r="H519" t="n">
        <v>0</v>
      </c>
      <c r="I519" t="n">
        <v>0</v>
      </c>
      <c r="J519" t="n">
        <v>0</v>
      </c>
      <c r="K519" t="n">
        <v>0</v>
      </c>
      <c r="L519" t="n">
        <v>0</v>
      </c>
      <c r="M519" t="n">
        <v>0</v>
      </c>
      <c r="N519" t="n">
        <v>0</v>
      </c>
      <c r="O519" t="n">
        <v>0</v>
      </c>
      <c r="P519" t="n">
        <v>0</v>
      </c>
      <c r="Q519" t="n">
        <v>0</v>
      </c>
      <c r="R519" s="2" t="inlineStr"/>
    </row>
    <row r="520" ht="15" customHeight="1">
      <c r="A520" t="inlineStr">
        <is>
          <t>A 13181-2022</t>
        </is>
      </c>
      <c r="B520" s="1" t="n">
        <v>44644.47650462963</v>
      </c>
      <c r="C520" s="1" t="n">
        <v>46132</v>
      </c>
      <c r="D520" t="inlineStr">
        <is>
          <t>VÄSTERBOTTENS LÄN</t>
        </is>
      </c>
      <c r="E520" t="inlineStr">
        <is>
          <t>UMEÅ</t>
        </is>
      </c>
      <c r="G520" t="n">
        <v>0.7</v>
      </c>
      <c r="H520" t="n">
        <v>0</v>
      </c>
      <c r="I520" t="n">
        <v>0</v>
      </c>
      <c r="J520" t="n">
        <v>0</v>
      </c>
      <c r="K520" t="n">
        <v>0</v>
      </c>
      <c r="L520" t="n">
        <v>0</v>
      </c>
      <c r="M520" t="n">
        <v>0</v>
      </c>
      <c r="N520" t="n">
        <v>0</v>
      </c>
      <c r="O520" t="n">
        <v>0</v>
      </c>
      <c r="P520" t="n">
        <v>0</v>
      </c>
      <c r="Q520" t="n">
        <v>0</v>
      </c>
      <c r="R520" s="2" t="inlineStr"/>
    </row>
    <row r="521" ht="15" customHeight="1">
      <c r="A521" t="inlineStr">
        <is>
          <t>A 46591-2025</t>
        </is>
      </c>
      <c r="B521" s="1" t="n">
        <v>45926.39612268518</v>
      </c>
      <c r="C521" s="1" t="n">
        <v>46132</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29330-2025</t>
        </is>
      </c>
      <c r="B522" s="1" t="n">
        <v>45824.48680555556</v>
      </c>
      <c r="C522" s="1" t="n">
        <v>46132</v>
      </c>
      <c r="D522" t="inlineStr">
        <is>
          <t>VÄSTERBOTTENS LÄN</t>
        </is>
      </c>
      <c r="E522" t="inlineStr">
        <is>
          <t>UMEÅ</t>
        </is>
      </c>
      <c r="G522" t="n">
        <v>1.1</v>
      </c>
      <c r="H522" t="n">
        <v>0</v>
      </c>
      <c r="I522" t="n">
        <v>0</v>
      </c>
      <c r="J522" t="n">
        <v>0</v>
      </c>
      <c r="K522" t="n">
        <v>0</v>
      </c>
      <c r="L522" t="n">
        <v>0</v>
      </c>
      <c r="M522" t="n">
        <v>0</v>
      </c>
      <c r="N522" t="n">
        <v>0</v>
      </c>
      <c r="O522" t="n">
        <v>0</v>
      </c>
      <c r="P522" t="n">
        <v>0</v>
      </c>
      <c r="Q522" t="n">
        <v>0</v>
      </c>
      <c r="R522" s="2" t="inlineStr"/>
    </row>
    <row r="523" ht="15" customHeight="1">
      <c r="A523" t="inlineStr">
        <is>
          <t>A 29344-2025</t>
        </is>
      </c>
      <c r="B523" s="1" t="n">
        <v>45824.50795138889</v>
      </c>
      <c r="C523" s="1" t="n">
        <v>46132</v>
      </c>
      <c r="D523" t="inlineStr">
        <is>
          <t>VÄSTERBOTTENS LÄN</t>
        </is>
      </c>
      <c r="E523" t="inlineStr">
        <is>
          <t>UMEÅ</t>
        </is>
      </c>
      <c r="G523" t="n">
        <v>8</v>
      </c>
      <c r="H523" t="n">
        <v>0</v>
      </c>
      <c r="I523" t="n">
        <v>0</v>
      </c>
      <c r="J523" t="n">
        <v>0</v>
      </c>
      <c r="K523" t="n">
        <v>0</v>
      </c>
      <c r="L523" t="n">
        <v>0</v>
      </c>
      <c r="M523" t="n">
        <v>0</v>
      </c>
      <c r="N523" t="n">
        <v>0</v>
      </c>
      <c r="O523" t="n">
        <v>0</v>
      </c>
      <c r="P523" t="n">
        <v>0</v>
      </c>
      <c r="Q523" t="n">
        <v>0</v>
      </c>
      <c r="R523" s="2" t="inlineStr"/>
    </row>
    <row r="524" ht="15" customHeight="1">
      <c r="A524" t="inlineStr">
        <is>
          <t>A 29327-2025</t>
        </is>
      </c>
      <c r="B524" s="1" t="n">
        <v>45824.48300925926</v>
      </c>
      <c r="C524" s="1" t="n">
        <v>46132</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10898-2025</t>
        </is>
      </c>
      <c r="B525" s="1" t="n">
        <v>45722</v>
      </c>
      <c r="C525" s="1" t="n">
        <v>46132</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29352-2025</t>
        </is>
      </c>
      <c r="B526" s="1" t="n">
        <v>45824.54091435186</v>
      </c>
      <c r="C526" s="1" t="n">
        <v>46132</v>
      </c>
      <c r="D526" t="inlineStr">
        <is>
          <t>VÄSTERBOTTENS LÄN</t>
        </is>
      </c>
      <c r="E526" t="inlineStr">
        <is>
          <t>UMEÅ</t>
        </is>
      </c>
      <c r="F526" t="inlineStr">
        <is>
          <t>Holmen skog AB</t>
        </is>
      </c>
      <c r="G526" t="n">
        <v>10.8</v>
      </c>
      <c r="H526" t="n">
        <v>0</v>
      </c>
      <c r="I526" t="n">
        <v>0</v>
      </c>
      <c r="J526" t="n">
        <v>0</v>
      </c>
      <c r="K526" t="n">
        <v>0</v>
      </c>
      <c r="L526" t="n">
        <v>0</v>
      </c>
      <c r="M526" t="n">
        <v>0</v>
      </c>
      <c r="N526" t="n">
        <v>0</v>
      </c>
      <c r="O526" t="n">
        <v>0</v>
      </c>
      <c r="P526" t="n">
        <v>0</v>
      </c>
      <c r="Q526" t="n">
        <v>0</v>
      </c>
      <c r="R526" s="2" t="inlineStr"/>
    </row>
    <row r="527" ht="15" customHeight="1">
      <c r="A527" t="inlineStr">
        <is>
          <t>A 29283-2025</t>
        </is>
      </c>
      <c r="B527" s="1" t="n">
        <v>45824.43114583333</v>
      </c>
      <c r="C527" s="1" t="n">
        <v>46132</v>
      </c>
      <c r="D527" t="inlineStr">
        <is>
          <t>VÄSTERBOTTENS LÄN</t>
        </is>
      </c>
      <c r="E527" t="inlineStr">
        <is>
          <t>UMEÅ</t>
        </is>
      </c>
      <c r="G527" t="n">
        <v>3</v>
      </c>
      <c r="H527" t="n">
        <v>0</v>
      </c>
      <c r="I527" t="n">
        <v>0</v>
      </c>
      <c r="J527" t="n">
        <v>0</v>
      </c>
      <c r="K527" t="n">
        <v>0</v>
      </c>
      <c r="L527" t="n">
        <v>0</v>
      </c>
      <c r="M527" t="n">
        <v>0</v>
      </c>
      <c r="N527" t="n">
        <v>0</v>
      </c>
      <c r="O527" t="n">
        <v>0</v>
      </c>
      <c r="P527" t="n">
        <v>0</v>
      </c>
      <c r="Q527" t="n">
        <v>0</v>
      </c>
      <c r="R527" s="2" t="inlineStr"/>
    </row>
    <row r="528" ht="15" customHeight="1">
      <c r="A528" t="inlineStr">
        <is>
          <t>A 29096-2025</t>
        </is>
      </c>
      <c r="B528" s="1" t="n">
        <v>45821.56319444445</v>
      </c>
      <c r="C528" s="1" t="n">
        <v>46132</v>
      </c>
      <c r="D528" t="inlineStr">
        <is>
          <t>VÄSTERBOTTENS LÄN</t>
        </is>
      </c>
      <c r="E528" t="inlineStr">
        <is>
          <t>UMEÅ</t>
        </is>
      </c>
      <c r="G528" t="n">
        <v>5.6</v>
      </c>
      <c r="H528" t="n">
        <v>0</v>
      </c>
      <c r="I528" t="n">
        <v>0</v>
      </c>
      <c r="J528" t="n">
        <v>0</v>
      </c>
      <c r="K528" t="n">
        <v>0</v>
      </c>
      <c r="L528" t="n">
        <v>0</v>
      </c>
      <c r="M528" t="n">
        <v>0</v>
      </c>
      <c r="N528" t="n">
        <v>0</v>
      </c>
      <c r="O528" t="n">
        <v>0</v>
      </c>
      <c r="P528" t="n">
        <v>0</v>
      </c>
      <c r="Q528" t="n">
        <v>0</v>
      </c>
      <c r="R528" s="2" t="inlineStr"/>
    </row>
    <row r="529" ht="15" customHeight="1">
      <c r="A529" t="inlineStr">
        <is>
          <t>A 47188-2025</t>
        </is>
      </c>
      <c r="B529" s="1" t="n">
        <v>45930.32789351852</v>
      </c>
      <c r="C529" s="1" t="n">
        <v>46132</v>
      </c>
      <c r="D529" t="inlineStr">
        <is>
          <t>VÄSTERBOTTENS LÄN</t>
        </is>
      </c>
      <c r="E529" t="inlineStr">
        <is>
          <t>UMEÅ</t>
        </is>
      </c>
      <c r="G529" t="n">
        <v>2.9</v>
      </c>
      <c r="H529" t="n">
        <v>0</v>
      </c>
      <c r="I529" t="n">
        <v>0</v>
      </c>
      <c r="J529" t="n">
        <v>0</v>
      </c>
      <c r="K529" t="n">
        <v>0</v>
      </c>
      <c r="L529" t="n">
        <v>0</v>
      </c>
      <c r="M529" t="n">
        <v>0</v>
      </c>
      <c r="N529" t="n">
        <v>0</v>
      </c>
      <c r="O529" t="n">
        <v>0</v>
      </c>
      <c r="P529" t="n">
        <v>0</v>
      </c>
      <c r="Q529" t="n">
        <v>0</v>
      </c>
      <c r="R529" s="2" t="inlineStr"/>
    </row>
    <row r="530" ht="15" customHeight="1">
      <c r="A530" t="inlineStr">
        <is>
          <t>A 29219-2025</t>
        </is>
      </c>
      <c r="B530" s="1" t="n">
        <v>45824.31930555555</v>
      </c>
      <c r="C530" s="1" t="n">
        <v>46132</v>
      </c>
      <c r="D530" t="inlineStr">
        <is>
          <t>VÄSTERBOTTENS LÄN</t>
        </is>
      </c>
      <c r="E530" t="inlineStr">
        <is>
          <t>UMEÅ</t>
        </is>
      </c>
      <c r="F530" t="inlineStr">
        <is>
          <t>Holmen skog AB</t>
        </is>
      </c>
      <c r="G530" t="n">
        <v>12.1</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46132</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29925-2025</t>
        </is>
      </c>
      <c r="B532" s="1" t="n">
        <v>45826.42918981481</v>
      </c>
      <c r="C532" s="1" t="n">
        <v>46132</v>
      </c>
      <c r="D532" t="inlineStr">
        <is>
          <t>VÄSTERBOTTENS LÄN</t>
        </is>
      </c>
      <c r="E532" t="inlineStr">
        <is>
          <t>UMEÅ</t>
        </is>
      </c>
      <c r="G532" t="n">
        <v>8.4</v>
      </c>
      <c r="H532" t="n">
        <v>0</v>
      </c>
      <c r="I532" t="n">
        <v>0</v>
      </c>
      <c r="J532" t="n">
        <v>0</v>
      </c>
      <c r="K532" t="n">
        <v>0</v>
      </c>
      <c r="L532" t="n">
        <v>0</v>
      </c>
      <c r="M532" t="n">
        <v>0</v>
      </c>
      <c r="N532" t="n">
        <v>0</v>
      </c>
      <c r="O532" t="n">
        <v>0</v>
      </c>
      <c r="P532" t="n">
        <v>0</v>
      </c>
      <c r="Q532" t="n">
        <v>0</v>
      </c>
      <c r="R532" s="2" t="inlineStr"/>
    </row>
    <row r="533" ht="15" customHeight="1">
      <c r="A533" t="inlineStr">
        <is>
          <t>A 29774-2025</t>
        </is>
      </c>
      <c r="B533" s="1" t="n">
        <v>45825.63641203703</v>
      </c>
      <c r="C533" s="1" t="n">
        <v>46132</v>
      </c>
      <c r="D533" t="inlineStr">
        <is>
          <t>VÄSTERBOTTENS LÄN</t>
        </is>
      </c>
      <c r="E533" t="inlineStr">
        <is>
          <t>UMEÅ</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10718-2025</t>
        </is>
      </c>
      <c r="B534" s="1" t="n">
        <v>45722.37076388889</v>
      </c>
      <c r="C534" s="1" t="n">
        <v>46132</v>
      </c>
      <c r="D534" t="inlineStr">
        <is>
          <t>VÄSTERBOTTENS LÄN</t>
        </is>
      </c>
      <c r="E534" t="inlineStr">
        <is>
          <t>UMEÅ</t>
        </is>
      </c>
      <c r="G534" t="n">
        <v>2.1</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46132</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29583-2025</t>
        </is>
      </c>
      <c r="B536" s="1" t="n">
        <v>45825.38503472223</v>
      </c>
      <c r="C536" s="1" t="n">
        <v>46132</v>
      </c>
      <c r="D536" t="inlineStr">
        <is>
          <t>VÄSTERBOTTENS LÄN</t>
        </is>
      </c>
      <c r="E536" t="inlineStr">
        <is>
          <t>UMEÅ</t>
        </is>
      </c>
      <c r="F536" t="inlineStr">
        <is>
          <t>Holmen skog AB</t>
        </is>
      </c>
      <c r="G536" t="n">
        <v>2.2</v>
      </c>
      <c r="H536" t="n">
        <v>0</v>
      </c>
      <c r="I536" t="n">
        <v>0</v>
      </c>
      <c r="J536" t="n">
        <v>0</v>
      </c>
      <c r="K536" t="n">
        <v>0</v>
      </c>
      <c r="L536" t="n">
        <v>0</v>
      </c>
      <c r="M536" t="n">
        <v>0</v>
      </c>
      <c r="N536" t="n">
        <v>0</v>
      </c>
      <c r="O536" t="n">
        <v>0</v>
      </c>
      <c r="P536" t="n">
        <v>0</v>
      </c>
      <c r="Q536" t="n">
        <v>0</v>
      </c>
      <c r="R536" s="2" t="inlineStr"/>
    </row>
    <row r="537" ht="15" customHeight="1">
      <c r="A537" t="inlineStr">
        <is>
          <t>A 46864-2025</t>
        </is>
      </c>
      <c r="B537" s="1" t="n">
        <v>45929.32023148148</v>
      </c>
      <c r="C537" s="1" t="n">
        <v>46132</v>
      </c>
      <c r="D537" t="inlineStr">
        <is>
          <t>VÄSTERBOTTENS LÄN</t>
        </is>
      </c>
      <c r="E537" t="inlineStr">
        <is>
          <t>UMEÅ</t>
        </is>
      </c>
      <c r="G537" t="n">
        <v>9.5</v>
      </c>
      <c r="H537" t="n">
        <v>0</v>
      </c>
      <c r="I537" t="n">
        <v>0</v>
      </c>
      <c r="J537" t="n">
        <v>0</v>
      </c>
      <c r="K537" t="n">
        <v>0</v>
      </c>
      <c r="L537" t="n">
        <v>0</v>
      </c>
      <c r="M537" t="n">
        <v>0</v>
      </c>
      <c r="N537" t="n">
        <v>0</v>
      </c>
      <c r="O537" t="n">
        <v>0</v>
      </c>
      <c r="P537" t="n">
        <v>0</v>
      </c>
      <c r="Q537" t="n">
        <v>0</v>
      </c>
      <c r="R537" s="2" t="inlineStr"/>
    </row>
    <row r="538" ht="15" customHeight="1">
      <c r="A538" t="inlineStr">
        <is>
          <t>A 46990-2025</t>
        </is>
      </c>
      <c r="B538" s="1" t="n">
        <v>45929.54004629629</v>
      </c>
      <c r="C538" s="1" t="n">
        <v>46132</v>
      </c>
      <c r="D538" t="inlineStr">
        <is>
          <t>VÄSTERBOTTENS LÄN</t>
        </is>
      </c>
      <c r="E538" t="inlineStr">
        <is>
          <t>UMEÅ</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46962-2025</t>
        </is>
      </c>
      <c r="B539" s="1" t="n">
        <v>45929.48913194444</v>
      </c>
      <c r="C539" s="1" t="n">
        <v>46132</v>
      </c>
      <c r="D539" t="inlineStr">
        <is>
          <t>VÄSTERBOTTENS LÄN</t>
        </is>
      </c>
      <c r="E539" t="inlineStr">
        <is>
          <t>UMEÅ</t>
        </is>
      </c>
      <c r="G539" t="n">
        <v>5.2</v>
      </c>
      <c r="H539" t="n">
        <v>0</v>
      </c>
      <c r="I539" t="n">
        <v>0</v>
      </c>
      <c r="J539" t="n">
        <v>0</v>
      </c>
      <c r="K539" t="n">
        <v>0</v>
      </c>
      <c r="L539" t="n">
        <v>0</v>
      </c>
      <c r="M539" t="n">
        <v>0</v>
      </c>
      <c r="N539" t="n">
        <v>0</v>
      </c>
      <c r="O539" t="n">
        <v>0</v>
      </c>
      <c r="P539" t="n">
        <v>0</v>
      </c>
      <c r="Q539" t="n">
        <v>0</v>
      </c>
      <c r="R539" s="2" t="inlineStr"/>
    </row>
    <row r="540" ht="15" customHeight="1">
      <c r="A540" t="inlineStr">
        <is>
          <t>A 1480-2023</t>
        </is>
      </c>
      <c r="B540" s="1" t="n">
        <v>44937</v>
      </c>
      <c r="C540" s="1" t="n">
        <v>46132</v>
      </c>
      <c r="D540" t="inlineStr">
        <is>
          <t>VÄSTERBOTTENS LÄN</t>
        </is>
      </c>
      <c r="E540" t="inlineStr">
        <is>
          <t>UMEÅ</t>
        </is>
      </c>
      <c r="G540" t="n">
        <v>2.9</v>
      </c>
      <c r="H540" t="n">
        <v>0</v>
      </c>
      <c r="I540" t="n">
        <v>0</v>
      </c>
      <c r="J540" t="n">
        <v>0</v>
      </c>
      <c r="K540" t="n">
        <v>0</v>
      </c>
      <c r="L540" t="n">
        <v>0</v>
      </c>
      <c r="M540" t="n">
        <v>0</v>
      </c>
      <c r="N540" t="n">
        <v>0</v>
      </c>
      <c r="O540" t="n">
        <v>0</v>
      </c>
      <c r="P540" t="n">
        <v>0</v>
      </c>
      <c r="Q540" t="n">
        <v>0</v>
      </c>
      <c r="R540" s="2" t="inlineStr"/>
    </row>
    <row r="541" ht="15" customHeight="1">
      <c r="A541" t="inlineStr">
        <is>
          <t>A 29704-2025</t>
        </is>
      </c>
      <c r="B541" s="1" t="n">
        <v>45825.55847222222</v>
      </c>
      <c r="C541" s="1" t="n">
        <v>46132</v>
      </c>
      <c r="D541" t="inlineStr">
        <is>
          <t>VÄSTERBOTTENS LÄN</t>
        </is>
      </c>
      <c r="E541" t="inlineStr">
        <is>
          <t>UMEÅ</t>
        </is>
      </c>
      <c r="F541" t="inlineStr">
        <is>
          <t>Holmen skog AB</t>
        </is>
      </c>
      <c r="G541" t="n">
        <v>35.1</v>
      </c>
      <c r="H541" t="n">
        <v>0</v>
      </c>
      <c r="I541" t="n">
        <v>0</v>
      </c>
      <c r="J541" t="n">
        <v>0</v>
      </c>
      <c r="K541" t="n">
        <v>0</v>
      </c>
      <c r="L541" t="n">
        <v>0</v>
      </c>
      <c r="M541" t="n">
        <v>0</v>
      </c>
      <c r="N541" t="n">
        <v>0</v>
      </c>
      <c r="O541" t="n">
        <v>0</v>
      </c>
      <c r="P541" t="n">
        <v>0</v>
      </c>
      <c r="Q541" t="n">
        <v>0</v>
      </c>
      <c r="R541" s="2" t="inlineStr"/>
    </row>
    <row r="542" ht="15" customHeight="1">
      <c r="A542" t="inlineStr">
        <is>
          <t>A 46950-2025</t>
        </is>
      </c>
      <c r="B542" s="1" t="n">
        <v>45929.46907407408</v>
      </c>
      <c r="C542" s="1" t="n">
        <v>46132</v>
      </c>
      <c r="D542" t="inlineStr">
        <is>
          <t>VÄSTERBOTTENS LÄN</t>
        </is>
      </c>
      <c r="E542" t="inlineStr">
        <is>
          <t>UMEÅ</t>
        </is>
      </c>
      <c r="G542" t="n">
        <v>2.2</v>
      </c>
      <c r="H542" t="n">
        <v>0</v>
      </c>
      <c r="I542" t="n">
        <v>0</v>
      </c>
      <c r="J542" t="n">
        <v>0</v>
      </c>
      <c r="K542" t="n">
        <v>0</v>
      </c>
      <c r="L542" t="n">
        <v>0</v>
      </c>
      <c r="M542" t="n">
        <v>0</v>
      </c>
      <c r="N542" t="n">
        <v>0</v>
      </c>
      <c r="O542" t="n">
        <v>0</v>
      </c>
      <c r="P542" t="n">
        <v>0</v>
      </c>
      <c r="Q542" t="n">
        <v>0</v>
      </c>
      <c r="R542" s="2" t="inlineStr"/>
    </row>
    <row r="543" ht="15" customHeight="1">
      <c r="A543" t="inlineStr">
        <is>
          <t>A 29502-2025</t>
        </is>
      </c>
      <c r="B543" s="1" t="n">
        <v>45825.29293981481</v>
      </c>
      <c r="C543" s="1" t="n">
        <v>46132</v>
      </c>
      <c r="D543" t="inlineStr">
        <is>
          <t>VÄSTERBOTTENS LÄN</t>
        </is>
      </c>
      <c r="E543" t="inlineStr">
        <is>
          <t>UMEÅ</t>
        </is>
      </c>
      <c r="F543" t="inlineStr">
        <is>
          <t>Holmen skog AB</t>
        </is>
      </c>
      <c r="G543" t="n">
        <v>5.8</v>
      </c>
      <c r="H543" t="n">
        <v>0</v>
      </c>
      <c r="I543" t="n">
        <v>0</v>
      </c>
      <c r="J543" t="n">
        <v>0</v>
      </c>
      <c r="K543" t="n">
        <v>0</v>
      </c>
      <c r="L543" t="n">
        <v>0</v>
      </c>
      <c r="M543" t="n">
        <v>0</v>
      </c>
      <c r="N543" t="n">
        <v>0</v>
      </c>
      <c r="O543" t="n">
        <v>0</v>
      </c>
      <c r="P543" t="n">
        <v>0</v>
      </c>
      <c r="Q543" t="n">
        <v>0</v>
      </c>
      <c r="R543" s="2" t="inlineStr"/>
    </row>
    <row r="544" ht="15" customHeight="1">
      <c r="A544" t="inlineStr">
        <is>
          <t>A 30263-2025</t>
        </is>
      </c>
      <c r="B544" s="1" t="n">
        <v>45827.43445601852</v>
      </c>
      <c r="C544" s="1" t="n">
        <v>46132</v>
      </c>
      <c r="D544" t="inlineStr">
        <is>
          <t>VÄSTERBOTTENS LÄN</t>
        </is>
      </c>
      <c r="E544" t="inlineStr">
        <is>
          <t>UMEÅ</t>
        </is>
      </c>
      <c r="G544" t="n">
        <v>2.2</v>
      </c>
      <c r="H544" t="n">
        <v>0</v>
      </c>
      <c r="I544" t="n">
        <v>0</v>
      </c>
      <c r="J544" t="n">
        <v>0</v>
      </c>
      <c r="K544" t="n">
        <v>0</v>
      </c>
      <c r="L544" t="n">
        <v>0</v>
      </c>
      <c r="M544" t="n">
        <v>0</v>
      </c>
      <c r="N544" t="n">
        <v>0</v>
      </c>
      <c r="O544" t="n">
        <v>0</v>
      </c>
      <c r="P544" t="n">
        <v>0</v>
      </c>
      <c r="Q544" t="n">
        <v>0</v>
      </c>
      <c r="R544" s="2" t="inlineStr"/>
    </row>
    <row r="545" ht="15" customHeight="1">
      <c r="A545" t="inlineStr">
        <is>
          <t>A 7205-2025</t>
        </is>
      </c>
      <c r="B545" s="1" t="n">
        <v>45702.46836805555</v>
      </c>
      <c r="C545" s="1" t="n">
        <v>46132</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48028-2025</t>
        </is>
      </c>
      <c r="B546" s="1" t="n">
        <v>45932.6515625</v>
      </c>
      <c r="C546" s="1" t="n">
        <v>46132</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46132</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9607-2023</t>
        </is>
      </c>
      <c r="B548" s="1" t="n">
        <v>44983</v>
      </c>
      <c r="C548" s="1" t="n">
        <v>46132</v>
      </c>
      <c r="D548" t="inlineStr">
        <is>
          <t>VÄSTERBOTTENS LÄN</t>
        </is>
      </c>
      <c r="E548" t="inlineStr">
        <is>
          <t>UMEÅ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56743-2023</t>
        </is>
      </c>
      <c r="B549" s="1" t="n">
        <v>45244</v>
      </c>
      <c r="C549" s="1" t="n">
        <v>46132</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30803-2025</t>
        </is>
      </c>
      <c r="B550" s="1" t="n">
        <v>45831.65424768518</v>
      </c>
      <c r="C550" s="1" t="n">
        <v>46132</v>
      </c>
      <c r="D550" t="inlineStr">
        <is>
          <t>VÄSTERBOTTENS LÄN</t>
        </is>
      </c>
      <c r="E550" t="inlineStr">
        <is>
          <t>UMEÅ</t>
        </is>
      </c>
      <c r="G550" t="n">
        <v>6.3</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46132</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17344-2025</t>
        </is>
      </c>
      <c r="B552" s="1" t="n">
        <v>45756.67138888889</v>
      </c>
      <c r="C552" s="1" t="n">
        <v>46132</v>
      </c>
      <c r="D552" t="inlineStr">
        <is>
          <t>VÄSTERBOTTENS LÄN</t>
        </is>
      </c>
      <c r="E552" t="inlineStr">
        <is>
          <t>UMEÅ</t>
        </is>
      </c>
      <c r="G552" t="n">
        <v>3.3</v>
      </c>
      <c r="H552" t="n">
        <v>0</v>
      </c>
      <c r="I552" t="n">
        <v>0</v>
      </c>
      <c r="J552" t="n">
        <v>0</v>
      </c>
      <c r="K552" t="n">
        <v>0</v>
      </c>
      <c r="L552" t="n">
        <v>0</v>
      </c>
      <c r="M552" t="n">
        <v>0</v>
      </c>
      <c r="N552" t="n">
        <v>0</v>
      </c>
      <c r="O552" t="n">
        <v>0</v>
      </c>
      <c r="P552" t="n">
        <v>0</v>
      </c>
      <c r="Q552" t="n">
        <v>0</v>
      </c>
      <c r="R552" s="2" t="inlineStr"/>
    </row>
    <row r="553" ht="15" customHeight="1">
      <c r="A553" t="inlineStr">
        <is>
          <t>A 46122-2024</t>
        </is>
      </c>
      <c r="B553" s="1" t="n">
        <v>45581.41333333333</v>
      </c>
      <c r="C553" s="1" t="n">
        <v>46132</v>
      </c>
      <c r="D553" t="inlineStr">
        <is>
          <t>VÄSTERBOTTENS LÄN</t>
        </is>
      </c>
      <c r="E553" t="inlineStr">
        <is>
          <t>UMEÅ</t>
        </is>
      </c>
      <c r="G553" t="n">
        <v>3.2</v>
      </c>
      <c r="H553" t="n">
        <v>0</v>
      </c>
      <c r="I553" t="n">
        <v>0</v>
      </c>
      <c r="J553" t="n">
        <v>0</v>
      </c>
      <c r="K553" t="n">
        <v>0</v>
      </c>
      <c r="L553" t="n">
        <v>0</v>
      </c>
      <c r="M553" t="n">
        <v>0</v>
      </c>
      <c r="N553" t="n">
        <v>0</v>
      </c>
      <c r="O553" t="n">
        <v>0</v>
      </c>
      <c r="P553" t="n">
        <v>0</v>
      </c>
      <c r="Q553" t="n">
        <v>0</v>
      </c>
      <c r="R553" s="2" t="inlineStr"/>
    </row>
    <row r="554" ht="15" customHeight="1">
      <c r="A554" t="inlineStr">
        <is>
          <t>A 48264-2025</t>
        </is>
      </c>
      <c r="B554" s="1" t="n">
        <v>45933.56834490741</v>
      </c>
      <c r="C554" s="1" t="n">
        <v>46132</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15105-2024</t>
        </is>
      </c>
      <c r="B555" s="1" t="n">
        <v>45399</v>
      </c>
      <c r="C555" s="1" t="n">
        <v>46132</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31928-2024</t>
        </is>
      </c>
      <c r="B556" s="1" t="n">
        <v>45510.40539351852</v>
      </c>
      <c r="C556" s="1" t="n">
        <v>46132</v>
      </c>
      <c r="D556" t="inlineStr">
        <is>
          <t>VÄSTERBOTTENS LÄN</t>
        </is>
      </c>
      <c r="E556" t="inlineStr">
        <is>
          <t>UMEÅ</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41732-2023</t>
        </is>
      </c>
      <c r="B557" s="1" t="n">
        <v>45176</v>
      </c>
      <c r="C557" s="1" t="n">
        <v>46132</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31037-2025</t>
        </is>
      </c>
      <c r="B558" s="1" t="n">
        <v>45832.54769675926</v>
      </c>
      <c r="C558" s="1" t="n">
        <v>46132</v>
      </c>
      <c r="D558" t="inlineStr">
        <is>
          <t>VÄSTERBOTTENS LÄN</t>
        </is>
      </c>
      <c r="E558" t="inlineStr">
        <is>
          <t>UMEÅ</t>
        </is>
      </c>
      <c r="G558" t="n">
        <v>5</v>
      </c>
      <c r="H558" t="n">
        <v>0</v>
      </c>
      <c r="I558" t="n">
        <v>0</v>
      </c>
      <c r="J558" t="n">
        <v>0</v>
      </c>
      <c r="K558" t="n">
        <v>0</v>
      </c>
      <c r="L558" t="n">
        <v>0</v>
      </c>
      <c r="M558" t="n">
        <v>0</v>
      </c>
      <c r="N558" t="n">
        <v>0</v>
      </c>
      <c r="O558" t="n">
        <v>0</v>
      </c>
      <c r="P558" t="n">
        <v>0</v>
      </c>
      <c r="Q558" t="n">
        <v>0</v>
      </c>
      <c r="R558" s="2" t="inlineStr"/>
    </row>
    <row r="559" ht="15" customHeight="1">
      <c r="A559" t="inlineStr">
        <is>
          <t>A 31154-2025</t>
        </is>
      </c>
      <c r="B559" s="1" t="n">
        <v>45832.64778935185</v>
      </c>
      <c r="C559" s="1" t="n">
        <v>46132</v>
      </c>
      <c r="D559" t="inlineStr">
        <is>
          <t>VÄSTERBOTTENS LÄN</t>
        </is>
      </c>
      <c r="E559" t="inlineStr">
        <is>
          <t>UMEÅ</t>
        </is>
      </c>
      <c r="F559" t="inlineStr">
        <is>
          <t>Holmen skog AB</t>
        </is>
      </c>
      <c r="G559" t="n">
        <v>28.5</v>
      </c>
      <c r="H559" t="n">
        <v>0</v>
      </c>
      <c r="I559" t="n">
        <v>0</v>
      </c>
      <c r="J559" t="n">
        <v>0</v>
      </c>
      <c r="K559" t="n">
        <v>0</v>
      </c>
      <c r="L559" t="n">
        <v>0</v>
      </c>
      <c r="M559" t="n">
        <v>0</v>
      </c>
      <c r="N559" t="n">
        <v>0</v>
      </c>
      <c r="O559" t="n">
        <v>0</v>
      </c>
      <c r="P559" t="n">
        <v>0</v>
      </c>
      <c r="Q559" t="n">
        <v>0</v>
      </c>
      <c r="R559" s="2" t="inlineStr"/>
    </row>
    <row r="560" ht="15" customHeight="1">
      <c r="A560" t="inlineStr">
        <is>
          <t>A 30645-2025</t>
        </is>
      </c>
      <c r="B560" s="1" t="n">
        <v>45831.48987268518</v>
      </c>
      <c r="C560" s="1" t="n">
        <v>46132</v>
      </c>
      <c r="D560" t="inlineStr">
        <is>
          <t>VÄSTERBOTTENS LÄN</t>
        </is>
      </c>
      <c r="E560" t="inlineStr">
        <is>
          <t>UMEÅ</t>
        </is>
      </c>
      <c r="G560" t="n">
        <v>1.5</v>
      </c>
      <c r="H560" t="n">
        <v>0</v>
      </c>
      <c r="I560" t="n">
        <v>0</v>
      </c>
      <c r="J560" t="n">
        <v>0</v>
      </c>
      <c r="K560" t="n">
        <v>0</v>
      </c>
      <c r="L560" t="n">
        <v>0</v>
      </c>
      <c r="M560" t="n">
        <v>0</v>
      </c>
      <c r="N560" t="n">
        <v>0</v>
      </c>
      <c r="O560" t="n">
        <v>0</v>
      </c>
      <c r="P560" t="n">
        <v>0</v>
      </c>
      <c r="Q560" t="n">
        <v>0</v>
      </c>
      <c r="R560" s="2" t="inlineStr"/>
    </row>
    <row r="561" ht="15" customHeight="1">
      <c r="A561" t="inlineStr">
        <is>
          <t>A 55844-2025</t>
        </is>
      </c>
      <c r="B561" s="1" t="n">
        <v>45973.29459490741</v>
      </c>
      <c r="C561" s="1" t="n">
        <v>46132</v>
      </c>
      <c r="D561" t="inlineStr">
        <is>
          <t>VÄSTERBOTTENS LÄN</t>
        </is>
      </c>
      <c r="E561" t="inlineStr">
        <is>
          <t>UMEÅ</t>
        </is>
      </c>
      <c r="G561" t="n">
        <v>3.8</v>
      </c>
      <c r="H561" t="n">
        <v>0</v>
      </c>
      <c r="I561" t="n">
        <v>0</v>
      </c>
      <c r="J561" t="n">
        <v>0</v>
      </c>
      <c r="K561" t="n">
        <v>0</v>
      </c>
      <c r="L561" t="n">
        <v>0</v>
      </c>
      <c r="M561" t="n">
        <v>0</v>
      </c>
      <c r="N561" t="n">
        <v>0</v>
      </c>
      <c r="O561" t="n">
        <v>0</v>
      </c>
      <c r="P561" t="n">
        <v>0</v>
      </c>
      <c r="Q561" t="n">
        <v>0</v>
      </c>
      <c r="R561" s="2" t="inlineStr"/>
    </row>
    <row r="562" ht="15" customHeight="1">
      <c r="A562" t="inlineStr">
        <is>
          <t>A 48267-2025</t>
        </is>
      </c>
      <c r="B562" s="1" t="n">
        <v>45933.57060185185</v>
      </c>
      <c r="C562" s="1" t="n">
        <v>46132</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30960-2025</t>
        </is>
      </c>
      <c r="B563" s="1" t="n">
        <v>45832.44204861111</v>
      </c>
      <c r="C563" s="1" t="n">
        <v>46132</v>
      </c>
      <c r="D563" t="inlineStr">
        <is>
          <t>VÄSTERBOTTENS LÄN</t>
        </is>
      </c>
      <c r="E563" t="inlineStr">
        <is>
          <t>UMEÅ</t>
        </is>
      </c>
      <c r="G563" t="n">
        <v>4</v>
      </c>
      <c r="H563" t="n">
        <v>0</v>
      </c>
      <c r="I563" t="n">
        <v>0</v>
      </c>
      <c r="J563" t="n">
        <v>0</v>
      </c>
      <c r="K563" t="n">
        <v>0</v>
      </c>
      <c r="L563" t="n">
        <v>0</v>
      </c>
      <c r="M563" t="n">
        <v>0</v>
      </c>
      <c r="N563" t="n">
        <v>0</v>
      </c>
      <c r="O563" t="n">
        <v>0</v>
      </c>
      <c r="P563" t="n">
        <v>0</v>
      </c>
      <c r="Q563" t="n">
        <v>0</v>
      </c>
      <c r="R563" s="2" t="inlineStr"/>
    </row>
    <row r="564" ht="15" customHeight="1">
      <c r="A564" t="inlineStr">
        <is>
          <t>A 50879-2023</t>
        </is>
      </c>
      <c r="B564" s="1" t="n">
        <v>45211</v>
      </c>
      <c r="C564" s="1" t="n">
        <v>46132</v>
      </c>
      <c r="D564" t="inlineStr">
        <is>
          <t>VÄSTERBOTTENS LÄN</t>
        </is>
      </c>
      <c r="E564" t="inlineStr">
        <is>
          <t>UMEÅ</t>
        </is>
      </c>
      <c r="G564" t="n">
        <v>2.7</v>
      </c>
      <c r="H564" t="n">
        <v>0</v>
      </c>
      <c r="I564" t="n">
        <v>0</v>
      </c>
      <c r="J564" t="n">
        <v>0</v>
      </c>
      <c r="K564" t="n">
        <v>0</v>
      </c>
      <c r="L564" t="n">
        <v>0</v>
      </c>
      <c r="M564" t="n">
        <v>0</v>
      </c>
      <c r="N564" t="n">
        <v>0</v>
      </c>
      <c r="O564" t="n">
        <v>0</v>
      </c>
      <c r="P564" t="n">
        <v>0</v>
      </c>
      <c r="Q564" t="n">
        <v>0</v>
      </c>
      <c r="R564" s="2" t="inlineStr"/>
    </row>
    <row r="565" ht="15" customHeight="1">
      <c r="A565" t="inlineStr">
        <is>
          <t>A 31599-2025</t>
        </is>
      </c>
      <c r="B565" s="1" t="n">
        <v>45833.72009259259</v>
      </c>
      <c r="C565" s="1" t="n">
        <v>46132</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46132</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42649-2024</t>
        </is>
      </c>
      <c r="B567" s="1" t="n">
        <v>45566</v>
      </c>
      <c r="C567" s="1" t="n">
        <v>46132</v>
      </c>
      <c r="D567" t="inlineStr">
        <is>
          <t>VÄSTERBOTTENS LÄN</t>
        </is>
      </c>
      <c r="E567" t="inlineStr">
        <is>
          <t>UMEÅ</t>
        </is>
      </c>
      <c r="F567" t="inlineStr">
        <is>
          <t>Holmen skog AB</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48900-2025</t>
        </is>
      </c>
      <c r="B568" s="1" t="n">
        <v>45937.48125</v>
      </c>
      <c r="C568" s="1" t="n">
        <v>46132</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49185-2025</t>
        </is>
      </c>
      <c r="B569" s="1" t="n">
        <v>45938.40478009259</v>
      </c>
      <c r="C569" s="1" t="n">
        <v>46132</v>
      </c>
      <c r="D569" t="inlineStr">
        <is>
          <t>VÄSTERBOTTENS LÄN</t>
        </is>
      </c>
      <c r="E569" t="inlineStr">
        <is>
          <t>UMEÅ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46132</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46132</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49142-2025</t>
        </is>
      </c>
      <c r="B572" s="1" t="n">
        <v>45938.32196759259</v>
      </c>
      <c r="C572" s="1" t="n">
        <v>46132</v>
      </c>
      <c r="D572" t="inlineStr">
        <is>
          <t>VÄSTERBOTTENS LÄN</t>
        </is>
      </c>
      <c r="E572" t="inlineStr">
        <is>
          <t>UMEÅ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49182-2025</t>
        </is>
      </c>
      <c r="B573" s="1" t="n">
        <v>45938.38820601852</v>
      </c>
      <c r="C573" s="1" t="n">
        <v>46132</v>
      </c>
      <c r="D573" t="inlineStr">
        <is>
          <t>VÄSTERBOTTENS LÄN</t>
        </is>
      </c>
      <c r="E573" t="inlineStr">
        <is>
          <t>UMEÅ</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18889-2025</t>
        </is>
      </c>
      <c r="B574" s="1" t="n">
        <v>45764.44584490741</v>
      </c>
      <c r="C574" s="1" t="n">
        <v>46132</v>
      </c>
      <c r="D574" t="inlineStr">
        <is>
          <t>VÄSTERBOTTENS LÄN</t>
        </is>
      </c>
      <c r="E574" t="inlineStr">
        <is>
          <t>UMEÅ</t>
        </is>
      </c>
      <c r="F574" t="inlineStr">
        <is>
          <t>Holmen skog AB</t>
        </is>
      </c>
      <c r="G574" t="n">
        <v>8.1</v>
      </c>
      <c r="H574" t="n">
        <v>0</v>
      </c>
      <c r="I574" t="n">
        <v>0</v>
      </c>
      <c r="J574" t="n">
        <v>0</v>
      </c>
      <c r="K574" t="n">
        <v>0</v>
      </c>
      <c r="L574" t="n">
        <v>0</v>
      </c>
      <c r="M574" t="n">
        <v>0</v>
      </c>
      <c r="N574" t="n">
        <v>0</v>
      </c>
      <c r="O574" t="n">
        <v>0</v>
      </c>
      <c r="P574" t="n">
        <v>0</v>
      </c>
      <c r="Q574" t="n">
        <v>0</v>
      </c>
      <c r="R574" s="2" t="inlineStr"/>
    </row>
    <row r="575" ht="15" customHeight="1">
      <c r="A575" t="inlineStr">
        <is>
          <t>A 31859-2025</t>
        </is>
      </c>
      <c r="B575" s="1" t="n">
        <v>45834.6284375</v>
      </c>
      <c r="C575" s="1" t="n">
        <v>46132</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49264-2025</t>
        </is>
      </c>
      <c r="B576" s="1" t="n">
        <v>45938.49991898148</v>
      </c>
      <c r="C576" s="1" t="n">
        <v>46132</v>
      </c>
      <c r="D576" t="inlineStr">
        <is>
          <t>VÄSTERBOTTENS LÄN</t>
        </is>
      </c>
      <c r="E576" t="inlineStr">
        <is>
          <t>UMEÅ</t>
        </is>
      </c>
      <c r="F576" t="inlineStr">
        <is>
          <t>Sveaskog</t>
        </is>
      </c>
      <c r="G576" t="n">
        <v>7.3</v>
      </c>
      <c r="H576" t="n">
        <v>0</v>
      </c>
      <c r="I576" t="n">
        <v>0</v>
      </c>
      <c r="J576" t="n">
        <v>0</v>
      </c>
      <c r="K576" t="n">
        <v>0</v>
      </c>
      <c r="L576" t="n">
        <v>0</v>
      </c>
      <c r="M576" t="n">
        <v>0</v>
      </c>
      <c r="N576" t="n">
        <v>0</v>
      </c>
      <c r="O576" t="n">
        <v>0</v>
      </c>
      <c r="P576" t="n">
        <v>0</v>
      </c>
      <c r="Q576" t="n">
        <v>0</v>
      </c>
      <c r="R576" s="2" t="inlineStr"/>
    </row>
    <row r="577" ht="15" customHeight="1">
      <c r="A577" t="inlineStr">
        <is>
          <t>A 31241-2025</t>
        </is>
      </c>
      <c r="B577" s="1" t="n">
        <v>45832.86366898148</v>
      </c>
      <c r="C577" s="1" t="n">
        <v>46132</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49279-2025</t>
        </is>
      </c>
      <c r="B578" s="1" t="n">
        <v>45938.5106712963</v>
      </c>
      <c r="C578" s="1" t="n">
        <v>46132</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49312-2025</t>
        </is>
      </c>
      <c r="B579" s="1" t="n">
        <v>45938.56427083333</v>
      </c>
      <c r="C579" s="1" t="n">
        <v>46132</v>
      </c>
      <c r="D579" t="inlineStr">
        <is>
          <t>VÄSTERBOTTENS LÄN</t>
        </is>
      </c>
      <c r="E579" t="inlineStr">
        <is>
          <t>UMEÅ</t>
        </is>
      </c>
      <c r="F579" t="inlineStr">
        <is>
          <t>Sveaskog</t>
        </is>
      </c>
      <c r="G579" t="n">
        <v>30.6</v>
      </c>
      <c r="H579" t="n">
        <v>0</v>
      </c>
      <c r="I579" t="n">
        <v>0</v>
      </c>
      <c r="J579" t="n">
        <v>0</v>
      </c>
      <c r="K579" t="n">
        <v>0</v>
      </c>
      <c r="L579" t="n">
        <v>0</v>
      </c>
      <c r="M579" t="n">
        <v>0</v>
      </c>
      <c r="N579" t="n">
        <v>0</v>
      </c>
      <c r="O579" t="n">
        <v>0</v>
      </c>
      <c r="P579" t="n">
        <v>0</v>
      </c>
      <c r="Q579" t="n">
        <v>0</v>
      </c>
      <c r="R579" s="2" t="inlineStr"/>
    </row>
    <row r="580" ht="15" customHeight="1">
      <c r="A580" t="inlineStr">
        <is>
          <t>A 13821-2025</t>
        </is>
      </c>
      <c r="B580" s="1" t="n">
        <v>45737.53157407408</v>
      </c>
      <c r="C580" s="1" t="n">
        <v>46132</v>
      </c>
      <c r="D580" t="inlineStr">
        <is>
          <t>VÄSTERBOTTENS LÄN</t>
        </is>
      </c>
      <c r="E580" t="inlineStr">
        <is>
          <t>UMEÅ</t>
        </is>
      </c>
      <c r="G580" t="n">
        <v>7.1</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46132</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32522-2025</t>
        </is>
      </c>
      <c r="B582" s="1" t="n">
        <v>45838.48564814815</v>
      </c>
      <c r="C582" s="1" t="n">
        <v>46132</v>
      </c>
      <c r="D582" t="inlineStr">
        <is>
          <t>VÄSTERBOTTENS LÄN</t>
        </is>
      </c>
      <c r="E582" t="inlineStr">
        <is>
          <t>UMEÅ</t>
        </is>
      </c>
      <c r="G582" t="n">
        <v>3.6</v>
      </c>
      <c r="H582" t="n">
        <v>0</v>
      </c>
      <c r="I582" t="n">
        <v>0</v>
      </c>
      <c r="J582" t="n">
        <v>0</v>
      </c>
      <c r="K582" t="n">
        <v>0</v>
      </c>
      <c r="L582" t="n">
        <v>0</v>
      </c>
      <c r="M582" t="n">
        <v>0</v>
      </c>
      <c r="N582" t="n">
        <v>0</v>
      </c>
      <c r="O582" t="n">
        <v>0</v>
      </c>
      <c r="P582" t="n">
        <v>0</v>
      </c>
      <c r="Q582" t="n">
        <v>0</v>
      </c>
      <c r="R582" s="2" t="inlineStr"/>
    </row>
    <row r="583" ht="15" customHeight="1">
      <c r="A583" t="inlineStr">
        <is>
          <t>A 32125-2025</t>
        </is>
      </c>
      <c r="B583" s="1" t="n">
        <v>45835.49601851852</v>
      </c>
      <c r="C583" s="1" t="n">
        <v>46132</v>
      </c>
      <c r="D583" t="inlineStr">
        <is>
          <t>VÄSTERBOTTENS LÄN</t>
        </is>
      </c>
      <c r="E583" t="inlineStr">
        <is>
          <t>UMEÅ</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49860-2025</t>
        </is>
      </c>
      <c r="B584" s="1" t="n">
        <v>45940.51144675926</v>
      </c>
      <c r="C584" s="1" t="n">
        <v>46132</v>
      </c>
      <c r="D584" t="inlineStr">
        <is>
          <t>VÄSTERBOTTENS LÄN</t>
        </is>
      </c>
      <c r="E584" t="inlineStr">
        <is>
          <t>UMEÅ</t>
        </is>
      </c>
      <c r="G584" t="n">
        <v>6.9</v>
      </c>
      <c r="H584" t="n">
        <v>0</v>
      </c>
      <c r="I584" t="n">
        <v>0</v>
      </c>
      <c r="J584" t="n">
        <v>0</v>
      </c>
      <c r="K584" t="n">
        <v>0</v>
      </c>
      <c r="L584" t="n">
        <v>0</v>
      </c>
      <c r="M584" t="n">
        <v>0</v>
      </c>
      <c r="N584" t="n">
        <v>0</v>
      </c>
      <c r="O584" t="n">
        <v>0</v>
      </c>
      <c r="P584" t="n">
        <v>0</v>
      </c>
      <c r="Q584" t="n">
        <v>0</v>
      </c>
      <c r="R584" s="2" t="inlineStr"/>
    </row>
    <row r="585" ht="15" customHeight="1">
      <c r="A585" t="inlineStr">
        <is>
          <t>A 49055-2024</t>
        </is>
      </c>
      <c r="B585" s="1" t="n">
        <v>45594</v>
      </c>
      <c r="C585" s="1" t="n">
        <v>46132</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46132</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49799-2025</t>
        </is>
      </c>
      <c r="B587" s="1" t="n">
        <v>45940.4083912037</v>
      </c>
      <c r="C587" s="1" t="n">
        <v>46132</v>
      </c>
      <c r="D587" t="inlineStr">
        <is>
          <t>VÄSTERBOTTENS LÄN</t>
        </is>
      </c>
      <c r="E587" t="inlineStr">
        <is>
          <t>UMEÅ</t>
        </is>
      </c>
      <c r="G587" t="n">
        <v>5.2</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46132</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49492-2025</t>
        </is>
      </c>
      <c r="B589" s="1" t="n">
        <v>45939.36616898148</v>
      </c>
      <c r="C589" s="1" t="n">
        <v>46132</v>
      </c>
      <c r="D589" t="inlineStr">
        <is>
          <t>VÄSTERBOTTENS LÄN</t>
        </is>
      </c>
      <c r="E589" t="inlineStr">
        <is>
          <t>UMEÅ</t>
        </is>
      </c>
      <c r="G589" t="n">
        <v>7.2</v>
      </c>
      <c r="H589" t="n">
        <v>0</v>
      </c>
      <c r="I589" t="n">
        <v>0</v>
      </c>
      <c r="J589" t="n">
        <v>0</v>
      </c>
      <c r="K589" t="n">
        <v>0</v>
      </c>
      <c r="L589" t="n">
        <v>0</v>
      </c>
      <c r="M589" t="n">
        <v>0</v>
      </c>
      <c r="N589" t="n">
        <v>0</v>
      </c>
      <c r="O589" t="n">
        <v>0</v>
      </c>
      <c r="P589" t="n">
        <v>0</v>
      </c>
      <c r="Q589" t="n">
        <v>0</v>
      </c>
      <c r="R589" s="2" t="inlineStr"/>
    </row>
    <row r="590" ht="15" customHeight="1">
      <c r="A590" t="inlineStr">
        <is>
          <t>A 49496-2025</t>
        </is>
      </c>
      <c r="B590" s="1" t="n">
        <v>45939.36644675926</v>
      </c>
      <c r="C590" s="1" t="n">
        <v>46132</v>
      </c>
      <c r="D590" t="inlineStr">
        <is>
          <t>VÄSTERBOTTENS LÄN</t>
        </is>
      </c>
      <c r="E590" t="inlineStr">
        <is>
          <t>UMEÅ</t>
        </is>
      </c>
      <c r="G590" t="n">
        <v>3.7</v>
      </c>
      <c r="H590" t="n">
        <v>0</v>
      </c>
      <c r="I590" t="n">
        <v>0</v>
      </c>
      <c r="J590" t="n">
        <v>0</v>
      </c>
      <c r="K590" t="n">
        <v>0</v>
      </c>
      <c r="L590" t="n">
        <v>0</v>
      </c>
      <c r="M590" t="n">
        <v>0</v>
      </c>
      <c r="N590" t="n">
        <v>0</v>
      </c>
      <c r="O590" t="n">
        <v>0</v>
      </c>
      <c r="P590" t="n">
        <v>0</v>
      </c>
      <c r="Q590" t="n">
        <v>0</v>
      </c>
      <c r="R590" s="2" t="inlineStr"/>
    </row>
    <row r="591" ht="15" customHeight="1">
      <c r="A591" t="inlineStr">
        <is>
          <t>A 62721-2023</t>
        </is>
      </c>
      <c r="B591" s="1" t="n">
        <v>45271</v>
      </c>
      <c r="C591" s="1" t="n">
        <v>46132</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57410-2024</t>
        </is>
      </c>
      <c r="B592" s="1" t="n">
        <v>45629</v>
      </c>
      <c r="C592" s="1" t="n">
        <v>46132</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33198-2025</t>
        </is>
      </c>
      <c r="B593" s="1" t="n">
        <v>45840.6047800926</v>
      </c>
      <c r="C593" s="1" t="n">
        <v>46132</v>
      </c>
      <c r="D593" t="inlineStr">
        <is>
          <t>VÄSTERBOTTENS LÄN</t>
        </is>
      </c>
      <c r="E593" t="inlineStr">
        <is>
          <t>UMEÅ</t>
        </is>
      </c>
      <c r="G593" t="n">
        <v>0.6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46132</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46132</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33085-2025</t>
        </is>
      </c>
      <c r="B596" s="1" t="n">
        <v>45840.46704861111</v>
      </c>
      <c r="C596" s="1" t="n">
        <v>46132</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33193-2025</t>
        </is>
      </c>
      <c r="B597" s="1" t="n">
        <v>45840.60122685185</v>
      </c>
      <c r="C597" s="1" t="n">
        <v>46132</v>
      </c>
      <c r="D597" t="inlineStr">
        <is>
          <t>VÄSTERBOTTENS LÄN</t>
        </is>
      </c>
      <c r="E597" t="inlineStr">
        <is>
          <t>UMEÅ</t>
        </is>
      </c>
      <c r="G597" t="n">
        <v>2.2</v>
      </c>
      <c r="H597" t="n">
        <v>0</v>
      </c>
      <c r="I597" t="n">
        <v>0</v>
      </c>
      <c r="J597" t="n">
        <v>0</v>
      </c>
      <c r="K597" t="n">
        <v>0</v>
      </c>
      <c r="L597" t="n">
        <v>0</v>
      </c>
      <c r="M597" t="n">
        <v>0</v>
      </c>
      <c r="N597" t="n">
        <v>0</v>
      </c>
      <c r="O597" t="n">
        <v>0</v>
      </c>
      <c r="P597" t="n">
        <v>0</v>
      </c>
      <c r="Q597" t="n">
        <v>0</v>
      </c>
      <c r="R597" s="2" t="inlineStr"/>
    </row>
    <row r="598" ht="15" customHeight="1">
      <c r="A598" t="inlineStr">
        <is>
          <t>A 33210-2025</t>
        </is>
      </c>
      <c r="B598" s="1" t="n">
        <v>45840.62734953704</v>
      </c>
      <c r="C598" s="1" t="n">
        <v>46132</v>
      </c>
      <c r="D598" t="inlineStr">
        <is>
          <t>VÄSTERBOTTENS LÄN</t>
        </is>
      </c>
      <c r="E598" t="inlineStr">
        <is>
          <t>UMEÅ</t>
        </is>
      </c>
      <c r="G598" t="n">
        <v>1</v>
      </c>
      <c r="H598" t="n">
        <v>0</v>
      </c>
      <c r="I598" t="n">
        <v>0</v>
      </c>
      <c r="J598" t="n">
        <v>0</v>
      </c>
      <c r="K598" t="n">
        <v>0</v>
      </c>
      <c r="L598" t="n">
        <v>0</v>
      </c>
      <c r="M598" t="n">
        <v>0</v>
      </c>
      <c r="N598" t="n">
        <v>0</v>
      </c>
      <c r="O598" t="n">
        <v>0</v>
      </c>
      <c r="P598" t="n">
        <v>0</v>
      </c>
      <c r="Q598" t="n">
        <v>0</v>
      </c>
      <c r="R598" s="2" t="inlineStr"/>
    </row>
    <row r="599" ht="15" customHeight="1">
      <c r="A599" t="inlineStr">
        <is>
          <t>A 50379-2025</t>
        </is>
      </c>
      <c r="B599" s="1" t="n">
        <v>45944.59688657407</v>
      </c>
      <c r="C599" s="1" t="n">
        <v>46132</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50159-2025</t>
        </is>
      </c>
      <c r="B600" s="1" t="n">
        <v>45943.58391203704</v>
      </c>
      <c r="C600" s="1" t="n">
        <v>46132</v>
      </c>
      <c r="D600" t="inlineStr">
        <is>
          <t>VÄSTERBOTTENS LÄN</t>
        </is>
      </c>
      <c r="E600" t="inlineStr">
        <is>
          <t>UMEÅ</t>
        </is>
      </c>
      <c r="G600" t="n">
        <v>2.6</v>
      </c>
      <c r="H600" t="n">
        <v>0</v>
      </c>
      <c r="I600" t="n">
        <v>0</v>
      </c>
      <c r="J600" t="n">
        <v>0</v>
      </c>
      <c r="K600" t="n">
        <v>0</v>
      </c>
      <c r="L600" t="n">
        <v>0</v>
      </c>
      <c r="M600" t="n">
        <v>0</v>
      </c>
      <c r="N600" t="n">
        <v>0</v>
      </c>
      <c r="O600" t="n">
        <v>0</v>
      </c>
      <c r="P600" t="n">
        <v>0</v>
      </c>
      <c r="Q600" t="n">
        <v>0</v>
      </c>
      <c r="R600" s="2" t="inlineStr"/>
    </row>
    <row r="601" ht="15" customHeight="1">
      <c r="A601" t="inlineStr">
        <is>
          <t>A 7635-2024</t>
        </is>
      </c>
      <c r="B601" s="1" t="n">
        <v>45348.62467592592</v>
      </c>
      <c r="C601" s="1" t="n">
        <v>46132</v>
      </c>
      <c r="D601" t="inlineStr">
        <is>
          <t>VÄSTERBOTTENS LÄN</t>
        </is>
      </c>
      <c r="E601" t="inlineStr">
        <is>
          <t>UMEÅ</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14734-2023</t>
        </is>
      </c>
      <c r="B602" s="1" t="n">
        <v>45013</v>
      </c>
      <c r="C602" s="1" t="n">
        <v>46132</v>
      </c>
      <c r="D602" t="inlineStr">
        <is>
          <t>VÄSTERBOTTENS LÄN</t>
        </is>
      </c>
      <c r="E602" t="inlineStr">
        <is>
          <t>UMEÅ</t>
        </is>
      </c>
      <c r="G602" t="n">
        <v>14.4</v>
      </c>
      <c r="H602" t="n">
        <v>0</v>
      </c>
      <c r="I602" t="n">
        <v>0</v>
      </c>
      <c r="J602" t="n">
        <v>0</v>
      </c>
      <c r="K602" t="n">
        <v>0</v>
      </c>
      <c r="L602" t="n">
        <v>0</v>
      </c>
      <c r="M602" t="n">
        <v>0</v>
      </c>
      <c r="N602" t="n">
        <v>0</v>
      </c>
      <c r="O602" t="n">
        <v>0</v>
      </c>
      <c r="P602" t="n">
        <v>0</v>
      </c>
      <c r="Q602" t="n">
        <v>0</v>
      </c>
      <c r="R602" s="2" t="inlineStr"/>
    </row>
    <row r="603" ht="15" customHeight="1">
      <c r="A603" t="inlineStr">
        <is>
          <t>A 30053-2025</t>
        </is>
      </c>
      <c r="B603" s="1" t="n">
        <v>45826.60013888889</v>
      </c>
      <c r="C603" s="1" t="n">
        <v>46132</v>
      </c>
      <c r="D603" t="inlineStr">
        <is>
          <t>VÄSTERBOTTENS LÄN</t>
        </is>
      </c>
      <c r="E603" t="inlineStr">
        <is>
          <t>UMEÅ</t>
        </is>
      </c>
      <c r="G603" t="n">
        <v>5.5</v>
      </c>
      <c r="H603" t="n">
        <v>0</v>
      </c>
      <c r="I603" t="n">
        <v>0</v>
      </c>
      <c r="J603" t="n">
        <v>0</v>
      </c>
      <c r="K603" t="n">
        <v>0</v>
      </c>
      <c r="L603" t="n">
        <v>0</v>
      </c>
      <c r="M603" t="n">
        <v>0</v>
      </c>
      <c r="N603" t="n">
        <v>0</v>
      </c>
      <c r="O603" t="n">
        <v>0</v>
      </c>
      <c r="P603" t="n">
        <v>0</v>
      </c>
      <c r="Q603" t="n">
        <v>0</v>
      </c>
      <c r="R603" s="2" t="inlineStr"/>
    </row>
    <row r="604" ht="15" customHeight="1">
      <c r="A604" t="inlineStr">
        <is>
          <t>A 50284-2025</t>
        </is>
      </c>
      <c r="B604" s="1" t="n">
        <v>45944.39328703703</v>
      </c>
      <c r="C604" s="1" t="n">
        <v>46132</v>
      </c>
      <c r="D604" t="inlineStr">
        <is>
          <t>VÄSTERBOTTENS LÄN</t>
        </is>
      </c>
      <c r="E604" t="inlineStr">
        <is>
          <t>UMEÅ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46132</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46132</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56749-2023</t>
        </is>
      </c>
      <c r="B607" s="1" t="n">
        <v>45244</v>
      </c>
      <c r="C607" s="1" t="n">
        <v>46132</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46132</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50923-2025</t>
        </is>
      </c>
      <c r="B609" s="1" t="n">
        <v>45946.67513888889</v>
      </c>
      <c r="C609" s="1" t="n">
        <v>46132</v>
      </c>
      <c r="D609" t="inlineStr">
        <is>
          <t>VÄSTERBOTTENS LÄN</t>
        </is>
      </c>
      <c r="E609" t="inlineStr">
        <is>
          <t>UMEÅ</t>
        </is>
      </c>
      <c r="G609" t="n">
        <v>5.6</v>
      </c>
      <c r="H609" t="n">
        <v>0</v>
      </c>
      <c r="I609" t="n">
        <v>0</v>
      </c>
      <c r="J609" t="n">
        <v>0</v>
      </c>
      <c r="K609" t="n">
        <v>0</v>
      </c>
      <c r="L609" t="n">
        <v>0</v>
      </c>
      <c r="M609" t="n">
        <v>0</v>
      </c>
      <c r="N609" t="n">
        <v>0</v>
      </c>
      <c r="O609" t="n">
        <v>0</v>
      </c>
      <c r="P609" t="n">
        <v>0</v>
      </c>
      <c r="Q609" t="n">
        <v>0</v>
      </c>
      <c r="R609" s="2" t="inlineStr"/>
    </row>
    <row r="610" ht="15" customHeight="1">
      <c r="A610" t="inlineStr">
        <is>
          <t>A 46028-2024</t>
        </is>
      </c>
      <c r="B610" s="1" t="n">
        <v>45580.70097222222</v>
      </c>
      <c r="C610" s="1" t="n">
        <v>46132</v>
      </c>
      <c r="D610" t="inlineStr">
        <is>
          <t>VÄSTERBOTTENS LÄN</t>
        </is>
      </c>
      <c r="E610" t="inlineStr">
        <is>
          <t>UMEÅ</t>
        </is>
      </c>
      <c r="G610" t="n">
        <v>3.4</v>
      </c>
      <c r="H610" t="n">
        <v>0</v>
      </c>
      <c r="I610" t="n">
        <v>0</v>
      </c>
      <c r="J610" t="n">
        <v>0</v>
      </c>
      <c r="K610" t="n">
        <v>0</v>
      </c>
      <c r="L610" t="n">
        <v>0</v>
      </c>
      <c r="M610" t="n">
        <v>0</v>
      </c>
      <c r="N610" t="n">
        <v>0</v>
      </c>
      <c r="O610" t="n">
        <v>0</v>
      </c>
      <c r="P610" t="n">
        <v>0</v>
      </c>
      <c r="Q610" t="n">
        <v>0</v>
      </c>
      <c r="R610" s="2" t="inlineStr"/>
    </row>
    <row r="611" ht="15" customHeight="1">
      <c r="A611" t="inlineStr">
        <is>
          <t>A 33795-2025</t>
        </is>
      </c>
      <c r="B611" s="1" t="n">
        <v>45842.43515046296</v>
      </c>
      <c r="C611" s="1" t="n">
        <v>46132</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50939-2025</t>
        </is>
      </c>
      <c r="B612" s="1" t="n">
        <v>45946.71021990741</v>
      </c>
      <c r="C612" s="1" t="n">
        <v>46132</v>
      </c>
      <c r="D612" t="inlineStr">
        <is>
          <t>VÄSTERBOTTENS LÄN</t>
        </is>
      </c>
      <c r="E612" t="inlineStr">
        <is>
          <t>UMEÅ</t>
        </is>
      </c>
      <c r="F612" t="inlineStr">
        <is>
          <t>Holmen skog AB</t>
        </is>
      </c>
      <c r="G612" t="n">
        <v>3.1</v>
      </c>
      <c r="H612" t="n">
        <v>0</v>
      </c>
      <c r="I612" t="n">
        <v>0</v>
      </c>
      <c r="J612" t="n">
        <v>0</v>
      </c>
      <c r="K612" t="n">
        <v>0</v>
      </c>
      <c r="L612" t="n">
        <v>0</v>
      </c>
      <c r="M612" t="n">
        <v>0</v>
      </c>
      <c r="N612" t="n">
        <v>0</v>
      </c>
      <c r="O612" t="n">
        <v>0</v>
      </c>
      <c r="P612" t="n">
        <v>0</v>
      </c>
      <c r="Q612" t="n">
        <v>0</v>
      </c>
      <c r="R612" s="2" t="inlineStr"/>
    </row>
    <row r="613" ht="15" customHeight="1">
      <c r="A613" t="inlineStr">
        <is>
          <t>A 50443-2025</t>
        </is>
      </c>
      <c r="B613" s="1" t="n">
        <v>45944.86888888889</v>
      </c>
      <c r="C613" s="1" t="n">
        <v>46132</v>
      </c>
      <c r="D613" t="inlineStr">
        <is>
          <t>VÄSTERBOTTENS LÄN</t>
        </is>
      </c>
      <c r="E613" t="inlineStr">
        <is>
          <t>UMEÅ</t>
        </is>
      </c>
      <c r="G613" t="n">
        <v>1.5</v>
      </c>
      <c r="H613" t="n">
        <v>0</v>
      </c>
      <c r="I613" t="n">
        <v>0</v>
      </c>
      <c r="J613" t="n">
        <v>0</v>
      </c>
      <c r="K613" t="n">
        <v>0</v>
      </c>
      <c r="L613" t="n">
        <v>0</v>
      </c>
      <c r="M613" t="n">
        <v>0</v>
      </c>
      <c r="N613" t="n">
        <v>0</v>
      </c>
      <c r="O613" t="n">
        <v>0</v>
      </c>
      <c r="P613" t="n">
        <v>0</v>
      </c>
      <c r="Q613" t="n">
        <v>0</v>
      </c>
      <c r="R613" s="2" t="inlineStr"/>
    </row>
    <row r="614" ht="15" customHeight="1">
      <c r="A614" t="inlineStr">
        <is>
          <t>A 51339-2025</t>
        </is>
      </c>
      <c r="B614" s="1" t="n">
        <v>45950.42702546297</v>
      </c>
      <c r="C614" s="1" t="n">
        <v>46132</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14091-2023</t>
        </is>
      </c>
      <c r="B615" s="1" t="n">
        <v>45007</v>
      </c>
      <c r="C615" s="1" t="n">
        <v>46132</v>
      </c>
      <c r="D615" t="inlineStr">
        <is>
          <t>VÄSTERBOTTENS LÄN</t>
        </is>
      </c>
      <c r="E615" t="inlineStr">
        <is>
          <t>UMEÅ</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55856-2024</t>
        </is>
      </c>
      <c r="B616" s="1" t="n">
        <v>45623</v>
      </c>
      <c r="C616" s="1" t="n">
        <v>46132</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51445-2025</t>
        </is>
      </c>
      <c r="B617" s="1" t="n">
        <v>45950.58671296296</v>
      </c>
      <c r="C617" s="1" t="n">
        <v>46132</v>
      </c>
      <c r="D617" t="inlineStr">
        <is>
          <t>VÄSTERBOTTENS LÄN</t>
        </is>
      </c>
      <c r="E617" t="inlineStr">
        <is>
          <t>UMEÅ</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34290-2025</t>
        </is>
      </c>
      <c r="B618" s="1" t="n">
        <v>45846.33505787037</v>
      </c>
      <c r="C618" s="1" t="n">
        <v>46132</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51280-2025</t>
        </is>
      </c>
      <c r="B619" s="1" t="n">
        <v>45950.3259837963</v>
      </c>
      <c r="C619" s="1" t="n">
        <v>46132</v>
      </c>
      <c r="D619" t="inlineStr">
        <is>
          <t>VÄSTERBOTTENS LÄN</t>
        </is>
      </c>
      <c r="E619" t="inlineStr">
        <is>
          <t>UMEÅ</t>
        </is>
      </c>
      <c r="G619" t="n">
        <v>7.8</v>
      </c>
      <c r="H619" t="n">
        <v>0</v>
      </c>
      <c r="I619" t="n">
        <v>0</v>
      </c>
      <c r="J619" t="n">
        <v>0</v>
      </c>
      <c r="K619" t="n">
        <v>0</v>
      </c>
      <c r="L619" t="n">
        <v>0</v>
      </c>
      <c r="M619" t="n">
        <v>0</v>
      </c>
      <c r="N619" t="n">
        <v>0</v>
      </c>
      <c r="O619" t="n">
        <v>0</v>
      </c>
      <c r="P619" t="n">
        <v>0</v>
      </c>
      <c r="Q619" t="n">
        <v>0</v>
      </c>
      <c r="R619" s="2" t="inlineStr"/>
    </row>
    <row r="620" ht="15" customHeight="1">
      <c r="A620" t="inlineStr">
        <is>
          <t>A 60323-2024</t>
        </is>
      </c>
      <c r="B620" s="1" t="n">
        <v>45641</v>
      </c>
      <c r="C620" s="1" t="n">
        <v>46132</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58284-2021</t>
        </is>
      </c>
      <c r="B621" s="1" t="n">
        <v>44487.97035879629</v>
      </c>
      <c r="C621" s="1" t="n">
        <v>46132</v>
      </c>
      <c r="D621" t="inlineStr">
        <is>
          <t>VÄSTERBOTTENS LÄN</t>
        </is>
      </c>
      <c r="E621" t="inlineStr">
        <is>
          <t>UMEÅ</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18520-2023</t>
        </is>
      </c>
      <c r="B622" s="1" t="n">
        <v>45041</v>
      </c>
      <c r="C622" s="1" t="n">
        <v>46132</v>
      </c>
      <c r="D622" t="inlineStr">
        <is>
          <t>VÄSTERBOTTENS LÄN</t>
        </is>
      </c>
      <c r="E622" t="inlineStr">
        <is>
          <t>UMEÅ</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18527-2023</t>
        </is>
      </c>
      <c r="B623" s="1" t="n">
        <v>45041</v>
      </c>
      <c r="C623" s="1" t="n">
        <v>46132</v>
      </c>
      <c r="D623" t="inlineStr">
        <is>
          <t>VÄSTERBOTTENS LÄN</t>
        </is>
      </c>
      <c r="E623" t="inlineStr">
        <is>
          <t>UMEÅ</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56617-2025</t>
        </is>
      </c>
      <c r="B624" s="1" t="n">
        <v>45975.59364583333</v>
      </c>
      <c r="C624" s="1" t="n">
        <v>46132</v>
      </c>
      <c r="D624" t="inlineStr">
        <is>
          <t>VÄSTERBOTTENS LÄN</t>
        </is>
      </c>
      <c r="E624" t="inlineStr">
        <is>
          <t>UMEÅ</t>
        </is>
      </c>
      <c r="G624" t="n">
        <v>1.7</v>
      </c>
      <c r="H624" t="n">
        <v>0</v>
      </c>
      <c r="I624" t="n">
        <v>0</v>
      </c>
      <c r="J624" t="n">
        <v>0</v>
      </c>
      <c r="K624" t="n">
        <v>0</v>
      </c>
      <c r="L624" t="n">
        <v>0</v>
      </c>
      <c r="M624" t="n">
        <v>0</v>
      </c>
      <c r="N624" t="n">
        <v>0</v>
      </c>
      <c r="O624" t="n">
        <v>0</v>
      </c>
      <c r="P624" t="n">
        <v>0</v>
      </c>
      <c r="Q624" t="n">
        <v>0</v>
      </c>
      <c r="R624" s="2" t="inlineStr"/>
    </row>
    <row r="625" ht="15" customHeight="1">
      <c r="A625" t="inlineStr">
        <is>
          <t>A 34039-2025</t>
        </is>
      </c>
      <c r="B625" s="1" t="n">
        <v>45845.37259259259</v>
      </c>
      <c r="C625" s="1" t="n">
        <v>46132</v>
      </c>
      <c r="D625" t="inlineStr">
        <is>
          <t>VÄSTERBOTTENS LÄN</t>
        </is>
      </c>
      <c r="E625" t="inlineStr">
        <is>
          <t>UMEÅ</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34061-2025</t>
        </is>
      </c>
      <c r="B626" s="1" t="n">
        <v>45845.42341435186</v>
      </c>
      <c r="C626" s="1" t="n">
        <v>46132</v>
      </c>
      <c r="D626" t="inlineStr">
        <is>
          <t>VÄSTERBOTTENS LÄN</t>
        </is>
      </c>
      <c r="E626" t="inlineStr">
        <is>
          <t>UMEÅ</t>
        </is>
      </c>
      <c r="F626" t="inlineStr">
        <is>
          <t>Holmen skog AB</t>
        </is>
      </c>
      <c r="G626" t="n">
        <v>4.3</v>
      </c>
      <c r="H626" t="n">
        <v>0</v>
      </c>
      <c r="I626" t="n">
        <v>0</v>
      </c>
      <c r="J626" t="n">
        <v>0</v>
      </c>
      <c r="K626" t="n">
        <v>0</v>
      </c>
      <c r="L626" t="n">
        <v>0</v>
      </c>
      <c r="M626" t="n">
        <v>0</v>
      </c>
      <c r="N626" t="n">
        <v>0</v>
      </c>
      <c r="O626" t="n">
        <v>0</v>
      </c>
      <c r="P626" t="n">
        <v>0</v>
      </c>
      <c r="Q626" t="n">
        <v>0</v>
      </c>
      <c r="R626" s="2" t="inlineStr"/>
    </row>
    <row r="627" ht="15" customHeight="1">
      <c r="A627" t="inlineStr">
        <is>
          <t>A 56555-2025</t>
        </is>
      </c>
      <c r="B627" s="1" t="n">
        <v>45975.48876157407</v>
      </c>
      <c r="C627" s="1" t="n">
        <v>46132</v>
      </c>
      <c r="D627" t="inlineStr">
        <is>
          <t>VÄSTERBOTTENS LÄN</t>
        </is>
      </c>
      <c r="E627" t="inlineStr">
        <is>
          <t>UMEÅ</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34774-2025</t>
        </is>
      </c>
      <c r="B628" s="1" t="n">
        <v>45848.65680555555</v>
      </c>
      <c r="C628" s="1" t="n">
        <v>46132</v>
      </c>
      <c r="D628" t="inlineStr">
        <is>
          <t>VÄSTERBOTTENS LÄN</t>
        </is>
      </c>
      <c r="E628" t="inlineStr">
        <is>
          <t>UMEÅ</t>
        </is>
      </c>
      <c r="G628" t="n">
        <v>21.6</v>
      </c>
      <c r="H628" t="n">
        <v>0</v>
      </c>
      <c r="I628" t="n">
        <v>0</v>
      </c>
      <c r="J628" t="n">
        <v>0</v>
      </c>
      <c r="K628" t="n">
        <v>0</v>
      </c>
      <c r="L628" t="n">
        <v>0</v>
      </c>
      <c r="M628" t="n">
        <v>0</v>
      </c>
      <c r="N628" t="n">
        <v>0</v>
      </c>
      <c r="O628" t="n">
        <v>0</v>
      </c>
      <c r="P628" t="n">
        <v>0</v>
      </c>
      <c r="Q628" t="n">
        <v>0</v>
      </c>
      <c r="R628" s="2" t="inlineStr"/>
    </row>
    <row r="629" ht="15" customHeight="1">
      <c r="A629" t="inlineStr">
        <is>
          <t>A 56542-2025</t>
        </is>
      </c>
      <c r="B629" s="1" t="n">
        <v>45975.47570601852</v>
      </c>
      <c r="C629" s="1" t="n">
        <v>46132</v>
      </c>
      <c r="D629" t="inlineStr">
        <is>
          <t>VÄSTERBOTTENS LÄN</t>
        </is>
      </c>
      <c r="E629" t="inlineStr">
        <is>
          <t>UMEÅ</t>
        </is>
      </c>
      <c r="G629" t="n">
        <v>4</v>
      </c>
      <c r="H629" t="n">
        <v>0</v>
      </c>
      <c r="I629" t="n">
        <v>0</v>
      </c>
      <c r="J629" t="n">
        <v>0</v>
      </c>
      <c r="K629" t="n">
        <v>0</v>
      </c>
      <c r="L629" t="n">
        <v>0</v>
      </c>
      <c r="M629" t="n">
        <v>0</v>
      </c>
      <c r="N629" t="n">
        <v>0</v>
      </c>
      <c r="O629" t="n">
        <v>0</v>
      </c>
      <c r="P629" t="n">
        <v>0</v>
      </c>
      <c r="Q629" t="n">
        <v>0</v>
      </c>
      <c r="R629" s="2" t="inlineStr"/>
    </row>
    <row r="630" ht="15" customHeight="1">
      <c r="A630" t="inlineStr">
        <is>
          <t>A 34787-2025</t>
        </is>
      </c>
      <c r="B630" s="1" t="n">
        <v>45848.67791666667</v>
      </c>
      <c r="C630" s="1" t="n">
        <v>46132</v>
      </c>
      <c r="D630" t="inlineStr">
        <is>
          <t>VÄSTERBOTTENS LÄN</t>
        </is>
      </c>
      <c r="E630" t="inlineStr">
        <is>
          <t>UMEÅ</t>
        </is>
      </c>
      <c r="G630" t="n">
        <v>8.6</v>
      </c>
      <c r="H630" t="n">
        <v>0</v>
      </c>
      <c r="I630" t="n">
        <v>0</v>
      </c>
      <c r="J630" t="n">
        <v>0</v>
      </c>
      <c r="K630" t="n">
        <v>0</v>
      </c>
      <c r="L630" t="n">
        <v>0</v>
      </c>
      <c r="M630" t="n">
        <v>0</v>
      </c>
      <c r="N630" t="n">
        <v>0</v>
      </c>
      <c r="O630" t="n">
        <v>0</v>
      </c>
      <c r="P630" t="n">
        <v>0</v>
      </c>
      <c r="Q630" t="n">
        <v>0</v>
      </c>
      <c r="R630" s="2" t="inlineStr"/>
    </row>
    <row r="631" ht="15" customHeight="1">
      <c r="A631" t="inlineStr">
        <is>
          <t>A 56816-2025</t>
        </is>
      </c>
      <c r="B631" s="1" t="n">
        <v>45978.46039351852</v>
      </c>
      <c r="C631" s="1" t="n">
        <v>46132</v>
      </c>
      <c r="D631" t="inlineStr">
        <is>
          <t>VÄSTERBOTTENS LÄN</t>
        </is>
      </c>
      <c r="E631" t="inlineStr">
        <is>
          <t>UMEÅ</t>
        </is>
      </c>
      <c r="G631" t="n">
        <v>6.4</v>
      </c>
      <c r="H631" t="n">
        <v>0</v>
      </c>
      <c r="I631" t="n">
        <v>0</v>
      </c>
      <c r="J631" t="n">
        <v>0</v>
      </c>
      <c r="K631" t="n">
        <v>0</v>
      </c>
      <c r="L631" t="n">
        <v>0</v>
      </c>
      <c r="M631" t="n">
        <v>0</v>
      </c>
      <c r="N631" t="n">
        <v>0</v>
      </c>
      <c r="O631" t="n">
        <v>0</v>
      </c>
      <c r="P631" t="n">
        <v>0</v>
      </c>
      <c r="Q631" t="n">
        <v>0</v>
      </c>
      <c r="R631" s="2" t="inlineStr"/>
    </row>
    <row r="632" ht="15" customHeight="1">
      <c r="A632" t="inlineStr">
        <is>
          <t>A 7774-2025</t>
        </is>
      </c>
      <c r="B632" s="1" t="n">
        <v>45706.57314814815</v>
      </c>
      <c r="C632" s="1" t="n">
        <v>46132</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56515-2025</t>
        </is>
      </c>
      <c r="B633" s="1" t="n">
        <v>45975.45572916666</v>
      </c>
      <c r="C633" s="1" t="n">
        <v>46132</v>
      </c>
      <c r="D633" t="inlineStr">
        <is>
          <t>VÄSTERBOTTENS LÄN</t>
        </is>
      </c>
      <c r="E633" t="inlineStr">
        <is>
          <t>UMEÅ</t>
        </is>
      </c>
      <c r="F633" t="inlineStr">
        <is>
          <t>Holmen skog AB</t>
        </is>
      </c>
      <c r="G633" t="n">
        <v>3.8</v>
      </c>
      <c r="H633" t="n">
        <v>0</v>
      </c>
      <c r="I633" t="n">
        <v>0</v>
      </c>
      <c r="J633" t="n">
        <v>0</v>
      </c>
      <c r="K633" t="n">
        <v>0</v>
      </c>
      <c r="L633" t="n">
        <v>0</v>
      </c>
      <c r="M633" t="n">
        <v>0</v>
      </c>
      <c r="N633" t="n">
        <v>0</v>
      </c>
      <c r="O633" t="n">
        <v>0</v>
      </c>
      <c r="P633" t="n">
        <v>0</v>
      </c>
      <c r="Q633" t="n">
        <v>0</v>
      </c>
      <c r="R633" s="2" t="inlineStr"/>
    </row>
    <row r="634" ht="15" customHeight="1">
      <c r="A634" t="inlineStr">
        <is>
          <t>A 59735-2024</t>
        </is>
      </c>
      <c r="B634" s="1" t="n">
        <v>45639</v>
      </c>
      <c r="C634" s="1" t="n">
        <v>46132</v>
      </c>
      <c r="D634" t="inlineStr">
        <is>
          <t>VÄSTERBOTTENS LÄN</t>
        </is>
      </c>
      <c r="E634" t="inlineStr">
        <is>
          <t>UMEÅ</t>
        </is>
      </c>
      <c r="G634" t="n">
        <v>10.7</v>
      </c>
      <c r="H634" t="n">
        <v>0</v>
      </c>
      <c r="I634" t="n">
        <v>0</v>
      </c>
      <c r="J634" t="n">
        <v>0</v>
      </c>
      <c r="K634" t="n">
        <v>0</v>
      </c>
      <c r="L634" t="n">
        <v>0</v>
      </c>
      <c r="M634" t="n">
        <v>0</v>
      </c>
      <c r="N634" t="n">
        <v>0</v>
      </c>
      <c r="O634" t="n">
        <v>0</v>
      </c>
      <c r="P634" t="n">
        <v>0</v>
      </c>
      <c r="Q634" t="n">
        <v>0</v>
      </c>
      <c r="R634" s="2" t="inlineStr"/>
    </row>
    <row r="635" ht="15" customHeight="1">
      <c r="A635" t="inlineStr">
        <is>
          <t>A 36854-2022</t>
        </is>
      </c>
      <c r="B635" s="1" t="n">
        <v>44805.60581018519</v>
      </c>
      <c r="C635" s="1" t="n">
        <v>46132</v>
      </c>
      <c r="D635" t="inlineStr">
        <is>
          <t>VÄSTERBOTTENS LÄN</t>
        </is>
      </c>
      <c r="E635" t="inlineStr">
        <is>
          <t>UMEÅ</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56547-2025</t>
        </is>
      </c>
      <c r="B636" s="1" t="n">
        <v>45975.48043981481</v>
      </c>
      <c r="C636" s="1" t="n">
        <v>46132</v>
      </c>
      <c r="D636" t="inlineStr">
        <is>
          <t>VÄSTERBOTTENS LÄN</t>
        </is>
      </c>
      <c r="E636" t="inlineStr">
        <is>
          <t>UMEÅ</t>
        </is>
      </c>
      <c r="G636" t="n">
        <v>6.1</v>
      </c>
      <c r="H636" t="n">
        <v>0</v>
      </c>
      <c r="I636" t="n">
        <v>0</v>
      </c>
      <c r="J636" t="n">
        <v>0</v>
      </c>
      <c r="K636" t="n">
        <v>0</v>
      </c>
      <c r="L636" t="n">
        <v>0</v>
      </c>
      <c r="M636" t="n">
        <v>0</v>
      </c>
      <c r="N636" t="n">
        <v>0</v>
      </c>
      <c r="O636" t="n">
        <v>0</v>
      </c>
      <c r="P636" t="n">
        <v>0</v>
      </c>
      <c r="Q636" t="n">
        <v>0</v>
      </c>
      <c r="R636" s="2" t="inlineStr"/>
    </row>
    <row r="637" ht="15" customHeight="1">
      <c r="A637" t="inlineStr">
        <is>
          <t>A 56642-2025</t>
        </is>
      </c>
      <c r="B637" s="1" t="n">
        <v>45975.62614583333</v>
      </c>
      <c r="C637" s="1" t="n">
        <v>46132</v>
      </c>
      <c r="D637" t="inlineStr">
        <is>
          <t>VÄSTERBOTTENS LÄN</t>
        </is>
      </c>
      <c r="E637" t="inlineStr">
        <is>
          <t>UMEÅ</t>
        </is>
      </c>
      <c r="G637" t="n">
        <v>2.1</v>
      </c>
      <c r="H637" t="n">
        <v>0</v>
      </c>
      <c r="I637" t="n">
        <v>0</v>
      </c>
      <c r="J637" t="n">
        <v>0</v>
      </c>
      <c r="K637" t="n">
        <v>0</v>
      </c>
      <c r="L637" t="n">
        <v>0</v>
      </c>
      <c r="M637" t="n">
        <v>0</v>
      </c>
      <c r="N637" t="n">
        <v>0</v>
      </c>
      <c r="O637" t="n">
        <v>0</v>
      </c>
      <c r="P637" t="n">
        <v>0</v>
      </c>
      <c r="Q637" t="n">
        <v>0</v>
      </c>
      <c r="R637" s="2" t="inlineStr"/>
    </row>
    <row r="638" ht="15" customHeight="1">
      <c r="A638" t="inlineStr">
        <is>
          <t>A 18322-2023</t>
        </is>
      </c>
      <c r="B638" s="1" t="n">
        <v>45041.61890046296</v>
      </c>
      <c r="C638" s="1" t="n">
        <v>46132</v>
      </c>
      <c r="D638" t="inlineStr">
        <is>
          <t>VÄSTERBOTTENS LÄN</t>
        </is>
      </c>
      <c r="E638" t="inlineStr">
        <is>
          <t>UMEÅ</t>
        </is>
      </c>
      <c r="G638" t="n">
        <v>1.5</v>
      </c>
      <c r="H638" t="n">
        <v>0</v>
      </c>
      <c r="I638" t="n">
        <v>0</v>
      </c>
      <c r="J638" t="n">
        <v>0</v>
      </c>
      <c r="K638" t="n">
        <v>0</v>
      </c>
      <c r="L638" t="n">
        <v>0</v>
      </c>
      <c r="M638" t="n">
        <v>0</v>
      </c>
      <c r="N638" t="n">
        <v>0</v>
      </c>
      <c r="O638" t="n">
        <v>0</v>
      </c>
      <c r="P638" t="n">
        <v>0</v>
      </c>
      <c r="Q638" t="n">
        <v>0</v>
      </c>
      <c r="R638" s="2" t="inlineStr"/>
    </row>
    <row r="639" ht="15" customHeight="1">
      <c r="A639" t="inlineStr">
        <is>
          <t>A 20749-2024</t>
        </is>
      </c>
      <c r="B639" s="1" t="n">
        <v>45436</v>
      </c>
      <c r="C639" s="1" t="n">
        <v>46132</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3165-2025</t>
        </is>
      </c>
      <c r="B640" s="1" t="n">
        <v>45679.35350694445</v>
      </c>
      <c r="C640" s="1" t="n">
        <v>46132</v>
      </c>
      <c r="D640" t="inlineStr">
        <is>
          <t>VÄSTERBOTTENS LÄN</t>
        </is>
      </c>
      <c r="E640" t="inlineStr">
        <is>
          <t>UMEÅ</t>
        </is>
      </c>
      <c r="G640" t="n">
        <v>8.1</v>
      </c>
      <c r="H640" t="n">
        <v>0</v>
      </c>
      <c r="I640" t="n">
        <v>0</v>
      </c>
      <c r="J640" t="n">
        <v>0</v>
      </c>
      <c r="K640" t="n">
        <v>0</v>
      </c>
      <c r="L640" t="n">
        <v>0</v>
      </c>
      <c r="M640" t="n">
        <v>0</v>
      </c>
      <c r="N640" t="n">
        <v>0</v>
      </c>
      <c r="O640" t="n">
        <v>0</v>
      </c>
      <c r="P640" t="n">
        <v>0</v>
      </c>
      <c r="Q640" t="n">
        <v>0</v>
      </c>
      <c r="R640" s="2" t="inlineStr"/>
    </row>
    <row r="641" ht="15" customHeight="1">
      <c r="A641" t="inlineStr">
        <is>
          <t>A 57105-2025</t>
        </is>
      </c>
      <c r="B641" s="1" t="n">
        <v>45979.44579861111</v>
      </c>
      <c r="C641" s="1" t="n">
        <v>46132</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32662-2024</t>
        </is>
      </c>
      <c r="B642" s="1" t="n">
        <v>45514.37979166667</v>
      </c>
      <c r="C642" s="1" t="n">
        <v>46132</v>
      </c>
      <c r="D642" t="inlineStr">
        <is>
          <t>VÄSTERBOTTENS LÄN</t>
        </is>
      </c>
      <c r="E642" t="inlineStr">
        <is>
          <t>UMEÅ</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57018-2025</t>
        </is>
      </c>
      <c r="B643" s="1" t="n">
        <v>45978.84679398148</v>
      </c>
      <c r="C643" s="1" t="n">
        <v>46132</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61532-2024</t>
        </is>
      </c>
      <c r="B644" s="1" t="n">
        <v>45646.58855324074</v>
      </c>
      <c r="C644" s="1" t="n">
        <v>46132</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35625-2024</t>
        </is>
      </c>
      <c r="B645" s="1" t="n">
        <v>45531.73709490741</v>
      </c>
      <c r="C645" s="1" t="n">
        <v>46132</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57551-2025</t>
        </is>
      </c>
      <c r="B646" s="1" t="n">
        <v>45980.65818287037</v>
      </c>
      <c r="C646" s="1" t="n">
        <v>46132</v>
      </c>
      <c r="D646" t="inlineStr">
        <is>
          <t>VÄSTERBOTTENS LÄN</t>
        </is>
      </c>
      <c r="E646" t="inlineStr">
        <is>
          <t>UMEÅ</t>
        </is>
      </c>
      <c r="G646" t="n">
        <v>0.6</v>
      </c>
      <c r="H646" t="n">
        <v>0</v>
      </c>
      <c r="I646" t="n">
        <v>0</v>
      </c>
      <c r="J646" t="n">
        <v>0</v>
      </c>
      <c r="K646" t="n">
        <v>0</v>
      </c>
      <c r="L646" t="n">
        <v>0</v>
      </c>
      <c r="M646" t="n">
        <v>0</v>
      </c>
      <c r="N646" t="n">
        <v>0</v>
      </c>
      <c r="O646" t="n">
        <v>0</v>
      </c>
      <c r="P646" t="n">
        <v>0</v>
      </c>
      <c r="Q646" t="n">
        <v>0</v>
      </c>
      <c r="R646" s="2" t="inlineStr"/>
    </row>
    <row r="647" ht="15" customHeight="1">
      <c r="A647" t="inlineStr">
        <is>
          <t>A 25690-2025</t>
        </is>
      </c>
      <c r="B647" s="1" t="n">
        <v>45803.66153935185</v>
      </c>
      <c r="C647" s="1" t="n">
        <v>46132</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23285-2021</t>
        </is>
      </c>
      <c r="B648" s="1" t="n">
        <v>44330</v>
      </c>
      <c r="C648" s="1" t="n">
        <v>46132</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22795-2022</t>
        </is>
      </c>
      <c r="B649" s="1" t="n">
        <v>44715.33833333333</v>
      </c>
      <c r="C649" s="1" t="n">
        <v>46132</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19025-2024</t>
        </is>
      </c>
      <c r="B650" s="1" t="n">
        <v>45427</v>
      </c>
      <c r="C650" s="1" t="n">
        <v>46132</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36056-2025</t>
        </is>
      </c>
      <c r="B651" s="1" t="n">
        <v>45866.39083333333</v>
      </c>
      <c r="C651" s="1" t="n">
        <v>46132</v>
      </c>
      <c r="D651" t="inlineStr">
        <is>
          <t>VÄSTERBOTTENS LÄN</t>
        </is>
      </c>
      <c r="E651" t="inlineStr">
        <is>
          <t>UMEÅ</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36084-2025</t>
        </is>
      </c>
      <c r="B652" s="1" t="n">
        <v>45866.460625</v>
      </c>
      <c r="C652" s="1" t="n">
        <v>46132</v>
      </c>
      <c r="D652" t="inlineStr">
        <is>
          <t>VÄSTERBOTTENS LÄN</t>
        </is>
      </c>
      <c r="E652" t="inlineStr">
        <is>
          <t>UMEÅ</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36114-2025</t>
        </is>
      </c>
      <c r="B653" s="1" t="n">
        <v>45866.57740740741</v>
      </c>
      <c r="C653" s="1" t="n">
        <v>46132</v>
      </c>
      <c r="D653" t="inlineStr">
        <is>
          <t>VÄSTERBOTTENS LÄN</t>
        </is>
      </c>
      <c r="E653" t="inlineStr">
        <is>
          <t>UMEÅ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57366-2025</t>
        </is>
      </c>
      <c r="B654" s="1" t="n">
        <v>45980.37606481482</v>
      </c>
      <c r="C654" s="1" t="n">
        <v>46132</v>
      </c>
      <c r="D654" t="inlineStr">
        <is>
          <t>VÄSTERBOTTENS LÄN</t>
        </is>
      </c>
      <c r="E654" t="inlineStr">
        <is>
          <t>UMEÅ</t>
        </is>
      </c>
      <c r="G654" t="n">
        <v>5.3</v>
      </c>
      <c r="H654" t="n">
        <v>0</v>
      </c>
      <c r="I654" t="n">
        <v>0</v>
      </c>
      <c r="J654" t="n">
        <v>0</v>
      </c>
      <c r="K654" t="n">
        <v>0</v>
      </c>
      <c r="L654" t="n">
        <v>0</v>
      </c>
      <c r="M654" t="n">
        <v>0</v>
      </c>
      <c r="N654" t="n">
        <v>0</v>
      </c>
      <c r="O654" t="n">
        <v>0</v>
      </c>
      <c r="P654" t="n">
        <v>0</v>
      </c>
      <c r="Q654" t="n">
        <v>0</v>
      </c>
      <c r="R654" s="2" t="inlineStr"/>
    </row>
    <row r="655" ht="15" customHeight="1">
      <c r="A655" t="inlineStr">
        <is>
          <t>A 57374-2025</t>
        </is>
      </c>
      <c r="B655" s="1" t="n">
        <v>45980.38856481481</v>
      </c>
      <c r="C655" s="1" t="n">
        <v>46132</v>
      </c>
      <c r="D655" t="inlineStr">
        <is>
          <t>VÄSTERBOTTENS LÄN</t>
        </is>
      </c>
      <c r="E655" t="inlineStr">
        <is>
          <t>UMEÅ</t>
        </is>
      </c>
      <c r="G655" t="n">
        <v>0.6</v>
      </c>
      <c r="H655" t="n">
        <v>0</v>
      </c>
      <c r="I655" t="n">
        <v>0</v>
      </c>
      <c r="J655" t="n">
        <v>0</v>
      </c>
      <c r="K655" t="n">
        <v>0</v>
      </c>
      <c r="L655" t="n">
        <v>0</v>
      </c>
      <c r="M655" t="n">
        <v>0</v>
      </c>
      <c r="N655" t="n">
        <v>0</v>
      </c>
      <c r="O655" t="n">
        <v>0</v>
      </c>
      <c r="P655" t="n">
        <v>0</v>
      </c>
      <c r="Q655" t="n">
        <v>0</v>
      </c>
      <c r="R655" s="2" t="inlineStr"/>
    </row>
    <row r="656" ht="15" customHeight="1">
      <c r="A656" t="inlineStr">
        <is>
          <t>A 58132-2022</t>
        </is>
      </c>
      <c r="B656" s="1" t="n">
        <v>44900.68913194445</v>
      </c>
      <c r="C656" s="1" t="n">
        <v>46132</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36334-2025</t>
        </is>
      </c>
      <c r="B657" s="1" t="n">
        <v>45868.43071759259</v>
      </c>
      <c r="C657" s="1" t="n">
        <v>46132</v>
      </c>
      <c r="D657" t="inlineStr">
        <is>
          <t>VÄSTERBOTTENS LÄN</t>
        </is>
      </c>
      <c r="E657" t="inlineStr">
        <is>
          <t>UMEÅ</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58044-2025</t>
        </is>
      </c>
      <c r="B658" s="1" t="n">
        <v>45982.5025</v>
      </c>
      <c r="C658" s="1" t="n">
        <v>46132</v>
      </c>
      <c r="D658" t="inlineStr">
        <is>
          <t>VÄSTERBOTTENS LÄN</t>
        </is>
      </c>
      <c r="E658" t="inlineStr">
        <is>
          <t>UMEÅ</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36309-2025</t>
        </is>
      </c>
      <c r="B659" s="1" t="n">
        <v>45868.33694444445</v>
      </c>
      <c r="C659" s="1" t="n">
        <v>46132</v>
      </c>
      <c r="D659" t="inlineStr">
        <is>
          <t>VÄSTERBOTTENS LÄN</t>
        </is>
      </c>
      <c r="E659" t="inlineStr">
        <is>
          <t>UMEÅ</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36217-2025</t>
        </is>
      </c>
      <c r="B660" s="1" t="n">
        <v>45867.49550925926</v>
      </c>
      <c r="C660" s="1" t="n">
        <v>46132</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36233-2025</t>
        </is>
      </c>
      <c r="B661" s="1" t="n">
        <v>45867.54707175926</v>
      </c>
      <c r="C661" s="1" t="n">
        <v>46132</v>
      </c>
      <c r="D661" t="inlineStr">
        <is>
          <t>VÄSTERBOTTENS LÄN</t>
        </is>
      </c>
      <c r="E661" t="inlineStr">
        <is>
          <t>UMEÅ</t>
        </is>
      </c>
      <c r="F661" t="inlineStr">
        <is>
          <t>Holmen skog AB</t>
        </is>
      </c>
      <c r="G661" t="n">
        <v>3.9</v>
      </c>
      <c r="H661" t="n">
        <v>0</v>
      </c>
      <c r="I661" t="n">
        <v>0</v>
      </c>
      <c r="J661" t="n">
        <v>0</v>
      </c>
      <c r="K661" t="n">
        <v>0</v>
      </c>
      <c r="L661" t="n">
        <v>0</v>
      </c>
      <c r="M661" t="n">
        <v>0</v>
      </c>
      <c r="N661" t="n">
        <v>0</v>
      </c>
      <c r="O661" t="n">
        <v>0</v>
      </c>
      <c r="P661" t="n">
        <v>0</v>
      </c>
      <c r="Q661" t="n">
        <v>0</v>
      </c>
      <c r="R661" s="2" t="inlineStr"/>
    </row>
    <row r="662" ht="15" customHeight="1">
      <c r="A662" t="inlineStr">
        <is>
          <t>A 22279-2021</t>
        </is>
      </c>
      <c r="B662" s="1" t="n">
        <v>44326</v>
      </c>
      <c r="C662" s="1" t="n">
        <v>46132</v>
      </c>
      <c r="D662" t="inlineStr">
        <is>
          <t>VÄSTERBOTTENS LÄN</t>
        </is>
      </c>
      <c r="E662" t="inlineStr">
        <is>
          <t>UMEÅ</t>
        </is>
      </c>
      <c r="G662" t="n">
        <v>3.2</v>
      </c>
      <c r="H662" t="n">
        <v>0</v>
      </c>
      <c r="I662" t="n">
        <v>0</v>
      </c>
      <c r="J662" t="n">
        <v>0</v>
      </c>
      <c r="K662" t="n">
        <v>0</v>
      </c>
      <c r="L662" t="n">
        <v>0</v>
      </c>
      <c r="M662" t="n">
        <v>0</v>
      </c>
      <c r="N662" t="n">
        <v>0</v>
      </c>
      <c r="O662" t="n">
        <v>0</v>
      </c>
      <c r="P662" t="n">
        <v>0</v>
      </c>
      <c r="Q662" t="n">
        <v>0</v>
      </c>
      <c r="R662" s="2" t="inlineStr"/>
    </row>
    <row r="663" ht="15" customHeight="1">
      <c r="A663" t="inlineStr">
        <is>
          <t>A 20498-2021</t>
        </is>
      </c>
      <c r="B663" s="1" t="n">
        <v>44313</v>
      </c>
      <c r="C663" s="1" t="n">
        <v>46132</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31337-2022</t>
        </is>
      </c>
      <c r="B664" s="1" t="n">
        <v>44774</v>
      </c>
      <c r="C664" s="1" t="n">
        <v>46132</v>
      </c>
      <c r="D664" t="inlineStr">
        <is>
          <t>VÄSTERBOTTENS LÄN</t>
        </is>
      </c>
      <c r="E664" t="inlineStr">
        <is>
          <t>UMEÅ</t>
        </is>
      </c>
      <c r="G664" t="n">
        <v>3.7</v>
      </c>
      <c r="H664" t="n">
        <v>0</v>
      </c>
      <c r="I664" t="n">
        <v>0</v>
      </c>
      <c r="J664" t="n">
        <v>0</v>
      </c>
      <c r="K664" t="n">
        <v>0</v>
      </c>
      <c r="L664" t="n">
        <v>0</v>
      </c>
      <c r="M664" t="n">
        <v>0</v>
      </c>
      <c r="N664" t="n">
        <v>0</v>
      </c>
      <c r="O664" t="n">
        <v>0</v>
      </c>
      <c r="P664" t="n">
        <v>0</v>
      </c>
      <c r="Q664" t="n">
        <v>0</v>
      </c>
      <c r="R664" s="2" t="inlineStr"/>
    </row>
    <row r="665" ht="15" customHeight="1">
      <c r="A665" t="inlineStr">
        <is>
          <t>A 28267-2021</t>
        </is>
      </c>
      <c r="B665" s="1" t="n">
        <v>44355</v>
      </c>
      <c r="C665" s="1" t="n">
        <v>46132</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58080-2025</t>
        </is>
      </c>
      <c r="B666" s="1" t="n">
        <v>45982.55920138889</v>
      </c>
      <c r="C666" s="1" t="n">
        <v>46132</v>
      </c>
      <c r="D666" t="inlineStr">
        <is>
          <t>VÄSTERBOTTENS LÄN</t>
        </is>
      </c>
      <c r="E666" t="inlineStr">
        <is>
          <t>UMEÅ</t>
        </is>
      </c>
      <c r="G666" t="n">
        <v>2.4</v>
      </c>
      <c r="H666" t="n">
        <v>0</v>
      </c>
      <c r="I666" t="n">
        <v>0</v>
      </c>
      <c r="J666" t="n">
        <v>0</v>
      </c>
      <c r="K666" t="n">
        <v>0</v>
      </c>
      <c r="L666" t="n">
        <v>0</v>
      </c>
      <c r="M666" t="n">
        <v>0</v>
      </c>
      <c r="N666" t="n">
        <v>0</v>
      </c>
      <c r="O666" t="n">
        <v>0</v>
      </c>
      <c r="P666" t="n">
        <v>0</v>
      </c>
      <c r="Q666" t="n">
        <v>0</v>
      </c>
      <c r="R666" s="2" t="inlineStr"/>
    </row>
    <row r="667" ht="15" customHeight="1">
      <c r="A667" t="inlineStr">
        <is>
          <t>A 36578-2025</t>
        </is>
      </c>
      <c r="B667" s="1" t="n">
        <v>45870.41876157407</v>
      </c>
      <c r="C667" s="1" t="n">
        <v>46132</v>
      </c>
      <c r="D667" t="inlineStr">
        <is>
          <t>VÄSTERBOTTENS LÄN</t>
        </is>
      </c>
      <c r="E667" t="inlineStr">
        <is>
          <t>UMEÅ</t>
        </is>
      </c>
      <c r="F667" t="inlineStr">
        <is>
          <t>Holmen skog AB</t>
        </is>
      </c>
      <c r="G667" t="n">
        <v>7.6</v>
      </c>
      <c r="H667" t="n">
        <v>0</v>
      </c>
      <c r="I667" t="n">
        <v>0</v>
      </c>
      <c r="J667" t="n">
        <v>0</v>
      </c>
      <c r="K667" t="n">
        <v>0</v>
      </c>
      <c r="L667" t="n">
        <v>0</v>
      </c>
      <c r="M667" t="n">
        <v>0</v>
      </c>
      <c r="N667" t="n">
        <v>0</v>
      </c>
      <c r="O667" t="n">
        <v>0</v>
      </c>
      <c r="P667" t="n">
        <v>0</v>
      </c>
      <c r="Q667" t="n">
        <v>0</v>
      </c>
      <c r="R667" s="2" t="inlineStr"/>
    </row>
    <row r="668" ht="15" customHeight="1">
      <c r="A668" t="inlineStr">
        <is>
          <t>A 27088-2024</t>
        </is>
      </c>
      <c r="B668" s="1" t="n">
        <v>45471.47892361111</v>
      </c>
      <c r="C668" s="1" t="n">
        <v>46132</v>
      </c>
      <c r="D668" t="inlineStr">
        <is>
          <t>VÄSTERBOTTENS LÄN</t>
        </is>
      </c>
      <c r="E668" t="inlineStr">
        <is>
          <t>UMEÅ</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36905-2025</t>
        </is>
      </c>
      <c r="B669" s="1" t="n">
        <v>45874.49083333334</v>
      </c>
      <c r="C669" s="1" t="n">
        <v>46132</v>
      </c>
      <c r="D669" t="inlineStr">
        <is>
          <t>VÄSTERBOTTENS LÄN</t>
        </is>
      </c>
      <c r="E669" t="inlineStr">
        <is>
          <t>UMEÅ</t>
        </is>
      </c>
      <c r="G669" t="n">
        <v>8</v>
      </c>
      <c r="H669" t="n">
        <v>0</v>
      </c>
      <c r="I669" t="n">
        <v>0</v>
      </c>
      <c r="J669" t="n">
        <v>0</v>
      </c>
      <c r="K669" t="n">
        <v>0</v>
      </c>
      <c r="L669" t="n">
        <v>0</v>
      </c>
      <c r="M669" t="n">
        <v>0</v>
      </c>
      <c r="N669" t="n">
        <v>0</v>
      </c>
      <c r="O669" t="n">
        <v>0</v>
      </c>
      <c r="P669" t="n">
        <v>0</v>
      </c>
      <c r="Q669" t="n">
        <v>0</v>
      </c>
      <c r="R669" s="2" t="inlineStr"/>
    </row>
    <row r="670" ht="15" customHeight="1">
      <c r="A670" t="inlineStr">
        <is>
          <t>A 36739-2025</t>
        </is>
      </c>
      <c r="B670" s="1" t="n">
        <v>45873.53224537037</v>
      </c>
      <c r="C670" s="1" t="n">
        <v>46132</v>
      </c>
      <c r="D670" t="inlineStr">
        <is>
          <t>VÄSTERBOTTENS LÄN</t>
        </is>
      </c>
      <c r="E670" t="inlineStr">
        <is>
          <t>UMEÅ</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58028-2025</t>
        </is>
      </c>
      <c r="B671" s="1" t="n">
        <v>45982.48462962963</v>
      </c>
      <c r="C671" s="1" t="n">
        <v>46132</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26919-2022</t>
        </is>
      </c>
      <c r="B672" s="1" t="n">
        <v>44740</v>
      </c>
      <c r="C672" s="1" t="n">
        <v>46132</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32463-2023</t>
        </is>
      </c>
      <c r="B673" s="1" t="n">
        <v>45120.92644675926</v>
      </c>
      <c r="C673" s="1" t="n">
        <v>46132</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32467-2023</t>
        </is>
      </c>
      <c r="B674" s="1" t="n">
        <v>45120.92667824074</v>
      </c>
      <c r="C674" s="1" t="n">
        <v>46132</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36902-2025</t>
        </is>
      </c>
      <c r="B675" s="1" t="n">
        <v>45874.48899305556</v>
      </c>
      <c r="C675" s="1" t="n">
        <v>46132</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57779-2025</t>
        </is>
      </c>
      <c r="B676" s="1" t="n">
        <v>45981.56964120371</v>
      </c>
      <c r="C676" s="1" t="n">
        <v>46132</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46132</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41218-2023</t>
        </is>
      </c>
      <c r="B678" s="1" t="n">
        <v>45174.45435185185</v>
      </c>
      <c r="C678" s="1" t="n">
        <v>46132</v>
      </c>
      <c r="D678" t="inlineStr">
        <is>
          <t>VÄSTERBOTTENS LÄN</t>
        </is>
      </c>
      <c r="E678" t="inlineStr">
        <is>
          <t>UMEÅ</t>
        </is>
      </c>
      <c r="F678" t="inlineStr">
        <is>
          <t>Holmen skog AB</t>
        </is>
      </c>
      <c r="G678" t="n">
        <v>3.1</v>
      </c>
      <c r="H678" t="n">
        <v>0</v>
      </c>
      <c r="I678" t="n">
        <v>0</v>
      </c>
      <c r="J678" t="n">
        <v>0</v>
      </c>
      <c r="K678" t="n">
        <v>0</v>
      </c>
      <c r="L678" t="n">
        <v>0</v>
      </c>
      <c r="M678" t="n">
        <v>0</v>
      </c>
      <c r="N678" t="n">
        <v>0</v>
      </c>
      <c r="O678" t="n">
        <v>0</v>
      </c>
      <c r="P678" t="n">
        <v>0</v>
      </c>
      <c r="Q678" t="n">
        <v>0</v>
      </c>
      <c r="R678" s="2" t="inlineStr"/>
    </row>
    <row r="679" ht="15" customHeight="1">
      <c r="A679" t="inlineStr">
        <is>
          <t>A 57998-2025</t>
        </is>
      </c>
      <c r="B679" s="1" t="n">
        <v>45982.43335648148</v>
      </c>
      <c r="C679" s="1" t="n">
        <v>46132</v>
      </c>
      <c r="D679" t="inlineStr">
        <is>
          <t>VÄSTERBOTTENS LÄN</t>
        </is>
      </c>
      <c r="E679" t="inlineStr">
        <is>
          <t>UMEÅ</t>
        </is>
      </c>
      <c r="F679" t="inlineStr">
        <is>
          <t>Holmen skog AB</t>
        </is>
      </c>
      <c r="G679" t="n">
        <v>2.9</v>
      </c>
      <c r="H679" t="n">
        <v>0</v>
      </c>
      <c r="I679" t="n">
        <v>0</v>
      </c>
      <c r="J679" t="n">
        <v>0</v>
      </c>
      <c r="K679" t="n">
        <v>0</v>
      </c>
      <c r="L679" t="n">
        <v>0</v>
      </c>
      <c r="M679" t="n">
        <v>0</v>
      </c>
      <c r="N679" t="n">
        <v>0</v>
      </c>
      <c r="O679" t="n">
        <v>0</v>
      </c>
      <c r="P679" t="n">
        <v>0</v>
      </c>
      <c r="Q679" t="n">
        <v>0</v>
      </c>
      <c r="R679" s="2" t="inlineStr"/>
    </row>
    <row r="680" ht="15" customHeight="1">
      <c r="A680" t="inlineStr">
        <is>
          <t>A 57791-2025</t>
        </is>
      </c>
      <c r="B680" s="1" t="n">
        <v>45981.57913194445</v>
      </c>
      <c r="C680" s="1" t="n">
        <v>46132</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45982.589375</v>
      </c>
      <c r="C681" s="1" t="n">
        <v>46132</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46132</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57635-2025</t>
        </is>
      </c>
      <c r="B683" s="1" t="n">
        <v>45981.35362268519</v>
      </c>
      <c r="C683" s="1" t="n">
        <v>46132</v>
      </c>
      <c r="D683" t="inlineStr">
        <is>
          <t>VÄSTERBOTTENS LÄN</t>
        </is>
      </c>
      <c r="E683" t="inlineStr">
        <is>
          <t>UMEÅ</t>
        </is>
      </c>
      <c r="F683" t="inlineStr">
        <is>
          <t>Holmen skog AB</t>
        </is>
      </c>
      <c r="G683" t="n">
        <v>3.5</v>
      </c>
      <c r="H683" t="n">
        <v>0</v>
      </c>
      <c r="I683" t="n">
        <v>0</v>
      </c>
      <c r="J683" t="n">
        <v>0</v>
      </c>
      <c r="K683" t="n">
        <v>0</v>
      </c>
      <c r="L683" t="n">
        <v>0</v>
      </c>
      <c r="M683" t="n">
        <v>0</v>
      </c>
      <c r="N683" t="n">
        <v>0</v>
      </c>
      <c r="O683" t="n">
        <v>0</v>
      </c>
      <c r="P683" t="n">
        <v>0</v>
      </c>
      <c r="Q683" t="n">
        <v>0</v>
      </c>
      <c r="R683" s="2" t="inlineStr"/>
    </row>
    <row r="684" ht="15" customHeight="1">
      <c r="A684" t="inlineStr">
        <is>
          <t>A 58088-2025</t>
        </is>
      </c>
      <c r="B684" s="1" t="n">
        <v>45982.57263888889</v>
      </c>
      <c r="C684" s="1" t="n">
        <v>46132</v>
      </c>
      <c r="D684" t="inlineStr">
        <is>
          <t>VÄSTERBOTTENS LÄN</t>
        </is>
      </c>
      <c r="E684" t="inlineStr">
        <is>
          <t>UMEÅ</t>
        </is>
      </c>
      <c r="G684" t="n">
        <v>2.2</v>
      </c>
      <c r="H684" t="n">
        <v>0</v>
      </c>
      <c r="I684" t="n">
        <v>0</v>
      </c>
      <c r="J684" t="n">
        <v>0</v>
      </c>
      <c r="K684" t="n">
        <v>0</v>
      </c>
      <c r="L684" t="n">
        <v>0</v>
      </c>
      <c r="M684" t="n">
        <v>0</v>
      </c>
      <c r="N684" t="n">
        <v>0</v>
      </c>
      <c r="O684" t="n">
        <v>0</v>
      </c>
      <c r="P684" t="n">
        <v>0</v>
      </c>
      <c r="Q684" t="n">
        <v>0</v>
      </c>
      <c r="R684" s="2" t="inlineStr"/>
    </row>
    <row r="685" ht="15" customHeight="1">
      <c r="A685" t="inlineStr">
        <is>
          <t>A 36746-2025</t>
        </is>
      </c>
      <c r="B685" s="1" t="n">
        <v>45873.54766203704</v>
      </c>
      <c r="C685" s="1" t="n">
        <v>46132</v>
      </c>
      <c r="D685" t="inlineStr">
        <is>
          <t>VÄSTERBOTTENS LÄN</t>
        </is>
      </c>
      <c r="E685" t="inlineStr">
        <is>
          <t>UMEÅ</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36747-2025</t>
        </is>
      </c>
      <c r="B686" s="1" t="n">
        <v>45873.54780092592</v>
      </c>
      <c r="C686" s="1" t="n">
        <v>46132</v>
      </c>
      <c r="D686" t="inlineStr">
        <is>
          <t>VÄSTERBOTTENS LÄN</t>
        </is>
      </c>
      <c r="E686" t="inlineStr">
        <is>
          <t>UMEÅ</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5678-2025</t>
        </is>
      </c>
      <c r="B687" s="1" t="n">
        <v>45694</v>
      </c>
      <c r="C687" s="1" t="n">
        <v>46132</v>
      </c>
      <c r="D687" t="inlineStr">
        <is>
          <t>VÄSTERBOTTENS LÄN</t>
        </is>
      </c>
      <c r="E687" t="inlineStr">
        <is>
          <t>UMEÅ</t>
        </is>
      </c>
      <c r="G687" t="n">
        <v>3</v>
      </c>
      <c r="H687" t="n">
        <v>0</v>
      </c>
      <c r="I687" t="n">
        <v>0</v>
      </c>
      <c r="J687" t="n">
        <v>0</v>
      </c>
      <c r="K687" t="n">
        <v>0</v>
      </c>
      <c r="L687" t="n">
        <v>0</v>
      </c>
      <c r="M687" t="n">
        <v>0</v>
      </c>
      <c r="N687" t="n">
        <v>0</v>
      </c>
      <c r="O687" t="n">
        <v>0</v>
      </c>
      <c r="P687" t="n">
        <v>0</v>
      </c>
      <c r="Q687" t="n">
        <v>0</v>
      </c>
      <c r="R687" s="2" t="inlineStr"/>
    </row>
    <row r="688" ht="15" customHeight="1">
      <c r="A688" t="inlineStr">
        <is>
          <t>A 42352-2021</t>
        </is>
      </c>
      <c r="B688" s="1" t="n">
        <v>44427</v>
      </c>
      <c r="C688" s="1" t="n">
        <v>46132</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37309-2025</t>
        </is>
      </c>
      <c r="B689" s="1" t="n">
        <v>45876.595</v>
      </c>
      <c r="C689" s="1" t="n">
        <v>46132</v>
      </c>
      <c r="D689" t="inlineStr">
        <is>
          <t>VÄSTERBOTTENS LÄN</t>
        </is>
      </c>
      <c r="E689" t="inlineStr">
        <is>
          <t>UMEÅ</t>
        </is>
      </c>
      <c r="G689" t="n">
        <v>1.7</v>
      </c>
      <c r="H689" t="n">
        <v>0</v>
      </c>
      <c r="I689" t="n">
        <v>0</v>
      </c>
      <c r="J689" t="n">
        <v>0</v>
      </c>
      <c r="K689" t="n">
        <v>0</v>
      </c>
      <c r="L689" t="n">
        <v>0</v>
      </c>
      <c r="M689" t="n">
        <v>0</v>
      </c>
      <c r="N689" t="n">
        <v>0</v>
      </c>
      <c r="O689" t="n">
        <v>0</v>
      </c>
      <c r="P689" t="n">
        <v>0</v>
      </c>
      <c r="Q689" t="n">
        <v>0</v>
      </c>
      <c r="R689" s="2" t="inlineStr"/>
    </row>
    <row r="690" ht="15" customHeight="1">
      <c r="A690" t="inlineStr">
        <is>
          <t>A 37039-2025</t>
        </is>
      </c>
      <c r="B690" s="1" t="n">
        <v>45875.32471064815</v>
      </c>
      <c r="C690" s="1" t="n">
        <v>46132</v>
      </c>
      <c r="D690" t="inlineStr">
        <is>
          <t>VÄSTERBOTTENS LÄN</t>
        </is>
      </c>
      <c r="E690" t="inlineStr">
        <is>
          <t>UMEÅ</t>
        </is>
      </c>
      <c r="F690" t="inlineStr">
        <is>
          <t>Holmen skog AB</t>
        </is>
      </c>
      <c r="G690" t="n">
        <v>4.8</v>
      </c>
      <c r="H690" t="n">
        <v>0</v>
      </c>
      <c r="I690" t="n">
        <v>0</v>
      </c>
      <c r="J690" t="n">
        <v>0</v>
      </c>
      <c r="K690" t="n">
        <v>0</v>
      </c>
      <c r="L690" t="n">
        <v>0</v>
      </c>
      <c r="M690" t="n">
        <v>0</v>
      </c>
      <c r="N690" t="n">
        <v>0</v>
      </c>
      <c r="O690" t="n">
        <v>0</v>
      </c>
      <c r="P690" t="n">
        <v>0</v>
      </c>
      <c r="Q690" t="n">
        <v>0</v>
      </c>
      <c r="R690" s="2" t="inlineStr"/>
    </row>
    <row r="691" ht="15" customHeight="1">
      <c r="A691" t="inlineStr">
        <is>
          <t>A 36814-2025</t>
        </is>
      </c>
      <c r="B691" s="1" t="n">
        <v>45872</v>
      </c>
      <c r="C691" s="1" t="n">
        <v>46132</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37038-2025</t>
        </is>
      </c>
      <c r="B692" s="1" t="n">
        <v>45875.31435185186</v>
      </c>
      <c r="C692" s="1" t="n">
        <v>46132</v>
      </c>
      <c r="D692" t="inlineStr">
        <is>
          <t>VÄSTERBOTTENS LÄN</t>
        </is>
      </c>
      <c r="E692" t="inlineStr">
        <is>
          <t>UMEÅ</t>
        </is>
      </c>
      <c r="F692" t="inlineStr">
        <is>
          <t>Holmen skog AB</t>
        </is>
      </c>
      <c r="G692" t="n">
        <v>3.4</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46132</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39561-2022</t>
        </is>
      </c>
      <c r="B694" s="1" t="n">
        <v>44818.57295138889</v>
      </c>
      <c r="C694" s="1" t="n">
        <v>46132</v>
      </c>
      <c r="D694" t="inlineStr">
        <is>
          <t>VÄSTERBOTTENS LÄN</t>
        </is>
      </c>
      <c r="E694" t="inlineStr">
        <is>
          <t>UMEÅ</t>
        </is>
      </c>
      <c r="G694" t="n">
        <v>3.2</v>
      </c>
      <c r="H694" t="n">
        <v>0</v>
      </c>
      <c r="I694" t="n">
        <v>0</v>
      </c>
      <c r="J694" t="n">
        <v>0</v>
      </c>
      <c r="K694" t="n">
        <v>0</v>
      </c>
      <c r="L694" t="n">
        <v>0</v>
      </c>
      <c r="M694" t="n">
        <v>0</v>
      </c>
      <c r="N694" t="n">
        <v>0</v>
      </c>
      <c r="O694" t="n">
        <v>0</v>
      </c>
      <c r="P694" t="n">
        <v>0</v>
      </c>
      <c r="Q694" t="n">
        <v>0</v>
      </c>
      <c r="R694" s="2" t="inlineStr"/>
    </row>
    <row r="695" ht="15" customHeight="1">
      <c r="A695" t="inlineStr">
        <is>
          <t>A 5994-2025</t>
        </is>
      </c>
      <c r="B695" s="1" t="n">
        <v>45695</v>
      </c>
      <c r="C695" s="1" t="n">
        <v>46132</v>
      </c>
      <c r="D695" t="inlineStr">
        <is>
          <t>VÄSTERBOTTENS LÄN</t>
        </is>
      </c>
      <c r="E695" t="inlineStr">
        <is>
          <t>UMEÅ</t>
        </is>
      </c>
      <c r="G695" t="n">
        <v>4.5</v>
      </c>
      <c r="H695" t="n">
        <v>0</v>
      </c>
      <c r="I695" t="n">
        <v>0</v>
      </c>
      <c r="J695" t="n">
        <v>0</v>
      </c>
      <c r="K695" t="n">
        <v>0</v>
      </c>
      <c r="L695" t="n">
        <v>0</v>
      </c>
      <c r="M695" t="n">
        <v>0</v>
      </c>
      <c r="N695" t="n">
        <v>0</v>
      </c>
      <c r="O695" t="n">
        <v>0</v>
      </c>
      <c r="P695" t="n">
        <v>0</v>
      </c>
      <c r="Q695" t="n">
        <v>0</v>
      </c>
      <c r="R695" s="2" t="inlineStr"/>
    </row>
    <row r="696" ht="15" customHeight="1">
      <c r="A696" t="inlineStr">
        <is>
          <t>A 58699-2025</t>
        </is>
      </c>
      <c r="B696" s="1" t="n">
        <v>45986.58903935185</v>
      </c>
      <c r="C696" s="1" t="n">
        <v>46132</v>
      </c>
      <c r="D696" t="inlineStr">
        <is>
          <t>VÄSTERBOTTENS LÄN</t>
        </is>
      </c>
      <c r="E696" t="inlineStr">
        <is>
          <t>UMEÅ</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28436-2025</t>
        </is>
      </c>
      <c r="B697" s="1" t="n">
        <v>45819.38614583333</v>
      </c>
      <c r="C697" s="1" t="n">
        <v>46132</v>
      </c>
      <c r="D697" t="inlineStr">
        <is>
          <t>VÄSTERBOTTENS LÄN</t>
        </is>
      </c>
      <c r="E697" t="inlineStr">
        <is>
          <t>UMEÅ</t>
        </is>
      </c>
      <c r="G697" t="n">
        <v>5.2</v>
      </c>
      <c r="H697" t="n">
        <v>0</v>
      </c>
      <c r="I697" t="n">
        <v>0</v>
      </c>
      <c r="J697" t="n">
        <v>0</v>
      </c>
      <c r="K697" t="n">
        <v>0</v>
      </c>
      <c r="L697" t="n">
        <v>0</v>
      </c>
      <c r="M697" t="n">
        <v>0</v>
      </c>
      <c r="N697" t="n">
        <v>0</v>
      </c>
      <c r="O697" t="n">
        <v>0</v>
      </c>
      <c r="P697" t="n">
        <v>0</v>
      </c>
      <c r="Q697" t="n">
        <v>0</v>
      </c>
      <c r="R697" s="2" t="inlineStr"/>
    </row>
    <row r="698" ht="15" customHeight="1">
      <c r="A698" t="inlineStr">
        <is>
          <t>A 37482-2025</t>
        </is>
      </c>
      <c r="B698" s="1" t="n">
        <v>45877.61789351852</v>
      </c>
      <c r="C698" s="1" t="n">
        <v>46132</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25699-2025</t>
        </is>
      </c>
      <c r="B699" s="1" t="n">
        <v>45803.66822916667</v>
      </c>
      <c r="C699" s="1" t="n">
        <v>46132</v>
      </c>
      <c r="D699" t="inlineStr">
        <is>
          <t>VÄSTERBOTTENS LÄN</t>
        </is>
      </c>
      <c r="E699" t="inlineStr">
        <is>
          <t>UMEÅ</t>
        </is>
      </c>
      <c r="G699" t="n">
        <v>1.8</v>
      </c>
      <c r="H699" t="n">
        <v>0</v>
      </c>
      <c r="I699" t="n">
        <v>0</v>
      </c>
      <c r="J699" t="n">
        <v>0</v>
      </c>
      <c r="K699" t="n">
        <v>0</v>
      </c>
      <c r="L699" t="n">
        <v>0</v>
      </c>
      <c r="M699" t="n">
        <v>0</v>
      </c>
      <c r="N699" t="n">
        <v>0</v>
      </c>
      <c r="O699" t="n">
        <v>0</v>
      </c>
      <c r="P699" t="n">
        <v>0</v>
      </c>
      <c r="Q699" t="n">
        <v>0</v>
      </c>
      <c r="R699" s="2" t="inlineStr"/>
    </row>
    <row r="700" ht="15" customHeight="1">
      <c r="A700" t="inlineStr">
        <is>
          <t>A 25691-2025</t>
        </is>
      </c>
      <c r="B700" s="1" t="n">
        <v>45803.66194444444</v>
      </c>
      <c r="C700" s="1" t="n">
        <v>46132</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62540-2022</t>
        </is>
      </c>
      <c r="B701" s="1" t="n">
        <v>44917</v>
      </c>
      <c r="C701" s="1" t="n">
        <v>46132</v>
      </c>
      <c r="D701" t="inlineStr">
        <is>
          <t>VÄSTERBOTTENS LÄN</t>
        </is>
      </c>
      <c r="E701" t="inlineStr">
        <is>
          <t>UMEÅ</t>
        </is>
      </c>
      <c r="G701" t="n">
        <v>6.8</v>
      </c>
      <c r="H701" t="n">
        <v>0</v>
      </c>
      <c r="I701" t="n">
        <v>0</v>
      </c>
      <c r="J701" t="n">
        <v>0</v>
      </c>
      <c r="K701" t="n">
        <v>0</v>
      </c>
      <c r="L701" t="n">
        <v>0</v>
      </c>
      <c r="M701" t="n">
        <v>0</v>
      </c>
      <c r="N701" t="n">
        <v>0</v>
      </c>
      <c r="O701" t="n">
        <v>0</v>
      </c>
      <c r="P701" t="n">
        <v>0</v>
      </c>
      <c r="Q701" t="n">
        <v>0</v>
      </c>
      <c r="R701" s="2" t="inlineStr"/>
    </row>
    <row r="702" ht="15" customHeight="1">
      <c r="A702" t="inlineStr">
        <is>
          <t>A 58608-2025</t>
        </is>
      </c>
      <c r="B702" s="1" t="n">
        <v>45986.44831018519</v>
      </c>
      <c r="C702" s="1" t="n">
        <v>46132</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58309-2025</t>
        </is>
      </c>
      <c r="B703" s="1" t="n">
        <v>45985.46605324074</v>
      </c>
      <c r="C703" s="1" t="n">
        <v>46132</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38192-2025</t>
        </is>
      </c>
      <c r="B704" s="1" t="n">
        <v>45882.65709490741</v>
      </c>
      <c r="C704" s="1" t="n">
        <v>46132</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35226-2024</t>
        </is>
      </c>
      <c r="B705" s="1" t="n">
        <v>45530</v>
      </c>
      <c r="C705" s="1" t="n">
        <v>46132</v>
      </c>
      <c r="D705" t="inlineStr">
        <is>
          <t>VÄSTERBOTTENS LÄN</t>
        </is>
      </c>
      <c r="E705" t="inlineStr">
        <is>
          <t>UMEÅ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35738-2021</t>
        </is>
      </c>
      <c r="B706" s="1" t="n">
        <v>44386.55082175926</v>
      </c>
      <c r="C706" s="1" t="n">
        <v>46132</v>
      </c>
      <c r="D706" t="inlineStr">
        <is>
          <t>VÄSTERBOTTENS LÄN</t>
        </is>
      </c>
      <c r="E706" t="inlineStr">
        <is>
          <t>UMEÅ</t>
        </is>
      </c>
      <c r="G706" t="n">
        <v>3.1</v>
      </c>
      <c r="H706" t="n">
        <v>0</v>
      </c>
      <c r="I706" t="n">
        <v>0</v>
      </c>
      <c r="J706" t="n">
        <v>0</v>
      </c>
      <c r="K706" t="n">
        <v>0</v>
      </c>
      <c r="L706" t="n">
        <v>0</v>
      </c>
      <c r="M706" t="n">
        <v>0</v>
      </c>
      <c r="N706" t="n">
        <v>0</v>
      </c>
      <c r="O706" t="n">
        <v>0</v>
      </c>
      <c r="P706" t="n">
        <v>0</v>
      </c>
      <c r="Q706" t="n">
        <v>0</v>
      </c>
      <c r="R706" s="2" t="inlineStr"/>
    </row>
    <row r="707" ht="15" customHeight="1">
      <c r="A707" t="inlineStr">
        <is>
          <t>A 59113-2025</t>
        </is>
      </c>
      <c r="B707" s="1" t="n">
        <v>45988.48623842592</v>
      </c>
      <c r="C707" s="1" t="n">
        <v>46132</v>
      </c>
      <c r="D707" t="inlineStr">
        <is>
          <t>VÄSTERBOTTENS LÄN</t>
        </is>
      </c>
      <c r="E707" t="inlineStr">
        <is>
          <t>UMEÅ</t>
        </is>
      </c>
      <c r="G707" t="n">
        <v>11.6</v>
      </c>
      <c r="H707" t="n">
        <v>0</v>
      </c>
      <c r="I707" t="n">
        <v>0</v>
      </c>
      <c r="J707" t="n">
        <v>0</v>
      </c>
      <c r="K707" t="n">
        <v>0</v>
      </c>
      <c r="L707" t="n">
        <v>0</v>
      </c>
      <c r="M707" t="n">
        <v>0</v>
      </c>
      <c r="N707" t="n">
        <v>0</v>
      </c>
      <c r="O707" t="n">
        <v>0</v>
      </c>
      <c r="P707" t="n">
        <v>0</v>
      </c>
      <c r="Q707" t="n">
        <v>0</v>
      </c>
      <c r="R707" s="2" t="inlineStr"/>
    </row>
    <row r="708" ht="15" customHeight="1">
      <c r="A708" t="inlineStr">
        <is>
          <t>A 47171-2024</t>
        </is>
      </c>
      <c r="B708" s="1" t="n">
        <v>45586</v>
      </c>
      <c r="C708" s="1" t="n">
        <v>46132</v>
      </c>
      <c r="D708" t="inlineStr">
        <is>
          <t>VÄSTERBOTTENS LÄN</t>
        </is>
      </c>
      <c r="E708" t="inlineStr">
        <is>
          <t>UMEÅ</t>
        </is>
      </c>
      <c r="F708" t="inlineStr">
        <is>
          <t>Holmen skog AB</t>
        </is>
      </c>
      <c r="G708" t="n">
        <v>5.2</v>
      </c>
      <c r="H708" t="n">
        <v>0</v>
      </c>
      <c r="I708" t="n">
        <v>0</v>
      </c>
      <c r="J708" t="n">
        <v>0</v>
      </c>
      <c r="K708" t="n">
        <v>0</v>
      </c>
      <c r="L708" t="n">
        <v>0</v>
      </c>
      <c r="M708" t="n">
        <v>0</v>
      </c>
      <c r="N708" t="n">
        <v>0</v>
      </c>
      <c r="O708" t="n">
        <v>0</v>
      </c>
      <c r="P708" t="n">
        <v>0</v>
      </c>
      <c r="Q708" t="n">
        <v>0</v>
      </c>
      <c r="R708" s="2" t="inlineStr"/>
    </row>
    <row r="709" ht="15" customHeight="1">
      <c r="A709" t="inlineStr">
        <is>
          <t>A 59115-2025</t>
        </is>
      </c>
      <c r="B709" s="1" t="n">
        <v>45988.48995370371</v>
      </c>
      <c r="C709" s="1" t="n">
        <v>46132</v>
      </c>
      <c r="D709" t="inlineStr">
        <is>
          <t>VÄSTERBOTTENS LÄN</t>
        </is>
      </c>
      <c r="E709" t="inlineStr">
        <is>
          <t>UMEÅ</t>
        </is>
      </c>
      <c r="G709" t="n">
        <v>2.4</v>
      </c>
      <c r="H709" t="n">
        <v>0</v>
      </c>
      <c r="I709" t="n">
        <v>0</v>
      </c>
      <c r="J709" t="n">
        <v>0</v>
      </c>
      <c r="K709" t="n">
        <v>0</v>
      </c>
      <c r="L709" t="n">
        <v>0</v>
      </c>
      <c r="M709" t="n">
        <v>0</v>
      </c>
      <c r="N709" t="n">
        <v>0</v>
      </c>
      <c r="O709" t="n">
        <v>0</v>
      </c>
      <c r="P709" t="n">
        <v>0</v>
      </c>
      <c r="Q709" t="n">
        <v>0</v>
      </c>
      <c r="R709" s="2" t="inlineStr"/>
    </row>
    <row r="710" ht="15" customHeight="1">
      <c r="A710" t="inlineStr">
        <is>
          <t>A 59168-2025</t>
        </is>
      </c>
      <c r="B710" s="1" t="n">
        <v>45988</v>
      </c>
      <c r="C710" s="1" t="n">
        <v>46132</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37814-2025</t>
        </is>
      </c>
      <c r="B711" s="1" t="n">
        <v>45881.3749537037</v>
      </c>
      <c r="C711" s="1" t="n">
        <v>46132</v>
      </c>
      <c r="D711" t="inlineStr">
        <is>
          <t>VÄSTERBOTTENS LÄN</t>
        </is>
      </c>
      <c r="E711" t="inlineStr">
        <is>
          <t>UMEÅ</t>
        </is>
      </c>
      <c r="G711" t="n">
        <v>6</v>
      </c>
      <c r="H711" t="n">
        <v>0</v>
      </c>
      <c r="I711" t="n">
        <v>0</v>
      </c>
      <c r="J711" t="n">
        <v>0</v>
      </c>
      <c r="K711" t="n">
        <v>0</v>
      </c>
      <c r="L711" t="n">
        <v>0</v>
      </c>
      <c r="M711" t="n">
        <v>0</v>
      </c>
      <c r="N711" t="n">
        <v>0</v>
      </c>
      <c r="O711" t="n">
        <v>0</v>
      </c>
      <c r="P711" t="n">
        <v>0</v>
      </c>
      <c r="Q711" t="n">
        <v>0</v>
      </c>
      <c r="R711" s="2" t="inlineStr"/>
    </row>
    <row r="712" ht="15" customHeight="1">
      <c r="A712" t="inlineStr">
        <is>
          <t>A 37870-2024</t>
        </is>
      </c>
      <c r="B712" s="1" t="n">
        <v>45544</v>
      </c>
      <c r="C712" s="1" t="n">
        <v>46132</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61621-2024</t>
        </is>
      </c>
      <c r="B713" s="1" t="n">
        <v>45646.65800925926</v>
      </c>
      <c r="C713" s="1" t="n">
        <v>46132</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59344-2025</t>
        </is>
      </c>
      <c r="B714" s="1" t="n">
        <v>45989.39167824074</v>
      </c>
      <c r="C714" s="1" t="n">
        <v>46132</v>
      </c>
      <c r="D714" t="inlineStr">
        <is>
          <t>VÄSTERBOTTENS LÄN</t>
        </is>
      </c>
      <c r="E714" t="inlineStr">
        <is>
          <t>UMEÅ</t>
        </is>
      </c>
      <c r="G714" t="n">
        <v>0.3</v>
      </c>
      <c r="H714" t="n">
        <v>0</v>
      </c>
      <c r="I714" t="n">
        <v>0</v>
      </c>
      <c r="J714" t="n">
        <v>0</v>
      </c>
      <c r="K714" t="n">
        <v>0</v>
      </c>
      <c r="L714" t="n">
        <v>0</v>
      </c>
      <c r="M714" t="n">
        <v>0</v>
      </c>
      <c r="N714" t="n">
        <v>0</v>
      </c>
      <c r="O714" t="n">
        <v>0</v>
      </c>
      <c r="P714" t="n">
        <v>0</v>
      </c>
      <c r="Q714" t="n">
        <v>0</v>
      </c>
      <c r="R714" s="2" t="inlineStr"/>
    </row>
    <row r="715" ht="15" customHeight="1">
      <c r="A715" t="inlineStr">
        <is>
          <t>A 59734-2025</t>
        </is>
      </c>
      <c r="B715" s="1" t="n">
        <v>45992.57311342593</v>
      </c>
      <c r="C715" s="1" t="n">
        <v>46132</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23372-2021</t>
        </is>
      </c>
      <c r="B716" s="1" t="n">
        <v>44333.58960648148</v>
      </c>
      <c r="C716" s="1" t="n">
        <v>46132</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38669-2025</t>
        </is>
      </c>
      <c r="B717" s="1" t="n">
        <v>45884.62400462963</v>
      </c>
      <c r="C717" s="1" t="n">
        <v>46132</v>
      </c>
      <c r="D717" t="inlineStr">
        <is>
          <t>VÄSTERBOTTENS LÄN</t>
        </is>
      </c>
      <c r="E717" t="inlineStr">
        <is>
          <t>UMEÅ</t>
        </is>
      </c>
      <c r="G717" t="n">
        <v>4.9</v>
      </c>
      <c r="H717" t="n">
        <v>0</v>
      </c>
      <c r="I717" t="n">
        <v>0</v>
      </c>
      <c r="J717" t="n">
        <v>0</v>
      </c>
      <c r="K717" t="n">
        <v>0</v>
      </c>
      <c r="L717" t="n">
        <v>0</v>
      </c>
      <c r="M717" t="n">
        <v>0</v>
      </c>
      <c r="N717" t="n">
        <v>0</v>
      </c>
      <c r="O717" t="n">
        <v>0</v>
      </c>
      <c r="P717" t="n">
        <v>0</v>
      </c>
      <c r="Q717" t="n">
        <v>0</v>
      </c>
      <c r="R717" s="2" t="inlineStr"/>
    </row>
    <row r="718" ht="15" customHeight="1">
      <c r="A718" t="inlineStr">
        <is>
          <t>A 59753-2025</t>
        </is>
      </c>
      <c r="B718" s="1" t="n">
        <v>45992.58590277778</v>
      </c>
      <c r="C718" s="1" t="n">
        <v>46132</v>
      </c>
      <c r="D718" t="inlineStr">
        <is>
          <t>VÄSTERBOTTENS LÄN</t>
        </is>
      </c>
      <c r="E718" t="inlineStr">
        <is>
          <t>UMEÅ</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59760-2025</t>
        </is>
      </c>
      <c r="B719" s="1" t="n">
        <v>45992.59212962963</v>
      </c>
      <c r="C719" s="1" t="n">
        <v>46132</v>
      </c>
      <c r="D719" t="inlineStr">
        <is>
          <t>VÄSTERBOTTENS LÄN</t>
        </is>
      </c>
      <c r="E719" t="inlineStr">
        <is>
          <t>UMEÅ</t>
        </is>
      </c>
      <c r="G719" t="n">
        <v>2.6</v>
      </c>
      <c r="H719" t="n">
        <v>0</v>
      </c>
      <c r="I719" t="n">
        <v>0</v>
      </c>
      <c r="J719" t="n">
        <v>0</v>
      </c>
      <c r="K719" t="n">
        <v>0</v>
      </c>
      <c r="L719" t="n">
        <v>0</v>
      </c>
      <c r="M719" t="n">
        <v>0</v>
      </c>
      <c r="N719" t="n">
        <v>0</v>
      </c>
      <c r="O719" t="n">
        <v>0</v>
      </c>
      <c r="P719" t="n">
        <v>0</v>
      </c>
      <c r="Q719" t="n">
        <v>0</v>
      </c>
      <c r="R719" s="2" t="inlineStr"/>
    </row>
    <row r="720" ht="15" customHeight="1">
      <c r="A720" t="inlineStr">
        <is>
          <t>A 60039-2025</t>
        </is>
      </c>
      <c r="B720" s="1" t="n">
        <v>45993.62074074074</v>
      </c>
      <c r="C720" s="1" t="n">
        <v>46132</v>
      </c>
      <c r="D720" t="inlineStr">
        <is>
          <t>VÄSTERBOTTENS LÄN</t>
        </is>
      </c>
      <c r="E720" t="inlineStr">
        <is>
          <t>UMEÅ</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59982-2025</t>
        </is>
      </c>
      <c r="B721" s="1" t="n">
        <v>45993.53934027778</v>
      </c>
      <c r="C721" s="1" t="n">
        <v>46132</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38236-2025</t>
        </is>
      </c>
      <c r="B722" s="1" t="n">
        <v>45883.36202546296</v>
      </c>
      <c r="C722" s="1" t="n">
        <v>46132</v>
      </c>
      <c r="D722" t="inlineStr">
        <is>
          <t>VÄSTERBOTTENS LÄN</t>
        </is>
      </c>
      <c r="E722" t="inlineStr">
        <is>
          <t>UMEÅ</t>
        </is>
      </c>
      <c r="G722" t="n">
        <v>3.6</v>
      </c>
      <c r="H722" t="n">
        <v>0</v>
      </c>
      <c r="I722" t="n">
        <v>0</v>
      </c>
      <c r="J722" t="n">
        <v>0</v>
      </c>
      <c r="K722" t="n">
        <v>0</v>
      </c>
      <c r="L722" t="n">
        <v>0</v>
      </c>
      <c r="M722" t="n">
        <v>0</v>
      </c>
      <c r="N722" t="n">
        <v>0</v>
      </c>
      <c r="O722" t="n">
        <v>0</v>
      </c>
      <c r="P722" t="n">
        <v>0</v>
      </c>
      <c r="Q722" t="n">
        <v>0</v>
      </c>
      <c r="R722" s="2" t="inlineStr"/>
    </row>
    <row r="723" ht="15" customHeight="1">
      <c r="A723" t="inlineStr">
        <is>
          <t>A 60074-2025</t>
        </is>
      </c>
      <c r="B723" s="1" t="n">
        <v>45993.67747685185</v>
      </c>
      <c r="C723" s="1" t="n">
        <v>46132</v>
      </c>
      <c r="D723" t="inlineStr">
        <is>
          <t>VÄSTERBOTTENS LÄN</t>
        </is>
      </c>
      <c r="E723" t="inlineStr">
        <is>
          <t>UMEÅ</t>
        </is>
      </c>
      <c r="G723" t="n">
        <v>9.9</v>
      </c>
      <c r="H723" t="n">
        <v>0</v>
      </c>
      <c r="I723" t="n">
        <v>0</v>
      </c>
      <c r="J723" t="n">
        <v>0</v>
      </c>
      <c r="K723" t="n">
        <v>0</v>
      </c>
      <c r="L723" t="n">
        <v>0</v>
      </c>
      <c r="M723" t="n">
        <v>0</v>
      </c>
      <c r="N723" t="n">
        <v>0</v>
      </c>
      <c r="O723" t="n">
        <v>0</v>
      </c>
      <c r="P723" t="n">
        <v>0</v>
      </c>
      <c r="Q723" t="n">
        <v>0</v>
      </c>
      <c r="R723" s="2" t="inlineStr"/>
    </row>
    <row r="724" ht="15" customHeight="1">
      <c r="A724" t="inlineStr">
        <is>
          <t>A 44957-2022</t>
        </is>
      </c>
      <c r="B724" s="1" t="n">
        <v>44840</v>
      </c>
      <c r="C724" s="1" t="n">
        <v>46132</v>
      </c>
      <c r="D724" t="inlineStr">
        <is>
          <t>VÄSTERBOTTENS LÄN</t>
        </is>
      </c>
      <c r="E724" t="inlineStr">
        <is>
          <t>UMEÅ</t>
        </is>
      </c>
      <c r="G724" t="n">
        <v>5.6</v>
      </c>
      <c r="H724" t="n">
        <v>0</v>
      </c>
      <c r="I724" t="n">
        <v>0</v>
      </c>
      <c r="J724" t="n">
        <v>0</v>
      </c>
      <c r="K724" t="n">
        <v>0</v>
      </c>
      <c r="L724" t="n">
        <v>0</v>
      </c>
      <c r="M724" t="n">
        <v>0</v>
      </c>
      <c r="N724" t="n">
        <v>0</v>
      </c>
      <c r="O724" t="n">
        <v>0</v>
      </c>
      <c r="P724" t="n">
        <v>0</v>
      </c>
      <c r="Q724" t="n">
        <v>0</v>
      </c>
      <c r="R724" s="2" t="inlineStr"/>
    </row>
    <row r="725" ht="15" customHeight="1">
      <c r="A725" t="inlineStr">
        <is>
          <t>A 60088-2025</t>
        </is>
      </c>
      <c r="B725" s="1" t="n">
        <v>45993.71936342592</v>
      </c>
      <c r="C725" s="1" t="n">
        <v>46132</v>
      </c>
      <c r="D725" t="inlineStr">
        <is>
          <t>VÄSTERBOTTENS LÄN</t>
        </is>
      </c>
      <c r="E725" t="inlineStr">
        <is>
          <t>UMEÅ</t>
        </is>
      </c>
      <c r="G725" t="n">
        <v>1.5</v>
      </c>
      <c r="H725" t="n">
        <v>0</v>
      </c>
      <c r="I725" t="n">
        <v>0</v>
      </c>
      <c r="J725" t="n">
        <v>0</v>
      </c>
      <c r="K725" t="n">
        <v>0</v>
      </c>
      <c r="L725" t="n">
        <v>0</v>
      </c>
      <c r="M725" t="n">
        <v>0</v>
      </c>
      <c r="N725" t="n">
        <v>0</v>
      </c>
      <c r="O725" t="n">
        <v>0</v>
      </c>
      <c r="P725" t="n">
        <v>0</v>
      </c>
      <c r="Q725" t="n">
        <v>0</v>
      </c>
      <c r="R725" s="2" t="inlineStr"/>
    </row>
    <row r="726" ht="15" customHeight="1">
      <c r="A726" t="inlineStr">
        <is>
          <t>A 15160-2025</t>
        </is>
      </c>
      <c r="B726" s="1" t="n">
        <v>45744</v>
      </c>
      <c r="C726" s="1" t="n">
        <v>46132</v>
      </c>
      <c r="D726" t="inlineStr">
        <is>
          <t>VÄSTERBOTTENS LÄN</t>
        </is>
      </c>
      <c r="E726" t="inlineStr">
        <is>
          <t>UMEÅ</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15161-2025</t>
        </is>
      </c>
      <c r="B727" s="1" t="n">
        <v>45744</v>
      </c>
      <c r="C727" s="1" t="n">
        <v>46132</v>
      </c>
      <c r="D727" t="inlineStr">
        <is>
          <t>VÄSTERBOTTENS LÄN</t>
        </is>
      </c>
      <c r="E727" t="inlineStr">
        <is>
          <t>UMEÅ</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19195-2025</t>
        </is>
      </c>
      <c r="B728" s="1" t="n">
        <v>45769.425625</v>
      </c>
      <c r="C728" s="1" t="n">
        <v>46132</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58538-2021</t>
        </is>
      </c>
      <c r="B729" s="1" t="n">
        <v>44488.6871875</v>
      </c>
      <c r="C729" s="1" t="n">
        <v>46132</v>
      </c>
      <c r="D729" t="inlineStr">
        <is>
          <t>VÄSTERBOTTENS LÄN</t>
        </is>
      </c>
      <c r="E729" t="inlineStr">
        <is>
          <t>UMEÅ</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17924-2023</t>
        </is>
      </c>
      <c r="B730" s="1" t="n">
        <v>45037</v>
      </c>
      <c r="C730" s="1" t="n">
        <v>46132</v>
      </c>
      <c r="D730" t="inlineStr">
        <is>
          <t>VÄSTERBOTTENS LÄN</t>
        </is>
      </c>
      <c r="E730" t="inlineStr">
        <is>
          <t>UMEÅ</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17949-2023</t>
        </is>
      </c>
      <c r="B731" s="1" t="n">
        <v>45037</v>
      </c>
      <c r="C731" s="1" t="n">
        <v>46132</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31442-2024</t>
        </is>
      </c>
      <c r="B732" s="1" t="n">
        <v>45505</v>
      </c>
      <c r="C732" s="1" t="n">
        <v>46132</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61218-2025</t>
        </is>
      </c>
      <c r="B733" s="1" t="n">
        <v>46000.6234837963</v>
      </c>
      <c r="C733" s="1" t="n">
        <v>46132</v>
      </c>
      <c r="D733" t="inlineStr">
        <is>
          <t>VÄSTERBOTTENS LÄN</t>
        </is>
      </c>
      <c r="E733" t="inlineStr">
        <is>
          <t>UMEÅ</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60808-2025</t>
        </is>
      </c>
      <c r="B734" s="1" t="n">
        <v>45999.43951388889</v>
      </c>
      <c r="C734" s="1" t="n">
        <v>46132</v>
      </c>
      <c r="D734" t="inlineStr">
        <is>
          <t>VÄSTERBOTTENS LÄN</t>
        </is>
      </c>
      <c r="E734" t="inlineStr">
        <is>
          <t>UMEÅ</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60798-2025</t>
        </is>
      </c>
      <c r="B735" s="1" t="n">
        <v>45999.42503472222</v>
      </c>
      <c r="C735" s="1" t="n">
        <v>46132</v>
      </c>
      <c r="D735" t="inlineStr">
        <is>
          <t>VÄSTERBOTTENS LÄN</t>
        </is>
      </c>
      <c r="E735" t="inlineStr">
        <is>
          <t>UMEÅ</t>
        </is>
      </c>
      <c r="G735" t="n">
        <v>4</v>
      </c>
      <c r="H735" t="n">
        <v>0</v>
      </c>
      <c r="I735" t="n">
        <v>0</v>
      </c>
      <c r="J735" t="n">
        <v>0</v>
      </c>
      <c r="K735" t="n">
        <v>0</v>
      </c>
      <c r="L735" t="n">
        <v>0</v>
      </c>
      <c r="M735" t="n">
        <v>0</v>
      </c>
      <c r="N735" t="n">
        <v>0</v>
      </c>
      <c r="O735" t="n">
        <v>0</v>
      </c>
      <c r="P735" t="n">
        <v>0</v>
      </c>
      <c r="Q735" t="n">
        <v>0</v>
      </c>
      <c r="R735" s="2" t="inlineStr"/>
    </row>
    <row r="736" ht="15" customHeight="1">
      <c r="A736" t="inlineStr">
        <is>
          <t>A 6279-2025</t>
        </is>
      </c>
      <c r="B736" s="1" t="n">
        <v>45698.62097222222</v>
      </c>
      <c r="C736" s="1" t="n">
        <v>46132</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13768-2023</t>
        </is>
      </c>
      <c r="B737" s="1" t="n">
        <v>45006</v>
      </c>
      <c r="C737" s="1" t="n">
        <v>46132</v>
      </c>
      <c r="D737" t="inlineStr">
        <is>
          <t>VÄSTERBOTTENS LÄN</t>
        </is>
      </c>
      <c r="E737" t="inlineStr">
        <is>
          <t>UMEÅ</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1508-2025</t>
        </is>
      </c>
      <c r="B738" s="1" t="n">
        <v>45670.4403587963</v>
      </c>
      <c r="C738" s="1" t="n">
        <v>46132</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61214-2025</t>
        </is>
      </c>
      <c r="B739" s="1" t="n">
        <v>46000.61884259259</v>
      </c>
      <c r="C739" s="1" t="n">
        <v>46132</v>
      </c>
      <c r="D739" t="inlineStr">
        <is>
          <t>VÄSTERBOTTENS LÄN</t>
        </is>
      </c>
      <c r="E739" t="inlineStr">
        <is>
          <t>UMEÅ</t>
        </is>
      </c>
      <c r="G739" t="n">
        <v>5.9</v>
      </c>
      <c r="H739" t="n">
        <v>0</v>
      </c>
      <c r="I739" t="n">
        <v>0</v>
      </c>
      <c r="J739" t="n">
        <v>0</v>
      </c>
      <c r="K739" t="n">
        <v>0</v>
      </c>
      <c r="L739" t="n">
        <v>0</v>
      </c>
      <c r="M739" t="n">
        <v>0</v>
      </c>
      <c r="N739" t="n">
        <v>0</v>
      </c>
      <c r="O739" t="n">
        <v>0</v>
      </c>
      <c r="P739" t="n">
        <v>0</v>
      </c>
      <c r="Q739" t="n">
        <v>0</v>
      </c>
      <c r="R739" s="2" t="inlineStr"/>
    </row>
    <row r="740" ht="15" customHeight="1">
      <c r="A740" t="inlineStr">
        <is>
          <t>A 7373-2024</t>
        </is>
      </c>
      <c r="B740" s="1" t="n">
        <v>45345</v>
      </c>
      <c r="C740" s="1" t="n">
        <v>46132</v>
      </c>
      <c r="D740" t="inlineStr">
        <is>
          <t>VÄSTERBOTTENS LÄN</t>
        </is>
      </c>
      <c r="E740" t="inlineStr">
        <is>
          <t>UMEÅ</t>
        </is>
      </c>
      <c r="G740" t="n">
        <v>4.1</v>
      </c>
      <c r="H740" t="n">
        <v>0</v>
      </c>
      <c r="I740" t="n">
        <v>0</v>
      </c>
      <c r="J740" t="n">
        <v>0</v>
      </c>
      <c r="K740" t="n">
        <v>0</v>
      </c>
      <c r="L740" t="n">
        <v>0</v>
      </c>
      <c r="M740" t="n">
        <v>0</v>
      </c>
      <c r="N740" t="n">
        <v>0</v>
      </c>
      <c r="O740" t="n">
        <v>0</v>
      </c>
      <c r="P740" t="n">
        <v>0</v>
      </c>
      <c r="Q740" t="n">
        <v>0</v>
      </c>
      <c r="R740" s="2" t="inlineStr"/>
    </row>
    <row r="741" ht="15" customHeight="1">
      <c r="A741" t="inlineStr">
        <is>
          <t>A 15375-2025</t>
        </is>
      </c>
      <c r="B741" s="1" t="n">
        <v>45747.40652777778</v>
      </c>
      <c r="C741" s="1" t="n">
        <v>46132</v>
      </c>
      <c r="D741" t="inlineStr">
        <is>
          <t>VÄSTERBOTTENS LÄN</t>
        </is>
      </c>
      <c r="E741" t="inlineStr">
        <is>
          <t>UMEÅ</t>
        </is>
      </c>
      <c r="G741" t="n">
        <v>1.1</v>
      </c>
      <c r="H741" t="n">
        <v>0</v>
      </c>
      <c r="I741" t="n">
        <v>0</v>
      </c>
      <c r="J741" t="n">
        <v>0</v>
      </c>
      <c r="K741" t="n">
        <v>0</v>
      </c>
      <c r="L741" t="n">
        <v>0</v>
      </c>
      <c r="M741" t="n">
        <v>0</v>
      </c>
      <c r="N741" t="n">
        <v>0</v>
      </c>
      <c r="O741" t="n">
        <v>0</v>
      </c>
      <c r="P741" t="n">
        <v>0</v>
      </c>
      <c r="Q741" t="n">
        <v>0</v>
      </c>
      <c r="R741" s="2" t="inlineStr"/>
    </row>
    <row r="742" ht="15" customHeight="1">
      <c r="A742" t="inlineStr">
        <is>
          <t>A 15886-2023</t>
        </is>
      </c>
      <c r="B742" s="1" t="n">
        <v>45022</v>
      </c>
      <c r="C742" s="1" t="n">
        <v>46132</v>
      </c>
      <c r="D742" t="inlineStr">
        <is>
          <t>VÄSTERBOTTENS LÄN</t>
        </is>
      </c>
      <c r="E742" t="inlineStr">
        <is>
          <t>UMEÅ</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61241-2025</t>
        </is>
      </c>
      <c r="B743" s="1" t="n">
        <v>46000.65633101852</v>
      </c>
      <c r="C743" s="1" t="n">
        <v>46132</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61243-2025</t>
        </is>
      </c>
      <c r="B744" s="1" t="n">
        <v>46000.65924768519</v>
      </c>
      <c r="C744" s="1" t="n">
        <v>46132</v>
      </c>
      <c r="D744" t="inlineStr">
        <is>
          <t>VÄSTERBOTTENS LÄN</t>
        </is>
      </c>
      <c r="E744" t="inlineStr">
        <is>
          <t>UMEÅ</t>
        </is>
      </c>
      <c r="G744" t="n">
        <v>2.6</v>
      </c>
      <c r="H744" t="n">
        <v>0</v>
      </c>
      <c r="I744" t="n">
        <v>0</v>
      </c>
      <c r="J744" t="n">
        <v>0</v>
      </c>
      <c r="K744" t="n">
        <v>0</v>
      </c>
      <c r="L744" t="n">
        <v>0</v>
      </c>
      <c r="M744" t="n">
        <v>0</v>
      </c>
      <c r="N744" t="n">
        <v>0</v>
      </c>
      <c r="O744" t="n">
        <v>0</v>
      </c>
      <c r="P744" t="n">
        <v>0</v>
      </c>
      <c r="Q744" t="n">
        <v>0</v>
      </c>
      <c r="R744" s="2" t="inlineStr"/>
    </row>
    <row r="745" ht="15" customHeight="1">
      <c r="A745" t="inlineStr">
        <is>
          <t>A 62538-2023</t>
        </is>
      </c>
      <c r="B745" s="1" t="n">
        <v>45267</v>
      </c>
      <c r="C745" s="1" t="n">
        <v>46132</v>
      </c>
      <c r="D745" t="inlineStr">
        <is>
          <t>VÄSTERBOTTENS LÄN</t>
        </is>
      </c>
      <c r="E745" t="inlineStr">
        <is>
          <t>UMEÅ</t>
        </is>
      </c>
      <c r="G745" t="n">
        <v>2.7</v>
      </c>
      <c r="H745" t="n">
        <v>0</v>
      </c>
      <c r="I745" t="n">
        <v>0</v>
      </c>
      <c r="J745" t="n">
        <v>0</v>
      </c>
      <c r="K745" t="n">
        <v>0</v>
      </c>
      <c r="L745" t="n">
        <v>0</v>
      </c>
      <c r="M745" t="n">
        <v>0</v>
      </c>
      <c r="N745" t="n">
        <v>0</v>
      </c>
      <c r="O745" t="n">
        <v>0</v>
      </c>
      <c r="P745" t="n">
        <v>0</v>
      </c>
      <c r="Q745" t="n">
        <v>0</v>
      </c>
      <c r="R745" s="2" t="inlineStr"/>
    </row>
    <row r="746" ht="15" customHeight="1">
      <c r="A746" t="inlineStr">
        <is>
          <t>A 44481-2022</t>
        </is>
      </c>
      <c r="B746" s="1" t="n">
        <v>44840</v>
      </c>
      <c r="C746" s="1" t="n">
        <v>46132</v>
      </c>
      <c r="D746" t="inlineStr">
        <is>
          <t>VÄSTERBOTTENS LÄN</t>
        </is>
      </c>
      <c r="E746" t="inlineStr">
        <is>
          <t>UMEÅ</t>
        </is>
      </c>
      <c r="F746" t="inlineStr">
        <is>
          <t>Holmen skog AB</t>
        </is>
      </c>
      <c r="G746" t="n">
        <v>2.1</v>
      </c>
      <c r="H746" t="n">
        <v>0</v>
      </c>
      <c r="I746" t="n">
        <v>0</v>
      </c>
      <c r="J746" t="n">
        <v>0</v>
      </c>
      <c r="K746" t="n">
        <v>0</v>
      </c>
      <c r="L746" t="n">
        <v>0</v>
      </c>
      <c r="M746" t="n">
        <v>0</v>
      </c>
      <c r="N746" t="n">
        <v>0</v>
      </c>
      <c r="O746" t="n">
        <v>0</v>
      </c>
      <c r="P746" t="n">
        <v>0</v>
      </c>
      <c r="Q746" t="n">
        <v>0</v>
      </c>
      <c r="R746" s="2" t="inlineStr"/>
    </row>
    <row r="747" ht="15" customHeight="1">
      <c r="A747" t="inlineStr">
        <is>
          <t>A 61448-2025</t>
        </is>
      </c>
      <c r="B747" s="1" t="n">
        <v>46001.57563657407</v>
      </c>
      <c r="C747" s="1" t="n">
        <v>46132</v>
      </c>
      <c r="D747" t="inlineStr">
        <is>
          <t>VÄSTERBOTTENS LÄN</t>
        </is>
      </c>
      <c r="E747" t="inlineStr">
        <is>
          <t>UMEÅ</t>
        </is>
      </c>
      <c r="G747" t="n">
        <v>1.2</v>
      </c>
      <c r="H747" t="n">
        <v>0</v>
      </c>
      <c r="I747" t="n">
        <v>0</v>
      </c>
      <c r="J747" t="n">
        <v>0</v>
      </c>
      <c r="K747" t="n">
        <v>0</v>
      </c>
      <c r="L747" t="n">
        <v>0</v>
      </c>
      <c r="M747" t="n">
        <v>0</v>
      </c>
      <c r="N747" t="n">
        <v>0</v>
      </c>
      <c r="O747" t="n">
        <v>0</v>
      </c>
      <c r="P747" t="n">
        <v>0</v>
      </c>
      <c r="Q747" t="n">
        <v>0</v>
      </c>
      <c r="R747" s="2" t="inlineStr"/>
    </row>
    <row r="748" ht="15" customHeight="1">
      <c r="A748" t="inlineStr">
        <is>
          <t>A 41594-2023</t>
        </is>
      </c>
      <c r="B748" s="1" t="n">
        <v>45175</v>
      </c>
      <c r="C748" s="1" t="n">
        <v>46132</v>
      </c>
      <c r="D748" t="inlineStr">
        <is>
          <t>VÄSTERBOTTENS LÄN</t>
        </is>
      </c>
      <c r="E748" t="inlineStr">
        <is>
          <t>UMEÅ</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61223-2025</t>
        </is>
      </c>
      <c r="B749" s="1" t="n">
        <v>46000.62924768519</v>
      </c>
      <c r="C749" s="1" t="n">
        <v>46132</v>
      </c>
      <c r="D749" t="inlineStr">
        <is>
          <t>VÄSTERBOTTENS LÄN</t>
        </is>
      </c>
      <c r="E749" t="inlineStr">
        <is>
          <t>UMEÅ</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46132</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10265-2025</t>
        </is>
      </c>
      <c r="B751" s="1" t="n">
        <v>45720.38559027778</v>
      </c>
      <c r="C751" s="1" t="n">
        <v>46132</v>
      </c>
      <c r="D751" t="inlineStr">
        <is>
          <t>VÄSTERBOTTENS LÄN</t>
        </is>
      </c>
      <c r="E751" t="inlineStr">
        <is>
          <t>UMEÅ</t>
        </is>
      </c>
      <c r="G751" t="n">
        <v>10.6</v>
      </c>
      <c r="H751" t="n">
        <v>0</v>
      </c>
      <c r="I751" t="n">
        <v>0</v>
      </c>
      <c r="J751" t="n">
        <v>0</v>
      </c>
      <c r="K751" t="n">
        <v>0</v>
      </c>
      <c r="L751" t="n">
        <v>0</v>
      </c>
      <c r="M751" t="n">
        <v>0</v>
      </c>
      <c r="N751" t="n">
        <v>0</v>
      </c>
      <c r="O751" t="n">
        <v>0</v>
      </c>
      <c r="P751" t="n">
        <v>0</v>
      </c>
      <c r="Q751" t="n">
        <v>0</v>
      </c>
      <c r="R751" s="2" t="inlineStr"/>
    </row>
    <row r="752" ht="15" customHeight="1">
      <c r="A752" t="inlineStr">
        <is>
          <t>A 62232-2025</t>
        </is>
      </c>
      <c r="B752" s="1" t="n">
        <v>46006.59313657408</v>
      </c>
      <c r="C752" s="1" t="n">
        <v>46132</v>
      </c>
      <c r="D752" t="inlineStr">
        <is>
          <t>VÄSTERBOTTENS LÄN</t>
        </is>
      </c>
      <c r="E752" t="inlineStr">
        <is>
          <t>UMEÅ</t>
        </is>
      </c>
      <c r="G752" t="n">
        <v>2</v>
      </c>
      <c r="H752" t="n">
        <v>0</v>
      </c>
      <c r="I752" t="n">
        <v>0</v>
      </c>
      <c r="J752" t="n">
        <v>0</v>
      </c>
      <c r="K752" t="n">
        <v>0</v>
      </c>
      <c r="L752" t="n">
        <v>0</v>
      </c>
      <c r="M752" t="n">
        <v>0</v>
      </c>
      <c r="N752" t="n">
        <v>0</v>
      </c>
      <c r="O752" t="n">
        <v>0</v>
      </c>
      <c r="P752" t="n">
        <v>0</v>
      </c>
      <c r="Q752" t="n">
        <v>0</v>
      </c>
      <c r="R752" s="2" t="inlineStr"/>
    </row>
    <row r="753" ht="15" customHeight="1">
      <c r="A753" t="inlineStr">
        <is>
          <t>A 15337-2025</t>
        </is>
      </c>
      <c r="B753" s="1" t="n">
        <v>45747.36483796296</v>
      </c>
      <c r="C753" s="1" t="n">
        <v>46132</v>
      </c>
      <c r="D753" t="inlineStr">
        <is>
          <t>VÄSTERBOTTENS LÄN</t>
        </is>
      </c>
      <c r="E753" t="inlineStr">
        <is>
          <t>UMEÅ</t>
        </is>
      </c>
      <c r="G753" t="n">
        <v>8.6</v>
      </c>
      <c r="H753" t="n">
        <v>0</v>
      </c>
      <c r="I753" t="n">
        <v>0</v>
      </c>
      <c r="J753" t="n">
        <v>0</v>
      </c>
      <c r="K753" t="n">
        <v>0</v>
      </c>
      <c r="L753" t="n">
        <v>0</v>
      </c>
      <c r="M753" t="n">
        <v>0</v>
      </c>
      <c r="N753" t="n">
        <v>0</v>
      </c>
      <c r="O753" t="n">
        <v>0</v>
      </c>
      <c r="P753" t="n">
        <v>0</v>
      </c>
      <c r="Q753" t="n">
        <v>0</v>
      </c>
      <c r="R753" s="2" t="inlineStr"/>
    </row>
    <row r="754" ht="15" customHeight="1">
      <c r="A754" t="inlineStr">
        <is>
          <t>A 61872-2025</t>
        </is>
      </c>
      <c r="B754" s="1" t="n">
        <v>46003.40660879629</v>
      </c>
      <c r="C754" s="1" t="n">
        <v>46132</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62089-2025</t>
        </is>
      </c>
      <c r="B755" s="1" t="n">
        <v>46006.37834490741</v>
      </c>
      <c r="C755" s="1" t="n">
        <v>46132</v>
      </c>
      <c r="D755" t="inlineStr">
        <is>
          <t>VÄSTERBOTTENS LÄN</t>
        </is>
      </c>
      <c r="E755" t="inlineStr">
        <is>
          <t>UMEÅ</t>
        </is>
      </c>
      <c r="G755" t="n">
        <v>0.5</v>
      </c>
      <c r="H755" t="n">
        <v>0</v>
      </c>
      <c r="I755" t="n">
        <v>0</v>
      </c>
      <c r="J755" t="n">
        <v>0</v>
      </c>
      <c r="K755" t="n">
        <v>0</v>
      </c>
      <c r="L755" t="n">
        <v>0</v>
      </c>
      <c r="M755" t="n">
        <v>0</v>
      </c>
      <c r="N755" t="n">
        <v>0</v>
      </c>
      <c r="O755" t="n">
        <v>0</v>
      </c>
      <c r="P755" t="n">
        <v>0</v>
      </c>
      <c r="Q755" t="n">
        <v>0</v>
      </c>
      <c r="R755" s="2" t="inlineStr"/>
    </row>
    <row r="756" ht="15" customHeight="1">
      <c r="A756" t="inlineStr">
        <is>
          <t>A 62130-2025</t>
        </is>
      </c>
      <c r="B756" s="1" t="n">
        <v>46006.45099537037</v>
      </c>
      <c r="C756" s="1" t="n">
        <v>46132</v>
      </c>
      <c r="D756" t="inlineStr">
        <is>
          <t>VÄSTERBOTTENS LÄN</t>
        </is>
      </c>
      <c r="E756" t="inlineStr">
        <is>
          <t>UMEÅ</t>
        </is>
      </c>
      <c r="F756" t="inlineStr">
        <is>
          <t>Holmen skog AB</t>
        </is>
      </c>
      <c r="G756" t="n">
        <v>6.1</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46132</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57603-2021</t>
        </is>
      </c>
      <c r="B758" s="1" t="n">
        <v>44483</v>
      </c>
      <c r="C758" s="1" t="n">
        <v>46132</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62104-2025</t>
        </is>
      </c>
      <c r="B759" s="1" t="n">
        <v>46006.41694444444</v>
      </c>
      <c r="C759" s="1" t="n">
        <v>46132</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30553-2023</t>
        </is>
      </c>
      <c r="B760" s="1" t="n">
        <v>45111</v>
      </c>
      <c r="C760" s="1" t="n">
        <v>46132</v>
      </c>
      <c r="D760" t="inlineStr">
        <is>
          <t>VÄSTERBOTTENS LÄN</t>
        </is>
      </c>
      <c r="E760" t="inlineStr">
        <is>
          <t>UMEÅ</t>
        </is>
      </c>
      <c r="G760" t="n">
        <v>5.1</v>
      </c>
      <c r="H760" t="n">
        <v>0</v>
      </c>
      <c r="I760" t="n">
        <v>0</v>
      </c>
      <c r="J760" t="n">
        <v>0</v>
      </c>
      <c r="K760" t="n">
        <v>0</v>
      </c>
      <c r="L760" t="n">
        <v>0</v>
      </c>
      <c r="M760" t="n">
        <v>0</v>
      </c>
      <c r="N760" t="n">
        <v>0</v>
      </c>
      <c r="O760" t="n">
        <v>0</v>
      </c>
      <c r="P760" t="n">
        <v>0</v>
      </c>
      <c r="Q760" t="n">
        <v>0</v>
      </c>
      <c r="R760" s="2" t="inlineStr"/>
    </row>
    <row r="761" ht="15" customHeight="1">
      <c r="A761" t="inlineStr">
        <is>
          <t>A 20425-2025</t>
        </is>
      </c>
      <c r="B761" s="1" t="n">
        <v>45775</v>
      </c>
      <c r="C761" s="1" t="n">
        <v>46132</v>
      </c>
      <c r="D761" t="inlineStr">
        <is>
          <t>VÄSTERBOTTENS LÄN</t>
        </is>
      </c>
      <c r="E761" t="inlineStr">
        <is>
          <t>UMEÅ</t>
        </is>
      </c>
      <c r="G761" t="n">
        <v>1.8</v>
      </c>
      <c r="H761" t="n">
        <v>0</v>
      </c>
      <c r="I761" t="n">
        <v>0</v>
      </c>
      <c r="J761" t="n">
        <v>0</v>
      </c>
      <c r="K761" t="n">
        <v>0</v>
      </c>
      <c r="L761" t="n">
        <v>0</v>
      </c>
      <c r="M761" t="n">
        <v>0</v>
      </c>
      <c r="N761" t="n">
        <v>0</v>
      </c>
      <c r="O761" t="n">
        <v>0</v>
      </c>
      <c r="P761" t="n">
        <v>0</v>
      </c>
      <c r="Q761" t="n">
        <v>0</v>
      </c>
      <c r="R761" s="2" t="inlineStr"/>
    </row>
    <row r="762" ht="15" customHeight="1">
      <c r="A762" t="inlineStr">
        <is>
          <t>A 62208-2025</t>
        </is>
      </c>
      <c r="B762" s="1" t="n">
        <v>46006.56528935185</v>
      </c>
      <c r="C762" s="1" t="n">
        <v>46132</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62231-2025</t>
        </is>
      </c>
      <c r="B763" s="1" t="n">
        <v>46006.59229166667</v>
      </c>
      <c r="C763" s="1" t="n">
        <v>46132</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62269-2025</t>
        </is>
      </c>
      <c r="B764" s="1" t="n">
        <v>46006.6196412037</v>
      </c>
      <c r="C764" s="1" t="n">
        <v>46132</v>
      </c>
      <c r="D764" t="inlineStr">
        <is>
          <t>VÄSTERBOTTENS LÄN</t>
        </is>
      </c>
      <c r="E764" t="inlineStr">
        <is>
          <t>UMEÅ</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9272-2025</t>
        </is>
      </c>
      <c r="B765" s="1" t="n">
        <v>45714</v>
      </c>
      <c r="C765" s="1" t="n">
        <v>46132</v>
      </c>
      <c r="D765" t="inlineStr">
        <is>
          <t>VÄSTERBOTTENS LÄN</t>
        </is>
      </c>
      <c r="E765" t="inlineStr">
        <is>
          <t>UMEÅ</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18026-2025</t>
        </is>
      </c>
      <c r="B766" s="1" t="n">
        <v>45761</v>
      </c>
      <c r="C766" s="1" t="n">
        <v>46132</v>
      </c>
      <c r="D766" t="inlineStr">
        <is>
          <t>VÄSTERBOTTENS LÄN</t>
        </is>
      </c>
      <c r="E766" t="inlineStr">
        <is>
          <t>UMEÅ</t>
        </is>
      </c>
      <c r="G766" t="n">
        <v>6.3</v>
      </c>
      <c r="H766" t="n">
        <v>0</v>
      </c>
      <c r="I766" t="n">
        <v>0</v>
      </c>
      <c r="J766" t="n">
        <v>0</v>
      </c>
      <c r="K766" t="n">
        <v>0</v>
      </c>
      <c r="L766" t="n">
        <v>0</v>
      </c>
      <c r="M766" t="n">
        <v>0</v>
      </c>
      <c r="N766" t="n">
        <v>0</v>
      </c>
      <c r="O766" t="n">
        <v>0</v>
      </c>
      <c r="P766" t="n">
        <v>0</v>
      </c>
      <c r="Q766" t="n">
        <v>0</v>
      </c>
      <c r="R766" s="2" t="inlineStr"/>
    </row>
    <row r="767" ht="15" customHeight="1">
      <c r="A767" t="inlineStr">
        <is>
          <t>A 21917-2023</t>
        </is>
      </c>
      <c r="B767" s="1" t="n">
        <v>45065</v>
      </c>
      <c r="C767" s="1" t="n">
        <v>46132</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62516-2025</t>
        </is>
      </c>
      <c r="B768" s="1" t="n">
        <v>46007.60645833334</v>
      </c>
      <c r="C768" s="1" t="n">
        <v>46132</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62663-2025</t>
        </is>
      </c>
      <c r="B769" s="1" t="n">
        <v>46008.43460648148</v>
      </c>
      <c r="C769" s="1" t="n">
        <v>46132</v>
      </c>
      <c r="D769" t="inlineStr">
        <is>
          <t>VÄSTERBOTTENS LÄN</t>
        </is>
      </c>
      <c r="E769" t="inlineStr">
        <is>
          <t>UMEÅ</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44042-2024</t>
        </is>
      </c>
      <c r="B770" s="1" t="n">
        <v>45572</v>
      </c>
      <c r="C770" s="1" t="n">
        <v>46132</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46132</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62767-2025</t>
        </is>
      </c>
      <c r="B772" s="1" t="n">
        <v>46008.5975925926</v>
      </c>
      <c r="C772" s="1" t="n">
        <v>46132</v>
      </c>
      <c r="D772" t="inlineStr">
        <is>
          <t>VÄSTERBOTTENS LÄN</t>
        </is>
      </c>
      <c r="E772" t="inlineStr">
        <is>
          <t>UMEÅ</t>
        </is>
      </c>
      <c r="G772" t="n">
        <v>4.3</v>
      </c>
      <c r="H772" t="n">
        <v>0</v>
      </c>
      <c r="I772" t="n">
        <v>0</v>
      </c>
      <c r="J772" t="n">
        <v>0</v>
      </c>
      <c r="K772" t="n">
        <v>0</v>
      </c>
      <c r="L772" t="n">
        <v>0</v>
      </c>
      <c r="M772" t="n">
        <v>0</v>
      </c>
      <c r="N772" t="n">
        <v>0</v>
      </c>
      <c r="O772" t="n">
        <v>0</v>
      </c>
      <c r="P772" t="n">
        <v>0</v>
      </c>
      <c r="Q772" t="n">
        <v>0</v>
      </c>
      <c r="R772" s="2" t="inlineStr"/>
    </row>
    <row r="773" ht="15" customHeight="1">
      <c r="A773" t="inlineStr">
        <is>
          <t>A 62813-2025</t>
        </is>
      </c>
      <c r="B773" s="1" t="n">
        <v>46008.64984953704</v>
      </c>
      <c r="C773" s="1" t="n">
        <v>46132</v>
      </c>
      <c r="D773" t="inlineStr">
        <is>
          <t>VÄSTERBOTTENS LÄN</t>
        </is>
      </c>
      <c r="E773" t="inlineStr">
        <is>
          <t>UMEÅ</t>
        </is>
      </c>
      <c r="G773" t="n">
        <v>0.5</v>
      </c>
      <c r="H773" t="n">
        <v>0</v>
      </c>
      <c r="I773" t="n">
        <v>0</v>
      </c>
      <c r="J773" t="n">
        <v>0</v>
      </c>
      <c r="K773" t="n">
        <v>0</v>
      </c>
      <c r="L773" t="n">
        <v>0</v>
      </c>
      <c r="M773" t="n">
        <v>0</v>
      </c>
      <c r="N773" t="n">
        <v>0</v>
      </c>
      <c r="O773" t="n">
        <v>0</v>
      </c>
      <c r="P773" t="n">
        <v>0</v>
      </c>
      <c r="Q773" t="n">
        <v>0</v>
      </c>
      <c r="R773" s="2" t="inlineStr"/>
    </row>
    <row r="774" ht="15" customHeight="1">
      <c r="A774" t="inlineStr">
        <is>
          <t>A 6120-2025</t>
        </is>
      </c>
      <c r="B774" s="1" t="n">
        <v>45698.34443287037</v>
      </c>
      <c r="C774" s="1" t="n">
        <v>46132</v>
      </c>
      <c r="D774" t="inlineStr">
        <is>
          <t>VÄSTERBOTTENS LÄN</t>
        </is>
      </c>
      <c r="E774" t="inlineStr">
        <is>
          <t>UMEÅ</t>
        </is>
      </c>
      <c r="G774" t="n">
        <v>5.8</v>
      </c>
      <c r="H774" t="n">
        <v>0</v>
      </c>
      <c r="I774" t="n">
        <v>0</v>
      </c>
      <c r="J774" t="n">
        <v>0</v>
      </c>
      <c r="K774" t="n">
        <v>0</v>
      </c>
      <c r="L774" t="n">
        <v>0</v>
      </c>
      <c r="M774" t="n">
        <v>0</v>
      </c>
      <c r="N774" t="n">
        <v>0</v>
      </c>
      <c r="O774" t="n">
        <v>0</v>
      </c>
      <c r="P774" t="n">
        <v>0</v>
      </c>
      <c r="Q774" t="n">
        <v>0</v>
      </c>
      <c r="R774" s="2" t="inlineStr"/>
    </row>
    <row r="775" ht="15" customHeight="1">
      <c r="A775" t="inlineStr">
        <is>
          <t>A 63131-2025</t>
        </is>
      </c>
      <c r="B775" s="1" t="n">
        <v>46010.24019675926</v>
      </c>
      <c r="C775" s="1" t="n">
        <v>46132</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63132-2025</t>
        </is>
      </c>
      <c r="B776" s="1" t="n">
        <v>46010.27672453703</v>
      </c>
      <c r="C776" s="1" t="n">
        <v>46132</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60811-2022</t>
        </is>
      </c>
      <c r="B777" s="1" t="n">
        <v>44914.46180555555</v>
      </c>
      <c r="C777" s="1" t="n">
        <v>46132</v>
      </c>
      <c r="D777" t="inlineStr">
        <is>
          <t>VÄSTERBOTTENS LÄN</t>
        </is>
      </c>
      <c r="E777" t="inlineStr">
        <is>
          <t>UMEÅ</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16907-2025</t>
        </is>
      </c>
      <c r="B778" s="1" t="n">
        <v>45755.35048611111</v>
      </c>
      <c r="C778" s="1" t="n">
        <v>46132</v>
      </c>
      <c r="D778" t="inlineStr">
        <is>
          <t>VÄSTERBOTTENS LÄN</t>
        </is>
      </c>
      <c r="E778" t="inlineStr">
        <is>
          <t>UMEÅ</t>
        </is>
      </c>
      <c r="G778" t="n">
        <v>6.4</v>
      </c>
      <c r="H778" t="n">
        <v>0</v>
      </c>
      <c r="I778" t="n">
        <v>0</v>
      </c>
      <c r="J778" t="n">
        <v>0</v>
      </c>
      <c r="K778" t="n">
        <v>0</v>
      </c>
      <c r="L778" t="n">
        <v>0</v>
      </c>
      <c r="M778" t="n">
        <v>0</v>
      </c>
      <c r="N778" t="n">
        <v>0</v>
      </c>
      <c r="O778" t="n">
        <v>0</v>
      </c>
      <c r="P778" t="n">
        <v>0</v>
      </c>
      <c r="Q778" t="n">
        <v>0</v>
      </c>
      <c r="R778" s="2" t="inlineStr"/>
    </row>
    <row r="779" ht="15" customHeight="1">
      <c r="A779" t="inlineStr">
        <is>
          <t>A 16945-2025</t>
        </is>
      </c>
      <c r="B779" s="1" t="n">
        <v>45755.42978009259</v>
      </c>
      <c r="C779" s="1" t="n">
        <v>46132</v>
      </c>
      <c r="D779" t="inlineStr">
        <is>
          <t>VÄSTERBOTTENS LÄN</t>
        </is>
      </c>
      <c r="E779" t="inlineStr">
        <is>
          <t>UMEÅ</t>
        </is>
      </c>
      <c r="F779" t="inlineStr">
        <is>
          <t>Holmen skog AB</t>
        </is>
      </c>
      <c r="G779" t="n">
        <v>1.8</v>
      </c>
      <c r="H779" t="n">
        <v>0</v>
      </c>
      <c r="I779" t="n">
        <v>0</v>
      </c>
      <c r="J779" t="n">
        <v>0</v>
      </c>
      <c r="K779" t="n">
        <v>0</v>
      </c>
      <c r="L779" t="n">
        <v>0</v>
      </c>
      <c r="M779" t="n">
        <v>0</v>
      </c>
      <c r="N779" t="n">
        <v>0</v>
      </c>
      <c r="O779" t="n">
        <v>0</v>
      </c>
      <c r="P779" t="n">
        <v>0</v>
      </c>
      <c r="Q779" t="n">
        <v>0</v>
      </c>
      <c r="R779" s="2" t="inlineStr"/>
    </row>
    <row r="780" ht="15" customHeight="1">
      <c r="A780" t="inlineStr">
        <is>
          <t>A 63218-2025</t>
        </is>
      </c>
      <c r="B780" s="1" t="n">
        <v>46010.48998842593</v>
      </c>
      <c r="C780" s="1" t="n">
        <v>46132</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63219-2025</t>
        </is>
      </c>
      <c r="B781" s="1" t="n">
        <v>46010.49005787037</v>
      </c>
      <c r="C781" s="1" t="n">
        <v>46132</v>
      </c>
      <c r="D781" t="inlineStr">
        <is>
          <t>VÄSTERBOTTENS LÄN</t>
        </is>
      </c>
      <c r="E781" t="inlineStr">
        <is>
          <t>UMEÅ</t>
        </is>
      </c>
      <c r="G781" t="n">
        <v>4.2</v>
      </c>
      <c r="H781" t="n">
        <v>0</v>
      </c>
      <c r="I781" t="n">
        <v>0</v>
      </c>
      <c r="J781" t="n">
        <v>0</v>
      </c>
      <c r="K781" t="n">
        <v>0</v>
      </c>
      <c r="L781" t="n">
        <v>0</v>
      </c>
      <c r="M781" t="n">
        <v>0</v>
      </c>
      <c r="N781" t="n">
        <v>0</v>
      </c>
      <c r="O781" t="n">
        <v>0</v>
      </c>
      <c r="P781" t="n">
        <v>0</v>
      </c>
      <c r="Q781" t="n">
        <v>0</v>
      </c>
      <c r="R781" s="2" t="inlineStr"/>
    </row>
    <row r="782" ht="15" customHeight="1">
      <c r="A782" t="inlineStr">
        <is>
          <t>A 26351-2024</t>
        </is>
      </c>
      <c r="B782" s="1" t="n">
        <v>45469.36478009259</v>
      </c>
      <c r="C782" s="1" t="n">
        <v>46132</v>
      </c>
      <c r="D782" t="inlineStr">
        <is>
          <t>VÄSTERBOTTENS LÄN</t>
        </is>
      </c>
      <c r="E782" t="inlineStr">
        <is>
          <t>UMEÅ</t>
        </is>
      </c>
      <c r="G782" t="n">
        <v>3.8</v>
      </c>
      <c r="H782" t="n">
        <v>0</v>
      </c>
      <c r="I782" t="n">
        <v>0</v>
      </c>
      <c r="J782" t="n">
        <v>0</v>
      </c>
      <c r="K782" t="n">
        <v>0</v>
      </c>
      <c r="L782" t="n">
        <v>0</v>
      </c>
      <c r="M782" t="n">
        <v>0</v>
      </c>
      <c r="N782" t="n">
        <v>0</v>
      </c>
      <c r="O782" t="n">
        <v>0</v>
      </c>
      <c r="P782" t="n">
        <v>0</v>
      </c>
      <c r="Q782" t="n">
        <v>0</v>
      </c>
      <c r="R782" s="2" t="inlineStr"/>
    </row>
    <row r="783" ht="15" customHeight="1">
      <c r="A783" t="inlineStr">
        <is>
          <t>A 29827-2023</t>
        </is>
      </c>
      <c r="B783" s="1" t="n">
        <v>45107</v>
      </c>
      <c r="C783" s="1" t="n">
        <v>46132</v>
      </c>
      <c r="D783" t="inlineStr">
        <is>
          <t>VÄSTERBOTTENS LÄN</t>
        </is>
      </c>
      <c r="E783" t="inlineStr">
        <is>
          <t>UMEÅ</t>
        </is>
      </c>
      <c r="G783" t="n">
        <v>11.9</v>
      </c>
      <c r="H783" t="n">
        <v>0</v>
      </c>
      <c r="I783" t="n">
        <v>0</v>
      </c>
      <c r="J783" t="n">
        <v>0</v>
      </c>
      <c r="K783" t="n">
        <v>0</v>
      </c>
      <c r="L783" t="n">
        <v>0</v>
      </c>
      <c r="M783" t="n">
        <v>0</v>
      </c>
      <c r="N783" t="n">
        <v>0</v>
      </c>
      <c r="O783" t="n">
        <v>0</v>
      </c>
      <c r="P783" t="n">
        <v>0</v>
      </c>
      <c r="Q783" t="n">
        <v>0</v>
      </c>
      <c r="R783" s="2" t="inlineStr"/>
    </row>
    <row r="784" ht="15" customHeight="1">
      <c r="A784" t="inlineStr">
        <is>
          <t>A 63130-2025</t>
        </is>
      </c>
      <c r="B784" s="1" t="n">
        <v>46010.23451388889</v>
      </c>
      <c r="C784" s="1" t="n">
        <v>46132</v>
      </c>
      <c r="D784" t="inlineStr">
        <is>
          <t>VÄSTERBOTTENS LÄN</t>
        </is>
      </c>
      <c r="E784" t="inlineStr">
        <is>
          <t>UMEÅ</t>
        </is>
      </c>
      <c r="G784" t="n">
        <v>7.2</v>
      </c>
      <c r="H784" t="n">
        <v>0</v>
      </c>
      <c r="I784" t="n">
        <v>0</v>
      </c>
      <c r="J784" t="n">
        <v>0</v>
      </c>
      <c r="K784" t="n">
        <v>0</v>
      </c>
      <c r="L784" t="n">
        <v>0</v>
      </c>
      <c r="M784" t="n">
        <v>0</v>
      </c>
      <c r="N784" t="n">
        <v>0</v>
      </c>
      <c r="O784" t="n">
        <v>0</v>
      </c>
      <c r="P784" t="n">
        <v>0</v>
      </c>
      <c r="Q784" t="n">
        <v>0</v>
      </c>
      <c r="R784" s="2" t="inlineStr"/>
    </row>
    <row r="785" ht="15" customHeight="1">
      <c r="A785" t="inlineStr">
        <is>
          <t>A 63155-2025</t>
        </is>
      </c>
      <c r="B785" s="1" t="n">
        <v>46010.3641087963</v>
      </c>
      <c r="C785" s="1" t="n">
        <v>46132</v>
      </c>
      <c r="D785" t="inlineStr">
        <is>
          <t>VÄSTERBOTTENS LÄN</t>
        </is>
      </c>
      <c r="E785" t="inlineStr">
        <is>
          <t>UMEÅ</t>
        </is>
      </c>
      <c r="G785" t="n">
        <v>3.4</v>
      </c>
      <c r="H785" t="n">
        <v>0</v>
      </c>
      <c r="I785" t="n">
        <v>0</v>
      </c>
      <c r="J785" t="n">
        <v>0</v>
      </c>
      <c r="K785" t="n">
        <v>0</v>
      </c>
      <c r="L785" t="n">
        <v>0</v>
      </c>
      <c r="M785" t="n">
        <v>0</v>
      </c>
      <c r="N785" t="n">
        <v>0</v>
      </c>
      <c r="O785" t="n">
        <v>0</v>
      </c>
      <c r="P785" t="n">
        <v>0</v>
      </c>
      <c r="Q785" t="n">
        <v>0</v>
      </c>
      <c r="R785" s="2" t="inlineStr"/>
    </row>
    <row r="786" ht="15" customHeight="1">
      <c r="A786" t="inlineStr">
        <is>
          <t>A 63244-2025</t>
        </is>
      </c>
      <c r="B786" s="1" t="n">
        <v>46010.5324537037</v>
      </c>
      <c r="C786" s="1" t="n">
        <v>46132</v>
      </c>
      <c r="D786" t="inlineStr">
        <is>
          <t>VÄSTERBOTTENS LÄN</t>
        </is>
      </c>
      <c r="E786" t="inlineStr">
        <is>
          <t>UMEÅ</t>
        </is>
      </c>
      <c r="G786" t="n">
        <v>0.9</v>
      </c>
      <c r="H786" t="n">
        <v>0</v>
      </c>
      <c r="I786" t="n">
        <v>0</v>
      </c>
      <c r="J786" t="n">
        <v>0</v>
      </c>
      <c r="K786" t="n">
        <v>0</v>
      </c>
      <c r="L786" t="n">
        <v>0</v>
      </c>
      <c r="M786" t="n">
        <v>0</v>
      </c>
      <c r="N786" t="n">
        <v>0</v>
      </c>
      <c r="O786" t="n">
        <v>0</v>
      </c>
      <c r="P786" t="n">
        <v>0</v>
      </c>
      <c r="Q786" t="n">
        <v>0</v>
      </c>
      <c r="R786" s="2" t="inlineStr"/>
    </row>
    <row r="787" ht="15" customHeight="1">
      <c r="A787" t="inlineStr">
        <is>
          <t>A 24532-2023</t>
        </is>
      </c>
      <c r="B787" s="1" t="n">
        <v>45082.75269675926</v>
      </c>
      <c r="C787" s="1" t="n">
        <v>46132</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59860-2022</t>
        </is>
      </c>
      <c r="B788" s="1" t="n">
        <v>44908.65792824074</v>
      </c>
      <c r="C788" s="1" t="n">
        <v>46132</v>
      </c>
      <c r="D788" t="inlineStr">
        <is>
          <t>VÄSTERBOTTENS LÄN</t>
        </is>
      </c>
      <c r="E788" t="inlineStr">
        <is>
          <t>UMEÅ</t>
        </is>
      </c>
      <c r="G788" t="n">
        <v>8.1</v>
      </c>
      <c r="H788" t="n">
        <v>0</v>
      </c>
      <c r="I788" t="n">
        <v>0</v>
      </c>
      <c r="J788" t="n">
        <v>0</v>
      </c>
      <c r="K788" t="n">
        <v>0</v>
      </c>
      <c r="L788" t="n">
        <v>0</v>
      </c>
      <c r="M788" t="n">
        <v>0</v>
      </c>
      <c r="N788" t="n">
        <v>0</v>
      </c>
      <c r="O788" t="n">
        <v>0</v>
      </c>
      <c r="P788" t="n">
        <v>0</v>
      </c>
      <c r="Q788" t="n">
        <v>0</v>
      </c>
      <c r="R788" s="2" t="inlineStr"/>
    </row>
    <row r="789" ht="15" customHeight="1">
      <c r="A789" t="inlineStr">
        <is>
          <t>A 64157-2025</t>
        </is>
      </c>
      <c r="B789" s="1" t="n">
        <v>46013</v>
      </c>
      <c r="C789" s="1" t="n">
        <v>46132</v>
      </c>
      <c r="D789" t="inlineStr">
        <is>
          <t>VÄSTERBOTTENS LÄN</t>
        </is>
      </c>
      <c r="E789" t="inlineStr">
        <is>
          <t>UMEÅ</t>
        </is>
      </c>
      <c r="G789" t="n">
        <v>0.7</v>
      </c>
      <c r="H789" t="n">
        <v>0</v>
      </c>
      <c r="I789" t="n">
        <v>0</v>
      </c>
      <c r="J789" t="n">
        <v>0</v>
      </c>
      <c r="K789" t="n">
        <v>0</v>
      </c>
      <c r="L789" t="n">
        <v>0</v>
      </c>
      <c r="M789" t="n">
        <v>0</v>
      </c>
      <c r="N789" t="n">
        <v>0</v>
      </c>
      <c r="O789" t="n">
        <v>0</v>
      </c>
      <c r="P789" t="n">
        <v>0</v>
      </c>
      <c r="Q789" t="n">
        <v>0</v>
      </c>
      <c r="R789" s="2" t="inlineStr"/>
    </row>
    <row r="790" ht="15" customHeight="1">
      <c r="A790" t="inlineStr">
        <is>
          <t>A 20795-2023</t>
        </is>
      </c>
      <c r="B790" s="1" t="n">
        <v>45055</v>
      </c>
      <c r="C790" s="1" t="n">
        <v>46132</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25683-2025</t>
        </is>
      </c>
      <c r="B791" s="1" t="n">
        <v>45803</v>
      </c>
      <c r="C791" s="1" t="n">
        <v>46132</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63600-2025</t>
        </is>
      </c>
      <c r="B792" s="1" t="n">
        <v>46014.31091435185</v>
      </c>
      <c r="C792" s="1" t="n">
        <v>46132</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63810-2025</t>
        </is>
      </c>
      <c r="B793" s="1" t="n">
        <v>46020.32105324074</v>
      </c>
      <c r="C793" s="1" t="n">
        <v>46132</v>
      </c>
      <c r="D793" t="inlineStr">
        <is>
          <t>VÄSTERBOTTENS LÄN</t>
        </is>
      </c>
      <c r="E793" t="inlineStr">
        <is>
          <t>UMEÅ</t>
        </is>
      </c>
      <c r="G793" t="n">
        <v>1.2</v>
      </c>
      <c r="H793" t="n">
        <v>0</v>
      </c>
      <c r="I793" t="n">
        <v>0</v>
      </c>
      <c r="J793" t="n">
        <v>0</v>
      </c>
      <c r="K793" t="n">
        <v>0</v>
      </c>
      <c r="L793" t="n">
        <v>0</v>
      </c>
      <c r="M793" t="n">
        <v>0</v>
      </c>
      <c r="N793" t="n">
        <v>0</v>
      </c>
      <c r="O793" t="n">
        <v>0</v>
      </c>
      <c r="P793" t="n">
        <v>0</v>
      </c>
      <c r="Q793" t="n">
        <v>0</v>
      </c>
      <c r="R793" s="2" t="inlineStr"/>
    </row>
    <row r="794" ht="15" customHeight="1">
      <c r="A794" t="inlineStr">
        <is>
          <t>A 489-2024</t>
        </is>
      </c>
      <c r="B794" s="1" t="n">
        <v>45298</v>
      </c>
      <c r="C794" s="1" t="n">
        <v>46132</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41267-2022</t>
        </is>
      </c>
      <c r="B795" s="1" t="n">
        <v>44825</v>
      </c>
      <c r="C795" s="1" t="n">
        <v>46132</v>
      </c>
      <c r="D795" t="inlineStr">
        <is>
          <t>VÄSTERBOTTENS LÄN</t>
        </is>
      </c>
      <c r="E795" t="inlineStr">
        <is>
          <t>UMEÅ</t>
        </is>
      </c>
      <c r="G795" t="n">
        <v>13</v>
      </c>
      <c r="H795" t="n">
        <v>0</v>
      </c>
      <c r="I795" t="n">
        <v>0</v>
      </c>
      <c r="J795" t="n">
        <v>0</v>
      </c>
      <c r="K795" t="n">
        <v>0</v>
      </c>
      <c r="L795" t="n">
        <v>0</v>
      </c>
      <c r="M795" t="n">
        <v>0</v>
      </c>
      <c r="N795" t="n">
        <v>0</v>
      </c>
      <c r="O795" t="n">
        <v>0</v>
      </c>
      <c r="P795" t="n">
        <v>0</v>
      </c>
      <c r="Q795" t="n">
        <v>0</v>
      </c>
      <c r="R795" s="2" t="inlineStr"/>
    </row>
    <row r="796" ht="15" customHeight="1">
      <c r="A796" t="inlineStr">
        <is>
          <t>A 44817-2021</t>
        </is>
      </c>
      <c r="B796" s="1" t="n">
        <v>44438</v>
      </c>
      <c r="C796" s="1" t="n">
        <v>46132</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7437-2024</t>
        </is>
      </c>
      <c r="B797" s="1" t="n">
        <v>45345</v>
      </c>
      <c r="C797" s="1" t="n">
        <v>46132</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11954-2024</t>
        </is>
      </c>
      <c r="B798" s="1" t="n">
        <v>45376</v>
      </c>
      <c r="C798" s="1" t="n">
        <v>46132</v>
      </c>
      <c r="D798" t="inlineStr">
        <is>
          <t>VÄSTERBOTTENS LÄN</t>
        </is>
      </c>
      <c r="E798" t="inlineStr">
        <is>
          <t>UMEÅ</t>
        </is>
      </c>
      <c r="G798" t="n">
        <v>4</v>
      </c>
      <c r="H798" t="n">
        <v>0</v>
      </c>
      <c r="I798" t="n">
        <v>0</v>
      </c>
      <c r="J798" t="n">
        <v>0</v>
      </c>
      <c r="K798" t="n">
        <v>0</v>
      </c>
      <c r="L798" t="n">
        <v>0</v>
      </c>
      <c r="M798" t="n">
        <v>0</v>
      </c>
      <c r="N798" t="n">
        <v>0</v>
      </c>
      <c r="O798" t="n">
        <v>0</v>
      </c>
      <c r="P798" t="n">
        <v>0</v>
      </c>
      <c r="Q798" t="n">
        <v>0</v>
      </c>
      <c r="R798" s="2" t="inlineStr"/>
    </row>
    <row r="799" ht="15" customHeight="1">
      <c r="A799" t="inlineStr">
        <is>
          <t>A 64088-2025</t>
        </is>
      </c>
      <c r="B799" s="1" t="n">
        <v>46021.72010416666</v>
      </c>
      <c r="C799" s="1" t="n">
        <v>46132</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64053-2025</t>
        </is>
      </c>
      <c r="B800" s="1" t="n">
        <v>46021.59449074074</v>
      </c>
      <c r="C800" s="1" t="n">
        <v>46132</v>
      </c>
      <c r="D800" t="inlineStr">
        <is>
          <t>VÄSTERBOTTENS LÄN</t>
        </is>
      </c>
      <c r="E800" t="inlineStr">
        <is>
          <t>UMEÅ</t>
        </is>
      </c>
      <c r="G800" t="n">
        <v>5.1</v>
      </c>
      <c r="H800" t="n">
        <v>0</v>
      </c>
      <c r="I800" t="n">
        <v>0</v>
      </c>
      <c r="J800" t="n">
        <v>0</v>
      </c>
      <c r="K800" t="n">
        <v>0</v>
      </c>
      <c r="L800" t="n">
        <v>0</v>
      </c>
      <c r="M800" t="n">
        <v>0</v>
      </c>
      <c r="N800" t="n">
        <v>0</v>
      </c>
      <c r="O800" t="n">
        <v>0</v>
      </c>
      <c r="P800" t="n">
        <v>0</v>
      </c>
      <c r="Q800" t="n">
        <v>0</v>
      </c>
      <c r="R800" s="2" t="inlineStr"/>
    </row>
    <row r="801" ht="15" customHeight="1">
      <c r="A801" t="inlineStr">
        <is>
          <t>A 34411-2024</t>
        </is>
      </c>
      <c r="B801" s="1" t="n">
        <v>45525.48208333334</v>
      </c>
      <c r="C801" s="1" t="n">
        <v>46132</v>
      </c>
      <c r="D801" t="inlineStr">
        <is>
          <t>VÄSTERBOTTENS LÄN</t>
        </is>
      </c>
      <c r="E801" t="inlineStr">
        <is>
          <t>UMEÅ</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64089-2025</t>
        </is>
      </c>
      <c r="B802" s="1" t="n">
        <v>46021.72287037037</v>
      </c>
      <c r="C802" s="1" t="n">
        <v>46132</v>
      </c>
      <c r="D802" t="inlineStr">
        <is>
          <t>VÄSTERBOTTENS LÄN</t>
        </is>
      </c>
      <c r="E802" t="inlineStr">
        <is>
          <t>UMEÅ</t>
        </is>
      </c>
      <c r="G802" t="n">
        <v>1.5</v>
      </c>
      <c r="H802" t="n">
        <v>0</v>
      </c>
      <c r="I802" t="n">
        <v>0</v>
      </c>
      <c r="J802" t="n">
        <v>0</v>
      </c>
      <c r="K802" t="n">
        <v>0</v>
      </c>
      <c r="L802" t="n">
        <v>0</v>
      </c>
      <c r="M802" t="n">
        <v>0</v>
      </c>
      <c r="N802" t="n">
        <v>0</v>
      </c>
      <c r="O802" t="n">
        <v>0</v>
      </c>
      <c r="P802" t="n">
        <v>0</v>
      </c>
      <c r="Q802" t="n">
        <v>0</v>
      </c>
      <c r="R802" s="2" t="inlineStr"/>
    </row>
    <row r="803" ht="15" customHeight="1">
      <c r="A803" t="inlineStr">
        <is>
          <t>A 52126-2022</t>
        </is>
      </c>
      <c r="B803" s="1" t="n">
        <v>44873.43465277777</v>
      </c>
      <c r="C803" s="1" t="n">
        <v>46132</v>
      </c>
      <c r="D803" t="inlineStr">
        <is>
          <t>VÄSTERBOTTENS LÄN</t>
        </is>
      </c>
      <c r="E803" t="inlineStr">
        <is>
          <t>UMEÅ</t>
        </is>
      </c>
      <c r="G803" t="n">
        <v>3.3</v>
      </c>
      <c r="H803" t="n">
        <v>0</v>
      </c>
      <c r="I803" t="n">
        <v>0</v>
      </c>
      <c r="J803" t="n">
        <v>0</v>
      </c>
      <c r="K803" t="n">
        <v>0</v>
      </c>
      <c r="L803" t="n">
        <v>0</v>
      </c>
      <c r="M803" t="n">
        <v>0</v>
      </c>
      <c r="N803" t="n">
        <v>0</v>
      </c>
      <c r="O803" t="n">
        <v>0</v>
      </c>
      <c r="P803" t="n">
        <v>0</v>
      </c>
      <c r="Q803" t="n">
        <v>0</v>
      </c>
      <c r="R803" s="2" t="inlineStr"/>
    </row>
    <row r="804" ht="15" customHeight="1">
      <c r="A804" t="inlineStr">
        <is>
          <t>A 28628-2023</t>
        </is>
      </c>
      <c r="B804" s="1" t="n">
        <v>45103</v>
      </c>
      <c r="C804" s="1" t="n">
        <v>46132</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25505-2023</t>
        </is>
      </c>
      <c r="B805" s="1" t="n">
        <v>45089.49538194444</v>
      </c>
      <c r="C805" s="1" t="n">
        <v>46132</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29640-2023</t>
        </is>
      </c>
      <c r="B806" s="1" t="n">
        <v>45106</v>
      </c>
      <c r="C806" s="1" t="n">
        <v>46132</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256-2026</t>
        </is>
      </c>
      <c r="B807" s="1" t="n">
        <v>46027.43188657407</v>
      </c>
      <c r="C807" s="1" t="n">
        <v>46132</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281-2026</t>
        </is>
      </c>
      <c r="B808" s="1" t="n">
        <v>46027</v>
      </c>
      <c r="C808" s="1" t="n">
        <v>46132</v>
      </c>
      <c r="D808" t="inlineStr">
        <is>
          <t>VÄSTERBOTTENS LÄN</t>
        </is>
      </c>
      <c r="E808" t="inlineStr">
        <is>
          <t>UMEÅ</t>
        </is>
      </c>
      <c r="G808" t="n">
        <v>1.7</v>
      </c>
      <c r="H808" t="n">
        <v>0</v>
      </c>
      <c r="I808" t="n">
        <v>0</v>
      </c>
      <c r="J808" t="n">
        <v>0</v>
      </c>
      <c r="K808" t="n">
        <v>0</v>
      </c>
      <c r="L808" t="n">
        <v>0</v>
      </c>
      <c r="M808" t="n">
        <v>0</v>
      </c>
      <c r="N808" t="n">
        <v>0</v>
      </c>
      <c r="O808" t="n">
        <v>0</v>
      </c>
      <c r="P808" t="n">
        <v>0</v>
      </c>
      <c r="Q808" t="n">
        <v>0</v>
      </c>
      <c r="R808" s="2" t="inlineStr"/>
    </row>
    <row r="809" ht="15" customHeight="1">
      <c r="A809" t="inlineStr">
        <is>
          <t>A 923-2026</t>
        </is>
      </c>
      <c r="B809" s="1" t="n">
        <v>46030.49034722222</v>
      </c>
      <c r="C809" s="1" t="n">
        <v>46132</v>
      </c>
      <c r="D809" t="inlineStr">
        <is>
          <t>VÄSTERBOTTENS LÄN</t>
        </is>
      </c>
      <c r="E809" t="inlineStr">
        <is>
          <t>UMEÅ</t>
        </is>
      </c>
      <c r="G809" t="n">
        <v>9.1</v>
      </c>
      <c r="H809" t="n">
        <v>0</v>
      </c>
      <c r="I809" t="n">
        <v>0</v>
      </c>
      <c r="J809" t="n">
        <v>0</v>
      </c>
      <c r="K809" t="n">
        <v>0</v>
      </c>
      <c r="L809" t="n">
        <v>0</v>
      </c>
      <c r="M809" t="n">
        <v>0</v>
      </c>
      <c r="N809" t="n">
        <v>0</v>
      </c>
      <c r="O809" t="n">
        <v>0</v>
      </c>
      <c r="P809" t="n">
        <v>0</v>
      </c>
      <c r="Q809" t="n">
        <v>0</v>
      </c>
      <c r="R809" s="2" t="inlineStr"/>
    </row>
    <row r="810" ht="15" customHeight="1">
      <c r="A810" t="inlineStr">
        <is>
          <t>A 1143-2026</t>
        </is>
      </c>
      <c r="B810" s="1" t="n">
        <v>46030</v>
      </c>
      <c r="C810" s="1" t="n">
        <v>46132</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46132</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841-2026</t>
        </is>
      </c>
      <c r="B812" s="1" t="n">
        <v>46030</v>
      </c>
      <c r="C812" s="1" t="n">
        <v>46132</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526-2026</t>
        </is>
      </c>
      <c r="B813" s="1" t="n">
        <v>46029.44914351852</v>
      </c>
      <c r="C813" s="1" t="n">
        <v>46132</v>
      </c>
      <c r="D813" t="inlineStr">
        <is>
          <t>VÄSTERBOTTENS LÄN</t>
        </is>
      </c>
      <c r="E813" t="inlineStr">
        <is>
          <t>UMEÅ</t>
        </is>
      </c>
      <c r="G813" t="n">
        <v>2.4</v>
      </c>
      <c r="H813" t="n">
        <v>0</v>
      </c>
      <c r="I813" t="n">
        <v>0</v>
      </c>
      <c r="J813" t="n">
        <v>0</v>
      </c>
      <c r="K813" t="n">
        <v>0</v>
      </c>
      <c r="L813" t="n">
        <v>0</v>
      </c>
      <c r="M813" t="n">
        <v>0</v>
      </c>
      <c r="N813" t="n">
        <v>0</v>
      </c>
      <c r="O813" t="n">
        <v>0</v>
      </c>
      <c r="P813" t="n">
        <v>0</v>
      </c>
      <c r="Q813" t="n">
        <v>0</v>
      </c>
      <c r="R813" s="2" t="inlineStr"/>
    </row>
    <row r="814" ht="15" customHeight="1">
      <c r="A814" t="inlineStr">
        <is>
          <t>A 667-2026</t>
        </is>
      </c>
      <c r="B814" s="1" t="n">
        <v>46029.58945601852</v>
      </c>
      <c r="C814" s="1" t="n">
        <v>46132</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524-2026</t>
        </is>
      </c>
      <c r="B815" s="1" t="n">
        <v>46029.44908564815</v>
      </c>
      <c r="C815" s="1" t="n">
        <v>46132</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32628-2023</t>
        </is>
      </c>
      <c r="B816" s="1" t="n">
        <v>45112</v>
      </c>
      <c r="C816" s="1" t="n">
        <v>46132</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7910-2024</t>
        </is>
      </c>
      <c r="B817" s="1" t="n">
        <v>45349</v>
      </c>
      <c r="C817" s="1" t="n">
        <v>46132</v>
      </c>
      <c r="D817" t="inlineStr">
        <is>
          <t>VÄSTERBOTTENS LÄN</t>
        </is>
      </c>
      <c r="E817" t="inlineStr">
        <is>
          <t>UMEÅ</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1142-2026</t>
        </is>
      </c>
      <c r="B818" s="1" t="n">
        <v>46030.84501157407</v>
      </c>
      <c r="C818" s="1" t="n">
        <v>46132</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2252-2026</t>
        </is>
      </c>
      <c r="B819" s="1" t="n">
        <v>46034</v>
      </c>
      <c r="C819" s="1" t="n">
        <v>46132</v>
      </c>
      <c r="D819" t="inlineStr">
        <is>
          <t>VÄSTERBOTTENS LÄN</t>
        </is>
      </c>
      <c r="E819" t="inlineStr">
        <is>
          <t>UMEÅ</t>
        </is>
      </c>
      <c r="G819" t="n">
        <v>10.7</v>
      </c>
      <c r="H819" t="n">
        <v>0</v>
      </c>
      <c r="I819" t="n">
        <v>0</v>
      </c>
      <c r="J819" t="n">
        <v>0</v>
      </c>
      <c r="K819" t="n">
        <v>0</v>
      </c>
      <c r="L819" t="n">
        <v>0</v>
      </c>
      <c r="M819" t="n">
        <v>0</v>
      </c>
      <c r="N819" t="n">
        <v>0</v>
      </c>
      <c r="O819" t="n">
        <v>0</v>
      </c>
      <c r="P819" t="n">
        <v>0</v>
      </c>
      <c r="Q819" t="n">
        <v>0</v>
      </c>
      <c r="R819" s="2" t="inlineStr"/>
    </row>
    <row r="820" ht="15" customHeight="1">
      <c r="A820" t="inlineStr">
        <is>
          <t>A 1557-2026</t>
        </is>
      </c>
      <c r="B820" s="1" t="n">
        <v>46034.38920138889</v>
      </c>
      <c r="C820" s="1" t="n">
        <v>46132</v>
      </c>
      <c r="D820" t="inlineStr">
        <is>
          <t>VÄSTERBOTTENS LÄN</t>
        </is>
      </c>
      <c r="E820" t="inlineStr">
        <is>
          <t>UMEÅ</t>
        </is>
      </c>
      <c r="G820" t="n">
        <v>3.5</v>
      </c>
      <c r="H820" t="n">
        <v>0</v>
      </c>
      <c r="I820" t="n">
        <v>0</v>
      </c>
      <c r="J820" t="n">
        <v>0</v>
      </c>
      <c r="K820" t="n">
        <v>0</v>
      </c>
      <c r="L820" t="n">
        <v>0</v>
      </c>
      <c r="M820" t="n">
        <v>0</v>
      </c>
      <c r="N820" t="n">
        <v>0</v>
      </c>
      <c r="O820" t="n">
        <v>0</v>
      </c>
      <c r="P820" t="n">
        <v>0</v>
      </c>
      <c r="Q820" t="n">
        <v>0</v>
      </c>
      <c r="R820" s="2" t="inlineStr"/>
    </row>
    <row r="821" ht="15" customHeight="1">
      <c r="A821" t="inlineStr">
        <is>
          <t>A 61225-2024</t>
        </is>
      </c>
      <c r="B821" s="1" t="n">
        <v>45645.66707175926</v>
      </c>
      <c r="C821" s="1" t="n">
        <v>46132</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30258-2023</t>
        </is>
      </c>
      <c r="B822" s="1" t="n">
        <v>45110.70980324074</v>
      </c>
      <c r="C822" s="1" t="n">
        <v>46132</v>
      </c>
      <c r="D822" t="inlineStr">
        <is>
          <t>VÄSTERBOTTENS LÄN</t>
        </is>
      </c>
      <c r="E822" t="inlineStr">
        <is>
          <t>UMEÅ</t>
        </is>
      </c>
      <c r="F822" t="inlineStr">
        <is>
          <t>Holmen skog AB</t>
        </is>
      </c>
      <c r="G822" t="n">
        <v>3</v>
      </c>
      <c r="H822" t="n">
        <v>0</v>
      </c>
      <c r="I822" t="n">
        <v>0</v>
      </c>
      <c r="J822" t="n">
        <v>0</v>
      </c>
      <c r="K822" t="n">
        <v>0</v>
      </c>
      <c r="L822" t="n">
        <v>0</v>
      </c>
      <c r="M822" t="n">
        <v>0</v>
      </c>
      <c r="N822" t="n">
        <v>0</v>
      </c>
      <c r="O822" t="n">
        <v>0</v>
      </c>
      <c r="P822" t="n">
        <v>0</v>
      </c>
      <c r="Q822" t="n">
        <v>0</v>
      </c>
      <c r="R822" s="2" t="inlineStr"/>
    </row>
    <row r="823" ht="15" customHeight="1">
      <c r="A823" t="inlineStr">
        <is>
          <t>A 1388-2026</t>
        </is>
      </c>
      <c r="B823" s="1" t="n">
        <v>46031.62766203703</v>
      </c>
      <c r="C823" s="1" t="n">
        <v>46132</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32464-2023</t>
        </is>
      </c>
      <c r="B824" s="1" t="n">
        <v>45120.92650462963</v>
      </c>
      <c r="C824" s="1" t="n">
        <v>46132</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44836-2024</t>
        </is>
      </c>
      <c r="B825" s="1" t="n">
        <v>45574.70622685185</v>
      </c>
      <c r="C825" s="1" t="n">
        <v>46132</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46287-2022</t>
        </is>
      </c>
      <c r="B826" s="1" t="n">
        <v>44847</v>
      </c>
      <c r="C826" s="1" t="n">
        <v>46132</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13090-2024</t>
        </is>
      </c>
      <c r="B827" s="1" t="n">
        <v>45385</v>
      </c>
      <c r="C827" s="1" t="n">
        <v>46132</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11184-2024</t>
        </is>
      </c>
      <c r="B828" s="1" t="n">
        <v>45371</v>
      </c>
      <c r="C828" s="1" t="n">
        <v>46132</v>
      </c>
      <c r="D828" t="inlineStr">
        <is>
          <t>VÄSTERBOTTENS LÄN</t>
        </is>
      </c>
      <c r="E828" t="inlineStr">
        <is>
          <t>UMEÅ</t>
        </is>
      </c>
      <c r="F828" t="inlineStr">
        <is>
          <t>Övriga statliga verk och myndigheter</t>
        </is>
      </c>
      <c r="G828" t="n">
        <v>4.5</v>
      </c>
      <c r="H828" t="n">
        <v>0</v>
      </c>
      <c r="I828" t="n">
        <v>0</v>
      </c>
      <c r="J828" t="n">
        <v>0</v>
      </c>
      <c r="K828" t="n">
        <v>0</v>
      </c>
      <c r="L828" t="n">
        <v>0</v>
      </c>
      <c r="M828" t="n">
        <v>0</v>
      </c>
      <c r="N828" t="n">
        <v>0</v>
      </c>
      <c r="O828" t="n">
        <v>0</v>
      </c>
      <c r="P828" t="n">
        <v>0</v>
      </c>
      <c r="Q828" t="n">
        <v>0</v>
      </c>
      <c r="R828" s="2" t="inlineStr"/>
    </row>
    <row r="829" ht="15" customHeight="1">
      <c r="A829" t="inlineStr">
        <is>
          <t>A 31068-2023</t>
        </is>
      </c>
      <c r="B829" s="1" t="n">
        <v>45113</v>
      </c>
      <c r="C829" s="1" t="n">
        <v>46132</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14043-2024</t>
        </is>
      </c>
      <c r="B830" s="1" t="n">
        <v>45392</v>
      </c>
      <c r="C830" s="1" t="n">
        <v>46132</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751-2023</t>
        </is>
      </c>
      <c r="B831" s="1" t="n">
        <v>44931.3587962963</v>
      </c>
      <c r="C831" s="1" t="n">
        <v>46132</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23842-2024</t>
        </is>
      </c>
      <c r="B832" s="1" t="n">
        <v>45455.52168981481</v>
      </c>
      <c r="C832" s="1" t="n">
        <v>46132</v>
      </c>
      <c r="D832" t="inlineStr">
        <is>
          <t>VÄSTERBOTTENS LÄN</t>
        </is>
      </c>
      <c r="E832" t="inlineStr">
        <is>
          <t>UMEÅ</t>
        </is>
      </c>
      <c r="G832" t="n">
        <v>2.1</v>
      </c>
      <c r="H832" t="n">
        <v>0</v>
      </c>
      <c r="I832" t="n">
        <v>0</v>
      </c>
      <c r="J832" t="n">
        <v>0</v>
      </c>
      <c r="K832" t="n">
        <v>0</v>
      </c>
      <c r="L832" t="n">
        <v>0</v>
      </c>
      <c r="M832" t="n">
        <v>0</v>
      </c>
      <c r="N832" t="n">
        <v>0</v>
      </c>
      <c r="O832" t="n">
        <v>0</v>
      </c>
      <c r="P832" t="n">
        <v>0</v>
      </c>
      <c r="Q832" t="n">
        <v>0</v>
      </c>
      <c r="R832" s="2" t="inlineStr"/>
    </row>
    <row r="833" ht="15" customHeight="1">
      <c r="A833" t="inlineStr">
        <is>
          <t>A 65242-2021</t>
        </is>
      </c>
      <c r="B833" s="1" t="n">
        <v>44515.55709490741</v>
      </c>
      <c r="C833" s="1" t="n">
        <v>46132</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2857-2026</t>
        </is>
      </c>
      <c r="B834" s="1" t="n">
        <v>46038</v>
      </c>
      <c r="C834" s="1" t="n">
        <v>46132</v>
      </c>
      <c r="D834" t="inlineStr">
        <is>
          <t>VÄSTERBOTTENS LÄN</t>
        </is>
      </c>
      <c r="E834" t="inlineStr">
        <is>
          <t>UMEÅ</t>
        </is>
      </c>
      <c r="G834" t="n">
        <v>4.5</v>
      </c>
      <c r="H834" t="n">
        <v>0</v>
      </c>
      <c r="I834" t="n">
        <v>0</v>
      </c>
      <c r="J834" t="n">
        <v>0</v>
      </c>
      <c r="K834" t="n">
        <v>0</v>
      </c>
      <c r="L834" t="n">
        <v>0</v>
      </c>
      <c r="M834" t="n">
        <v>0</v>
      </c>
      <c r="N834" t="n">
        <v>0</v>
      </c>
      <c r="O834" t="n">
        <v>0</v>
      </c>
      <c r="P834" t="n">
        <v>0</v>
      </c>
      <c r="Q834" t="n">
        <v>0</v>
      </c>
      <c r="R834" s="2" t="inlineStr"/>
    </row>
    <row r="835" ht="15" customHeight="1">
      <c r="A835" t="inlineStr">
        <is>
          <t>A 2603-2026</t>
        </is>
      </c>
      <c r="B835" s="1" t="n">
        <v>46037</v>
      </c>
      <c r="C835" s="1" t="n">
        <v>46132</v>
      </c>
      <c r="D835" t="inlineStr">
        <is>
          <t>VÄSTERBOTTENS LÄN</t>
        </is>
      </c>
      <c r="E835" t="inlineStr">
        <is>
          <t>UMEÅ</t>
        </is>
      </c>
      <c r="G835" t="n">
        <v>2.2</v>
      </c>
      <c r="H835" t="n">
        <v>0</v>
      </c>
      <c r="I835" t="n">
        <v>0</v>
      </c>
      <c r="J835" t="n">
        <v>0</v>
      </c>
      <c r="K835" t="n">
        <v>0</v>
      </c>
      <c r="L835" t="n">
        <v>0</v>
      </c>
      <c r="M835" t="n">
        <v>0</v>
      </c>
      <c r="N835" t="n">
        <v>0</v>
      </c>
      <c r="O835" t="n">
        <v>0</v>
      </c>
      <c r="P835" t="n">
        <v>0</v>
      </c>
      <c r="Q835" t="n">
        <v>0</v>
      </c>
      <c r="R835" s="2" t="inlineStr"/>
    </row>
    <row r="836" ht="15" customHeight="1">
      <c r="A836" t="inlineStr">
        <is>
          <t>A 43945-2024</t>
        </is>
      </c>
      <c r="B836" s="1" t="n">
        <v>45572.47104166666</v>
      </c>
      <c r="C836" s="1" t="n">
        <v>46132</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3371-2026</t>
        </is>
      </c>
      <c r="B837" s="1" t="n">
        <v>46042.34534722222</v>
      </c>
      <c r="C837" s="1" t="n">
        <v>46132</v>
      </c>
      <c r="D837" t="inlineStr">
        <is>
          <t>VÄSTERBOTTENS LÄN</t>
        </is>
      </c>
      <c r="E837" t="inlineStr">
        <is>
          <t>UMEÅ</t>
        </is>
      </c>
      <c r="F837" t="inlineStr">
        <is>
          <t>Holmen skog AB</t>
        </is>
      </c>
      <c r="G837" t="n">
        <v>3.9</v>
      </c>
      <c r="H837" t="n">
        <v>0</v>
      </c>
      <c r="I837" t="n">
        <v>0</v>
      </c>
      <c r="J837" t="n">
        <v>0</v>
      </c>
      <c r="K837" t="n">
        <v>0</v>
      </c>
      <c r="L837" t="n">
        <v>0</v>
      </c>
      <c r="M837" t="n">
        <v>0</v>
      </c>
      <c r="N837" t="n">
        <v>0</v>
      </c>
      <c r="O837" t="n">
        <v>0</v>
      </c>
      <c r="P837" t="n">
        <v>0</v>
      </c>
      <c r="Q837" t="n">
        <v>0</v>
      </c>
      <c r="R837" s="2" t="inlineStr"/>
    </row>
    <row r="838" ht="15" customHeight="1">
      <c r="A838" t="inlineStr">
        <is>
          <t>A 3150-2026</t>
        </is>
      </c>
      <c r="B838" s="1" t="n">
        <v>46041.42417824074</v>
      </c>
      <c r="C838" s="1" t="n">
        <v>46132</v>
      </c>
      <c r="D838" t="inlineStr">
        <is>
          <t>VÄSTERBOTTENS LÄN</t>
        </is>
      </c>
      <c r="E838" t="inlineStr">
        <is>
          <t>UMEÅ</t>
        </is>
      </c>
      <c r="G838" t="n">
        <v>0.6</v>
      </c>
      <c r="H838" t="n">
        <v>0</v>
      </c>
      <c r="I838" t="n">
        <v>0</v>
      </c>
      <c r="J838" t="n">
        <v>0</v>
      </c>
      <c r="K838" t="n">
        <v>0</v>
      </c>
      <c r="L838" t="n">
        <v>0</v>
      </c>
      <c r="M838" t="n">
        <v>0</v>
      </c>
      <c r="N838" t="n">
        <v>0</v>
      </c>
      <c r="O838" t="n">
        <v>0</v>
      </c>
      <c r="P838" t="n">
        <v>0</v>
      </c>
      <c r="Q838" t="n">
        <v>0</v>
      </c>
      <c r="R838" s="2" t="inlineStr"/>
    </row>
    <row r="839" ht="15" customHeight="1">
      <c r="A839" t="inlineStr">
        <is>
          <t>A 3154-2026</t>
        </is>
      </c>
      <c r="B839" s="1" t="n">
        <v>46041.42799768518</v>
      </c>
      <c r="C839" s="1" t="n">
        <v>46132</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61034-2022</t>
        </is>
      </c>
      <c r="B840" s="1" t="n">
        <v>44914</v>
      </c>
      <c r="C840" s="1" t="n">
        <v>46132</v>
      </c>
      <c r="D840" t="inlineStr">
        <is>
          <t>VÄSTERBOTTENS LÄN</t>
        </is>
      </c>
      <c r="E840" t="inlineStr">
        <is>
          <t>UMEÅ</t>
        </is>
      </c>
      <c r="G840" t="n">
        <v>16.7</v>
      </c>
      <c r="H840" t="n">
        <v>0</v>
      </c>
      <c r="I840" t="n">
        <v>0</v>
      </c>
      <c r="J840" t="n">
        <v>0</v>
      </c>
      <c r="K840" t="n">
        <v>0</v>
      </c>
      <c r="L840" t="n">
        <v>0</v>
      </c>
      <c r="M840" t="n">
        <v>0</v>
      </c>
      <c r="N840" t="n">
        <v>0</v>
      </c>
      <c r="O840" t="n">
        <v>0</v>
      </c>
      <c r="P840" t="n">
        <v>0</v>
      </c>
      <c r="Q840" t="n">
        <v>0</v>
      </c>
      <c r="R840" s="2" t="inlineStr"/>
    </row>
    <row r="841" ht="15" customHeight="1">
      <c r="A841" t="inlineStr">
        <is>
          <t>A 3234-2026</t>
        </is>
      </c>
      <c r="B841" s="1" t="n">
        <v>46041.56347222222</v>
      </c>
      <c r="C841" s="1" t="n">
        <v>46132</v>
      </c>
      <c r="D841" t="inlineStr">
        <is>
          <t>VÄSTERBOTTENS LÄN</t>
        </is>
      </c>
      <c r="E841" t="inlineStr">
        <is>
          <t>UMEÅ</t>
        </is>
      </c>
      <c r="G841" t="n">
        <v>8.1</v>
      </c>
      <c r="H841" t="n">
        <v>0</v>
      </c>
      <c r="I841" t="n">
        <v>0</v>
      </c>
      <c r="J841" t="n">
        <v>0</v>
      </c>
      <c r="K841" t="n">
        <v>0</v>
      </c>
      <c r="L841" t="n">
        <v>0</v>
      </c>
      <c r="M841" t="n">
        <v>0</v>
      </c>
      <c r="N841" t="n">
        <v>0</v>
      </c>
      <c r="O841" t="n">
        <v>0</v>
      </c>
      <c r="P841" t="n">
        <v>0</v>
      </c>
      <c r="Q841" t="n">
        <v>0</v>
      </c>
      <c r="R841" s="2" t="inlineStr"/>
    </row>
    <row r="842" ht="15" customHeight="1">
      <c r="A842" t="inlineStr">
        <is>
          <t>A 3215-2026</t>
        </is>
      </c>
      <c r="B842" s="1" t="n">
        <v>46041.50340277778</v>
      </c>
      <c r="C842" s="1" t="n">
        <v>46132</v>
      </c>
      <c r="D842" t="inlineStr">
        <is>
          <t>VÄSTERBOTTENS LÄN</t>
        </is>
      </c>
      <c r="E842" t="inlineStr">
        <is>
          <t>UMEÅ</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72125-2021</t>
        </is>
      </c>
      <c r="B843" s="1" t="n">
        <v>44543</v>
      </c>
      <c r="C843" s="1" t="n">
        <v>46132</v>
      </c>
      <c r="D843" t="inlineStr">
        <is>
          <t>VÄSTERBOTTENS LÄN</t>
        </is>
      </c>
      <c r="E843" t="inlineStr">
        <is>
          <t>UMEÅ</t>
        </is>
      </c>
      <c r="G843" t="n">
        <v>4.4</v>
      </c>
      <c r="H843" t="n">
        <v>0</v>
      </c>
      <c r="I843" t="n">
        <v>0</v>
      </c>
      <c r="J843" t="n">
        <v>0</v>
      </c>
      <c r="K843" t="n">
        <v>0</v>
      </c>
      <c r="L843" t="n">
        <v>0</v>
      </c>
      <c r="M843" t="n">
        <v>0</v>
      </c>
      <c r="N843" t="n">
        <v>0</v>
      </c>
      <c r="O843" t="n">
        <v>0</v>
      </c>
      <c r="P843" t="n">
        <v>0</v>
      </c>
      <c r="Q843" t="n">
        <v>0</v>
      </c>
      <c r="R843" s="2" t="inlineStr"/>
    </row>
    <row r="844" ht="15" customHeight="1">
      <c r="A844" t="inlineStr">
        <is>
          <t>A 3964-2026</t>
        </is>
      </c>
      <c r="B844" s="1" t="n">
        <v>46044.34483796296</v>
      </c>
      <c r="C844" s="1" t="n">
        <v>46132</v>
      </c>
      <c r="D844" t="inlineStr">
        <is>
          <t>VÄSTERBOTTENS LÄN</t>
        </is>
      </c>
      <c r="E844" t="inlineStr">
        <is>
          <t>UMEÅ</t>
        </is>
      </c>
      <c r="G844" t="n">
        <v>2.6</v>
      </c>
      <c r="H844" t="n">
        <v>0</v>
      </c>
      <c r="I844" t="n">
        <v>0</v>
      </c>
      <c r="J844" t="n">
        <v>0</v>
      </c>
      <c r="K844" t="n">
        <v>0</v>
      </c>
      <c r="L844" t="n">
        <v>0</v>
      </c>
      <c r="M844" t="n">
        <v>0</v>
      </c>
      <c r="N844" t="n">
        <v>0</v>
      </c>
      <c r="O844" t="n">
        <v>0</v>
      </c>
      <c r="P844" t="n">
        <v>0</v>
      </c>
      <c r="Q844" t="n">
        <v>0</v>
      </c>
      <c r="R844" s="2" t="inlineStr"/>
    </row>
    <row r="845" ht="15" customHeight="1">
      <c r="A845" t="inlineStr">
        <is>
          <t>A 3966-2026</t>
        </is>
      </c>
      <c r="B845" s="1" t="n">
        <v>46044.34902777777</v>
      </c>
      <c r="C845" s="1" t="n">
        <v>46132</v>
      </c>
      <c r="D845" t="inlineStr">
        <is>
          <t>VÄSTERBOTTENS LÄN</t>
        </is>
      </c>
      <c r="E845" t="inlineStr">
        <is>
          <t>UMEÅ</t>
        </is>
      </c>
      <c r="G845" t="n">
        <v>1.4</v>
      </c>
      <c r="H845" t="n">
        <v>0</v>
      </c>
      <c r="I845" t="n">
        <v>0</v>
      </c>
      <c r="J845" t="n">
        <v>0</v>
      </c>
      <c r="K845" t="n">
        <v>0</v>
      </c>
      <c r="L845" t="n">
        <v>0</v>
      </c>
      <c r="M845" t="n">
        <v>0</v>
      </c>
      <c r="N845" t="n">
        <v>0</v>
      </c>
      <c r="O845" t="n">
        <v>0</v>
      </c>
      <c r="P845" t="n">
        <v>0</v>
      </c>
      <c r="Q845" t="n">
        <v>0</v>
      </c>
      <c r="R845" s="2" t="inlineStr"/>
    </row>
    <row r="846" ht="15" customHeight="1">
      <c r="A846" t="inlineStr">
        <is>
          <t>A 3972-2026</t>
        </is>
      </c>
      <c r="B846" s="1" t="n">
        <v>46044.3530787037</v>
      </c>
      <c r="C846" s="1" t="n">
        <v>46132</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35630-2024</t>
        </is>
      </c>
      <c r="B847" s="1" t="n">
        <v>45531</v>
      </c>
      <c r="C847" s="1" t="n">
        <v>46132</v>
      </c>
      <c r="D847" t="inlineStr">
        <is>
          <t>VÄSTERBOTTENS LÄN</t>
        </is>
      </c>
      <c r="E847" t="inlineStr">
        <is>
          <t>UMEÅ</t>
        </is>
      </c>
      <c r="G847" t="n">
        <v>4.7</v>
      </c>
      <c r="H847" t="n">
        <v>0</v>
      </c>
      <c r="I847" t="n">
        <v>0</v>
      </c>
      <c r="J847" t="n">
        <v>0</v>
      </c>
      <c r="K847" t="n">
        <v>0</v>
      </c>
      <c r="L847" t="n">
        <v>0</v>
      </c>
      <c r="M847" t="n">
        <v>0</v>
      </c>
      <c r="N847" t="n">
        <v>0</v>
      </c>
      <c r="O847" t="n">
        <v>0</v>
      </c>
      <c r="P847" t="n">
        <v>0</v>
      </c>
      <c r="Q847" t="n">
        <v>0</v>
      </c>
      <c r="R847" s="2" t="inlineStr"/>
    </row>
    <row r="848" ht="15" customHeight="1">
      <c r="A848" t="inlineStr">
        <is>
          <t>A 4110-2026</t>
        </is>
      </c>
      <c r="B848" s="1" t="n">
        <v>46043</v>
      </c>
      <c r="C848" s="1" t="n">
        <v>46132</v>
      </c>
      <c r="D848" t="inlineStr">
        <is>
          <t>VÄSTERBOTTENS LÄN</t>
        </is>
      </c>
      <c r="E848" t="inlineStr">
        <is>
          <t>UMEÅ</t>
        </is>
      </c>
      <c r="G848" t="n">
        <v>7.6</v>
      </c>
      <c r="H848" t="n">
        <v>0</v>
      </c>
      <c r="I848" t="n">
        <v>0</v>
      </c>
      <c r="J848" t="n">
        <v>0</v>
      </c>
      <c r="K848" t="n">
        <v>0</v>
      </c>
      <c r="L848" t="n">
        <v>0</v>
      </c>
      <c r="M848" t="n">
        <v>0</v>
      </c>
      <c r="N848" t="n">
        <v>0</v>
      </c>
      <c r="O848" t="n">
        <v>0</v>
      </c>
      <c r="P848" t="n">
        <v>0</v>
      </c>
      <c r="Q848" t="n">
        <v>0</v>
      </c>
      <c r="R848" s="2" t="inlineStr"/>
    </row>
    <row r="849" ht="15" customHeight="1">
      <c r="A849" t="inlineStr">
        <is>
          <t>A 45259-2024</t>
        </is>
      </c>
      <c r="B849" s="1" t="n">
        <v>45576</v>
      </c>
      <c r="C849" s="1" t="n">
        <v>46132</v>
      </c>
      <c r="D849" t="inlineStr">
        <is>
          <t>VÄSTERBOTTENS LÄN</t>
        </is>
      </c>
      <c r="E849" t="inlineStr">
        <is>
          <t>UMEÅ</t>
        </is>
      </c>
      <c r="G849" t="n">
        <v>5.1</v>
      </c>
      <c r="H849" t="n">
        <v>0</v>
      </c>
      <c r="I849" t="n">
        <v>0</v>
      </c>
      <c r="J849" t="n">
        <v>0</v>
      </c>
      <c r="K849" t="n">
        <v>0</v>
      </c>
      <c r="L849" t="n">
        <v>0</v>
      </c>
      <c r="M849" t="n">
        <v>0</v>
      </c>
      <c r="N849" t="n">
        <v>0</v>
      </c>
      <c r="O849" t="n">
        <v>0</v>
      </c>
      <c r="P849" t="n">
        <v>0</v>
      </c>
      <c r="Q849" t="n">
        <v>0</v>
      </c>
      <c r="R849" s="2" t="inlineStr"/>
    </row>
    <row r="850" ht="15" customHeight="1">
      <c r="A850" t="inlineStr">
        <is>
          <t>A 45770-2024</t>
        </is>
      </c>
      <c r="B850" s="1" t="n">
        <v>45579.64884259259</v>
      </c>
      <c r="C850" s="1" t="n">
        <v>46132</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3969-2026</t>
        </is>
      </c>
      <c r="B851" s="1" t="n">
        <v>46044.35217592592</v>
      </c>
      <c r="C851" s="1" t="n">
        <v>46132</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32462-2023</t>
        </is>
      </c>
      <c r="B852" s="1" t="n">
        <v>45120.92637731481</v>
      </c>
      <c r="C852" s="1" t="n">
        <v>46132</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3957-2026</t>
        </is>
      </c>
      <c r="B853" s="1" t="n">
        <v>46044.33671296296</v>
      </c>
      <c r="C853" s="1" t="n">
        <v>46132</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3829-2026</t>
        </is>
      </c>
      <c r="B854" s="1" t="n">
        <v>46043.58797453704</v>
      </c>
      <c r="C854" s="1" t="n">
        <v>46132</v>
      </c>
      <c r="D854" t="inlineStr">
        <is>
          <t>VÄSTERBOTTENS LÄN</t>
        </is>
      </c>
      <c r="E854" t="inlineStr">
        <is>
          <t>UMEÅ</t>
        </is>
      </c>
      <c r="G854" t="n">
        <v>3.4</v>
      </c>
      <c r="H854" t="n">
        <v>0</v>
      </c>
      <c r="I854" t="n">
        <v>0</v>
      </c>
      <c r="J854" t="n">
        <v>0</v>
      </c>
      <c r="K854" t="n">
        <v>0</v>
      </c>
      <c r="L854" t="n">
        <v>0</v>
      </c>
      <c r="M854" t="n">
        <v>0</v>
      </c>
      <c r="N854" t="n">
        <v>0</v>
      </c>
      <c r="O854" t="n">
        <v>0</v>
      </c>
      <c r="P854" t="n">
        <v>0</v>
      </c>
      <c r="Q854" t="n">
        <v>0</v>
      </c>
      <c r="R854" s="2" t="inlineStr"/>
    </row>
    <row r="855" ht="15" customHeight="1">
      <c r="A855" t="inlineStr">
        <is>
          <t>A 3726-2026</t>
        </is>
      </c>
      <c r="B855" s="1" t="n">
        <v>46043.50471064815</v>
      </c>
      <c r="C855" s="1" t="n">
        <v>46132</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54150-2024</t>
        </is>
      </c>
      <c r="B856" s="1" t="n">
        <v>45616</v>
      </c>
      <c r="C856" s="1" t="n">
        <v>46132</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14407-2023</t>
        </is>
      </c>
      <c r="B857" s="1" t="n">
        <v>45012.50180555556</v>
      </c>
      <c r="C857" s="1" t="n">
        <v>46132</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19831-2025</t>
        </is>
      </c>
      <c r="B858" s="1" t="n">
        <v>45771.46961805555</v>
      </c>
      <c r="C858" s="1" t="n">
        <v>46132</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4362-2026</t>
        </is>
      </c>
      <c r="B859" s="1" t="n">
        <v>46045.54386574074</v>
      </c>
      <c r="C859" s="1" t="n">
        <v>46132</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5280-2025</t>
        </is>
      </c>
      <c r="B860" s="1" t="n">
        <v>45692.43077546296</v>
      </c>
      <c r="C860" s="1" t="n">
        <v>46132</v>
      </c>
      <c r="D860" t="inlineStr">
        <is>
          <t>VÄSTERBOTTENS LÄN</t>
        </is>
      </c>
      <c r="E860" t="inlineStr">
        <is>
          <t>UMEÅ</t>
        </is>
      </c>
      <c r="G860" t="n">
        <v>2.5</v>
      </c>
      <c r="H860" t="n">
        <v>0</v>
      </c>
      <c r="I860" t="n">
        <v>0</v>
      </c>
      <c r="J860" t="n">
        <v>0</v>
      </c>
      <c r="K860" t="n">
        <v>0</v>
      </c>
      <c r="L860" t="n">
        <v>0</v>
      </c>
      <c r="M860" t="n">
        <v>0</v>
      </c>
      <c r="N860" t="n">
        <v>0</v>
      </c>
      <c r="O860" t="n">
        <v>0</v>
      </c>
      <c r="P860" t="n">
        <v>0</v>
      </c>
      <c r="Q860" t="n">
        <v>0</v>
      </c>
      <c r="R860" s="2" t="inlineStr"/>
    </row>
    <row r="861" ht="15" customHeight="1">
      <c r="A861" t="inlineStr">
        <is>
          <t>A 10587-2023</t>
        </is>
      </c>
      <c r="B861" s="1" t="n">
        <v>44984</v>
      </c>
      <c r="C861" s="1" t="n">
        <v>46132</v>
      </c>
      <c r="D861" t="inlineStr">
        <is>
          <t>VÄSTERBOTTENS LÄN</t>
        </is>
      </c>
      <c r="E861" t="inlineStr">
        <is>
          <t>UMEÅ</t>
        </is>
      </c>
      <c r="G861" t="n">
        <v>2</v>
      </c>
      <c r="H861" t="n">
        <v>0</v>
      </c>
      <c r="I861" t="n">
        <v>0</v>
      </c>
      <c r="J861" t="n">
        <v>0</v>
      </c>
      <c r="K861" t="n">
        <v>0</v>
      </c>
      <c r="L861" t="n">
        <v>0</v>
      </c>
      <c r="M861" t="n">
        <v>0</v>
      </c>
      <c r="N861" t="n">
        <v>0</v>
      </c>
      <c r="O861" t="n">
        <v>0</v>
      </c>
      <c r="P861" t="n">
        <v>0</v>
      </c>
      <c r="Q861" t="n">
        <v>0</v>
      </c>
      <c r="R861" s="2" t="inlineStr"/>
    </row>
    <row r="862" ht="15" customHeight="1">
      <c r="A862" t="inlineStr">
        <is>
          <t>A 18108-2025</t>
        </is>
      </c>
      <c r="B862" s="1" t="n">
        <v>45761.56107638889</v>
      </c>
      <c r="C862" s="1" t="n">
        <v>46132</v>
      </c>
      <c r="D862" t="inlineStr">
        <is>
          <t>VÄSTERBOTTENS LÄN</t>
        </is>
      </c>
      <c r="E862" t="inlineStr">
        <is>
          <t>UMEÅ</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16903-2025</t>
        </is>
      </c>
      <c r="B863" s="1" t="n">
        <v>45755.34568287037</v>
      </c>
      <c r="C863" s="1" t="n">
        <v>46132</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17945-2023</t>
        </is>
      </c>
      <c r="B864" s="1" t="n">
        <v>45037</v>
      </c>
      <c r="C864" s="1" t="n">
        <v>46132</v>
      </c>
      <c r="D864" t="inlineStr">
        <is>
          <t>VÄSTERBOTTENS LÄN</t>
        </is>
      </c>
      <c r="E864" t="inlineStr">
        <is>
          <t>UMEÅ</t>
        </is>
      </c>
      <c r="F864" t="inlineStr">
        <is>
          <t>Kommuner</t>
        </is>
      </c>
      <c r="G864" t="n">
        <v>5.7</v>
      </c>
      <c r="H864" t="n">
        <v>0</v>
      </c>
      <c r="I864" t="n">
        <v>0</v>
      </c>
      <c r="J864" t="n">
        <v>0</v>
      </c>
      <c r="K864" t="n">
        <v>0</v>
      </c>
      <c r="L864" t="n">
        <v>0</v>
      </c>
      <c r="M864" t="n">
        <v>0</v>
      </c>
      <c r="N864" t="n">
        <v>0</v>
      </c>
      <c r="O864" t="n">
        <v>0</v>
      </c>
      <c r="P864" t="n">
        <v>0</v>
      </c>
      <c r="Q864" t="n">
        <v>0</v>
      </c>
      <c r="R864" s="2" t="inlineStr"/>
    </row>
    <row r="865" ht="15" customHeight="1">
      <c r="A865" t="inlineStr">
        <is>
          <t>A 18861-2024</t>
        </is>
      </c>
      <c r="B865" s="1" t="n">
        <v>45426</v>
      </c>
      <c r="C865" s="1" t="n">
        <v>46132</v>
      </c>
      <c r="D865" t="inlineStr">
        <is>
          <t>VÄSTERBOTTENS LÄN</t>
        </is>
      </c>
      <c r="E865" t="inlineStr">
        <is>
          <t>UMEÅ</t>
        </is>
      </c>
      <c r="G865" t="n">
        <v>7.4</v>
      </c>
      <c r="H865" t="n">
        <v>0</v>
      </c>
      <c r="I865" t="n">
        <v>0</v>
      </c>
      <c r="J865" t="n">
        <v>0</v>
      </c>
      <c r="K865" t="n">
        <v>0</v>
      </c>
      <c r="L865" t="n">
        <v>0</v>
      </c>
      <c r="M865" t="n">
        <v>0</v>
      </c>
      <c r="N865" t="n">
        <v>0</v>
      </c>
      <c r="O865" t="n">
        <v>0</v>
      </c>
      <c r="P865" t="n">
        <v>0</v>
      </c>
      <c r="Q865" t="n">
        <v>0</v>
      </c>
      <c r="R865" s="2" t="inlineStr"/>
    </row>
    <row r="866" ht="15" customHeight="1">
      <c r="A866" t="inlineStr">
        <is>
          <t>A 32221-2024</t>
        </is>
      </c>
      <c r="B866" s="1" t="n">
        <v>45511</v>
      </c>
      <c r="C866" s="1" t="n">
        <v>46132</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5467-2026</t>
        </is>
      </c>
      <c r="B867" s="1" t="n">
        <v>46048</v>
      </c>
      <c r="C867" s="1" t="n">
        <v>46132</v>
      </c>
      <c r="D867" t="inlineStr">
        <is>
          <t>VÄSTERBOTTENS LÄN</t>
        </is>
      </c>
      <c r="E867" t="inlineStr">
        <is>
          <t>UMEÅ</t>
        </is>
      </c>
      <c r="G867" t="n">
        <v>2.6</v>
      </c>
      <c r="H867" t="n">
        <v>0</v>
      </c>
      <c r="I867" t="n">
        <v>0</v>
      </c>
      <c r="J867" t="n">
        <v>0</v>
      </c>
      <c r="K867" t="n">
        <v>0</v>
      </c>
      <c r="L867" t="n">
        <v>0</v>
      </c>
      <c r="M867" t="n">
        <v>0</v>
      </c>
      <c r="N867" t="n">
        <v>0</v>
      </c>
      <c r="O867" t="n">
        <v>0</v>
      </c>
      <c r="P867" t="n">
        <v>0</v>
      </c>
      <c r="Q867" t="n">
        <v>0</v>
      </c>
      <c r="R867" s="2" t="inlineStr"/>
    </row>
    <row r="868" ht="15" customHeight="1">
      <c r="A868" t="inlineStr">
        <is>
          <t>A 4633-2026</t>
        </is>
      </c>
      <c r="B868" s="1" t="n">
        <v>46048.3909375</v>
      </c>
      <c r="C868" s="1" t="n">
        <v>46132</v>
      </c>
      <c r="D868" t="inlineStr">
        <is>
          <t>VÄSTERBOTTENS LÄN</t>
        </is>
      </c>
      <c r="E868" t="inlineStr">
        <is>
          <t>UMEÅ</t>
        </is>
      </c>
      <c r="G868" t="n">
        <v>3.3</v>
      </c>
      <c r="H868" t="n">
        <v>0</v>
      </c>
      <c r="I868" t="n">
        <v>0</v>
      </c>
      <c r="J868" t="n">
        <v>0</v>
      </c>
      <c r="K868" t="n">
        <v>0</v>
      </c>
      <c r="L868" t="n">
        <v>0</v>
      </c>
      <c r="M868" t="n">
        <v>0</v>
      </c>
      <c r="N868" t="n">
        <v>0</v>
      </c>
      <c r="O868" t="n">
        <v>0</v>
      </c>
      <c r="P868" t="n">
        <v>0</v>
      </c>
      <c r="Q868" t="n">
        <v>0</v>
      </c>
      <c r="R868" s="2" t="inlineStr"/>
    </row>
    <row r="869" ht="15" customHeight="1">
      <c r="A869" t="inlineStr">
        <is>
          <t>A 56083-2024</t>
        </is>
      </c>
      <c r="B869" s="1" t="n">
        <v>45623</v>
      </c>
      <c r="C869" s="1" t="n">
        <v>46132</v>
      </c>
      <c r="D869" t="inlineStr">
        <is>
          <t>VÄSTERBOTTENS LÄN</t>
        </is>
      </c>
      <c r="E869" t="inlineStr">
        <is>
          <t>UMEÅ</t>
        </is>
      </c>
      <c r="G869" t="n">
        <v>1.9</v>
      </c>
      <c r="H869" t="n">
        <v>0</v>
      </c>
      <c r="I869" t="n">
        <v>0</v>
      </c>
      <c r="J869" t="n">
        <v>0</v>
      </c>
      <c r="K869" t="n">
        <v>0</v>
      </c>
      <c r="L869" t="n">
        <v>0</v>
      </c>
      <c r="M869" t="n">
        <v>0</v>
      </c>
      <c r="N869" t="n">
        <v>0</v>
      </c>
      <c r="O869" t="n">
        <v>0</v>
      </c>
      <c r="P869" t="n">
        <v>0</v>
      </c>
      <c r="Q869" t="n">
        <v>0</v>
      </c>
      <c r="R869" s="2" t="inlineStr"/>
    </row>
    <row r="870" ht="15" customHeight="1">
      <c r="A870" t="inlineStr">
        <is>
          <t>A 5454-2026</t>
        </is>
      </c>
      <c r="B870" s="1" t="n">
        <v>46048</v>
      </c>
      <c r="C870" s="1" t="n">
        <v>46132</v>
      </c>
      <c r="D870" t="inlineStr">
        <is>
          <t>VÄSTERBOTTENS LÄN</t>
        </is>
      </c>
      <c r="E870" t="inlineStr">
        <is>
          <t>UMEÅ</t>
        </is>
      </c>
      <c r="G870" t="n">
        <v>3.2</v>
      </c>
      <c r="H870" t="n">
        <v>0</v>
      </c>
      <c r="I870" t="n">
        <v>0</v>
      </c>
      <c r="J870" t="n">
        <v>0</v>
      </c>
      <c r="K870" t="n">
        <v>0</v>
      </c>
      <c r="L870" t="n">
        <v>0</v>
      </c>
      <c r="M870" t="n">
        <v>0</v>
      </c>
      <c r="N870" t="n">
        <v>0</v>
      </c>
      <c r="O870" t="n">
        <v>0</v>
      </c>
      <c r="P870" t="n">
        <v>0</v>
      </c>
      <c r="Q870" t="n">
        <v>0</v>
      </c>
      <c r="R870" s="2" t="inlineStr"/>
    </row>
    <row r="871" ht="15" customHeight="1">
      <c r="A871" t="inlineStr">
        <is>
          <t>A 34991-2023</t>
        </is>
      </c>
      <c r="B871" s="1" t="n">
        <v>45142.80528935185</v>
      </c>
      <c r="C871" s="1" t="n">
        <v>46132</v>
      </c>
      <c r="D871" t="inlineStr">
        <is>
          <t>VÄSTERBOTTENS LÄN</t>
        </is>
      </c>
      <c r="E871" t="inlineStr">
        <is>
          <t>UMEÅ</t>
        </is>
      </c>
      <c r="G871" t="n">
        <v>6.9</v>
      </c>
      <c r="H871" t="n">
        <v>0</v>
      </c>
      <c r="I871" t="n">
        <v>0</v>
      </c>
      <c r="J871" t="n">
        <v>0</v>
      </c>
      <c r="K871" t="n">
        <v>0</v>
      </c>
      <c r="L871" t="n">
        <v>0</v>
      </c>
      <c r="M871" t="n">
        <v>0</v>
      </c>
      <c r="N871" t="n">
        <v>0</v>
      </c>
      <c r="O871" t="n">
        <v>0</v>
      </c>
      <c r="P871" t="n">
        <v>0</v>
      </c>
      <c r="Q871" t="n">
        <v>0</v>
      </c>
      <c r="R871" s="2" t="inlineStr"/>
    </row>
    <row r="872" ht="15" customHeight="1">
      <c r="A872" t="inlineStr">
        <is>
          <t>A 4914-2026</t>
        </is>
      </c>
      <c r="B872" s="1" t="n">
        <v>46048.73274305555</v>
      </c>
      <c r="C872" s="1" t="n">
        <v>46132</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28860-2024</t>
        </is>
      </c>
      <c r="B873" s="1" t="n">
        <v>45478.92875</v>
      </c>
      <c r="C873" s="1" t="n">
        <v>46132</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17359-2023</t>
        </is>
      </c>
      <c r="B874" s="1" t="n">
        <v>45033</v>
      </c>
      <c r="C874" s="1" t="n">
        <v>46132</v>
      </c>
      <c r="D874" t="inlineStr">
        <is>
          <t>VÄSTERBOTTENS LÄN</t>
        </is>
      </c>
      <c r="E874" t="inlineStr">
        <is>
          <t>UMEÅ</t>
        </is>
      </c>
      <c r="F874" t="inlineStr">
        <is>
          <t>Kommuner</t>
        </is>
      </c>
      <c r="G874" t="n">
        <v>2.6</v>
      </c>
      <c r="H874" t="n">
        <v>0</v>
      </c>
      <c r="I874" t="n">
        <v>0</v>
      </c>
      <c r="J874" t="n">
        <v>0</v>
      </c>
      <c r="K874" t="n">
        <v>0</v>
      </c>
      <c r="L874" t="n">
        <v>0</v>
      </c>
      <c r="M874" t="n">
        <v>0</v>
      </c>
      <c r="N874" t="n">
        <v>0</v>
      </c>
      <c r="O874" t="n">
        <v>0</v>
      </c>
      <c r="P874" t="n">
        <v>0</v>
      </c>
      <c r="Q874" t="n">
        <v>0</v>
      </c>
      <c r="R874" s="2" t="inlineStr"/>
    </row>
    <row r="875" ht="15" customHeight="1">
      <c r="A875" t="inlineStr">
        <is>
          <t>A 5291-2026</t>
        </is>
      </c>
      <c r="B875" s="1" t="n">
        <v>46050.3446412037</v>
      </c>
      <c r="C875" s="1" t="n">
        <v>46132</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5293-2026</t>
        </is>
      </c>
      <c r="B876" s="1" t="n">
        <v>46050.34474537037</v>
      </c>
      <c r="C876" s="1" t="n">
        <v>46132</v>
      </c>
      <c r="D876" t="inlineStr">
        <is>
          <t>VÄSTERBOTTENS LÄN</t>
        </is>
      </c>
      <c r="E876" t="inlineStr">
        <is>
          <t>UMEÅ</t>
        </is>
      </c>
      <c r="G876" t="n">
        <v>2.4</v>
      </c>
      <c r="H876" t="n">
        <v>0</v>
      </c>
      <c r="I876" t="n">
        <v>0</v>
      </c>
      <c r="J876" t="n">
        <v>0</v>
      </c>
      <c r="K876" t="n">
        <v>0</v>
      </c>
      <c r="L876" t="n">
        <v>0</v>
      </c>
      <c r="M876" t="n">
        <v>0</v>
      </c>
      <c r="N876" t="n">
        <v>0</v>
      </c>
      <c r="O876" t="n">
        <v>0</v>
      </c>
      <c r="P876" t="n">
        <v>0</v>
      </c>
      <c r="Q876" t="n">
        <v>0</v>
      </c>
      <c r="R876" s="2" t="inlineStr"/>
    </row>
    <row r="877" ht="15" customHeight="1">
      <c r="A877" t="inlineStr">
        <is>
          <t>A 12899-2026</t>
        </is>
      </c>
      <c r="B877" s="1" t="n">
        <v>46092.56776620371</v>
      </c>
      <c r="C877" s="1" t="n">
        <v>46132</v>
      </c>
      <c r="D877" t="inlineStr">
        <is>
          <t>VÄSTERBOTTENS LÄN</t>
        </is>
      </c>
      <c r="E877" t="inlineStr">
        <is>
          <t>UMEÅ</t>
        </is>
      </c>
      <c r="G877" t="n">
        <v>2.5</v>
      </c>
      <c r="H877" t="n">
        <v>0</v>
      </c>
      <c r="I877" t="n">
        <v>0</v>
      </c>
      <c r="J877" t="n">
        <v>0</v>
      </c>
      <c r="K877" t="n">
        <v>0</v>
      </c>
      <c r="L877" t="n">
        <v>0</v>
      </c>
      <c r="M877" t="n">
        <v>0</v>
      </c>
      <c r="N877" t="n">
        <v>0</v>
      </c>
      <c r="O877" t="n">
        <v>0</v>
      </c>
      <c r="P877" t="n">
        <v>0</v>
      </c>
      <c r="Q877" t="n">
        <v>0</v>
      </c>
      <c r="R877" s="2" t="inlineStr"/>
    </row>
    <row r="878" ht="15" customHeight="1">
      <c r="A878" t="inlineStr">
        <is>
          <t>A 12900-2026</t>
        </is>
      </c>
      <c r="B878" s="1" t="n">
        <v>46092.56947916667</v>
      </c>
      <c r="C878" s="1" t="n">
        <v>46132</v>
      </c>
      <c r="D878" t="inlineStr">
        <is>
          <t>VÄSTERBOTTENS LÄN</t>
        </is>
      </c>
      <c r="E878" t="inlineStr">
        <is>
          <t>UMEÅ</t>
        </is>
      </c>
      <c r="G878" t="n">
        <v>5.2</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46132</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5013-2026</t>
        </is>
      </c>
      <c r="B880" s="1" t="n">
        <v>46049.43133101852</v>
      </c>
      <c r="C880" s="1" t="n">
        <v>46132</v>
      </c>
      <c r="D880" t="inlineStr">
        <is>
          <t>VÄSTERBOTTENS LÄN</t>
        </is>
      </c>
      <c r="E880" t="inlineStr">
        <is>
          <t>UMEÅ</t>
        </is>
      </c>
      <c r="G880" t="n">
        <v>3.8</v>
      </c>
      <c r="H880" t="n">
        <v>0</v>
      </c>
      <c r="I880" t="n">
        <v>0</v>
      </c>
      <c r="J880" t="n">
        <v>0</v>
      </c>
      <c r="K880" t="n">
        <v>0</v>
      </c>
      <c r="L880" t="n">
        <v>0</v>
      </c>
      <c r="M880" t="n">
        <v>0</v>
      </c>
      <c r="N880" t="n">
        <v>0</v>
      </c>
      <c r="O880" t="n">
        <v>0</v>
      </c>
      <c r="P880" t="n">
        <v>0</v>
      </c>
      <c r="Q880" t="n">
        <v>0</v>
      </c>
      <c r="R880" s="2" t="inlineStr"/>
    </row>
    <row r="881" ht="15" customHeight="1">
      <c r="A881" t="inlineStr">
        <is>
          <t>A 5322-2026</t>
        </is>
      </c>
      <c r="B881" s="1" t="n">
        <v>46050.38971064815</v>
      </c>
      <c r="C881" s="1" t="n">
        <v>46132</v>
      </c>
      <c r="D881" t="inlineStr">
        <is>
          <t>VÄSTERBOTTENS LÄN</t>
        </is>
      </c>
      <c r="E881" t="inlineStr">
        <is>
          <t>UMEÅ</t>
        </is>
      </c>
      <c r="G881" t="n">
        <v>0.9</v>
      </c>
      <c r="H881" t="n">
        <v>0</v>
      </c>
      <c r="I881" t="n">
        <v>0</v>
      </c>
      <c r="J881" t="n">
        <v>0</v>
      </c>
      <c r="K881" t="n">
        <v>0</v>
      </c>
      <c r="L881" t="n">
        <v>0</v>
      </c>
      <c r="M881" t="n">
        <v>0</v>
      </c>
      <c r="N881" t="n">
        <v>0</v>
      </c>
      <c r="O881" t="n">
        <v>0</v>
      </c>
      <c r="P881" t="n">
        <v>0</v>
      </c>
      <c r="Q881" t="n">
        <v>0</v>
      </c>
      <c r="R881" s="2" t="inlineStr"/>
    </row>
    <row r="882" ht="15" customHeight="1">
      <c r="A882" t="inlineStr">
        <is>
          <t>A 12617-2026</t>
        </is>
      </c>
      <c r="B882" s="1" t="n">
        <v>46091.41554398148</v>
      </c>
      <c r="C882" s="1" t="n">
        <v>46132</v>
      </c>
      <c r="D882" t="inlineStr">
        <is>
          <t>VÄSTERBOTTENS LÄN</t>
        </is>
      </c>
      <c r="E882" t="inlineStr">
        <is>
          <t>UMEÅ</t>
        </is>
      </c>
      <c r="F882" t="inlineStr">
        <is>
          <t>Kommuner</t>
        </is>
      </c>
      <c r="G882" t="n">
        <v>14.8</v>
      </c>
      <c r="H882" t="n">
        <v>0</v>
      </c>
      <c r="I882" t="n">
        <v>0</v>
      </c>
      <c r="J882" t="n">
        <v>0</v>
      </c>
      <c r="K882" t="n">
        <v>0</v>
      </c>
      <c r="L882" t="n">
        <v>0</v>
      </c>
      <c r="M882" t="n">
        <v>0</v>
      </c>
      <c r="N882" t="n">
        <v>0</v>
      </c>
      <c r="O882" t="n">
        <v>0</v>
      </c>
      <c r="P882" t="n">
        <v>0</v>
      </c>
      <c r="Q882" t="n">
        <v>0</v>
      </c>
      <c r="R882" s="2" t="inlineStr"/>
    </row>
    <row r="883" ht="15" customHeight="1">
      <c r="A883" t="inlineStr">
        <is>
          <t>A 5329-2026</t>
        </is>
      </c>
      <c r="B883" s="1" t="n">
        <v>46050</v>
      </c>
      <c r="C883" s="1" t="n">
        <v>46132</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5011-2026</t>
        </is>
      </c>
      <c r="B884" s="1" t="n">
        <v>46049.43063657408</v>
      </c>
      <c r="C884" s="1" t="n">
        <v>46132</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5016-2026</t>
        </is>
      </c>
      <c r="B885" s="1" t="n">
        <v>46049</v>
      </c>
      <c r="C885" s="1" t="n">
        <v>46132</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29000-2024</t>
        </is>
      </c>
      <c r="B886" s="1" t="n">
        <v>45481.50622685185</v>
      </c>
      <c r="C886" s="1" t="n">
        <v>46132</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13279-2026</t>
        </is>
      </c>
      <c r="B887" s="1" t="n">
        <v>46093.7465162037</v>
      </c>
      <c r="C887" s="1" t="n">
        <v>46132</v>
      </c>
      <c r="D887" t="inlineStr">
        <is>
          <t>VÄSTERBOTTENS LÄN</t>
        </is>
      </c>
      <c r="E887" t="inlineStr">
        <is>
          <t>UMEÅ</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6070-2026</t>
        </is>
      </c>
      <c r="B888" s="1" t="n">
        <v>46052</v>
      </c>
      <c r="C888" s="1" t="n">
        <v>46132</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13049-2026</t>
        </is>
      </c>
      <c r="B889" s="1" t="n">
        <v>46093.32907407408</v>
      </c>
      <c r="C889" s="1" t="n">
        <v>46132</v>
      </c>
      <c r="D889" t="inlineStr">
        <is>
          <t>VÄSTERBOTTENS LÄN</t>
        </is>
      </c>
      <c r="E889" t="inlineStr">
        <is>
          <t>UMEÅ</t>
        </is>
      </c>
      <c r="G889" t="n">
        <v>7.6</v>
      </c>
      <c r="H889" t="n">
        <v>0</v>
      </c>
      <c r="I889" t="n">
        <v>0</v>
      </c>
      <c r="J889" t="n">
        <v>0</v>
      </c>
      <c r="K889" t="n">
        <v>0</v>
      </c>
      <c r="L889" t="n">
        <v>0</v>
      </c>
      <c r="M889" t="n">
        <v>0</v>
      </c>
      <c r="N889" t="n">
        <v>0</v>
      </c>
      <c r="O889" t="n">
        <v>0</v>
      </c>
      <c r="P889" t="n">
        <v>0</v>
      </c>
      <c r="Q889" t="n">
        <v>0</v>
      </c>
      <c r="R889" s="2" t="inlineStr"/>
    </row>
    <row r="890" ht="15" customHeight="1">
      <c r="A890" t="inlineStr">
        <is>
          <t>A 23718-2024</t>
        </is>
      </c>
      <c r="B890" s="1" t="n">
        <v>45454.81177083333</v>
      </c>
      <c r="C890" s="1" t="n">
        <v>46132</v>
      </c>
      <c r="D890" t="inlineStr">
        <is>
          <t>VÄSTERBOTTENS LÄN</t>
        </is>
      </c>
      <c r="E890" t="inlineStr">
        <is>
          <t>UMEÅ</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43976-2024</t>
        </is>
      </c>
      <c r="B891" s="1" t="n">
        <v>45572</v>
      </c>
      <c r="C891" s="1" t="n">
        <v>46132</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43977-2024</t>
        </is>
      </c>
      <c r="B892" s="1" t="n">
        <v>45572.49082175926</v>
      </c>
      <c r="C892" s="1" t="n">
        <v>46132</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17989-2023</t>
        </is>
      </c>
      <c r="B893" s="1" t="n">
        <v>45040</v>
      </c>
      <c r="C893" s="1" t="n">
        <v>46132</v>
      </c>
      <c r="D893" t="inlineStr">
        <is>
          <t>VÄSTERBOTTENS LÄN</t>
        </is>
      </c>
      <c r="E893" t="inlineStr">
        <is>
          <t>UMEÅ</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13281-2026</t>
        </is>
      </c>
      <c r="B894" s="1" t="n">
        <v>46093.75127314815</v>
      </c>
      <c r="C894" s="1" t="n">
        <v>46132</v>
      </c>
      <c r="D894" t="inlineStr">
        <is>
          <t>VÄSTERBOTTENS LÄN</t>
        </is>
      </c>
      <c r="E894" t="inlineStr">
        <is>
          <t>UMEÅ</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64355-2021</t>
        </is>
      </c>
      <c r="B895" s="1" t="n">
        <v>44511</v>
      </c>
      <c r="C895" s="1" t="n">
        <v>46132</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54152-2024</t>
        </is>
      </c>
      <c r="B896" s="1" t="n">
        <v>45616</v>
      </c>
      <c r="C896" s="1" t="n">
        <v>46132</v>
      </c>
      <c r="D896" t="inlineStr">
        <is>
          <t>VÄSTERBOTTENS LÄN</t>
        </is>
      </c>
      <c r="E896" t="inlineStr">
        <is>
          <t>UMEÅ</t>
        </is>
      </c>
      <c r="G896" t="n">
        <v>0.4</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46132</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14027-2026</t>
        </is>
      </c>
      <c r="B898" s="1" t="n">
        <v>46098.73347222222</v>
      </c>
      <c r="C898" s="1" t="n">
        <v>46132</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1502-2025</t>
        </is>
      </c>
      <c r="B899" s="1" t="n">
        <v>45670.42223379629</v>
      </c>
      <c r="C899" s="1" t="n">
        <v>46132</v>
      </c>
      <c r="D899" t="inlineStr">
        <is>
          <t>VÄSTERBOTTENS LÄN</t>
        </is>
      </c>
      <c r="E899" t="inlineStr">
        <is>
          <t>UMEÅ</t>
        </is>
      </c>
      <c r="G899" t="n">
        <v>8.9</v>
      </c>
      <c r="H899" t="n">
        <v>0</v>
      </c>
      <c r="I899" t="n">
        <v>0</v>
      </c>
      <c r="J899" t="n">
        <v>0</v>
      </c>
      <c r="K899" t="n">
        <v>0</v>
      </c>
      <c r="L899" t="n">
        <v>0</v>
      </c>
      <c r="M899" t="n">
        <v>0</v>
      </c>
      <c r="N899" t="n">
        <v>0</v>
      </c>
      <c r="O899" t="n">
        <v>0</v>
      </c>
      <c r="P899" t="n">
        <v>0</v>
      </c>
      <c r="Q899" t="n">
        <v>0</v>
      </c>
      <c r="R899" s="2" t="inlineStr"/>
    </row>
    <row r="900" ht="15" customHeight="1">
      <c r="A900" t="inlineStr">
        <is>
          <t>A 6519-2026</t>
        </is>
      </c>
      <c r="B900" s="1" t="n">
        <v>46056.40042824074</v>
      </c>
      <c r="C900" s="1" t="n">
        <v>46132</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14026-2026</t>
        </is>
      </c>
      <c r="B901" s="1" t="n">
        <v>46098.72351851852</v>
      </c>
      <c r="C901" s="1" t="n">
        <v>46132</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6178-2026</t>
        </is>
      </c>
      <c r="B902" s="1" t="n">
        <v>46055</v>
      </c>
      <c r="C902" s="1" t="n">
        <v>46132</v>
      </c>
      <c r="D902" t="inlineStr">
        <is>
          <t>VÄSTERBOTTENS LÄN</t>
        </is>
      </c>
      <c r="E902" t="inlineStr">
        <is>
          <t>UMEÅ</t>
        </is>
      </c>
      <c r="G902" t="n">
        <v>3.8</v>
      </c>
      <c r="H902" t="n">
        <v>0</v>
      </c>
      <c r="I902" t="n">
        <v>0</v>
      </c>
      <c r="J902" t="n">
        <v>0</v>
      </c>
      <c r="K902" t="n">
        <v>0</v>
      </c>
      <c r="L902" t="n">
        <v>0</v>
      </c>
      <c r="M902" t="n">
        <v>0</v>
      </c>
      <c r="N902" t="n">
        <v>0</v>
      </c>
      <c r="O902" t="n">
        <v>0</v>
      </c>
      <c r="P902" t="n">
        <v>0</v>
      </c>
      <c r="Q902" t="n">
        <v>0</v>
      </c>
      <c r="R902" s="2" t="inlineStr"/>
    </row>
    <row r="903" ht="15" customHeight="1">
      <c r="A903" t="inlineStr">
        <is>
          <t>A 58256-2023</t>
        </is>
      </c>
      <c r="B903" s="1" t="n">
        <v>45250.48440972222</v>
      </c>
      <c r="C903" s="1" t="n">
        <v>46132</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6563-2026</t>
        </is>
      </c>
      <c r="B904" s="1" t="n">
        <v>46056.43702546296</v>
      </c>
      <c r="C904" s="1" t="n">
        <v>46132</v>
      </c>
      <c r="D904" t="inlineStr">
        <is>
          <t>VÄSTERBOTTENS LÄN</t>
        </is>
      </c>
      <c r="E904" t="inlineStr">
        <is>
          <t>UMEÅ</t>
        </is>
      </c>
      <c r="G904" t="n">
        <v>2.7</v>
      </c>
      <c r="H904" t="n">
        <v>0</v>
      </c>
      <c r="I904" t="n">
        <v>0</v>
      </c>
      <c r="J904" t="n">
        <v>0</v>
      </c>
      <c r="K904" t="n">
        <v>0</v>
      </c>
      <c r="L904" t="n">
        <v>0</v>
      </c>
      <c r="M904" t="n">
        <v>0</v>
      </c>
      <c r="N904" t="n">
        <v>0</v>
      </c>
      <c r="O904" t="n">
        <v>0</v>
      </c>
      <c r="P904" t="n">
        <v>0</v>
      </c>
      <c r="Q904" t="n">
        <v>0</v>
      </c>
      <c r="R904" s="2" t="inlineStr"/>
    </row>
    <row r="905" ht="15" customHeight="1">
      <c r="A905" t="inlineStr">
        <is>
          <t>A 13985-2026</t>
        </is>
      </c>
      <c r="B905" s="1" t="n">
        <v>46098.61145833333</v>
      </c>
      <c r="C905" s="1" t="n">
        <v>46132</v>
      </c>
      <c r="D905" t="inlineStr">
        <is>
          <t>VÄSTERBOTTENS LÄN</t>
        </is>
      </c>
      <c r="E905" t="inlineStr">
        <is>
          <t>UMEÅ</t>
        </is>
      </c>
      <c r="F905" t="inlineStr">
        <is>
          <t>Holmen skog AB</t>
        </is>
      </c>
      <c r="G905" t="n">
        <v>12.4</v>
      </c>
      <c r="H905" t="n">
        <v>0</v>
      </c>
      <c r="I905" t="n">
        <v>0</v>
      </c>
      <c r="J905" t="n">
        <v>0</v>
      </c>
      <c r="K905" t="n">
        <v>0</v>
      </c>
      <c r="L905" t="n">
        <v>0</v>
      </c>
      <c r="M905" t="n">
        <v>0</v>
      </c>
      <c r="N905" t="n">
        <v>0</v>
      </c>
      <c r="O905" t="n">
        <v>0</v>
      </c>
      <c r="P905" t="n">
        <v>0</v>
      </c>
      <c r="Q905" t="n">
        <v>0</v>
      </c>
      <c r="R905" s="2" t="inlineStr"/>
    </row>
    <row r="906" ht="15" customHeight="1">
      <c r="A906" t="inlineStr">
        <is>
          <t>A 48714-2024</t>
        </is>
      </c>
      <c r="B906" s="1" t="n">
        <v>45593.54328703704</v>
      </c>
      <c r="C906" s="1" t="n">
        <v>46132</v>
      </c>
      <c r="D906" t="inlineStr">
        <is>
          <t>VÄSTERBOTTENS LÄN</t>
        </is>
      </c>
      <c r="E906" t="inlineStr">
        <is>
          <t>UMEÅ</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18010-2025</t>
        </is>
      </c>
      <c r="B907" s="1" t="n">
        <v>45761.43072916667</v>
      </c>
      <c r="C907" s="1" t="n">
        <v>46132</v>
      </c>
      <c r="D907" t="inlineStr">
        <is>
          <t>VÄSTERBOTTENS LÄN</t>
        </is>
      </c>
      <c r="E907" t="inlineStr">
        <is>
          <t>UMEÅ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6919-2026</t>
        </is>
      </c>
      <c r="B908" s="1" t="n">
        <v>46057.53539351852</v>
      </c>
      <c r="C908" s="1" t="n">
        <v>46132</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7285-2026</t>
        </is>
      </c>
      <c r="B909" s="1" t="n">
        <v>46058.6363425926</v>
      </c>
      <c r="C909" s="1" t="n">
        <v>46132</v>
      </c>
      <c r="D909" t="inlineStr">
        <is>
          <t>VÄSTERBOTTENS LÄN</t>
        </is>
      </c>
      <c r="E909" t="inlineStr">
        <is>
          <t>UMEÅ</t>
        </is>
      </c>
      <c r="G909" t="n">
        <v>7.7</v>
      </c>
      <c r="H909" t="n">
        <v>0</v>
      </c>
      <c r="I909" t="n">
        <v>0</v>
      </c>
      <c r="J909" t="n">
        <v>0</v>
      </c>
      <c r="K909" t="n">
        <v>0</v>
      </c>
      <c r="L909" t="n">
        <v>0</v>
      </c>
      <c r="M909" t="n">
        <v>0</v>
      </c>
      <c r="N909" t="n">
        <v>0</v>
      </c>
      <c r="O909" t="n">
        <v>0</v>
      </c>
      <c r="P909" t="n">
        <v>0</v>
      </c>
      <c r="Q909" t="n">
        <v>0</v>
      </c>
      <c r="R909" s="2" t="inlineStr"/>
    </row>
    <row r="910" ht="15" customHeight="1">
      <c r="A910" t="inlineStr">
        <is>
          <t>A 14314-2026</t>
        </is>
      </c>
      <c r="B910" s="1" t="n">
        <v>46099.83613425926</v>
      </c>
      <c r="C910" s="1" t="n">
        <v>46132</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8575-2025</t>
        </is>
      </c>
      <c r="B911" s="1" t="n">
        <v>45709.66362268518</v>
      </c>
      <c r="C911" s="1" t="n">
        <v>46132</v>
      </c>
      <c r="D911" t="inlineStr">
        <is>
          <t>VÄSTERBOTTENS LÄN</t>
        </is>
      </c>
      <c r="E911" t="inlineStr">
        <is>
          <t>UMEÅ</t>
        </is>
      </c>
      <c r="G911" t="n">
        <v>2.4</v>
      </c>
      <c r="H911" t="n">
        <v>0</v>
      </c>
      <c r="I911" t="n">
        <v>0</v>
      </c>
      <c r="J911" t="n">
        <v>0</v>
      </c>
      <c r="K911" t="n">
        <v>0</v>
      </c>
      <c r="L911" t="n">
        <v>0</v>
      </c>
      <c r="M911" t="n">
        <v>0</v>
      </c>
      <c r="N911" t="n">
        <v>0</v>
      </c>
      <c r="O911" t="n">
        <v>0</v>
      </c>
      <c r="P911" t="n">
        <v>0</v>
      </c>
      <c r="Q911" t="n">
        <v>0</v>
      </c>
      <c r="R911" s="2" t="inlineStr"/>
    </row>
    <row r="912" ht="15" customHeight="1">
      <c r="A912" t="inlineStr">
        <is>
          <t>A 14550-2026</t>
        </is>
      </c>
      <c r="B912" s="1" t="n">
        <v>46100.73854166667</v>
      </c>
      <c r="C912" s="1" t="n">
        <v>46132</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46132</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11109-2022</t>
        </is>
      </c>
      <c r="B914" s="1" t="n">
        <v>44628.92515046296</v>
      </c>
      <c r="C914" s="1" t="n">
        <v>46132</v>
      </c>
      <c r="D914" t="inlineStr">
        <is>
          <t>VÄSTERBOTTENS LÄN</t>
        </is>
      </c>
      <c r="E914" t="inlineStr">
        <is>
          <t>UMEÅ</t>
        </is>
      </c>
      <c r="G914" t="n">
        <v>3.8</v>
      </c>
      <c r="H914" t="n">
        <v>0</v>
      </c>
      <c r="I914" t="n">
        <v>0</v>
      </c>
      <c r="J914" t="n">
        <v>0</v>
      </c>
      <c r="K914" t="n">
        <v>0</v>
      </c>
      <c r="L914" t="n">
        <v>0</v>
      </c>
      <c r="M914" t="n">
        <v>0</v>
      </c>
      <c r="N914" t="n">
        <v>0</v>
      </c>
      <c r="O914" t="n">
        <v>0</v>
      </c>
      <c r="P914" t="n">
        <v>0</v>
      </c>
      <c r="Q914" t="n">
        <v>0</v>
      </c>
      <c r="R914" s="2" t="inlineStr"/>
    </row>
    <row r="915" ht="15" customHeight="1">
      <c r="A915" t="inlineStr">
        <is>
          <t>A 60179-2024</t>
        </is>
      </c>
      <c r="B915" s="1" t="n">
        <v>45642.63862268518</v>
      </c>
      <c r="C915" s="1" t="n">
        <v>46132</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16330-2023</t>
        </is>
      </c>
      <c r="B916" s="1" t="n">
        <v>45028</v>
      </c>
      <c r="C916" s="1" t="n">
        <v>46132</v>
      </c>
      <c r="D916" t="inlineStr">
        <is>
          <t>VÄSTERBOTTENS LÄN</t>
        </is>
      </c>
      <c r="E916" t="inlineStr">
        <is>
          <t>UMEÅ</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46849-2023</t>
        </is>
      </c>
      <c r="B917" s="1" t="n">
        <v>45199.87405092592</v>
      </c>
      <c r="C917" s="1" t="n">
        <v>46132</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14421-2026</t>
        </is>
      </c>
      <c r="B918" s="1" t="n">
        <v>46100.46027777778</v>
      </c>
      <c r="C918" s="1" t="n">
        <v>46132</v>
      </c>
      <c r="D918" t="inlineStr">
        <is>
          <t>VÄSTERBOTTENS LÄN</t>
        </is>
      </c>
      <c r="E918" t="inlineStr">
        <is>
          <t>UMEÅ</t>
        </is>
      </c>
      <c r="G918" t="n">
        <v>14.9</v>
      </c>
      <c r="H918" t="n">
        <v>0</v>
      </c>
      <c r="I918" t="n">
        <v>0</v>
      </c>
      <c r="J918" t="n">
        <v>0</v>
      </c>
      <c r="K918" t="n">
        <v>0</v>
      </c>
      <c r="L918" t="n">
        <v>0</v>
      </c>
      <c r="M918" t="n">
        <v>0</v>
      </c>
      <c r="N918" t="n">
        <v>0</v>
      </c>
      <c r="O918" t="n">
        <v>0</v>
      </c>
      <c r="P918" t="n">
        <v>0</v>
      </c>
      <c r="Q918" t="n">
        <v>0</v>
      </c>
      <c r="R918" s="2" t="inlineStr"/>
    </row>
    <row r="919" ht="15" customHeight="1">
      <c r="A919" t="inlineStr">
        <is>
          <t>A 14414-2026</t>
        </is>
      </c>
      <c r="B919" s="1" t="n">
        <v>46100.4488425926</v>
      </c>
      <c r="C919" s="1" t="n">
        <v>46132</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14312-2026</t>
        </is>
      </c>
      <c r="B920" s="1" t="n">
        <v>46099.82939814815</v>
      </c>
      <c r="C920" s="1" t="n">
        <v>46132</v>
      </c>
      <c r="D920" t="inlineStr">
        <is>
          <t>VÄSTERBOTTENS LÄN</t>
        </is>
      </c>
      <c r="E920" t="inlineStr">
        <is>
          <t>UMEÅ</t>
        </is>
      </c>
      <c r="G920" t="n">
        <v>3.5</v>
      </c>
      <c r="H920" t="n">
        <v>0</v>
      </c>
      <c r="I920" t="n">
        <v>0</v>
      </c>
      <c r="J920" t="n">
        <v>0</v>
      </c>
      <c r="K920" t="n">
        <v>0</v>
      </c>
      <c r="L920" t="n">
        <v>0</v>
      </c>
      <c r="M920" t="n">
        <v>0</v>
      </c>
      <c r="N920" t="n">
        <v>0</v>
      </c>
      <c r="O920" t="n">
        <v>0</v>
      </c>
      <c r="P920" t="n">
        <v>0</v>
      </c>
      <c r="Q920" t="n">
        <v>0</v>
      </c>
      <c r="R920" s="2" t="inlineStr"/>
    </row>
    <row r="921" ht="15" customHeight="1">
      <c r="A921" t="inlineStr">
        <is>
          <t>A 21084-2024</t>
        </is>
      </c>
      <c r="B921" s="1" t="n">
        <v>45439</v>
      </c>
      <c r="C921" s="1" t="n">
        <v>46132</v>
      </c>
      <c r="D921" t="inlineStr">
        <is>
          <t>VÄSTERBOTTENS LÄN</t>
        </is>
      </c>
      <c r="E921" t="inlineStr">
        <is>
          <t>UMEÅ</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14198-2026</t>
        </is>
      </c>
      <c r="B922" s="1" t="n">
        <v>46099.54597222222</v>
      </c>
      <c r="C922" s="1" t="n">
        <v>46132</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7371-2026</t>
        </is>
      </c>
      <c r="B923" s="1" t="n">
        <v>46059.34295138889</v>
      </c>
      <c r="C923" s="1" t="n">
        <v>46132</v>
      </c>
      <c r="D923" t="inlineStr">
        <is>
          <t>VÄSTERBOTTENS LÄN</t>
        </is>
      </c>
      <c r="E923" t="inlineStr">
        <is>
          <t>UMEÅ</t>
        </is>
      </c>
      <c r="G923" t="n">
        <v>3</v>
      </c>
      <c r="H923" t="n">
        <v>0</v>
      </c>
      <c r="I923" t="n">
        <v>0</v>
      </c>
      <c r="J923" t="n">
        <v>0</v>
      </c>
      <c r="K923" t="n">
        <v>0</v>
      </c>
      <c r="L923" t="n">
        <v>0</v>
      </c>
      <c r="M923" t="n">
        <v>0</v>
      </c>
      <c r="N923" t="n">
        <v>0</v>
      </c>
      <c r="O923" t="n">
        <v>0</v>
      </c>
      <c r="P923" t="n">
        <v>0</v>
      </c>
      <c r="Q923" t="n">
        <v>0</v>
      </c>
      <c r="R923" s="2" t="inlineStr"/>
    </row>
    <row r="924" ht="15" customHeight="1">
      <c r="A924" t="inlineStr">
        <is>
          <t>A 7389-2026</t>
        </is>
      </c>
      <c r="B924" s="1" t="n">
        <v>46059.36795138889</v>
      </c>
      <c r="C924" s="1" t="n">
        <v>46132</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22000-2023</t>
        </is>
      </c>
      <c r="B925" s="1" t="n">
        <v>45068.92700231481</v>
      </c>
      <c r="C925" s="1" t="n">
        <v>46132</v>
      </c>
      <c r="D925" t="inlineStr">
        <is>
          <t>VÄSTERBOTTENS LÄN</t>
        </is>
      </c>
      <c r="E925" t="inlineStr">
        <is>
          <t>UMEÅ</t>
        </is>
      </c>
      <c r="G925" t="n">
        <v>4.4</v>
      </c>
      <c r="H925" t="n">
        <v>0</v>
      </c>
      <c r="I925" t="n">
        <v>0</v>
      </c>
      <c r="J925" t="n">
        <v>0</v>
      </c>
      <c r="K925" t="n">
        <v>0</v>
      </c>
      <c r="L925" t="n">
        <v>0</v>
      </c>
      <c r="M925" t="n">
        <v>0</v>
      </c>
      <c r="N925" t="n">
        <v>0</v>
      </c>
      <c r="O925" t="n">
        <v>0</v>
      </c>
      <c r="P925" t="n">
        <v>0</v>
      </c>
      <c r="Q925" t="n">
        <v>0</v>
      </c>
      <c r="R925" s="2" t="inlineStr"/>
    </row>
    <row r="926" ht="15" customHeight="1">
      <c r="A926" t="inlineStr">
        <is>
          <t>A 2148-2024</t>
        </is>
      </c>
      <c r="B926" s="1" t="n">
        <v>45309</v>
      </c>
      <c r="C926" s="1" t="n">
        <v>46132</v>
      </c>
      <c r="D926" t="inlineStr">
        <is>
          <t>VÄSTERBOTTENS LÄN</t>
        </is>
      </c>
      <c r="E926" t="inlineStr">
        <is>
          <t>UMEÅ</t>
        </is>
      </c>
      <c r="G926" t="n">
        <v>2.9</v>
      </c>
      <c r="H926" t="n">
        <v>0</v>
      </c>
      <c r="I926" t="n">
        <v>0</v>
      </c>
      <c r="J926" t="n">
        <v>0</v>
      </c>
      <c r="K926" t="n">
        <v>0</v>
      </c>
      <c r="L926" t="n">
        <v>0</v>
      </c>
      <c r="M926" t="n">
        <v>0</v>
      </c>
      <c r="N926" t="n">
        <v>0</v>
      </c>
      <c r="O926" t="n">
        <v>0</v>
      </c>
      <c r="P926" t="n">
        <v>0</v>
      </c>
      <c r="Q926" t="n">
        <v>0</v>
      </c>
      <c r="R926" s="2" t="inlineStr"/>
    </row>
    <row r="927" ht="15" customHeight="1">
      <c r="A927" t="inlineStr">
        <is>
          <t>A 54439-2021</t>
        </is>
      </c>
      <c r="B927" s="1" t="n">
        <v>44473</v>
      </c>
      <c r="C927" s="1" t="n">
        <v>46132</v>
      </c>
      <c r="D927" t="inlineStr">
        <is>
          <t>VÄSTERBOTTENS LÄN</t>
        </is>
      </c>
      <c r="E927" t="inlineStr">
        <is>
          <t>UMEÅ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73537-2021</t>
        </is>
      </c>
      <c r="B928" s="1" t="n">
        <v>44550</v>
      </c>
      <c r="C928" s="1" t="n">
        <v>46132</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19200-2023</t>
        </is>
      </c>
      <c r="B929" s="1" t="n">
        <v>45048</v>
      </c>
      <c r="C929" s="1" t="n">
        <v>46132</v>
      </c>
      <c r="D929" t="inlineStr">
        <is>
          <t>VÄSTERBOTTENS LÄN</t>
        </is>
      </c>
      <c r="E929" t="inlineStr">
        <is>
          <t>UMEÅ</t>
        </is>
      </c>
      <c r="G929" t="n">
        <v>0.2</v>
      </c>
      <c r="H929" t="n">
        <v>0</v>
      </c>
      <c r="I929" t="n">
        <v>0</v>
      </c>
      <c r="J929" t="n">
        <v>0</v>
      </c>
      <c r="K929" t="n">
        <v>0</v>
      </c>
      <c r="L929" t="n">
        <v>0</v>
      </c>
      <c r="M929" t="n">
        <v>0</v>
      </c>
      <c r="N929" t="n">
        <v>0</v>
      </c>
      <c r="O929" t="n">
        <v>0</v>
      </c>
      <c r="P929" t="n">
        <v>0</v>
      </c>
      <c r="Q929" t="n">
        <v>0</v>
      </c>
      <c r="R929" s="2" t="inlineStr"/>
    </row>
    <row r="930" ht="15" customHeight="1">
      <c r="A930" t="inlineStr">
        <is>
          <t>A 54354-2021</t>
        </is>
      </c>
      <c r="B930" s="1" t="n">
        <v>44473</v>
      </c>
      <c r="C930" s="1" t="n">
        <v>46132</v>
      </c>
      <c r="D930" t="inlineStr">
        <is>
          <t>VÄSTERBOTTENS LÄN</t>
        </is>
      </c>
      <c r="E930" t="inlineStr">
        <is>
          <t>UMEÅ</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7381-2026</t>
        </is>
      </c>
      <c r="B931" s="1" t="n">
        <v>46059</v>
      </c>
      <c r="C931" s="1" t="n">
        <v>46132</v>
      </c>
      <c r="D931" t="inlineStr">
        <is>
          <t>VÄSTERBOTTENS LÄN</t>
        </is>
      </c>
      <c r="E931" t="inlineStr">
        <is>
          <t>UMEÅ</t>
        </is>
      </c>
      <c r="G931" t="n">
        <v>1.3</v>
      </c>
      <c r="H931" t="n">
        <v>0</v>
      </c>
      <c r="I931" t="n">
        <v>0</v>
      </c>
      <c r="J931" t="n">
        <v>0</v>
      </c>
      <c r="K931" t="n">
        <v>0</v>
      </c>
      <c r="L931" t="n">
        <v>0</v>
      </c>
      <c r="M931" t="n">
        <v>0</v>
      </c>
      <c r="N931" t="n">
        <v>0</v>
      </c>
      <c r="O931" t="n">
        <v>0</v>
      </c>
      <c r="P931" t="n">
        <v>0</v>
      </c>
      <c r="Q931" t="n">
        <v>0</v>
      </c>
      <c r="R931" s="2" t="inlineStr"/>
    </row>
    <row r="932" ht="15" customHeight="1">
      <c r="A932" t="inlineStr">
        <is>
          <t>A 26617-2024</t>
        </is>
      </c>
      <c r="B932" s="1" t="n">
        <v>45469.73981481481</v>
      </c>
      <c r="C932" s="1" t="n">
        <v>46132</v>
      </c>
      <c r="D932" t="inlineStr">
        <is>
          <t>VÄSTERBOTTENS LÄN</t>
        </is>
      </c>
      <c r="E932" t="inlineStr">
        <is>
          <t>UMEÅ</t>
        </is>
      </c>
      <c r="F932" t="inlineStr">
        <is>
          <t>Holmen skog AB</t>
        </is>
      </c>
      <c r="G932" t="n">
        <v>6.2</v>
      </c>
      <c r="H932" t="n">
        <v>0</v>
      </c>
      <c r="I932" t="n">
        <v>0</v>
      </c>
      <c r="J932" t="n">
        <v>0</v>
      </c>
      <c r="K932" t="n">
        <v>0</v>
      </c>
      <c r="L932" t="n">
        <v>0</v>
      </c>
      <c r="M932" t="n">
        <v>0</v>
      </c>
      <c r="N932" t="n">
        <v>0</v>
      </c>
      <c r="O932" t="n">
        <v>0</v>
      </c>
      <c r="P932" t="n">
        <v>0</v>
      </c>
      <c r="Q932" t="n">
        <v>0</v>
      </c>
      <c r="R932" s="2" t="inlineStr"/>
    </row>
    <row r="933" ht="15" customHeight="1">
      <c r="A933" t="inlineStr">
        <is>
          <t>A 34331-2024</t>
        </is>
      </c>
      <c r="B933" s="1" t="n">
        <v>45524</v>
      </c>
      <c r="C933" s="1" t="n">
        <v>46132</v>
      </c>
      <c r="D933" t="inlineStr">
        <is>
          <t>VÄSTERBOTTENS LÄN</t>
        </is>
      </c>
      <c r="E933" t="inlineStr">
        <is>
          <t>UMEÅ</t>
        </is>
      </c>
      <c r="F933" t="inlineStr">
        <is>
          <t>Holmen skog AB</t>
        </is>
      </c>
      <c r="G933" t="n">
        <v>3.4</v>
      </c>
      <c r="H933" t="n">
        <v>0</v>
      </c>
      <c r="I933" t="n">
        <v>0</v>
      </c>
      <c r="J933" t="n">
        <v>0</v>
      </c>
      <c r="K933" t="n">
        <v>0</v>
      </c>
      <c r="L933" t="n">
        <v>0</v>
      </c>
      <c r="M933" t="n">
        <v>0</v>
      </c>
      <c r="N933" t="n">
        <v>0</v>
      </c>
      <c r="O933" t="n">
        <v>0</v>
      </c>
      <c r="P933" t="n">
        <v>0</v>
      </c>
      <c r="Q933" t="n">
        <v>0</v>
      </c>
      <c r="R933" s="2" t="inlineStr"/>
    </row>
    <row r="934" ht="15" customHeight="1">
      <c r="A934" t="inlineStr">
        <is>
          <t>A 14702-2026</t>
        </is>
      </c>
      <c r="B934" s="1" t="n">
        <v>46101.54048611111</v>
      </c>
      <c r="C934" s="1" t="n">
        <v>46132</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14970-2026</t>
        </is>
      </c>
      <c r="B935" s="1" t="n">
        <v>46104</v>
      </c>
      <c r="C935" s="1" t="n">
        <v>46132</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61604-2024</t>
        </is>
      </c>
      <c r="B936" s="1" t="n">
        <v>45646.64148148148</v>
      </c>
      <c r="C936" s="1" t="n">
        <v>46132</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8208-2026</t>
        </is>
      </c>
      <c r="B937" s="1" t="n">
        <v>46064.4488425926</v>
      </c>
      <c r="C937" s="1" t="n">
        <v>46132</v>
      </c>
      <c r="D937" t="inlineStr">
        <is>
          <t>VÄSTERBOTTENS LÄN</t>
        </is>
      </c>
      <c r="E937" t="inlineStr">
        <is>
          <t>UMEÅ</t>
        </is>
      </c>
      <c r="G937" t="n">
        <v>19.9</v>
      </c>
      <c r="H937" t="n">
        <v>0</v>
      </c>
      <c r="I937" t="n">
        <v>0</v>
      </c>
      <c r="J937" t="n">
        <v>0</v>
      </c>
      <c r="K937" t="n">
        <v>0</v>
      </c>
      <c r="L937" t="n">
        <v>0</v>
      </c>
      <c r="M937" t="n">
        <v>0</v>
      </c>
      <c r="N937" t="n">
        <v>0</v>
      </c>
      <c r="O937" t="n">
        <v>0</v>
      </c>
      <c r="P937" t="n">
        <v>0</v>
      </c>
      <c r="Q937" t="n">
        <v>0</v>
      </c>
      <c r="R937" s="2" t="inlineStr"/>
    </row>
    <row r="938" ht="15" customHeight="1">
      <c r="A938" t="inlineStr">
        <is>
          <t>A 8716-2024</t>
        </is>
      </c>
      <c r="B938" s="1" t="n">
        <v>45356</v>
      </c>
      <c r="C938" s="1" t="n">
        <v>46132</v>
      </c>
      <c r="D938" t="inlineStr">
        <is>
          <t>VÄSTERBOTTENS LÄN</t>
        </is>
      </c>
      <c r="E938" t="inlineStr">
        <is>
          <t>UMEÅ</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15235-2026</t>
        </is>
      </c>
      <c r="B939" s="1" t="n">
        <v>46105.55800925926</v>
      </c>
      <c r="C939" s="1" t="n">
        <v>46132</v>
      </c>
      <c r="D939" t="inlineStr">
        <is>
          <t>VÄSTERBOTTENS LÄN</t>
        </is>
      </c>
      <c r="E939" t="inlineStr">
        <is>
          <t>UMEÅ</t>
        </is>
      </c>
      <c r="G939" t="n">
        <v>2.2</v>
      </c>
      <c r="H939" t="n">
        <v>0</v>
      </c>
      <c r="I939" t="n">
        <v>0</v>
      </c>
      <c r="J939" t="n">
        <v>0</v>
      </c>
      <c r="K939" t="n">
        <v>0</v>
      </c>
      <c r="L939" t="n">
        <v>0</v>
      </c>
      <c r="M939" t="n">
        <v>0</v>
      </c>
      <c r="N939" t="n">
        <v>0</v>
      </c>
      <c r="O939" t="n">
        <v>0</v>
      </c>
      <c r="P939" t="n">
        <v>0</v>
      </c>
      <c r="Q939" t="n">
        <v>0</v>
      </c>
      <c r="R939" s="2" t="inlineStr"/>
    </row>
    <row r="940" ht="15" customHeight="1">
      <c r="A940" t="inlineStr">
        <is>
          <t>A 8717-2024</t>
        </is>
      </c>
      <c r="B940" s="1" t="n">
        <v>45356.4062962963</v>
      </c>
      <c r="C940" s="1" t="n">
        <v>46132</v>
      </c>
      <c r="D940" t="inlineStr">
        <is>
          <t>VÄSTERBOTTENS LÄN</t>
        </is>
      </c>
      <c r="E940" t="inlineStr">
        <is>
          <t>UMEÅ</t>
        </is>
      </c>
      <c r="G940" t="n">
        <v>2.8</v>
      </c>
      <c r="H940" t="n">
        <v>0</v>
      </c>
      <c r="I940" t="n">
        <v>0</v>
      </c>
      <c r="J940" t="n">
        <v>0</v>
      </c>
      <c r="K940" t="n">
        <v>0</v>
      </c>
      <c r="L940" t="n">
        <v>0</v>
      </c>
      <c r="M940" t="n">
        <v>0</v>
      </c>
      <c r="N940" t="n">
        <v>0</v>
      </c>
      <c r="O940" t="n">
        <v>0</v>
      </c>
      <c r="P940" t="n">
        <v>0</v>
      </c>
      <c r="Q940" t="n">
        <v>0</v>
      </c>
      <c r="R940" s="2" t="inlineStr"/>
    </row>
    <row r="941" ht="15" customHeight="1">
      <c r="A941" t="inlineStr">
        <is>
          <t>A 2767-2025</t>
        </is>
      </c>
      <c r="B941" s="1" t="n">
        <v>45677</v>
      </c>
      <c r="C941" s="1" t="n">
        <v>46132</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14954-2026</t>
        </is>
      </c>
      <c r="B942" s="1" t="n">
        <v>46104</v>
      </c>
      <c r="C942" s="1" t="n">
        <v>46132</v>
      </c>
      <c r="D942" t="inlineStr">
        <is>
          <t>VÄSTERBOTTENS LÄN</t>
        </is>
      </c>
      <c r="E942" t="inlineStr">
        <is>
          <t>UMEÅ</t>
        </is>
      </c>
      <c r="G942" t="n">
        <v>2.6</v>
      </c>
      <c r="H942" t="n">
        <v>0</v>
      </c>
      <c r="I942" t="n">
        <v>0</v>
      </c>
      <c r="J942" t="n">
        <v>0</v>
      </c>
      <c r="K942" t="n">
        <v>0</v>
      </c>
      <c r="L942" t="n">
        <v>0</v>
      </c>
      <c r="M942" t="n">
        <v>0</v>
      </c>
      <c r="N942" t="n">
        <v>0</v>
      </c>
      <c r="O942" t="n">
        <v>0</v>
      </c>
      <c r="P942" t="n">
        <v>0</v>
      </c>
      <c r="Q942" t="n">
        <v>0</v>
      </c>
      <c r="R942" s="2" t="inlineStr"/>
    </row>
    <row r="943" ht="15" customHeight="1">
      <c r="A943" t="inlineStr">
        <is>
          <t>A 43649-2024</t>
        </is>
      </c>
      <c r="B943" s="1" t="n">
        <v>45569.53054398148</v>
      </c>
      <c r="C943" s="1" t="n">
        <v>46132</v>
      </c>
      <c r="D943" t="inlineStr">
        <is>
          <t>VÄSTERBOTTENS LÄN</t>
        </is>
      </c>
      <c r="E943" t="inlineStr">
        <is>
          <t>UMEÅ</t>
        </is>
      </c>
      <c r="F943" t="inlineStr">
        <is>
          <t>Kommuner</t>
        </is>
      </c>
      <c r="G943" t="n">
        <v>4.3</v>
      </c>
      <c r="H943" t="n">
        <v>0</v>
      </c>
      <c r="I943" t="n">
        <v>0</v>
      </c>
      <c r="J943" t="n">
        <v>0</v>
      </c>
      <c r="K943" t="n">
        <v>0</v>
      </c>
      <c r="L943" t="n">
        <v>0</v>
      </c>
      <c r="M943" t="n">
        <v>0</v>
      </c>
      <c r="N943" t="n">
        <v>0</v>
      </c>
      <c r="O943" t="n">
        <v>0</v>
      </c>
      <c r="P943" t="n">
        <v>0</v>
      </c>
      <c r="Q943" t="n">
        <v>0</v>
      </c>
      <c r="R943" s="2" t="inlineStr"/>
    </row>
    <row r="944" ht="15" customHeight="1">
      <c r="A944" t="inlineStr">
        <is>
          <t>A 44166-2024</t>
        </is>
      </c>
      <c r="B944" s="1" t="n">
        <v>45572.73465277778</v>
      </c>
      <c r="C944" s="1" t="n">
        <v>46132</v>
      </c>
      <c r="D944" t="inlineStr">
        <is>
          <t>VÄSTERBOTTENS LÄN</t>
        </is>
      </c>
      <c r="E944" t="inlineStr">
        <is>
          <t>UMEÅ</t>
        </is>
      </c>
      <c r="G944" t="n">
        <v>3.2</v>
      </c>
      <c r="H944" t="n">
        <v>0</v>
      </c>
      <c r="I944" t="n">
        <v>0</v>
      </c>
      <c r="J944" t="n">
        <v>0</v>
      </c>
      <c r="K944" t="n">
        <v>0</v>
      </c>
      <c r="L944" t="n">
        <v>0</v>
      </c>
      <c r="M944" t="n">
        <v>0</v>
      </c>
      <c r="N944" t="n">
        <v>0</v>
      </c>
      <c r="O944" t="n">
        <v>0</v>
      </c>
      <c r="P944" t="n">
        <v>0</v>
      </c>
      <c r="Q944" t="n">
        <v>0</v>
      </c>
      <c r="R944" s="2" t="inlineStr"/>
    </row>
    <row r="945" ht="15" customHeight="1">
      <c r="A945" t="inlineStr">
        <is>
          <t>A 15179-2026</t>
        </is>
      </c>
      <c r="B945" s="1" t="n">
        <v>46105.45206018518</v>
      </c>
      <c r="C945" s="1" t="n">
        <v>46132</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46132</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15219-2026</t>
        </is>
      </c>
      <c r="B947" s="1" t="n">
        <v>46105.52407407408</v>
      </c>
      <c r="C947" s="1" t="n">
        <v>46132</v>
      </c>
      <c r="D947" t="inlineStr">
        <is>
          <t>VÄSTERBOTTENS LÄN</t>
        </is>
      </c>
      <c r="E947" t="inlineStr">
        <is>
          <t>UMEÅ</t>
        </is>
      </c>
      <c r="G947" t="n">
        <v>4.7</v>
      </c>
      <c r="H947" t="n">
        <v>0</v>
      </c>
      <c r="I947" t="n">
        <v>0</v>
      </c>
      <c r="J947" t="n">
        <v>0</v>
      </c>
      <c r="K947" t="n">
        <v>0</v>
      </c>
      <c r="L947" t="n">
        <v>0</v>
      </c>
      <c r="M947" t="n">
        <v>0</v>
      </c>
      <c r="N947" t="n">
        <v>0</v>
      </c>
      <c r="O947" t="n">
        <v>0</v>
      </c>
      <c r="P947" t="n">
        <v>0</v>
      </c>
      <c r="Q947" t="n">
        <v>0</v>
      </c>
      <c r="R947" s="2" t="inlineStr"/>
    </row>
    <row r="948" ht="15" customHeight="1">
      <c r="A948" t="inlineStr">
        <is>
          <t>A 13822-2025</t>
        </is>
      </c>
      <c r="B948" s="1" t="n">
        <v>45737.53160879629</v>
      </c>
      <c r="C948" s="1" t="n">
        <v>46132</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8194-2026</t>
        </is>
      </c>
      <c r="B949" s="1" t="n">
        <v>46064</v>
      </c>
      <c r="C949" s="1" t="n">
        <v>46132</v>
      </c>
      <c r="D949" t="inlineStr">
        <is>
          <t>VÄSTERBOTTENS LÄN</t>
        </is>
      </c>
      <c r="E949" t="inlineStr">
        <is>
          <t>UMEÅ</t>
        </is>
      </c>
      <c r="G949" t="n">
        <v>1.7</v>
      </c>
      <c r="H949" t="n">
        <v>0</v>
      </c>
      <c r="I949" t="n">
        <v>0</v>
      </c>
      <c r="J949" t="n">
        <v>0</v>
      </c>
      <c r="K949" t="n">
        <v>0</v>
      </c>
      <c r="L949" t="n">
        <v>0</v>
      </c>
      <c r="M949" t="n">
        <v>0</v>
      </c>
      <c r="N949" t="n">
        <v>0</v>
      </c>
      <c r="O949" t="n">
        <v>0</v>
      </c>
      <c r="P949" t="n">
        <v>0</v>
      </c>
      <c r="Q949" t="n">
        <v>0</v>
      </c>
      <c r="R949" s="2" t="inlineStr"/>
    </row>
    <row r="950" ht="15" customHeight="1">
      <c r="A950" t="inlineStr">
        <is>
          <t>A 26967-2023</t>
        </is>
      </c>
      <c r="B950" s="1" t="n">
        <v>45091</v>
      </c>
      <c r="C950" s="1" t="n">
        <v>46132</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7975-2026</t>
        </is>
      </c>
      <c r="B951" s="1" t="n">
        <v>46063.46784722222</v>
      </c>
      <c r="C951" s="1" t="n">
        <v>46132</v>
      </c>
      <c r="D951" t="inlineStr">
        <is>
          <t>VÄSTERBOTTENS LÄN</t>
        </is>
      </c>
      <c r="E951" t="inlineStr">
        <is>
          <t>UMEÅ</t>
        </is>
      </c>
      <c r="G951" t="n">
        <v>1.6</v>
      </c>
      <c r="H951" t="n">
        <v>0</v>
      </c>
      <c r="I951" t="n">
        <v>0</v>
      </c>
      <c r="J951" t="n">
        <v>0</v>
      </c>
      <c r="K951" t="n">
        <v>0</v>
      </c>
      <c r="L951" t="n">
        <v>0</v>
      </c>
      <c r="M951" t="n">
        <v>0</v>
      </c>
      <c r="N951" t="n">
        <v>0</v>
      </c>
      <c r="O951" t="n">
        <v>0</v>
      </c>
      <c r="P951" t="n">
        <v>0</v>
      </c>
      <c r="Q951" t="n">
        <v>0</v>
      </c>
      <c r="R951" s="2" t="inlineStr"/>
    </row>
    <row r="952" ht="15" customHeight="1">
      <c r="A952" t="inlineStr">
        <is>
          <t>A 7929-2026</t>
        </is>
      </c>
      <c r="B952" s="1" t="n">
        <v>46063</v>
      </c>
      <c r="C952" s="1" t="n">
        <v>46132</v>
      </c>
      <c r="D952" t="inlineStr">
        <is>
          <t>VÄSTERBOTTENS LÄN</t>
        </is>
      </c>
      <c r="E952" t="inlineStr">
        <is>
          <t>UMEÅ</t>
        </is>
      </c>
      <c r="G952" t="n">
        <v>4.6</v>
      </c>
      <c r="H952" t="n">
        <v>0</v>
      </c>
      <c r="I952" t="n">
        <v>0</v>
      </c>
      <c r="J952" t="n">
        <v>0</v>
      </c>
      <c r="K952" t="n">
        <v>0</v>
      </c>
      <c r="L952" t="n">
        <v>0</v>
      </c>
      <c r="M952" t="n">
        <v>0</v>
      </c>
      <c r="N952" t="n">
        <v>0</v>
      </c>
      <c r="O952" t="n">
        <v>0</v>
      </c>
      <c r="P952" t="n">
        <v>0</v>
      </c>
      <c r="Q952" t="n">
        <v>0</v>
      </c>
      <c r="R952" s="2" t="inlineStr"/>
    </row>
    <row r="953" ht="15" customHeight="1">
      <c r="A953" t="inlineStr">
        <is>
          <t>A 15231-2026</t>
        </is>
      </c>
      <c r="B953" s="1" t="n">
        <v>46105.55114583333</v>
      </c>
      <c r="C953" s="1" t="n">
        <v>46132</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8192-2026</t>
        </is>
      </c>
      <c r="B954" s="1" t="n">
        <v>46064.4275</v>
      </c>
      <c r="C954" s="1" t="n">
        <v>46132</v>
      </c>
      <c r="D954" t="inlineStr">
        <is>
          <t>VÄSTERBOTTENS LÄN</t>
        </is>
      </c>
      <c r="E954" t="inlineStr">
        <is>
          <t>UMEÅ</t>
        </is>
      </c>
      <c r="G954" t="n">
        <v>12.9</v>
      </c>
      <c r="H954" t="n">
        <v>0</v>
      </c>
      <c r="I954" t="n">
        <v>0</v>
      </c>
      <c r="J954" t="n">
        <v>0</v>
      </c>
      <c r="K954" t="n">
        <v>0</v>
      </c>
      <c r="L954" t="n">
        <v>0</v>
      </c>
      <c r="M954" t="n">
        <v>0</v>
      </c>
      <c r="N954" t="n">
        <v>0</v>
      </c>
      <c r="O954" t="n">
        <v>0</v>
      </c>
      <c r="P954" t="n">
        <v>0</v>
      </c>
      <c r="Q954" t="n">
        <v>0</v>
      </c>
      <c r="R954" s="2" t="inlineStr"/>
    </row>
    <row r="955" ht="15" customHeight="1">
      <c r="A955" t="inlineStr">
        <is>
          <t>A 15221-2026</t>
        </is>
      </c>
      <c r="B955" s="1" t="n">
        <v>46105.53076388889</v>
      </c>
      <c r="C955" s="1" t="n">
        <v>46132</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8193-2026</t>
        </is>
      </c>
      <c r="B956" s="1" t="n">
        <v>46064.42752314815</v>
      </c>
      <c r="C956" s="1" t="n">
        <v>46132</v>
      </c>
      <c r="D956" t="inlineStr">
        <is>
          <t>VÄSTERBOTTENS LÄN</t>
        </is>
      </c>
      <c r="E956" t="inlineStr">
        <is>
          <t>UMEÅ</t>
        </is>
      </c>
      <c r="G956" t="n">
        <v>10.5</v>
      </c>
      <c r="H956" t="n">
        <v>0</v>
      </c>
      <c r="I956" t="n">
        <v>0</v>
      </c>
      <c r="J956" t="n">
        <v>0</v>
      </c>
      <c r="K956" t="n">
        <v>0</v>
      </c>
      <c r="L956" t="n">
        <v>0</v>
      </c>
      <c r="M956" t="n">
        <v>0</v>
      </c>
      <c r="N956" t="n">
        <v>0</v>
      </c>
      <c r="O956" t="n">
        <v>0</v>
      </c>
      <c r="P956" t="n">
        <v>0</v>
      </c>
      <c r="Q956" t="n">
        <v>0</v>
      </c>
      <c r="R956" s="2" t="inlineStr"/>
    </row>
    <row r="957" ht="15" customHeight="1">
      <c r="A957" t="inlineStr">
        <is>
          <t>A 13190-2025</t>
        </is>
      </c>
      <c r="B957" s="1" t="n">
        <v>45735.39761574074</v>
      </c>
      <c r="C957" s="1" t="n">
        <v>46132</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13197-2025</t>
        </is>
      </c>
      <c r="B958" s="1" t="n">
        <v>45735</v>
      </c>
      <c r="C958" s="1" t="n">
        <v>46132</v>
      </c>
      <c r="D958" t="inlineStr">
        <is>
          <t>VÄSTERBOTTENS LÄN</t>
        </is>
      </c>
      <c r="E958" t="inlineStr">
        <is>
          <t>UMEÅ</t>
        </is>
      </c>
      <c r="G958" t="n">
        <v>2.3</v>
      </c>
      <c r="H958" t="n">
        <v>0</v>
      </c>
      <c r="I958" t="n">
        <v>0</v>
      </c>
      <c r="J958" t="n">
        <v>0</v>
      </c>
      <c r="K958" t="n">
        <v>0</v>
      </c>
      <c r="L958" t="n">
        <v>0</v>
      </c>
      <c r="M958" t="n">
        <v>0</v>
      </c>
      <c r="N958" t="n">
        <v>0</v>
      </c>
      <c r="O958" t="n">
        <v>0</v>
      </c>
      <c r="P958" t="n">
        <v>0</v>
      </c>
      <c r="Q958" t="n">
        <v>0</v>
      </c>
      <c r="R958" s="2" t="inlineStr"/>
    </row>
    <row r="959" ht="15" customHeight="1">
      <c r="A959" t="inlineStr">
        <is>
          <t>A 15690-2026</t>
        </is>
      </c>
      <c r="B959" s="1" t="n">
        <v>46107.34054398148</v>
      </c>
      <c r="C959" s="1" t="n">
        <v>46132</v>
      </c>
      <c r="D959" t="inlineStr">
        <is>
          <t>VÄSTERBOTTENS LÄN</t>
        </is>
      </c>
      <c r="E959" t="inlineStr">
        <is>
          <t>UMEÅ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45603-2023</t>
        </is>
      </c>
      <c r="B960" s="1" t="n">
        <v>45194.64578703704</v>
      </c>
      <c r="C960" s="1" t="n">
        <v>46132</v>
      </c>
      <c r="D960" t="inlineStr">
        <is>
          <t>VÄSTERBOTTENS LÄN</t>
        </is>
      </c>
      <c r="E960" t="inlineStr">
        <is>
          <t>UMEÅ</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8668-2026</t>
        </is>
      </c>
      <c r="B961" s="1" t="n">
        <v>46066.38614583333</v>
      </c>
      <c r="C961" s="1" t="n">
        <v>46132</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5078-2025</t>
        </is>
      </c>
      <c r="B962" s="1" t="n">
        <v>45691.50020833333</v>
      </c>
      <c r="C962" s="1" t="n">
        <v>46132</v>
      </c>
      <c r="D962" t="inlineStr">
        <is>
          <t>VÄSTERBOTTENS LÄN</t>
        </is>
      </c>
      <c r="E962" t="inlineStr">
        <is>
          <t>UMEÅ</t>
        </is>
      </c>
      <c r="G962" t="n">
        <v>1.2</v>
      </c>
      <c r="H962" t="n">
        <v>0</v>
      </c>
      <c r="I962" t="n">
        <v>0</v>
      </c>
      <c r="J962" t="n">
        <v>0</v>
      </c>
      <c r="K962" t="n">
        <v>0</v>
      </c>
      <c r="L962" t="n">
        <v>0</v>
      </c>
      <c r="M962" t="n">
        <v>0</v>
      </c>
      <c r="N962" t="n">
        <v>0</v>
      </c>
      <c r="O962" t="n">
        <v>0</v>
      </c>
      <c r="P962" t="n">
        <v>0</v>
      </c>
      <c r="Q962" t="n">
        <v>0</v>
      </c>
      <c r="R962" s="2" t="inlineStr"/>
    </row>
    <row r="963" ht="15" customHeight="1">
      <c r="A963" t="inlineStr">
        <is>
          <t>A 15803-2026</t>
        </is>
      </c>
      <c r="B963" s="1" t="n">
        <v>46107.48642361111</v>
      </c>
      <c r="C963" s="1" t="n">
        <v>46132</v>
      </c>
      <c r="D963" t="inlineStr">
        <is>
          <t>VÄSTERBOTTENS LÄN</t>
        </is>
      </c>
      <c r="E963" t="inlineStr">
        <is>
          <t>UMEÅ</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8317-2025</t>
        </is>
      </c>
      <c r="B964" s="1" t="n">
        <v>45708</v>
      </c>
      <c r="C964" s="1" t="n">
        <v>46132</v>
      </c>
      <c r="D964" t="inlineStr">
        <is>
          <t>VÄSTERBOTTENS LÄN</t>
        </is>
      </c>
      <c r="E964" t="inlineStr">
        <is>
          <t>UMEÅ</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16453-2024</t>
        </is>
      </c>
      <c r="B965" s="1" t="n">
        <v>45407</v>
      </c>
      <c r="C965" s="1" t="n">
        <v>46132</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9030-2026</t>
        </is>
      </c>
      <c r="B966" s="1" t="n">
        <v>46069.5141087963</v>
      </c>
      <c r="C966" s="1" t="n">
        <v>46132</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53731-2024</t>
        </is>
      </c>
      <c r="B967" s="1" t="n">
        <v>45615</v>
      </c>
      <c r="C967" s="1" t="n">
        <v>46132</v>
      </c>
      <c r="D967" t="inlineStr">
        <is>
          <t>VÄSTERBOTTENS LÄN</t>
        </is>
      </c>
      <c r="E967" t="inlineStr">
        <is>
          <t>UMEÅ</t>
        </is>
      </c>
      <c r="G967" t="n">
        <v>2.7</v>
      </c>
      <c r="H967" t="n">
        <v>0</v>
      </c>
      <c r="I967" t="n">
        <v>0</v>
      </c>
      <c r="J967" t="n">
        <v>0</v>
      </c>
      <c r="K967" t="n">
        <v>0</v>
      </c>
      <c r="L967" t="n">
        <v>0</v>
      </c>
      <c r="M967" t="n">
        <v>0</v>
      </c>
      <c r="N967" t="n">
        <v>0</v>
      </c>
      <c r="O967" t="n">
        <v>0</v>
      </c>
      <c r="P967" t="n">
        <v>0</v>
      </c>
      <c r="Q967" t="n">
        <v>0</v>
      </c>
      <c r="R967" s="2" t="inlineStr"/>
    </row>
    <row r="968" ht="15" customHeight="1">
      <c r="A968" t="inlineStr">
        <is>
          <t>A 39445-2023</t>
        </is>
      </c>
      <c r="B968" s="1" t="n">
        <v>45166</v>
      </c>
      <c r="C968" s="1" t="n">
        <v>46132</v>
      </c>
      <c r="D968" t="inlineStr">
        <is>
          <t>VÄSTERBOTTENS LÄN</t>
        </is>
      </c>
      <c r="E968" t="inlineStr">
        <is>
          <t>UMEÅ</t>
        </is>
      </c>
      <c r="G968" t="n">
        <v>33.4</v>
      </c>
      <c r="H968" t="n">
        <v>0</v>
      </c>
      <c r="I968" t="n">
        <v>0</v>
      </c>
      <c r="J968" t="n">
        <v>0</v>
      </c>
      <c r="K968" t="n">
        <v>0</v>
      </c>
      <c r="L968" t="n">
        <v>0</v>
      </c>
      <c r="M968" t="n">
        <v>0</v>
      </c>
      <c r="N968" t="n">
        <v>0</v>
      </c>
      <c r="O968" t="n">
        <v>0</v>
      </c>
      <c r="P968" t="n">
        <v>0</v>
      </c>
      <c r="Q968" t="n">
        <v>0</v>
      </c>
      <c r="R968" s="2" t="inlineStr"/>
    </row>
    <row r="969" ht="15" customHeight="1">
      <c r="A969" t="inlineStr">
        <is>
          <t>A 8184-2025</t>
        </is>
      </c>
      <c r="B969" s="1" t="n">
        <v>45708</v>
      </c>
      <c r="C969" s="1" t="n">
        <v>46132</v>
      </c>
      <c r="D969" t="inlineStr">
        <is>
          <t>VÄSTERBOTTENS LÄN</t>
        </is>
      </c>
      <c r="E969" t="inlineStr">
        <is>
          <t>UMEÅ</t>
        </is>
      </c>
      <c r="F969" t="inlineStr">
        <is>
          <t>Holmen skog AB</t>
        </is>
      </c>
      <c r="G969" t="n">
        <v>3</v>
      </c>
      <c r="H969" t="n">
        <v>0</v>
      </c>
      <c r="I969" t="n">
        <v>0</v>
      </c>
      <c r="J969" t="n">
        <v>0</v>
      </c>
      <c r="K969" t="n">
        <v>0</v>
      </c>
      <c r="L969" t="n">
        <v>0</v>
      </c>
      <c r="M969" t="n">
        <v>0</v>
      </c>
      <c r="N969" t="n">
        <v>0</v>
      </c>
      <c r="O969" t="n">
        <v>0</v>
      </c>
      <c r="P969" t="n">
        <v>0</v>
      </c>
      <c r="Q969" t="n">
        <v>0</v>
      </c>
      <c r="R969" s="2" t="inlineStr"/>
    </row>
    <row r="970" ht="15" customHeight="1">
      <c r="A970" t="inlineStr">
        <is>
          <t>A 8581-2025</t>
        </is>
      </c>
      <c r="B970" s="1" t="n">
        <v>45709.67219907408</v>
      </c>
      <c r="C970" s="1" t="n">
        <v>46132</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8584-2025</t>
        </is>
      </c>
      <c r="B971" s="1" t="n">
        <v>45709.67657407407</v>
      </c>
      <c r="C971" s="1" t="n">
        <v>46132</v>
      </c>
      <c r="D971" t="inlineStr">
        <is>
          <t>VÄSTERBOTTENS LÄN</t>
        </is>
      </c>
      <c r="E971" t="inlineStr">
        <is>
          <t>UMEÅ</t>
        </is>
      </c>
      <c r="G971" t="n">
        <v>1.2</v>
      </c>
      <c r="H971" t="n">
        <v>0</v>
      </c>
      <c r="I971" t="n">
        <v>0</v>
      </c>
      <c r="J971" t="n">
        <v>0</v>
      </c>
      <c r="K971" t="n">
        <v>0</v>
      </c>
      <c r="L971" t="n">
        <v>0</v>
      </c>
      <c r="M971" t="n">
        <v>0</v>
      </c>
      <c r="N971" t="n">
        <v>0</v>
      </c>
      <c r="O971" t="n">
        <v>0</v>
      </c>
      <c r="P971" t="n">
        <v>0</v>
      </c>
      <c r="Q971" t="n">
        <v>0</v>
      </c>
      <c r="R971" s="2" t="inlineStr"/>
    </row>
    <row r="972" ht="15" customHeight="1">
      <c r="A972" t="inlineStr">
        <is>
          <t>A 8586-2025</t>
        </is>
      </c>
      <c r="B972" s="1" t="n">
        <v>45709.67998842592</v>
      </c>
      <c r="C972" s="1" t="n">
        <v>46132</v>
      </c>
      <c r="D972" t="inlineStr">
        <is>
          <t>VÄSTERBOTTENS LÄN</t>
        </is>
      </c>
      <c r="E972" t="inlineStr">
        <is>
          <t>UMEÅ</t>
        </is>
      </c>
      <c r="G972" t="n">
        <v>0.3</v>
      </c>
      <c r="H972" t="n">
        <v>0</v>
      </c>
      <c r="I972" t="n">
        <v>0</v>
      </c>
      <c r="J972" t="n">
        <v>0</v>
      </c>
      <c r="K972" t="n">
        <v>0</v>
      </c>
      <c r="L972" t="n">
        <v>0</v>
      </c>
      <c r="M972" t="n">
        <v>0</v>
      </c>
      <c r="N972" t="n">
        <v>0</v>
      </c>
      <c r="O972" t="n">
        <v>0</v>
      </c>
      <c r="P972" t="n">
        <v>0</v>
      </c>
      <c r="Q972" t="n">
        <v>0</v>
      </c>
      <c r="R972" s="2" t="inlineStr"/>
    </row>
    <row r="973" ht="15" customHeight="1">
      <c r="A973" t="inlineStr">
        <is>
          <t>A 8618-2025</t>
        </is>
      </c>
      <c r="B973" s="1" t="n">
        <v>45711</v>
      </c>
      <c r="C973" s="1" t="n">
        <v>46132</v>
      </c>
      <c r="D973" t="inlineStr">
        <is>
          <t>VÄSTERBOTTENS LÄN</t>
        </is>
      </c>
      <c r="E973" t="inlineStr">
        <is>
          <t>UMEÅ</t>
        </is>
      </c>
      <c r="G973" t="n">
        <v>1</v>
      </c>
      <c r="H973" t="n">
        <v>0</v>
      </c>
      <c r="I973" t="n">
        <v>0</v>
      </c>
      <c r="J973" t="n">
        <v>0</v>
      </c>
      <c r="K973" t="n">
        <v>0</v>
      </c>
      <c r="L973" t="n">
        <v>0</v>
      </c>
      <c r="M973" t="n">
        <v>0</v>
      </c>
      <c r="N973" t="n">
        <v>0</v>
      </c>
      <c r="O973" t="n">
        <v>0</v>
      </c>
      <c r="P973" t="n">
        <v>0</v>
      </c>
      <c r="Q973" t="n">
        <v>0</v>
      </c>
      <c r="R973" s="2" t="inlineStr"/>
    </row>
    <row r="974" ht="15" customHeight="1">
      <c r="A974" t="inlineStr">
        <is>
          <t>A 14039-2024</t>
        </is>
      </c>
      <c r="B974" s="1" t="n">
        <v>45392</v>
      </c>
      <c r="C974" s="1" t="n">
        <v>46132</v>
      </c>
      <c r="D974" t="inlineStr">
        <is>
          <t>VÄSTERBOTTENS LÄN</t>
        </is>
      </c>
      <c r="E974" t="inlineStr">
        <is>
          <t>UMEÅ</t>
        </is>
      </c>
      <c r="G974" t="n">
        <v>6.1</v>
      </c>
      <c r="H974" t="n">
        <v>0</v>
      </c>
      <c r="I974" t="n">
        <v>0</v>
      </c>
      <c r="J974" t="n">
        <v>0</v>
      </c>
      <c r="K974" t="n">
        <v>0</v>
      </c>
      <c r="L974" t="n">
        <v>0</v>
      </c>
      <c r="M974" t="n">
        <v>0</v>
      </c>
      <c r="N974" t="n">
        <v>0</v>
      </c>
      <c r="O974" t="n">
        <v>0</v>
      </c>
      <c r="P974" t="n">
        <v>0</v>
      </c>
      <c r="Q974" t="n">
        <v>0</v>
      </c>
      <c r="R974" s="2" t="inlineStr"/>
    </row>
    <row r="975" ht="15" customHeight="1">
      <c r="A975" t="inlineStr">
        <is>
          <t>A 9377-2026</t>
        </is>
      </c>
      <c r="B975" s="1" t="n">
        <v>46070</v>
      </c>
      <c r="C975" s="1" t="n">
        <v>46132</v>
      </c>
      <c r="D975" t="inlineStr">
        <is>
          <t>VÄSTERBOTTENS LÄN</t>
        </is>
      </c>
      <c r="E975" t="inlineStr">
        <is>
          <t>UMEÅ</t>
        </is>
      </c>
      <c r="G975" t="n">
        <v>9.1</v>
      </c>
      <c r="H975" t="n">
        <v>0</v>
      </c>
      <c r="I975" t="n">
        <v>0</v>
      </c>
      <c r="J975" t="n">
        <v>0</v>
      </c>
      <c r="K975" t="n">
        <v>0</v>
      </c>
      <c r="L975" t="n">
        <v>0</v>
      </c>
      <c r="M975" t="n">
        <v>0</v>
      </c>
      <c r="N975" t="n">
        <v>0</v>
      </c>
      <c r="O975" t="n">
        <v>0</v>
      </c>
      <c r="P975" t="n">
        <v>0</v>
      </c>
      <c r="Q975" t="n">
        <v>0</v>
      </c>
      <c r="R975" s="2" t="inlineStr"/>
    </row>
    <row r="976" ht="15" customHeight="1">
      <c r="A976" t="inlineStr">
        <is>
          <t>A 28099-2023</t>
        </is>
      </c>
      <c r="B976" s="1" t="n">
        <v>45099</v>
      </c>
      <c r="C976" s="1" t="n">
        <v>46132</v>
      </c>
      <c r="D976" t="inlineStr">
        <is>
          <t>VÄSTERBOTTENS LÄN</t>
        </is>
      </c>
      <c r="E976" t="inlineStr">
        <is>
          <t>UMEÅ</t>
        </is>
      </c>
      <c r="F976" t="inlineStr">
        <is>
          <t>Holmen skog AB</t>
        </is>
      </c>
      <c r="G976" t="n">
        <v>3.9</v>
      </c>
      <c r="H976" t="n">
        <v>0</v>
      </c>
      <c r="I976" t="n">
        <v>0</v>
      </c>
      <c r="J976" t="n">
        <v>0</v>
      </c>
      <c r="K976" t="n">
        <v>0</v>
      </c>
      <c r="L976" t="n">
        <v>0</v>
      </c>
      <c r="M976" t="n">
        <v>0</v>
      </c>
      <c r="N976" t="n">
        <v>0</v>
      </c>
      <c r="O976" t="n">
        <v>0</v>
      </c>
      <c r="P976" t="n">
        <v>0</v>
      </c>
      <c r="Q976" t="n">
        <v>0</v>
      </c>
      <c r="R976" s="2" t="inlineStr"/>
    </row>
    <row r="977" ht="15" customHeight="1">
      <c r="A977" t="inlineStr">
        <is>
          <t>A 7438-2022</t>
        </is>
      </c>
      <c r="B977" s="1" t="n">
        <v>44606.93429398148</v>
      </c>
      <c r="C977" s="1" t="n">
        <v>46132</v>
      </c>
      <c r="D977" t="inlineStr">
        <is>
          <t>VÄSTERBOTTENS LÄN</t>
        </is>
      </c>
      <c r="E977" t="inlineStr">
        <is>
          <t>UMEÅ</t>
        </is>
      </c>
      <c r="G977" t="n">
        <v>3.1</v>
      </c>
      <c r="H977" t="n">
        <v>0</v>
      </c>
      <c r="I977" t="n">
        <v>0</v>
      </c>
      <c r="J977" t="n">
        <v>0</v>
      </c>
      <c r="K977" t="n">
        <v>0</v>
      </c>
      <c r="L977" t="n">
        <v>0</v>
      </c>
      <c r="M977" t="n">
        <v>0</v>
      </c>
      <c r="N977" t="n">
        <v>0</v>
      </c>
      <c r="O977" t="n">
        <v>0</v>
      </c>
      <c r="P977" t="n">
        <v>0</v>
      </c>
      <c r="Q977" t="n">
        <v>0</v>
      </c>
      <c r="R977" s="2" t="inlineStr"/>
    </row>
    <row r="978" ht="15" customHeight="1">
      <c r="A978" t="inlineStr">
        <is>
          <t>A 8921-2026</t>
        </is>
      </c>
      <c r="B978" s="1" t="n">
        <v>46069.33297453704</v>
      </c>
      <c r="C978" s="1" t="n">
        <v>46132</v>
      </c>
      <c r="D978" t="inlineStr">
        <is>
          <t>VÄSTERBOTTENS LÄN</t>
        </is>
      </c>
      <c r="E978" t="inlineStr">
        <is>
          <t>UMEÅ</t>
        </is>
      </c>
      <c r="G978" t="n">
        <v>3.6</v>
      </c>
      <c r="H978" t="n">
        <v>0</v>
      </c>
      <c r="I978" t="n">
        <v>0</v>
      </c>
      <c r="J978" t="n">
        <v>0</v>
      </c>
      <c r="K978" t="n">
        <v>0</v>
      </c>
      <c r="L978" t="n">
        <v>0</v>
      </c>
      <c r="M978" t="n">
        <v>0</v>
      </c>
      <c r="N978" t="n">
        <v>0</v>
      </c>
      <c r="O978" t="n">
        <v>0</v>
      </c>
      <c r="P978" t="n">
        <v>0</v>
      </c>
      <c r="Q978" t="n">
        <v>0</v>
      </c>
      <c r="R978" s="2" t="inlineStr"/>
    </row>
    <row r="979" ht="15" customHeight="1">
      <c r="A979" t="inlineStr">
        <is>
          <t>A 9218-2026</t>
        </is>
      </c>
      <c r="B979" s="1" t="n">
        <v>46070.44359953704</v>
      </c>
      <c r="C979" s="1" t="n">
        <v>46132</v>
      </c>
      <c r="D979" t="inlineStr">
        <is>
          <t>VÄSTERBOTTENS LÄN</t>
        </is>
      </c>
      <c r="E979" t="inlineStr">
        <is>
          <t>UMEÅ</t>
        </is>
      </c>
      <c r="G979" t="n">
        <v>3.6</v>
      </c>
      <c r="H979" t="n">
        <v>0</v>
      </c>
      <c r="I979" t="n">
        <v>0</v>
      </c>
      <c r="J979" t="n">
        <v>0</v>
      </c>
      <c r="K979" t="n">
        <v>0</v>
      </c>
      <c r="L979" t="n">
        <v>0</v>
      </c>
      <c r="M979" t="n">
        <v>0</v>
      </c>
      <c r="N979" t="n">
        <v>0</v>
      </c>
      <c r="O979" t="n">
        <v>0</v>
      </c>
      <c r="P979" t="n">
        <v>0</v>
      </c>
      <c r="Q979" t="n">
        <v>0</v>
      </c>
      <c r="R979" s="2" t="inlineStr"/>
    </row>
    <row r="980" ht="15" customHeight="1">
      <c r="A980" t="inlineStr">
        <is>
          <t>A 9123-2026</t>
        </is>
      </c>
      <c r="B980" s="1" t="n">
        <v>46069.68662037037</v>
      </c>
      <c r="C980" s="1" t="n">
        <v>46132</v>
      </c>
      <c r="D980" t="inlineStr">
        <is>
          <t>VÄSTERBOTTENS LÄN</t>
        </is>
      </c>
      <c r="E980" t="inlineStr">
        <is>
          <t>UMEÅ</t>
        </is>
      </c>
      <c r="G980" t="n">
        <v>1.8</v>
      </c>
      <c r="H980" t="n">
        <v>0</v>
      </c>
      <c r="I980" t="n">
        <v>0</v>
      </c>
      <c r="J980" t="n">
        <v>0</v>
      </c>
      <c r="K980" t="n">
        <v>0</v>
      </c>
      <c r="L980" t="n">
        <v>0</v>
      </c>
      <c r="M980" t="n">
        <v>0</v>
      </c>
      <c r="N980" t="n">
        <v>0</v>
      </c>
      <c r="O980" t="n">
        <v>0</v>
      </c>
      <c r="P980" t="n">
        <v>0</v>
      </c>
      <c r="Q980" t="n">
        <v>0</v>
      </c>
      <c r="R980" s="2" t="inlineStr"/>
    </row>
    <row r="981" ht="15" customHeight="1">
      <c r="A981" t="inlineStr">
        <is>
          <t>A 16728-2026</t>
        </is>
      </c>
      <c r="B981" s="1" t="n">
        <v>46113.36512731481</v>
      </c>
      <c r="C981" s="1" t="n">
        <v>46132</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46372-2023</t>
        </is>
      </c>
      <c r="B982" s="1" t="n">
        <v>45197</v>
      </c>
      <c r="C982" s="1" t="n">
        <v>46132</v>
      </c>
      <c r="D982" t="inlineStr">
        <is>
          <t>VÄSTERBOTTENS LÄN</t>
        </is>
      </c>
      <c r="E982" t="inlineStr">
        <is>
          <t>UMEÅ</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4650-2025</t>
        </is>
      </c>
      <c r="B983" s="1" t="n">
        <v>45687.66449074074</v>
      </c>
      <c r="C983" s="1" t="n">
        <v>46132</v>
      </c>
      <c r="D983" t="inlineStr">
        <is>
          <t>VÄSTERBOTTENS LÄN</t>
        </is>
      </c>
      <c r="E983" t="inlineStr">
        <is>
          <t>UMEÅ</t>
        </is>
      </c>
      <c r="F983" t="inlineStr">
        <is>
          <t>Holmen skog AB</t>
        </is>
      </c>
      <c r="G983" t="n">
        <v>20.8</v>
      </c>
      <c r="H983" t="n">
        <v>0</v>
      </c>
      <c r="I983" t="n">
        <v>0</v>
      </c>
      <c r="J983" t="n">
        <v>0</v>
      </c>
      <c r="K983" t="n">
        <v>0</v>
      </c>
      <c r="L983" t="n">
        <v>0</v>
      </c>
      <c r="M983" t="n">
        <v>0</v>
      </c>
      <c r="N983" t="n">
        <v>0</v>
      </c>
      <c r="O983" t="n">
        <v>0</v>
      </c>
      <c r="P983" t="n">
        <v>0</v>
      </c>
      <c r="Q983" t="n">
        <v>0</v>
      </c>
      <c r="R983" s="2" t="inlineStr"/>
    </row>
    <row r="984" ht="15" customHeight="1">
      <c r="A984" t="inlineStr">
        <is>
          <t>A 9454-2026</t>
        </is>
      </c>
      <c r="B984" s="1" t="n">
        <v>46071.48370370371</v>
      </c>
      <c r="C984" s="1" t="n">
        <v>46132</v>
      </c>
      <c r="D984" t="inlineStr">
        <is>
          <t>VÄSTERBOTTENS LÄN</t>
        </is>
      </c>
      <c r="E984" t="inlineStr">
        <is>
          <t>UMEÅ</t>
        </is>
      </c>
      <c r="G984" t="n">
        <v>0.4</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46132</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16737-2026</t>
        </is>
      </c>
      <c r="B986" s="1" t="n">
        <v>46113.36979166666</v>
      </c>
      <c r="C986" s="1" t="n">
        <v>46132</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3828-2025</t>
        </is>
      </c>
      <c r="B987" s="1" t="n">
        <v>45681.82818287037</v>
      </c>
      <c r="C987" s="1" t="n">
        <v>46132</v>
      </c>
      <c r="D987" t="inlineStr">
        <is>
          <t>VÄSTERBOTTENS LÄN</t>
        </is>
      </c>
      <c r="E987" t="inlineStr">
        <is>
          <t>UMEÅ</t>
        </is>
      </c>
      <c r="G987" t="n">
        <v>1.2</v>
      </c>
      <c r="H987" t="n">
        <v>0</v>
      </c>
      <c r="I987" t="n">
        <v>0</v>
      </c>
      <c r="J987" t="n">
        <v>0</v>
      </c>
      <c r="K987" t="n">
        <v>0</v>
      </c>
      <c r="L987" t="n">
        <v>0</v>
      </c>
      <c r="M987" t="n">
        <v>0</v>
      </c>
      <c r="N987" t="n">
        <v>0</v>
      </c>
      <c r="O987" t="n">
        <v>0</v>
      </c>
      <c r="P987" t="n">
        <v>0</v>
      </c>
      <c r="Q987" t="n">
        <v>0</v>
      </c>
      <c r="R987" s="2" t="inlineStr"/>
    </row>
    <row r="988" ht="15" customHeight="1">
      <c r="A988" t="inlineStr">
        <is>
          <t>A 3829-2025</t>
        </is>
      </c>
      <c r="B988" s="1" t="n">
        <v>45681.83350694444</v>
      </c>
      <c r="C988" s="1" t="n">
        <v>46132</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9769-2022</t>
        </is>
      </c>
      <c r="B989" s="1" t="n">
        <v>44619.71880787037</v>
      </c>
      <c r="C989" s="1" t="n">
        <v>46132</v>
      </c>
      <c r="D989" t="inlineStr">
        <is>
          <t>VÄSTERBOTTENS LÄN</t>
        </is>
      </c>
      <c r="E989" t="inlineStr">
        <is>
          <t>UMEÅ</t>
        </is>
      </c>
      <c r="G989" t="n">
        <v>12.6</v>
      </c>
      <c r="H989" t="n">
        <v>0</v>
      </c>
      <c r="I989" t="n">
        <v>0</v>
      </c>
      <c r="J989" t="n">
        <v>0</v>
      </c>
      <c r="K989" t="n">
        <v>0</v>
      </c>
      <c r="L989" t="n">
        <v>0</v>
      </c>
      <c r="M989" t="n">
        <v>0</v>
      </c>
      <c r="N989" t="n">
        <v>0</v>
      </c>
      <c r="O989" t="n">
        <v>0</v>
      </c>
      <c r="P989" t="n">
        <v>0</v>
      </c>
      <c r="Q989" t="n">
        <v>0</v>
      </c>
      <c r="R989" s="2" t="inlineStr"/>
    </row>
    <row r="990" ht="15" customHeight="1">
      <c r="A990" t="inlineStr">
        <is>
          <t>A 16725-2026</t>
        </is>
      </c>
      <c r="B990" s="1" t="n">
        <v>46113.36413194444</v>
      </c>
      <c r="C990" s="1" t="n">
        <v>46132</v>
      </c>
      <c r="D990" t="inlineStr">
        <is>
          <t>VÄSTERBOTTENS LÄN</t>
        </is>
      </c>
      <c r="E990" t="inlineStr">
        <is>
          <t>UMEÅ</t>
        </is>
      </c>
      <c r="G990" t="n">
        <v>1.1</v>
      </c>
      <c r="H990" t="n">
        <v>0</v>
      </c>
      <c r="I990" t="n">
        <v>0</v>
      </c>
      <c r="J990" t="n">
        <v>0</v>
      </c>
      <c r="K990" t="n">
        <v>0</v>
      </c>
      <c r="L990" t="n">
        <v>0</v>
      </c>
      <c r="M990" t="n">
        <v>0</v>
      </c>
      <c r="N990" t="n">
        <v>0</v>
      </c>
      <c r="O990" t="n">
        <v>0</v>
      </c>
      <c r="P990" t="n">
        <v>0</v>
      </c>
      <c r="Q990" t="n">
        <v>0</v>
      </c>
      <c r="R990" s="2" t="inlineStr"/>
    </row>
    <row r="991" ht="15" customHeight="1">
      <c r="A991" t="inlineStr">
        <is>
          <t>A 16855-2026</t>
        </is>
      </c>
      <c r="B991" s="1" t="n">
        <v>46113.56609953703</v>
      </c>
      <c r="C991" s="1" t="n">
        <v>46132</v>
      </c>
      <c r="D991" t="inlineStr">
        <is>
          <t>VÄSTERBOTTENS LÄN</t>
        </is>
      </c>
      <c r="E991" t="inlineStr">
        <is>
          <t>UMEÅ</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39594-2023</t>
        </is>
      </c>
      <c r="B992" s="1" t="n">
        <v>45167</v>
      </c>
      <c r="C992" s="1" t="n">
        <v>46132</v>
      </c>
      <c r="D992" t="inlineStr">
        <is>
          <t>VÄSTERBOTTENS LÄN</t>
        </is>
      </c>
      <c r="E992" t="inlineStr">
        <is>
          <t>UMEÅ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44121-2022</t>
        </is>
      </c>
      <c r="B993" s="1" t="n">
        <v>44839</v>
      </c>
      <c r="C993" s="1" t="n">
        <v>46132</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9457-2026</t>
        </is>
      </c>
      <c r="B994" s="1" t="n">
        <v>46071.48806712963</v>
      </c>
      <c r="C994" s="1" t="n">
        <v>46132</v>
      </c>
      <c r="D994" t="inlineStr">
        <is>
          <t>VÄSTERBOTTENS LÄN</t>
        </is>
      </c>
      <c r="E994" t="inlineStr">
        <is>
          <t>UMEÅ</t>
        </is>
      </c>
      <c r="G994" t="n">
        <v>0.3</v>
      </c>
      <c r="H994" t="n">
        <v>0</v>
      </c>
      <c r="I994" t="n">
        <v>0</v>
      </c>
      <c r="J994" t="n">
        <v>0</v>
      </c>
      <c r="K994" t="n">
        <v>0</v>
      </c>
      <c r="L994" t="n">
        <v>0</v>
      </c>
      <c r="M994" t="n">
        <v>0</v>
      </c>
      <c r="N994" t="n">
        <v>0</v>
      </c>
      <c r="O994" t="n">
        <v>0</v>
      </c>
      <c r="P994" t="n">
        <v>0</v>
      </c>
      <c r="Q994" t="n">
        <v>0</v>
      </c>
      <c r="R994" s="2" t="inlineStr"/>
    </row>
    <row r="995" ht="15" customHeight="1">
      <c r="A995" t="inlineStr">
        <is>
          <t>A 55082-2023</t>
        </is>
      </c>
      <c r="B995" s="1" t="n">
        <v>45230</v>
      </c>
      <c r="C995" s="1" t="n">
        <v>46132</v>
      </c>
      <c r="D995" t="inlineStr">
        <is>
          <t>VÄSTERBOTTENS LÄN</t>
        </is>
      </c>
      <c r="E995" t="inlineStr">
        <is>
          <t>UMEÅ</t>
        </is>
      </c>
      <c r="G995" t="n">
        <v>1.3</v>
      </c>
      <c r="H995" t="n">
        <v>0</v>
      </c>
      <c r="I995" t="n">
        <v>0</v>
      </c>
      <c r="J995" t="n">
        <v>0</v>
      </c>
      <c r="K995" t="n">
        <v>0</v>
      </c>
      <c r="L995" t="n">
        <v>0</v>
      </c>
      <c r="M995" t="n">
        <v>0</v>
      </c>
      <c r="N995" t="n">
        <v>0</v>
      </c>
      <c r="O995" t="n">
        <v>0</v>
      </c>
      <c r="P995" t="n">
        <v>0</v>
      </c>
      <c r="Q995" t="n">
        <v>0</v>
      </c>
      <c r="R995" s="2" t="inlineStr"/>
    </row>
    <row r="996" ht="15" customHeight="1">
      <c r="A996" t="inlineStr">
        <is>
          <t>A 42832-2025</t>
        </is>
      </c>
      <c r="B996" s="1" t="n">
        <v>45908</v>
      </c>
      <c r="C996" s="1" t="n">
        <v>46132</v>
      </c>
      <c r="D996" t="inlineStr">
        <is>
          <t>VÄSTERBOTTENS LÄN</t>
        </is>
      </c>
      <c r="E996" t="inlineStr">
        <is>
          <t>UMEÅ</t>
        </is>
      </c>
      <c r="G996" t="n">
        <v>1.9</v>
      </c>
      <c r="H996" t="n">
        <v>0</v>
      </c>
      <c r="I996" t="n">
        <v>0</v>
      </c>
      <c r="J996" t="n">
        <v>0</v>
      </c>
      <c r="K996" t="n">
        <v>0</v>
      </c>
      <c r="L996" t="n">
        <v>0</v>
      </c>
      <c r="M996" t="n">
        <v>0</v>
      </c>
      <c r="N996" t="n">
        <v>0</v>
      </c>
      <c r="O996" t="n">
        <v>0</v>
      </c>
      <c r="P996" t="n">
        <v>0</v>
      </c>
      <c r="Q996" t="n">
        <v>0</v>
      </c>
      <c r="R996" s="2" t="inlineStr"/>
    </row>
    <row r="997" ht="15" customHeight="1">
      <c r="A997" t="inlineStr">
        <is>
          <t>A 7853-2025</t>
        </is>
      </c>
      <c r="B997" s="1" t="n">
        <v>45706.67732638889</v>
      </c>
      <c r="C997" s="1" t="n">
        <v>46132</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14380-2025</t>
        </is>
      </c>
      <c r="B998" s="1" t="n">
        <v>45741.41429398148</v>
      </c>
      <c r="C998" s="1" t="n">
        <v>46132</v>
      </c>
      <c r="D998" t="inlineStr">
        <is>
          <t>VÄSTERBOTTENS LÄN</t>
        </is>
      </c>
      <c r="E998" t="inlineStr">
        <is>
          <t>UMEÅ</t>
        </is>
      </c>
      <c r="G998" t="n">
        <v>0.5</v>
      </c>
      <c r="H998" t="n">
        <v>0</v>
      </c>
      <c r="I998" t="n">
        <v>0</v>
      </c>
      <c r="J998" t="n">
        <v>0</v>
      </c>
      <c r="K998" t="n">
        <v>0</v>
      </c>
      <c r="L998" t="n">
        <v>0</v>
      </c>
      <c r="M998" t="n">
        <v>0</v>
      </c>
      <c r="N998" t="n">
        <v>0</v>
      </c>
      <c r="O998" t="n">
        <v>0</v>
      </c>
      <c r="P998" t="n">
        <v>0</v>
      </c>
      <c r="Q998" t="n">
        <v>0</v>
      </c>
      <c r="R998" s="2" t="inlineStr"/>
    </row>
    <row r="999" ht="15" customHeight="1">
      <c r="A999" t="inlineStr">
        <is>
          <t>A 46727-2023</t>
        </is>
      </c>
      <c r="B999" s="1" t="n">
        <v>45198</v>
      </c>
      <c r="C999" s="1" t="n">
        <v>46132</v>
      </c>
      <c r="D999" t="inlineStr">
        <is>
          <t>VÄSTERBOTTENS LÄN</t>
        </is>
      </c>
      <c r="E999" t="inlineStr">
        <is>
          <t>UMEÅ</t>
        </is>
      </c>
      <c r="G999" t="n">
        <v>4.3</v>
      </c>
      <c r="H999" t="n">
        <v>0</v>
      </c>
      <c r="I999" t="n">
        <v>0</v>
      </c>
      <c r="J999" t="n">
        <v>0</v>
      </c>
      <c r="K999" t="n">
        <v>0</v>
      </c>
      <c r="L999" t="n">
        <v>0</v>
      </c>
      <c r="M999" t="n">
        <v>0</v>
      </c>
      <c r="N999" t="n">
        <v>0</v>
      </c>
      <c r="O999" t="n">
        <v>0</v>
      </c>
      <c r="P999" t="n">
        <v>0</v>
      </c>
      <c r="Q999" t="n">
        <v>0</v>
      </c>
      <c r="R999" s="2" t="inlineStr"/>
    </row>
    <row r="1000" ht="15" customHeight="1">
      <c r="A1000" t="inlineStr">
        <is>
          <t>A 16606-2022</t>
        </is>
      </c>
      <c r="B1000" s="1" t="n">
        <v>44672</v>
      </c>
      <c r="C1000" s="1" t="n">
        <v>46132</v>
      </c>
      <c r="D1000" t="inlineStr">
        <is>
          <t>VÄSTERBOTTENS LÄN</t>
        </is>
      </c>
      <c r="E1000" t="inlineStr">
        <is>
          <t>UMEÅ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59289-2023</t>
        </is>
      </c>
      <c r="B1001" s="1" t="n">
        <v>45252</v>
      </c>
      <c r="C1001" s="1" t="n">
        <v>46132</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42463-2023</t>
        </is>
      </c>
      <c r="B1002" s="1" t="n">
        <v>45180.67883101852</v>
      </c>
      <c r="C1002" s="1" t="n">
        <v>46132</v>
      </c>
      <c r="D1002" t="inlineStr">
        <is>
          <t>VÄSTERBOTTENS LÄN</t>
        </is>
      </c>
      <c r="E1002" t="inlineStr">
        <is>
          <t>UMEÅ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6130-2025</t>
        </is>
      </c>
      <c r="B1003" s="1" t="n">
        <v>45698.36478009259</v>
      </c>
      <c r="C1003" s="1" t="n">
        <v>46132</v>
      </c>
      <c r="D1003" t="inlineStr">
        <is>
          <t>VÄSTERBOTTENS LÄN</t>
        </is>
      </c>
      <c r="E1003" t="inlineStr">
        <is>
          <t>UMEÅ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10014-2026</t>
        </is>
      </c>
      <c r="B1004" s="1" t="n">
        <v>46073.5741550926</v>
      </c>
      <c r="C1004" s="1" t="n">
        <v>46132</v>
      </c>
      <c r="D1004" t="inlineStr">
        <is>
          <t>VÄSTERBOTTENS LÄN</t>
        </is>
      </c>
      <c r="E1004" t="inlineStr">
        <is>
          <t>UMEÅ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9961-2026</t>
        </is>
      </c>
      <c r="B1005" s="1" t="n">
        <v>46073.49317129629</v>
      </c>
      <c r="C1005" s="1" t="n">
        <v>46132</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41177-2024</t>
        </is>
      </c>
      <c r="B1006" s="1" t="n">
        <v>45559.49118055555</v>
      </c>
      <c r="C1006" s="1" t="n">
        <v>46132</v>
      </c>
      <c r="D1006" t="inlineStr">
        <is>
          <t>VÄSTERBOTTENS LÄN</t>
        </is>
      </c>
      <c r="E1006" t="inlineStr">
        <is>
          <t>UMEÅ</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39945-2023</t>
        </is>
      </c>
      <c r="B1007" s="1" t="n">
        <v>45168</v>
      </c>
      <c r="C1007" s="1" t="n">
        <v>46132</v>
      </c>
      <c r="D1007" t="inlineStr">
        <is>
          <t>VÄSTERBOTTENS LÄN</t>
        </is>
      </c>
      <c r="E1007" t="inlineStr">
        <is>
          <t>UMEÅ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14928-2023</t>
        </is>
      </c>
      <c r="B1008" s="1" t="n">
        <v>45014</v>
      </c>
      <c r="C1008" s="1" t="n">
        <v>46132</v>
      </c>
      <c r="D1008" t="inlineStr">
        <is>
          <t>VÄSTERBOTTENS LÄN</t>
        </is>
      </c>
      <c r="E1008" t="inlineStr">
        <is>
          <t>UMEÅ</t>
        </is>
      </c>
      <c r="F1008" t="inlineStr">
        <is>
          <t>Kommuner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17231-2026</t>
        </is>
      </c>
      <c r="B1009" s="1" t="n">
        <v>46119.39540509259</v>
      </c>
      <c r="C1009" s="1" t="n">
        <v>46132</v>
      </c>
      <c r="D1009" t="inlineStr">
        <is>
          <t>VÄSTERBOTTENS LÄN</t>
        </is>
      </c>
      <c r="E1009" t="inlineStr">
        <is>
          <t>UMEÅ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10750-2026</t>
        </is>
      </c>
      <c r="B1010" s="1" t="n">
        <v>46078.53337962963</v>
      </c>
      <c r="C1010" s="1" t="n">
        <v>46132</v>
      </c>
      <c r="D1010" t="inlineStr">
        <is>
          <t>VÄSTERBOTTENS LÄN</t>
        </is>
      </c>
      <c r="E1010" t="inlineStr">
        <is>
          <t>UMEÅ</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29027-2022</t>
        </is>
      </c>
      <c r="B1011" s="1" t="n">
        <v>44749.9266087963</v>
      </c>
      <c r="C1011" s="1" t="n">
        <v>46132</v>
      </c>
      <c r="D1011" t="inlineStr">
        <is>
          <t>VÄSTERBOTTENS LÄN</t>
        </is>
      </c>
      <c r="E1011" t="inlineStr">
        <is>
          <t>UMEÅ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52529-2023</t>
        </is>
      </c>
      <c r="B1012" s="1" t="n">
        <v>45225.53422453703</v>
      </c>
      <c r="C1012" s="1" t="n">
        <v>46132</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26352-2024</t>
        </is>
      </c>
      <c r="B1013" s="1" t="n">
        <v>45469.36628472222</v>
      </c>
      <c r="C1013" s="1" t="n">
        <v>46132</v>
      </c>
      <c r="D1013" t="inlineStr">
        <is>
          <t>VÄSTERBOTTENS LÄN</t>
        </is>
      </c>
      <c r="E1013" t="inlineStr">
        <is>
          <t>UMEÅ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46132</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10746-2026</t>
        </is>
      </c>
      <c r="B1015" s="1" t="n">
        <v>46078.51724537037</v>
      </c>
      <c r="C1015" s="1" t="n">
        <v>46132</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17633-2026</t>
        </is>
      </c>
      <c r="B1016" s="1" t="n">
        <v>46121.48064814815</v>
      </c>
      <c r="C1016" s="1" t="n">
        <v>46132</v>
      </c>
      <c r="D1016" t="inlineStr">
        <is>
          <t>VÄSTERBOTTENS LÄN</t>
        </is>
      </c>
      <c r="E1016" t="inlineStr">
        <is>
          <t>UMEÅ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10422-2025</t>
        </is>
      </c>
      <c r="B1017" s="1" t="n">
        <v>45720.64917824074</v>
      </c>
      <c r="C1017" s="1" t="n">
        <v>46132</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9159-2025</t>
        </is>
      </c>
      <c r="B1018" s="1" t="n">
        <v>45714.35774305555</v>
      </c>
      <c r="C1018" s="1" t="n">
        <v>46132</v>
      </c>
      <c r="D1018" t="inlineStr">
        <is>
          <t>VÄSTERBOTTENS LÄN</t>
        </is>
      </c>
      <c r="E1018" t="inlineStr">
        <is>
          <t>UMEÅ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17457-2026</t>
        </is>
      </c>
      <c r="B1019" s="1" t="n">
        <v>46119</v>
      </c>
      <c r="C1019" s="1" t="n">
        <v>46132</v>
      </c>
      <c r="D1019" t="inlineStr">
        <is>
          <t>VÄSTERBOTTENS LÄN</t>
        </is>
      </c>
      <c r="E1019" t="inlineStr">
        <is>
          <t>UMEÅ</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51709-2023</t>
        </is>
      </c>
      <c r="B1020" s="1" t="n">
        <v>45215</v>
      </c>
      <c r="C1020" s="1" t="n">
        <v>46132</v>
      </c>
      <c r="D1020" t="inlineStr">
        <is>
          <t>VÄSTERBOTTENS LÄN</t>
        </is>
      </c>
      <c r="E1020" t="inlineStr">
        <is>
          <t>UMEÅ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10685-2026</t>
        </is>
      </c>
      <c r="B1021" s="1" t="n">
        <v>46078.42490740741</v>
      </c>
      <c r="C1021" s="1" t="n">
        <v>46132</v>
      </c>
      <c r="D1021" t="inlineStr">
        <is>
          <t>VÄSTERBOTTENS LÄN</t>
        </is>
      </c>
      <c r="E1021" t="inlineStr">
        <is>
          <t>UMEÅ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17507-2026</t>
        </is>
      </c>
      <c r="B1022" s="1" t="n">
        <v>46120.62341435185</v>
      </c>
      <c r="C1022" s="1" t="n">
        <v>46132</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46132</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17816-2026</t>
        </is>
      </c>
      <c r="B1024" s="1" t="n">
        <v>46122.42961805555</v>
      </c>
      <c r="C1024" s="1" t="n">
        <v>46132</v>
      </c>
      <c r="D1024" t="inlineStr">
        <is>
          <t>VÄSTERBOTTENS LÄN</t>
        </is>
      </c>
      <c r="E1024" t="inlineStr">
        <is>
          <t>UMEÅ</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44459-2023</t>
        </is>
      </c>
      <c r="B1025" s="1" t="n">
        <v>45189</v>
      </c>
      <c r="C1025" s="1" t="n">
        <v>46132</v>
      </c>
      <c r="D1025" t="inlineStr">
        <is>
          <t>VÄSTERBOTTENS LÄN</t>
        </is>
      </c>
      <c r="E1025" t="inlineStr">
        <is>
          <t>UMEÅ</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17807-2026</t>
        </is>
      </c>
      <c r="B1026" s="1" t="n">
        <v>46122.42211805555</v>
      </c>
      <c r="C1026" s="1" t="n">
        <v>46132</v>
      </c>
      <c r="D1026" t="inlineStr">
        <is>
          <t>VÄSTERBOTTENS LÄN</t>
        </is>
      </c>
      <c r="E1026" t="inlineStr">
        <is>
          <t>UMEÅ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59080-2022</t>
        </is>
      </c>
      <c r="B1027" s="1" t="n">
        <v>44904</v>
      </c>
      <c r="C1027" s="1" t="n">
        <v>46132</v>
      </c>
      <c r="D1027" t="inlineStr">
        <is>
          <t>VÄSTERBOTTENS LÄN</t>
        </is>
      </c>
      <c r="E1027" t="inlineStr">
        <is>
          <t>UMEÅ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50725-2023</t>
        </is>
      </c>
      <c r="B1028" s="1" t="n">
        <v>45217</v>
      </c>
      <c r="C1028" s="1" t="n">
        <v>46132</v>
      </c>
      <c r="D1028" t="inlineStr">
        <is>
          <t>VÄSTERBOTTENS LÄN</t>
        </is>
      </c>
      <c r="E1028" t="inlineStr">
        <is>
          <t>UMEÅ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50726-2023</t>
        </is>
      </c>
      <c r="B1029" s="1" t="n">
        <v>45217</v>
      </c>
      <c r="C1029" s="1" t="n">
        <v>46132</v>
      </c>
      <c r="D1029" t="inlineStr">
        <is>
          <t>VÄSTERBOTTENS LÄN</t>
        </is>
      </c>
      <c r="E1029" t="inlineStr">
        <is>
          <t>UMEÅ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36816-2022</t>
        </is>
      </c>
      <c r="B1030" s="1" t="n">
        <v>44805.5507175926</v>
      </c>
      <c r="C1030" s="1" t="n">
        <v>46132</v>
      </c>
      <c r="D1030" t="inlineStr">
        <is>
          <t>VÄSTERBOTTENS LÄN</t>
        </is>
      </c>
      <c r="E1030" t="inlineStr">
        <is>
          <t>UMEÅ</t>
        </is>
      </c>
      <c r="F1030" t="inlineStr">
        <is>
          <t>Holmen skog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6998-2024</t>
        </is>
      </c>
      <c r="B1031" s="1" t="n">
        <v>45343</v>
      </c>
      <c r="C1031" s="1" t="n">
        <v>46132</v>
      </c>
      <c r="D1031" t="inlineStr">
        <is>
          <t>VÄSTERBOTTENS LÄN</t>
        </is>
      </c>
      <c r="E1031" t="inlineStr">
        <is>
          <t>UMEÅ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27307-2022</t>
        </is>
      </c>
      <c r="B1032" s="1" t="n">
        <v>44742.3241550926</v>
      </c>
      <c r="C1032" s="1" t="n">
        <v>46132</v>
      </c>
      <c r="D1032" t="inlineStr">
        <is>
          <t>VÄSTERBOTTENS LÄN</t>
        </is>
      </c>
      <c r="E1032" t="inlineStr">
        <is>
          <t>UMEÅ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17081-2025</t>
        </is>
      </c>
      <c r="B1033" s="1" t="n">
        <v>45755</v>
      </c>
      <c r="C1033" s="1" t="n">
        <v>46132</v>
      </c>
      <c r="D1033" t="inlineStr">
        <is>
          <t>VÄSTERBOTTENS LÄN</t>
        </is>
      </c>
      <c r="E1033" t="inlineStr">
        <is>
          <t>UMEÅ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62648-2021</t>
        </is>
      </c>
      <c r="B1034" s="1" t="n">
        <v>44503</v>
      </c>
      <c r="C1034" s="1" t="n">
        <v>46132</v>
      </c>
      <c r="D1034" t="inlineStr">
        <is>
          <t>VÄSTERBOTTENS LÄN</t>
        </is>
      </c>
      <c r="E1034" t="inlineStr">
        <is>
          <t>UMEÅ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18552-2026</t>
        </is>
      </c>
      <c r="B1035" s="1" t="n">
        <v>46127.57398148148</v>
      </c>
      <c r="C1035" s="1" t="n">
        <v>46132</v>
      </c>
      <c r="D1035" t="inlineStr">
        <is>
          <t>VÄSTERBOTTENS LÄN</t>
        </is>
      </c>
      <c r="E1035" t="inlineStr">
        <is>
          <t>UMEÅ</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18356-2026</t>
        </is>
      </c>
      <c r="B1036" s="1" t="n">
        <v>46126.58796296296</v>
      </c>
      <c r="C1036" s="1" t="n">
        <v>46132</v>
      </c>
      <c r="D1036" t="inlineStr">
        <is>
          <t>VÄSTERBOTTENS LÄN</t>
        </is>
      </c>
      <c r="E1036" t="inlineStr">
        <is>
          <t>UMEÅ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50084-2021</t>
        </is>
      </c>
      <c r="B1037" s="1" t="n">
        <v>44456.59263888889</v>
      </c>
      <c r="C1037" s="1" t="n">
        <v>46132</v>
      </c>
      <c r="D1037" t="inlineStr">
        <is>
          <t>VÄSTERBOTTENS LÄN</t>
        </is>
      </c>
      <c r="E1037" t="inlineStr">
        <is>
          <t>UMEÅ</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3366-2024</t>
        </is>
      </c>
      <c r="B1038" s="1" t="n">
        <v>45317</v>
      </c>
      <c r="C1038" s="1" t="n">
        <v>46132</v>
      </c>
      <c r="D1038" t="inlineStr">
        <is>
          <t>VÄSTERBOTTENS LÄN</t>
        </is>
      </c>
      <c r="E1038" t="inlineStr">
        <is>
          <t>UMEÅ</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18371-2026</t>
        </is>
      </c>
      <c r="B1039" s="1" t="n">
        <v>46126.615625</v>
      </c>
      <c r="C1039" s="1" t="n">
        <v>46132</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12299-2026</t>
        </is>
      </c>
      <c r="B1040" s="1" t="n">
        <v>46087.56365740741</v>
      </c>
      <c r="C1040" s="1" t="n">
        <v>46132</v>
      </c>
      <c r="D1040" t="inlineStr">
        <is>
          <t>VÄSTERBOTTENS LÄN</t>
        </is>
      </c>
      <c r="E1040" t="inlineStr">
        <is>
          <t>UMEÅ</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14286-2025</t>
        </is>
      </c>
      <c r="B1041" s="1" t="n">
        <v>45740.66287037037</v>
      </c>
      <c r="C1041" s="1" t="n">
        <v>46132</v>
      </c>
      <c r="D1041" t="inlineStr">
        <is>
          <t>VÄSTERBOTTENS LÄN</t>
        </is>
      </c>
      <c r="E1041" t="inlineStr">
        <is>
          <t>UMEÅ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40024-2022</t>
        </is>
      </c>
      <c r="B1042" s="1" t="n">
        <v>44820.41207175926</v>
      </c>
      <c r="C1042" s="1" t="n">
        <v>46132</v>
      </c>
      <c r="D1042" t="inlineStr">
        <is>
          <t>VÄSTERBOTTENS LÄN</t>
        </is>
      </c>
      <c r="E1042" t="inlineStr">
        <is>
          <t>UMEÅ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7440-2024</t>
        </is>
      </c>
      <c r="B1043" s="1" t="n">
        <v>45345</v>
      </c>
      <c r="C1043" s="1" t="n">
        <v>46132</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37023-2024</t>
        </is>
      </c>
      <c r="B1044" s="1" t="n">
        <v>45539</v>
      </c>
      <c r="C1044" s="1" t="n">
        <v>46132</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23840-2024</t>
        </is>
      </c>
      <c r="B1045" s="1" t="n">
        <v>45455</v>
      </c>
      <c r="C1045" s="1" t="n">
        <v>46132</v>
      </c>
      <c r="D1045" t="inlineStr">
        <is>
          <t>VÄSTERBOTTENS LÄN</t>
        </is>
      </c>
      <c r="E1045" t="inlineStr">
        <is>
          <t>UMEÅ</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41525-2023</t>
        </is>
      </c>
      <c r="B1046" s="1" t="n">
        <v>45173</v>
      </c>
      <c r="C1046" s="1" t="n">
        <v>46132</v>
      </c>
      <c r="D1046" t="inlineStr">
        <is>
          <t>VÄSTERBOTTENS LÄN</t>
        </is>
      </c>
      <c r="E1046" t="inlineStr">
        <is>
          <t>UMEÅ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40032-2023</t>
        </is>
      </c>
      <c r="B1047" s="1" t="n">
        <v>45167</v>
      </c>
      <c r="C1047" s="1" t="n">
        <v>46132</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50287-2023</t>
        </is>
      </c>
      <c r="B1048" s="1" t="n">
        <v>45216</v>
      </c>
      <c r="C1048" s="1" t="n">
        <v>46132</v>
      </c>
      <c r="D1048" t="inlineStr">
        <is>
          <t>VÄSTERBOTTENS LÄN</t>
        </is>
      </c>
      <c r="E1048" t="inlineStr">
        <is>
          <t>UMEÅ</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14403-2025</t>
        </is>
      </c>
      <c r="B1049" s="1" t="n">
        <v>45741.46083333333</v>
      </c>
      <c r="C1049" s="1" t="n">
        <v>46132</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12723-2025</t>
        </is>
      </c>
      <c r="B1050" s="1" t="n">
        <v>45733.49011574074</v>
      </c>
      <c r="C1050" s="1" t="n">
        <v>46132</v>
      </c>
      <c r="D1050" t="inlineStr">
        <is>
          <t>VÄSTERBOTTENS LÄN</t>
        </is>
      </c>
      <c r="E1050" t="inlineStr">
        <is>
          <t>UMEÅ</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49525-2023</t>
        </is>
      </c>
      <c r="B1051" s="1" t="n">
        <v>45205</v>
      </c>
      <c r="C1051" s="1" t="n">
        <v>46132</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26861-2024</t>
        </is>
      </c>
      <c r="B1052" s="1" t="n">
        <v>45470</v>
      </c>
      <c r="C1052" s="1" t="n">
        <v>46132</v>
      </c>
      <c r="D1052" t="inlineStr">
        <is>
          <t>VÄSTERBOTTENS LÄN</t>
        </is>
      </c>
      <c r="E1052" t="inlineStr">
        <is>
          <t>UMEÅ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31903-2024</t>
        </is>
      </c>
      <c r="B1053" s="1" t="n">
        <v>45510.32447916667</v>
      </c>
      <c r="C1053" s="1" t="n">
        <v>46132</v>
      </c>
      <c r="D1053" t="inlineStr">
        <is>
          <t>VÄSTERBOTTENS LÄN</t>
        </is>
      </c>
      <c r="E1053" t="inlineStr">
        <is>
          <t>UMEÅ</t>
        </is>
      </c>
      <c r="F1053" t="inlineStr">
        <is>
          <t>Holmen skog AB</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57914-2022</t>
        </is>
      </c>
      <c r="B1054" s="1" t="n">
        <v>44900.36453703704</v>
      </c>
      <c r="C1054" s="1" t="n">
        <v>46132</v>
      </c>
      <c r="D1054" t="inlineStr">
        <is>
          <t>VÄSTERBOTTENS LÄN</t>
        </is>
      </c>
      <c r="E1054" t="inlineStr">
        <is>
          <t>UMEÅ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9671-2024</t>
        </is>
      </c>
      <c r="B1055" s="1" t="n">
        <v>45362.46013888889</v>
      </c>
      <c r="C1055" s="1" t="n">
        <v>46132</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7384-2022</t>
        </is>
      </c>
      <c r="B1056" s="1" t="n">
        <v>44606.62334490741</v>
      </c>
      <c r="C1056" s="1" t="n">
        <v>46132</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38750-2021</t>
        </is>
      </c>
      <c r="B1057" s="1" t="n">
        <v>44410</v>
      </c>
      <c r="C1057" s="1" t="n">
        <v>46132</v>
      </c>
      <c r="D1057" t="inlineStr">
        <is>
          <t>VÄSTERBOTTENS LÄN</t>
        </is>
      </c>
      <c r="E1057" t="inlineStr">
        <is>
          <t>UMEÅ</t>
        </is>
      </c>
      <c r="F1057" t="inlineStr">
        <is>
          <t>Kommuner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43975-2024</t>
        </is>
      </c>
      <c r="B1058" s="1" t="n">
        <v>45572.49075231481</v>
      </c>
      <c r="C1058" s="1" t="n">
        <v>46132</v>
      </c>
      <c r="D1058" t="inlineStr">
        <is>
          <t>VÄSTERBOTTENS LÄN</t>
        </is>
      </c>
      <c r="E1058" t="inlineStr">
        <is>
          <t>UMEÅ</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45343-2024</t>
        </is>
      </c>
      <c r="B1059" s="1" t="n">
        <v>45576.47199074074</v>
      </c>
      <c r="C1059" s="1" t="n">
        <v>46132</v>
      </c>
      <c r="D1059" t="inlineStr">
        <is>
          <t>VÄSTERBOTTENS LÄN</t>
        </is>
      </c>
      <c r="E1059" t="inlineStr">
        <is>
          <t>UMEÅ</t>
        </is>
      </c>
      <c r="F1059" t="inlineStr">
        <is>
          <t>Holmen skog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52900-2023</t>
        </is>
      </c>
      <c r="B1060" s="1" t="n">
        <v>45226</v>
      </c>
      <c r="C1060" s="1" t="n">
        <v>46132</v>
      </c>
      <c r="D1060" t="inlineStr">
        <is>
          <t>VÄSTERBOTTENS LÄN</t>
        </is>
      </c>
      <c r="E1060" t="inlineStr">
        <is>
          <t>UMEÅ</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3411-2023</t>
        </is>
      </c>
      <c r="B1061" s="1" t="n">
        <v>44949.55421296296</v>
      </c>
      <c r="C1061" s="1" t="n">
        <v>46132</v>
      </c>
      <c r="D1061" t="inlineStr">
        <is>
          <t>VÄSTERBOTTENS LÄN</t>
        </is>
      </c>
      <c r="E1061" t="inlineStr">
        <is>
          <t>UMEÅ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42010-2024</t>
        </is>
      </c>
      <c r="B1062" s="1" t="n">
        <v>45561</v>
      </c>
      <c r="C1062" s="1" t="n">
        <v>46132</v>
      </c>
      <c r="D1062" t="inlineStr">
        <is>
          <t>VÄSTERBOTTENS LÄN</t>
        </is>
      </c>
      <c r="E1062" t="inlineStr">
        <is>
          <t>UMEÅ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8409-2022</t>
        </is>
      </c>
      <c r="B1063" s="1" t="n">
        <v>44610.92238425926</v>
      </c>
      <c r="C1063" s="1" t="n">
        <v>46132</v>
      </c>
      <c r="D1063" t="inlineStr">
        <is>
          <t>VÄSTERBOTTENS LÄN</t>
        </is>
      </c>
      <c r="E1063" t="inlineStr">
        <is>
          <t>UMEÅ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17484-2022</t>
        </is>
      </c>
      <c r="B1064" s="1" t="n">
        <v>44679</v>
      </c>
      <c r="C1064" s="1" t="n">
        <v>46132</v>
      </c>
      <c r="D1064" t="inlineStr">
        <is>
          <t>VÄSTERBOTTENS LÄN</t>
        </is>
      </c>
      <c r="E1064" t="inlineStr">
        <is>
          <t>UMEÅ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26933-2024</t>
        </is>
      </c>
      <c r="B1065" s="1" t="n">
        <v>45470</v>
      </c>
      <c r="C1065" s="1" t="n">
        <v>46132</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60645-2023</t>
        </is>
      </c>
      <c r="B1066" s="1" t="n">
        <v>45260.41273148148</v>
      </c>
      <c r="C1066" s="1" t="n">
        <v>46132</v>
      </c>
      <c r="D1066" t="inlineStr">
        <is>
          <t>VÄSTERBOTTENS LÄN</t>
        </is>
      </c>
      <c r="E1066" t="inlineStr">
        <is>
          <t>UMEÅ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52364-2024</t>
        </is>
      </c>
      <c r="B1067" s="1" t="n">
        <v>45609.38349537037</v>
      </c>
      <c r="C1067" s="1" t="n">
        <v>46132</v>
      </c>
      <c r="D1067" t="inlineStr">
        <is>
          <t>VÄSTERBOTTENS LÄN</t>
        </is>
      </c>
      <c r="E1067" t="inlineStr">
        <is>
          <t>UMEÅ</t>
        </is>
      </c>
      <c r="F1067" t="inlineStr">
        <is>
          <t>Holmen skog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42000-2024</t>
        </is>
      </c>
      <c r="B1068" s="1" t="n">
        <v>45561.65799768519</v>
      </c>
      <c r="C1068" s="1" t="n">
        <v>46132</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32791-2024</t>
        </is>
      </c>
      <c r="B1069" s="1" t="n">
        <v>45516.54195601852</v>
      </c>
      <c r="C1069" s="1" t="n">
        <v>46132</v>
      </c>
      <c r="D1069" t="inlineStr">
        <is>
          <t>VÄSTERBOTTENS LÄN</t>
        </is>
      </c>
      <c r="E1069" t="inlineStr">
        <is>
          <t>UMEÅ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26872-2022</t>
        </is>
      </c>
      <c r="B1070" s="1" t="n">
        <v>44740</v>
      </c>
      <c r="C1070" s="1" t="n">
        <v>46132</v>
      </c>
      <c r="D1070" t="inlineStr">
        <is>
          <t>VÄSTERBOTTENS LÄN</t>
        </is>
      </c>
      <c r="E1070" t="inlineStr">
        <is>
          <t>UMEÅ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9924-2022</t>
        </is>
      </c>
      <c r="B1071" s="1" t="n">
        <v>44620.92203703704</v>
      </c>
      <c r="C1071" s="1" t="n">
        <v>46132</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25367-2023</t>
        </is>
      </c>
      <c r="B1072" s="1" t="n">
        <v>45088.92412037037</v>
      </c>
      <c r="C1072" s="1" t="n">
        <v>46132</v>
      </c>
      <c r="D1072" t="inlineStr">
        <is>
          <t>VÄSTERBOTTENS LÄN</t>
        </is>
      </c>
      <c r="E1072" t="inlineStr">
        <is>
          <t>UMEÅ</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22632-2024</t>
        </is>
      </c>
      <c r="B1073" s="1" t="n">
        <v>45447.67429398148</v>
      </c>
      <c r="C1073" s="1" t="n">
        <v>46132</v>
      </c>
      <c r="D1073" t="inlineStr">
        <is>
          <t>VÄSTERBOTTENS LÄN</t>
        </is>
      </c>
      <c r="E1073" t="inlineStr">
        <is>
          <t>UMEÅ</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44132-2022</t>
        </is>
      </c>
      <c r="B1074" s="1" t="n">
        <v>44839.40086805556</v>
      </c>
      <c r="C1074" s="1" t="n">
        <v>46132</v>
      </c>
      <c r="D1074" t="inlineStr">
        <is>
          <t>VÄSTERBOTTENS LÄN</t>
        </is>
      </c>
      <c r="E1074" t="inlineStr">
        <is>
          <t>UMEÅ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20459-2021</t>
        </is>
      </c>
      <c r="B1075" s="1" t="n">
        <v>44314</v>
      </c>
      <c r="C1075" s="1" t="n">
        <v>46132</v>
      </c>
      <c r="D1075" t="inlineStr">
        <is>
          <t>VÄSTERBOTTENS LÄN</t>
        </is>
      </c>
      <c r="E1075" t="inlineStr">
        <is>
          <t>UMEÅ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48586-2024</t>
        </is>
      </c>
      <c r="B1076" s="1" t="n">
        <v>45593.42652777778</v>
      </c>
      <c r="C1076" s="1" t="n">
        <v>46132</v>
      </c>
      <c r="D1076" t="inlineStr">
        <is>
          <t>VÄSTERBOTTENS LÄN</t>
        </is>
      </c>
      <c r="E1076" t="inlineStr">
        <is>
          <t>UMEÅ</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2737-2023</t>
        </is>
      </c>
      <c r="B1077" s="1" t="n">
        <v>44944</v>
      </c>
      <c r="C1077" s="1" t="n">
        <v>46132</v>
      </c>
      <c r="D1077" t="inlineStr">
        <is>
          <t>VÄSTERBOTTENS LÄN</t>
        </is>
      </c>
      <c r="E1077" t="inlineStr">
        <is>
          <t>UMEÅ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24586-2022</t>
        </is>
      </c>
      <c r="B1078" s="1" t="n">
        <v>44727.45271990741</v>
      </c>
      <c r="C1078" s="1" t="n">
        <v>46132</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9531-2023</t>
        </is>
      </c>
      <c r="B1079" s="1" t="n">
        <v>44981</v>
      </c>
      <c r="C1079" s="1" t="n">
        <v>46132</v>
      </c>
      <c r="D1079" t="inlineStr">
        <is>
          <t>VÄSTERBOTTENS LÄN</t>
        </is>
      </c>
      <c r="E1079" t="inlineStr">
        <is>
          <t>UMEÅ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2632-2023</t>
        </is>
      </c>
      <c r="B1080" s="1" t="n">
        <v>44944</v>
      </c>
      <c r="C1080" s="1" t="n">
        <v>46132</v>
      </c>
      <c r="D1080" t="inlineStr">
        <is>
          <t>VÄSTERBOTTENS LÄN</t>
        </is>
      </c>
      <c r="E1080" t="inlineStr">
        <is>
          <t>UMEÅ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2634-2023</t>
        </is>
      </c>
      <c r="B1081" s="1" t="n">
        <v>44944.4013425926</v>
      </c>
      <c r="C1081" s="1" t="n">
        <v>46132</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14432-2022</t>
        </is>
      </c>
      <c r="B1082" s="1" t="n">
        <v>44652.92743055556</v>
      </c>
      <c r="C1082" s="1" t="n">
        <v>46132</v>
      </c>
      <c r="D1082" t="inlineStr">
        <is>
          <t>VÄSTERBOTTENS LÄN</t>
        </is>
      </c>
      <c r="E1082" t="inlineStr">
        <is>
          <t>UMEÅ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29454-2023</t>
        </is>
      </c>
      <c r="B1083" s="1" t="n">
        <v>45098</v>
      </c>
      <c r="C1083" s="1" t="n">
        <v>46132</v>
      </c>
      <c r="D1083" t="inlineStr">
        <is>
          <t>VÄSTERBOTTENS LÄN</t>
        </is>
      </c>
      <c r="E1083" t="inlineStr">
        <is>
          <t>UMEÅ</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2695-2023</t>
        </is>
      </c>
      <c r="B1084" s="1" t="n">
        <v>44944</v>
      </c>
      <c r="C1084" s="1" t="n">
        <v>46132</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46132</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37443-2023</t>
        </is>
      </c>
      <c r="B1086" s="1" t="n">
        <v>45147</v>
      </c>
      <c r="C1086" s="1" t="n">
        <v>46132</v>
      </c>
      <c r="D1086" t="inlineStr">
        <is>
          <t>VÄSTERBOTTENS LÄN</t>
        </is>
      </c>
      <c r="E1086" t="inlineStr">
        <is>
          <t>UMEÅ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2073-2024</t>
        </is>
      </c>
      <c r="B1087" s="1" t="n">
        <v>45309</v>
      </c>
      <c r="C1087" s="1" t="n">
        <v>46132</v>
      </c>
      <c r="D1087" t="inlineStr">
        <is>
          <t>VÄSTERBOTTENS LÄN</t>
        </is>
      </c>
      <c r="E1087" t="inlineStr">
        <is>
          <t>UMEÅ</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10357-2023</t>
        </is>
      </c>
      <c r="B1088" s="1" t="n">
        <v>44980</v>
      </c>
      <c r="C1088" s="1" t="n">
        <v>46132</v>
      </c>
      <c r="D1088" t="inlineStr">
        <is>
          <t>VÄSTERBOTTENS LÄN</t>
        </is>
      </c>
      <c r="E1088" t="inlineStr">
        <is>
          <t>UMEÅ</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18448-2023</t>
        </is>
      </c>
      <c r="B1089" s="1" t="n">
        <v>45042</v>
      </c>
      <c r="C1089" s="1" t="n">
        <v>46132</v>
      </c>
      <c r="D1089" t="inlineStr">
        <is>
          <t>VÄSTERBOTTENS LÄN</t>
        </is>
      </c>
      <c r="E1089" t="inlineStr">
        <is>
          <t>UMEÅ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48751-2023</t>
        </is>
      </c>
      <c r="B1090" s="1" t="n">
        <v>45208.89429398148</v>
      </c>
      <c r="C1090" s="1" t="n">
        <v>46132</v>
      </c>
      <c r="D1090" t="inlineStr">
        <is>
          <t>VÄSTERBOTTENS LÄN</t>
        </is>
      </c>
      <c r="E1090" t="inlineStr">
        <is>
          <t>UMEÅ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37629-2024</t>
        </is>
      </c>
      <c r="B1091" s="1" t="n">
        <v>45541.53135416667</v>
      </c>
      <c r="C1091" s="1" t="n">
        <v>46132</v>
      </c>
      <c r="D1091" t="inlineStr">
        <is>
          <t>VÄSTERBOTTENS LÄN</t>
        </is>
      </c>
      <c r="E1091" t="inlineStr">
        <is>
          <t>UMEÅ</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49793-2024</t>
        </is>
      </c>
      <c r="B1092" s="1" t="n">
        <v>45597.3706712963</v>
      </c>
      <c r="C1092" s="1" t="n">
        <v>46132</v>
      </c>
      <c r="D1092" t="inlineStr">
        <is>
          <t>VÄSTERBOTTENS LÄN</t>
        </is>
      </c>
      <c r="E1092" t="inlineStr">
        <is>
          <t>UMEÅ</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57883-2023</t>
        </is>
      </c>
      <c r="B1093" s="1" t="n">
        <v>45247.47055555556</v>
      </c>
      <c r="C1093" s="1" t="n">
        <v>46132</v>
      </c>
      <c r="D1093" t="inlineStr">
        <is>
          <t>VÄSTERBOTTENS LÄN</t>
        </is>
      </c>
      <c r="E1093" t="inlineStr">
        <is>
          <t>UMEÅ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17110-2023</t>
        </is>
      </c>
      <c r="B1094" s="1" t="n">
        <v>45030</v>
      </c>
      <c r="C1094" s="1" t="n">
        <v>46132</v>
      </c>
      <c r="D1094" t="inlineStr">
        <is>
          <t>VÄSTERBOTTENS LÄN</t>
        </is>
      </c>
      <c r="E1094" t="inlineStr">
        <is>
          <t>UMEÅ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24875-2023</t>
        </is>
      </c>
      <c r="B1095" s="1" t="n">
        <v>45078</v>
      </c>
      <c r="C1095" s="1" t="n">
        <v>46132</v>
      </c>
      <c r="D1095" t="inlineStr">
        <is>
          <t>VÄSTERBOTTENS LÄN</t>
        </is>
      </c>
      <c r="E1095" t="inlineStr">
        <is>
          <t>UMEÅ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58440-2024</t>
        </is>
      </c>
      <c r="B1096" s="1" t="n">
        <v>45635.31018518518</v>
      </c>
      <c r="C1096" s="1" t="n">
        <v>46132</v>
      </c>
      <c r="D1096" t="inlineStr">
        <is>
          <t>VÄSTERBOTTENS LÄN</t>
        </is>
      </c>
      <c r="E1096" t="inlineStr">
        <is>
          <t>UMEÅ</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15430-2024</t>
        </is>
      </c>
      <c r="B1097" s="1" t="n">
        <v>45401</v>
      </c>
      <c r="C1097" s="1" t="n">
        <v>46132</v>
      </c>
      <c r="D1097" t="inlineStr">
        <is>
          <t>VÄSTERBOTTENS LÄN</t>
        </is>
      </c>
      <c r="E1097" t="inlineStr">
        <is>
          <t>UMEÅ</t>
        </is>
      </c>
      <c r="F1097" t="inlineStr">
        <is>
          <t>Holmen skog AB</t>
        </is>
      </c>
      <c r="G1097" t="n">
        <v>37.4</v>
      </c>
      <c r="H1097" t="n">
        <v>0</v>
      </c>
      <c r="I1097" t="n">
        <v>0</v>
      </c>
      <c r="J1097" t="n">
        <v>0</v>
      </c>
      <c r="K1097" t="n">
        <v>0</v>
      </c>
      <c r="L1097" t="n">
        <v>0</v>
      </c>
      <c r="M1097" t="n">
        <v>0</v>
      </c>
      <c r="N1097" t="n">
        <v>0</v>
      </c>
      <c r="O1097" t="n">
        <v>0</v>
      </c>
      <c r="P1097" t="n">
        <v>0</v>
      </c>
      <c r="Q1097" t="n">
        <v>0</v>
      </c>
      <c r="R1097" s="2" t="inlineStr"/>
    </row>
    <row r="1098" ht="15" customHeight="1">
      <c r="A1098" t="inlineStr">
        <is>
          <t>A 54509-2024</t>
        </is>
      </c>
      <c r="B1098" s="1" t="n">
        <v>45617.58597222222</v>
      </c>
      <c r="C1098" s="1" t="n">
        <v>46132</v>
      </c>
      <c r="D1098" t="inlineStr">
        <is>
          <t>VÄSTERBOTTENS LÄN</t>
        </is>
      </c>
      <c r="E1098" t="inlineStr">
        <is>
          <t>UMEÅ</t>
        </is>
      </c>
      <c r="F1098" t="inlineStr">
        <is>
          <t>Holmen skog AB</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5302-2025</t>
        </is>
      </c>
      <c r="B1099" s="1" t="n">
        <v>45692.47335648148</v>
      </c>
      <c r="C1099" s="1" t="n">
        <v>46132</v>
      </c>
      <c r="D1099" t="inlineStr">
        <is>
          <t>VÄSTERBOTTENS LÄN</t>
        </is>
      </c>
      <c r="E1099" t="inlineStr">
        <is>
          <t>UMEÅ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45325-2024</t>
        </is>
      </c>
      <c r="B1100" s="1" t="n">
        <v>45576.45346064815</v>
      </c>
      <c r="C1100" s="1" t="n">
        <v>46132</v>
      </c>
      <c r="D1100" t="inlineStr">
        <is>
          <t>VÄSTERBOTTENS LÄN</t>
        </is>
      </c>
      <c r="E1100" t="inlineStr">
        <is>
          <t>UMEÅ</t>
        </is>
      </c>
      <c r="F1100" t="inlineStr">
        <is>
          <t>Holmen skog AB</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759-2023</t>
        </is>
      </c>
      <c r="B1101" s="1" t="n">
        <v>44931</v>
      </c>
      <c r="C1101" s="1" t="n">
        <v>46132</v>
      </c>
      <c r="D1101" t="inlineStr">
        <is>
          <t>VÄSTERBOTTENS LÄN</t>
        </is>
      </c>
      <c r="E1101" t="inlineStr">
        <is>
          <t>UMEÅ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17352-2023</t>
        </is>
      </c>
      <c r="B1102" s="1" t="n">
        <v>45033</v>
      </c>
      <c r="C1102" s="1" t="n">
        <v>46132</v>
      </c>
      <c r="D1102" t="inlineStr">
        <is>
          <t>VÄSTERBOTTENS LÄN</t>
        </is>
      </c>
      <c r="E1102" t="inlineStr">
        <is>
          <t>UMEÅ</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23983-2023</t>
        </is>
      </c>
      <c r="B1103" s="1" t="n">
        <v>45078</v>
      </c>
      <c r="C1103" s="1" t="n">
        <v>46132</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58130-2023</t>
        </is>
      </c>
      <c r="B1104" s="1" t="n">
        <v>45249.95226851852</v>
      </c>
      <c r="C1104" s="1" t="n">
        <v>46132</v>
      </c>
      <c r="D1104" t="inlineStr">
        <is>
          <t>VÄSTERBOTTENS LÄN</t>
        </is>
      </c>
      <c r="E1104" t="inlineStr">
        <is>
          <t>UMEÅ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9169-2025</t>
        </is>
      </c>
      <c r="B1105" s="1" t="n">
        <v>45714.39142361111</v>
      </c>
      <c r="C1105" s="1" t="n">
        <v>46132</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59333-2023</t>
        </is>
      </c>
      <c r="B1106" s="1" t="n">
        <v>45252</v>
      </c>
      <c r="C1106" s="1" t="n">
        <v>46132</v>
      </c>
      <c r="D1106" t="inlineStr">
        <is>
          <t>VÄSTERBOTTENS LÄN</t>
        </is>
      </c>
      <c r="E1106" t="inlineStr">
        <is>
          <t>UMEÅ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11063-2025</t>
        </is>
      </c>
      <c r="B1107" s="1" t="n">
        <v>45723.52046296297</v>
      </c>
      <c r="C1107" s="1" t="n">
        <v>46132</v>
      </c>
      <c r="D1107" t="inlineStr">
        <is>
          <t>VÄSTERBOTTENS LÄN</t>
        </is>
      </c>
      <c r="E1107" t="inlineStr">
        <is>
          <t>UMEÅ</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2258-2025</t>
        </is>
      </c>
      <c r="B1108" s="1" t="n">
        <v>45673.51619212963</v>
      </c>
      <c r="C1108" s="1" t="n">
        <v>46132</v>
      </c>
      <c r="D1108" t="inlineStr">
        <is>
          <t>VÄSTERBOTTENS LÄN</t>
        </is>
      </c>
      <c r="E1108" t="inlineStr">
        <is>
          <t>UMEÅ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57510-2024</t>
        </is>
      </c>
      <c r="B1109" s="1" t="n">
        <v>45630.3946875</v>
      </c>
      <c r="C1109" s="1" t="n">
        <v>46132</v>
      </c>
      <c r="D1109" t="inlineStr">
        <is>
          <t>VÄSTERBOTTENS LÄN</t>
        </is>
      </c>
      <c r="E1109" t="inlineStr">
        <is>
          <t>UMEÅ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7263-2022</t>
        </is>
      </c>
      <c r="B1110" s="1" t="n">
        <v>44606.44032407407</v>
      </c>
      <c r="C1110" s="1" t="n">
        <v>46132</v>
      </c>
      <c r="D1110" t="inlineStr">
        <is>
          <t>VÄSTERBOTTENS LÄN</t>
        </is>
      </c>
      <c r="E1110" t="inlineStr">
        <is>
          <t>UMEÅ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10532-2023</t>
        </is>
      </c>
      <c r="B1111" s="1" t="n">
        <v>44987</v>
      </c>
      <c r="C1111" s="1" t="n">
        <v>46132</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22291-2023</t>
        </is>
      </c>
      <c r="B1112" s="1" t="n">
        <v>45070</v>
      </c>
      <c r="C1112" s="1" t="n">
        <v>46132</v>
      </c>
      <c r="D1112" t="inlineStr">
        <is>
          <t>VÄSTERBOTTENS LÄN</t>
        </is>
      </c>
      <c r="E1112" t="inlineStr">
        <is>
          <t>UMEÅ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53787-2024</t>
        </is>
      </c>
      <c r="B1113" s="1" t="n">
        <v>45615</v>
      </c>
      <c r="C1113" s="1" t="n">
        <v>46132</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2766-2025</t>
        </is>
      </c>
      <c r="B1114" s="1" t="n">
        <v>45677.49140046296</v>
      </c>
      <c r="C1114" s="1" t="n">
        <v>46132</v>
      </c>
      <c r="D1114" t="inlineStr">
        <is>
          <t>VÄSTERBOTTENS LÄN</t>
        </is>
      </c>
      <c r="E1114" t="inlineStr">
        <is>
          <t>UMEÅ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61105-2023</t>
        </is>
      </c>
      <c r="B1115" s="1" t="n">
        <v>45261.66517361111</v>
      </c>
      <c r="C1115" s="1" t="n">
        <v>46132</v>
      </c>
      <c r="D1115" t="inlineStr">
        <is>
          <t>VÄSTERBOTTENS LÄN</t>
        </is>
      </c>
      <c r="E1115" t="inlineStr">
        <is>
          <t>UMEÅ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43163-2023</t>
        </is>
      </c>
      <c r="B1116" s="1" t="n">
        <v>45183</v>
      </c>
      <c r="C1116" s="1" t="n">
        <v>46132</v>
      </c>
      <c r="D1116" t="inlineStr">
        <is>
          <t>VÄSTERBOTTENS LÄN</t>
        </is>
      </c>
      <c r="E1116" t="inlineStr">
        <is>
          <t>UMEÅ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25966-2022</t>
        </is>
      </c>
      <c r="B1117" s="1" t="n">
        <v>44734</v>
      </c>
      <c r="C1117" s="1" t="n">
        <v>46132</v>
      </c>
      <c r="D1117" t="inlineStr">
        <is>
          <t>VÄSTERBOTTENS LÄN</t>
        </is>
      </c>
      <c r="E1117" t="inlineStr">
        <is>
          <t>UMEÅ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7213-2025</t>
        </is>
      </c>
      <c r="B1118" s="1" t="n">
        <v>45702.47341435185</v>
      </c>
      <c r="C1118" s="1" t="n">
        <v>46132</v>
      </c>
      <c r="D1118" t="inlineStr">
        <is>
          <t>VÄSTERBOTTENS LÄN</t>
        </is>
      </c>
      <c r="E1118" t="inlineStr">
        <is>
          <t>UMEÅ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20142-2025</t>
        </is>
      </c>
      <c r="B1119" s="1" t="n">
        <v>45772.52554398148</v>
      </c>
      <c r="C1119" s="1" t="n">
        <v>46132</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26738-2024</t>
        </is>
      </c>
      <c r="B1120" s="1" t="n">
        <v>45470.44721064815</v>
      </c>
      <c r="C1120" s="1" t="n">
        <v>46132</v>
      </c>
      <c r="D1120" t="inlineStr">
        <is>
          <t>VÄSTERBOTTENS LÄN</t>
        </is>
      </c>
      <c r="E1120" t="inlineStr">
        <is>
          <t>UMEÅ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4629-2022</t>
        </is>
      </c>
      <c r="B1121" s="1" t="n">
        <v>44592.40050925926</v>
      </c>
      <c r="C1121" s="1" t="n">
        <v>46132</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18907-2023</t>
        </is>
      </c>
      <c r="B1122" s="1" t="n">
        <v>45043</v>
      </c>
      <c r="C1122" s="1" t="n">
        <v>46132</v>
      </c>
      <c r="D1122" t="inlineStr">
        <is>
          <t>VÄSTERBOTTENS LÄN</t>
        </is>
      </c>
      <c r="E1122" t="inlineStr">
        <is>
          <t>UMEÅ</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51390-2024</t>
        </is>
      </c>
      <c r="B1123" s="1" t="n">
        <v>45604.40876157407</v>
      </c>
      <c r="C1123" s="1" t="n">
        <v>46132</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35808-2022</t>
        </is>
      </c>
      <c r="B1124" s="1" t="n">
        <v>44802.31871527778</v>
      </c>
      <c r="C1124" s="1" t="n">
        <v>46132</v>
      </c>
      <c r="D1124" t="inlineStr">
        <is>
          <t>VÄSTERBOTTENS LÄN</t>
        </is>
      </c>
      <c r="E1124" t="inlineStr">
        <is>
          <t>UMEÅ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51544-2023</t>
        </is>
      </c>
      <c r="B1125" s="1" t="n">
        <v>45222.41521990741</v>
      </c>
      <c r="C1125" s="1" t="n">
        <v>46132</v>
      </c>
      <c r="D1125" t="inlineStr">
        <is>
          <t>VÄSTERBOTTENS LÄN</t>
        </is>
      </c>
      <c r="E1125" t="inlineStr">
        <is>
          <t>UMEÅ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45797-2024</t>
        </is>
      </c>
      <c r="B1126" s="1" t="n">
        <v>45579.67520833333</v>
      </c>
      <c r="C1126" s="1" t="n">
        <v>46132</v>
      </c>
      <c r="D1126" t="inlineStr">
        <is>
          <t>VÄSTERBOTTENS LÄN</t>
        </is>
      </c>
      <c r="E1126" t="inlineStr">
        <is>
          <t>UMEÅ</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1089-2024</t>
        </is>
      </c>
      <c r="B1127" s="1" t="n">
        <v>45301</v>
      </c>
      <c r="C1127" s="1" t="n">
        <v>46132</v>
      </c>
      <c r="D1127" t="inlineStr">
        <is>
          <t>VÄSTERBOTTENS LÄN</t>
        </is>
      </c>
      <c r="E1127" t="inlineStr">
        <is>
          <t>UMEÅ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15701-2025</t>
        </is>
      </c>
      <c r="B1128" s="1" t="n">
        <v>45748.47508101852</v>
      </c>
      <c r="C1128" s="1" t="n">
        <v>46132</v>
      </c>
      <c r="D1128" t="inlineStr">
        <is>
          <t>VÄSTERBOTTENS LÄN</t>
        </is>
      </c>
      <c r="E1128" t="inlineStr">
        <is>
          <t>UMEÅ</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63136-2023</t>
        </is>
      </c>
      <c r="B1129" s="1" t="n">
        <v>45273.46479166667</v>
      </c>
      <c r="C1129" s="1" t="n">
        <v>46132</v>
      </c>
      <c r="D1129" t="inlineStr">
        <is>
          <t>VÄSTERBOTTENS LÄN</t>
        </is>
      </c>
      <c r="E1129" t="inlineStr">
        <is>
          <t>UMEÅ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17345-2025</t>
        </is>
      </c>
      <c r="B1130" s="1" t="n">
        <v>45756.67292824074</v>
      </c>
      <c r="C1130" s="1" t="n">
        <v>46132</v>
      </c>
      <c r="D1130" t="inlineStr">
        <is>
          <t>VÄSTERBOTTENS LÄN</t>
        </is>
      </c>
      <c r="E1130" t="inlineStr">
        <is>
          <t>UMEÅ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3830-2025</t>
        </is>
      </c>
      <c r="B1131" s="1" t="n">
        <v>45681.84473379629</v>
      </c>
      <c r="C1131" s="1" t="n">
        <v>46132</v>
      </c>
      <c r="D1131" t="inlineStr">
        <is>
          <t>VÄSTERBOTTENS LÄN</t>
        </is>
      </c>
      <c r="E1131" t="inlineStr">
        <is>
          <t>UMEÅ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4251-2025</t>
        </is>
      </c>
      <c r="B1132" s="1" t="n">
        <v>45685.60450231482</v>
      </c>
      <c r="C1132" s="1" t="n">
        <v>46132</v>
      </c>
      <c r="D1132" t="inlineStr">
        <is>
          <t>VÄSTERBOTTENS LÄN</t>
        </is>
      </c>
      <c r="E1132" t="inlineStr">
        <is>
          <t>UMEÅ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7693-2025</t>
        </is>
      </c>
      <c r="B1133" s="1" t="n">
        <v>45706.39457175926</v>
      </c>
      <c r="C1133" s="1" t="n">
        <v>46132</v>
      </c>
      <c r="D1133" t="inlineStr">
        <is>
          <t>VÄSTERBOTTENS LÄN</t>
        </is>
      </c>
      <c r="E1133" t="inlineStr">
        <is>
          <t>UMEÅ</t>
        </is>
      </c>
      <c r="G1133" t="n">
        <v>19.7</v>
      </c>
      <c r="H1133" t="n">
        <v>0</v>
      </c>
      <c r="I1133" t="n">
        <v>0</v>
      </c>
      <c r="J1133" t="n">
        <v>0</v>
      </c>
      <c r="K1133" t="n">
        <v>0</v>
      </c>
      <c r="L1133" t="n">
        <v>0</v>
      </c>
      <c r="M1133" t="n">
        <v>0</v>
      </c>
      <c r="N1133" t="n">
        <v>0</v>
      </c>
      <c r="O1133" t="n">
        <v>0</v>
      </c>
      <c r="P1133" t="n">
        <v>0</v>
      </c>
      <c r="Q1133" t="n">
        <v>0</v>
      </c>
      <c r="R1133" s="2" t="inlineStr"/>
    </row>
    <row r="1134" ht="15" customHeight="1">
      <c r="A1134" t="inlineStr">
        <is>
          <t>A 7696-2025</t>
        </is>
      </c>
      <c r="B1134" s="1" t="n">
        <v>45706.39914351852</v>
      </c>
      <c r="C1134" s="1" t="n">
        <v>46132</v>
      </c>
      <c r="D1134" t="inlineStr">
        <is>
          <t>VÄSTERBOTTENS LÄN</t>
        </is>
      </c>
      <c r="E1134" t="inlineStr">
        <is>
          <t>UMEÅ</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13766-2025</t>
        </is>
      </c>
      <c r="B1135" s="1" t="n">
        <v>45737.43314814815</v>
      </c>
      <c r="C1135" s="1" t="n">
        <v>46132</v>
      </c>
      <c r="D1135" t="inlineStr">
        <is>
          <t>VÄSTERBOTTENS LÄN</t>
        </is>
      </c>
      <c r="E1135" t="inlineStr">
        <is>
          <t>UMEÅ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5232-2025</t>
        </is>
      </c>
      <c r="B1136" s="1" t="n">
        <v>45691</v>
      </c>
      <c r="C1136" s="1" t="n">
        <v>46132</v>
      </c>
      <c r="D1136" t="inlineStr">
        <is>
          <t>VÄSTERBOTTENS LÄN</t>
        </is>
      </c>
      <c r="E1136" t="inlineStr">
        <is>
          <t>UMEÅ</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62106-2022</t>
        </is>
      </c>
      <c r="B1137" s="1" t="n">
        <v>44920</v>
      </c>
      <c r="C1137" s="1" t="n">
        <v>46132</v>
      </c>
      <c r="D1137" t="inlineStr">
        <is>
          <t>VÄSTERBOTTENS LÄN</t>
        </is>
      </c>
      <c r="E1137" t="inlineStr">
        <is>
          <t>UMEÅ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31031-2024</t>
        </is>
      </c>
      <c r="B1138" s="1" t="n">
        <v>45501.40922453703</v>
      </c>
      <c r="C1138" s="1" t="n">
        <v>46132</v>
      </c>
      <c r="D1138" t="inlineStr">
        <is>
          <t>VÄSTERBOTTENS LÄN</t>
        </is>
      </c>
      <c r="E1138" t="inlineStr">
        <is>
          <t>UMEÅ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23718-2023</t>
        </is>
      </c>
      <c r="B1139" s="1" t="n">
        <v>45077.66282407408</v>
      </c>
      <c r="C1139" s="1" t="n">
        <v>46132</v>
      </c>
      <c r="D1139" t="inlineStr">
        <is>
          <t>VÄSTERBOTTENS LÄN</t>
        </is>
      </c>
      <c r="E1139" t="inlineStr">
        <is>
          <t>UMEÅ</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54143-2024</t>
        </is>
      </c>
      <c r="B1140" s="1" t="n">
        <v>45616</v>
      </c>
      <c r="C1140" s="1" t="n">
        <v>46132</v>
      </c>
      <c r="D1140" t="inlineStr">
        <is>
          <t>VÄSTERBOTTENS LÄN</t>
        </is>
      </c>
      <c r="E1140" t="inlineStr">
        <is>
          <t>UMEÅ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10899-2025</t>
        </is>
      </c>
      <c r="B1141" s="1" t="n">
        <v>45722</v>
      </c>
      <c r="C1141" s="1" t="n">
        <v>46132</v>
      </c>
      <c r="D1141" t="inlineStr">
        <is>
          <t>VÄSTERBOTTENS LÄN</t>
        </is>
      </c>
      <c r="E1141" t="inlineStr">
        <is>
          <t>UMEÅ</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15358-2023</t>
        </is>
      </c>
      <c r="B1142" s="1" t="n">
        <v>45016</v>
      </c>
      <c r="C1142" s="1" t="n">
        <v>46132</v>
      </c>
      <c r="D1142" t="inlineStr">
        <is>
          <t>VÄSTERBOTTENS LÄN</t>
        </is>
      </c>
      <c r="E1142" t="inlineStr">
        <is>
          <t>UMEÅ</t>
        </is>
      </c>
      <c r="F1142" t="inlineStr">
        <is>
          <t>Kommuner</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63188-2023</t>
        </is>
      </c>
      <c r="B1143" s="1" t="n">
        <v>45272</v>
      </c>
      <c r="C1143" s="1" t="n">
        <v>46132</v>
      </c>
      <c r="D1143" t="inlineStr">
        <is>
          <t>VÄSTERBOTTENS LÄN</t>
        </is>
      </c>
      <c r="E1143" t="inlineStr">
        <is>
          <t>UMEÅ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13820-2025</t>
        </is>
      </c>
      <c r="B1144" s="1" t="n">
        <v>45737.5315625</v>
      </c>
      <c r="C1144" s="1" t="n">
        <v>46132</v>
      </c>
      <c r="D1144" t="inlineStr">
        <is>
          <t>VÄSTERBOTTENS LÄN</t>
        </is>
      </c>
      <c r="E1144" t="inlineStr">
        <is>
          <t>UMEÅ</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13195-2025</t>
        </is>
      </c>
      <c r="B1145" s="1" t="n">
        <v>45735</v>
      </c>
      <c r="C1145" s="1" t="n">
        <v>46132</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27941-2024</t>
        </is>
      </c>
      <c r="B1146" s="1" t="n">
        <v>45475</v>
      </c>
      <c r="C1146" s="1" t="n">
        <v>46132</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15904-2025</t>
        </is>
      </c>
      <c r="B1147" s="1" t="n">
        <v>45749.43325231481</v>
      </c>
      <c r="C1147" s="1" t="n">
        <v>46132</v>
      </c>
      <c r="D1147" t="inlineStr">
        <is>
          <t>VÄSTERBOTTENS LÄN</t>
        </is>
      </c>
      <c r="E1147" t="inlineStr">
        <is>
          <t>UMEÅ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51415-2024</t>
        </is>
      </c>
      <c r="B1148" s="1" t="n">
        <v>45604</v>
      </c>
      <c r="C1148" s="1" t="n">
        <v>46132</v>
      </c>
      <c r="D1148" t="inlineStr">
        <is>
          <t>VÄSTERBOTTENS LÄN</t>
        </is>
      </c>
      <c r="E1148" t="inlineStr">
        <is>
          <t>UMEÅ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57497-2024</t>
        </is>
      </c>
      <c r="B1149" s="1" t="n">
        <v>45630</v>
      </c>
      <c r="C1149" s="1" t="n">
        <v>46132</v>
      </c>
      <c r="D1149" t="inlineStr">
        <is>
          <t>VÄSTERBOTTENS LÄN</t>
        </is>
      </c>
      <c r="E1149" t="inlineStr">
        <is>
          <t>UMEÅ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35209-2024</t>
        </is>
      </c>
      <c r="B1150" s="1" t="n">
        <v>45530</v>
      </c>
      <c r="C1150" s="1" t="n">
        <v>46132</v>
      </c>
      <c r="D1150" t="inlineStr">
        <is>
          <t>VÄSTERBOTTENS LÄN</t>
        </is>
      </c>
      <c r="E1150" t="inlineStr">
        <is>
          <t>UMEÅ</t>
        </is>
      </c>
      <c r="F1150" t="inlineStr">
        <is>
          <t>Holmen skog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35228-2024</t>
        </is>
      </c>
      <c r="B1151" s="1" t="n">
        <v>45530.52100694444</v>
      </c>
      <c r="C1151" s="1" t="n">
        <v>46132</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61280-2023</t>
        </is>
      </c>
      <c r="B1152" s="1" t="n">
        <v>45260</v>
      </c>
      <c r="C1152" s="1" t="n">
        <v>46132</v>
      </c>
      <c r="D1152" t="inlineStr">
        <is>
          <t>VÄSTERBOTTENS LÄN</t>
        </is>
      </c>
      <c r="E1152" t="inlineStr">
        <is>
          <t>UMEÅ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37260-2024</t>
        </is>
      </c>
      <c r="B1153" s="1" t="n">
        <v>45540.37623842592</v>
      </c>
      <c r="C1153" s="1" t="n">
        <v>46132</v>
      </c>
      <c r="D1153" t="inlineStr">
        <is>
          <t>VÄSTERBOTTENS LÄN</t>
        </is>
      </c>
      <c r="E1153" t="inlineStr">
        <is>
          <t>UMEÅ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14316-2025</t>
        </is>
      </c>
      <c r="B1154" s="1" t="n">
        <v>45740</v>
      </c>
      <c r="C1154" s="1" t="n">
        <v>46132</v>
      </c>
      <c r="D1154" t="inlineStr">
        <is>
          <t>VÄSTERBOTTENS LÄN</t>
        </is>
      </c>
      <c r="E1154" t="inlineStr">
        <is>
          <t>UMEÅ</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3254-2024</t>
        </is>
      </c>
      <c r="B1155" s="1" t="n">
        <v>45316</v>
      </c>
      <c r="C1155" s="1" t="n">
        <v>46132</v>
      </c>
      <c r="D1155" t="inlineStr">
        <is>
          <t>VÄSTERBOTTENS LÄN</t>
        </is>
      </c>
      <c r="E1155" t="inlineStr">
        <is>
          <t>UMEÅ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15459-2025</t>
        </is>
      </c>
      <c r="B1156" s="1" t="n">
        <v>45747.50991898148</v>
      </c>
      <c r="C1156" s="1" t="n">
        <v>46132</v>
      </c>
      <c r="D1156" t="inlineStr">
        <is>
          <t>VÄSTERBOTTENS LÄN</t>
        </is>
      </c>
      <c r="E1156" t="inlineStr">
        <is>
          <t>UMEÅ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58680-2024</t>
        </is>
      </c>
      <c r="B1157" s="1" t="n">
        <v>45635</v>
      </c>
      <c r="C1157" s="1" t="n">
        <v>46132</v>
      </c>
      <c r="D1157" t="inlineStr">
        <is>
          <t>VÄSTERBOTTENS LÄN</t>
        </is>
      </c>
      <c r="E1157" t="inlineStr">
        <is>
          <t>UMEÅ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58899-2024</t>
        </is>
      </c>
      <c r="B1158" s="1" t="n">
        <v>45636.4705787037</v>
      </c>
      <c r="C1158" s="1" t="n">
        <v>46132</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c r="A1159" t="inlineStr">
        <is>
          <t>A 20981-2025</t>
        </is>
      </c>
      <c r="B1159" s="1" t="n">
        <v>45777.46688657408</v>
      </c>
      <c r="C1159" s="1" t="n">
        <v>46132</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2026-04-20T10:29:57Z</dcterms:created>
  <dcterms:modified xmlns:dcterms="http://purl.org/dc/terms/" xmlns:xsi="http://www.w3.org/2001/XMLSchema-instance" xsi:type="dcterms:W3CDTF">2026-04-20T10:29:58Z</dcterms:modified>
</cp:coreProperties>
</file>