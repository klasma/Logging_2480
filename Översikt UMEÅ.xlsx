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4361-2021</t>
        </is>
      </c>
      <c r="B2" t="inlineStr">
        <is>
          <t>samrådsanmälan</t>
        </is>
      </c>
      <c r="C2" t="inlineStr">
        <is>
          <t>Annan skogsbruksåtgärd</t>
        </is>
      </c>
      <c r="D2" s="1" t="n">
        <v>44396</v>
      </c>
      <c r="E2" s="1" t="n">
        <v>46223</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X2">
        <f>HYPERLINK("https://klasma.github.io/Logging_2480/kartor_geotiff/S 4361-2021 georefererad karta.tif", "S 4361-2021")</f>
        <v/>
      </c>
      <c r="Z2">
        <f>HYPERLINK("https://klasma.github.io/Logging_2480/klagomål/S 4361-2021 FSC-klagomål.docx", "S 4361-2021")</f>
        <v/>
      </c>
      <c r="AA2">
        <f>HYPERLINK("https://klasma.github.io/Logging_2480/klagomålsmail/S 4361-2021 FSC-klagomål mail.docx", "S 4361-2021")</f>
        <v/>
      </c>
      <c r="AB2">
        <f>HYPERLINK("https://klasma.github.io/Logging_2480/tillsyn/S 4361-2021 tillsynsbegäran.docx", "S 4361-2021")</f>
        <v/>
      </c>
      <c r="AC2">
        <f>HYPERLINK("https://klasma.github.io/Logging_2480/tillsynsmail/S 4361-2021 tillsynsbegäran mail.docx", "S 4361-2021")</f>
        <v/>
      </c>
      <c r="AD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46223</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X3">
        <f>HYPERLINK("https://klasma.github.io/Logging_2480/kartor_geotiff/S 470-2025 georefererad karta.tif", "S 470-2025")</f>
        <v/>
      </c>
      <c r="Z3">
        <f>HYPERLINK("https://klasma.github.io/Logging_2480/klagomål/S 470-2025 FSC-klagomål.docx", "S 470-2025")</f>
        <v/>
      </c>
      <c r="AA3">
        <f>HYPERLINK("https://klasma.github.io/Logging_2480/klagomålsmail/S 470-2025 FSC-klagomål mail.docx", "S 470-2025")</f>
        <v/>
      </c>
      <c r="AB3">
        <f>HYPERLINK("https://klasma.github.io/Logging_2480/tillsyn/S 470-2025 tillsynsbegäran.docx", "S 470-2025")</f>
        <v/>
      </c>
      <c r="AC3">
        <f>HYPERLINK("https://klasma.github.io/Logging_2480/tillsynsmail/S 470-2025 tillsynsbegäran mail.docx", "S 470-2025")</f>
        <v/>
      </c>
      <c r="AD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46223</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X4">
        <f>HYPERLINK("https://klasma.github.io/Logging_2480/kartor_geotiff/A 45663-2024 georefererad karta.tif", "A 45663-2024")</f>
        <v/>
      </c>
      <c r="Z4">
        <f>HYPERLINK("https://klasma.github.io/Logging_2480/klagomål/A 45663-2024 FSC-klagomål.docx", "A 45663-2024")</f>
        <v/>
      </c>
      <c r="AA4">
        <f>HYPERLINK("https://klasma.github.io/Logging_2480/klagomålsmail/A 45663-2024 FSC-klagomål mail.docx", "A 45663-2024")</f>
        <v/>
      </c>
      <c r="AB4">
        <f>HYPERLINK("https://klasma.github.io/Logging_2480/tillsyn/A 45663-2024 tillsynsbegäran.docx", "A 45663-2024")</f>
        <v/>
      </c>
      <c r="AC4">
        <f>HYPERLINK("https://klasma.github.io/Logging_2480/tillsynsmail/A 45663-2024 tillsynsbegäran mail.docx", "A 45663-2024")</f>
        <v/>
      </c>
      <c r="AD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46223</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X5">
        <f>HYPERLINK("https://klasma.github.io/Logging_2480/kartor_geotiff/A 2991-2026 georefererad karta.tif", "A 2991-2026")</f>
        <v/>
      </c>
      <c r="Z5">
        <f>HYPERLINK("https://klasma.github.io/Logging_2480/klagomål/A 2991-2026 FSC-klagomål.docx", "A 2991-2026")</f>
        <v/>
      </c>
      <c r="AA5">
        <f>HYPERLINK("https://klasma.github.io/Logging_2480/klagomålsmail/A 2991-2026 FSC-klagomål mail.docx", "A 2991-2026")</f>
        <v/>
      </c>
      <c r="AB5">
        <f>HYPERLINK("https://klasma.github.io/Logging_2480/tillsyn/A 2991-2026 tillsynsbegäran.docx", "A 2991-2026")</f>
        <v/>
      </c>
      <c r="AC5">
        <f>HYPERLINK("https://klasma.github.io/Logging_2480/tillsynsmail/A 2991-2026 tillsynsbegäran mail.docx", "A 2991-2026")</f>
        <v/>
      </c>
      <c r="AD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46223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X6">
        <f>HYPERLINK("https://klasma.github.io/Logging_2480/kartor_geotiff/A 38554-2024 georefererad karta.tif", "A 38554-2024")</f>
        <v/>
      </c>
      <c r="Z6">
        <f>HYPERLINK("https://klasma.github.io/Logging_2480/klagomål/A 38554-2024 FSC-klagomål.docx", "A 38554-2024")</f>
        <v/>
      </c>
      <c r="AA6">
        <f>HYPERLINK("https://klasma.github.io/Logging_2480/klagomålsmail/A 38554-2024 FSC-klagomål mail.docx", "A 38554-2024")</f>
        <v/>
      </c>
      <c r="AB6">
        <f>HYPERLINK("https://klasma.github.io/Logging_2480/tillsyn/A 38554-2024 tillsynsbegäran.docx", "A 38554-2024")</f>
        <v/>
      </c>
      <c r="AC6">
        <f>HYPERLINK("https://klasma.github.io/Logging_2480/tillsynsmail/A 38554-2024 tillsynsbegäran mail.docx", "A 38554-2024")</f>
        <v/>
      </c>
      <c r="AD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46223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X7">
        <f>HYPERLINK("https://klasma.github.io/Logging_2480/kartor_geotiff/A 42189-2024 georefererad karta.tif", "A 42189-2024")</f>
        <v/>
      </c>
      <c r="Z7">
        <f>HYPERLINK("https://klasma.github.io/Logging_2480/klagomål/A 42189-2024 FSC-klagomål.docx", "A 42189-2024")</f>
        <v/>
      </c>
      <c r="AA7">
        <f>HYPERLINK("https://klasma.github.io/Logging_2480/klagomålsmail/A 42189-2024 FSC-klagomål mail.docx", "A 42189-2024")</f>
        <v/>
      </c>
      <c r="AB7">
        <f>HYPERLINK("https://klasma.github.io/Logging_2480/tillsyn/A 42189-2024 tillsynsbegäran.docx", "A 42189-2024")</f>
        <v/>
      </c>
      <c r="AC7">
        <f>HYPERLINK("https://klasma.github.io/Logging_2480/tillsynsmail/A 42189-2024 tillsynsbegäran mail.docx", "A 42189-2024")</f>
        <v/>
      </c>
      <c r="AD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46223</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X8">
        <f>HYPERLINK("https://klasma.github.io/Logging_2480/kartor_geotiff/A 38688-2021 georefererad karta.tif", "A 38688-2021")</f>
        <v/>
      </c>
      <c r="Z8">
        <f>HYPERLINK("https://klasma.github.io/Logging_2480/klagomål/A 38688-2021 FSC-klagomål.docx", "A 38688-2021")</f>
        <v/>
      </c>
      <c r="AA8">
        <f>HYPERLINK("https://klasma.github.io/Logging_2480/klagomålsmail/A 38688-2021 FSC-klagomål mail.docx", "A 38688-2021")</f>
        <v/>
      </c>
      <c r="AB8">
        <f>HYPERLINK("https://klasma.github.io/Logging_2480/tillsyn/A 38688-2021 tillsynsbegäran.docx", "A 38688-2021")</f>
        <v/>
      </c>
      <c r="AC8">
        <f>HYPERLINK("https://klasma.github.io/Logging_2480/tillsynsmail/A 38688-2021 tillsynsbegäran mail.docx", "A 38688-2021")</f>
        <v/>
      </c>
      <c r="AD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46223</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X9">
        <f>HYPERLINK("https://klasma.github.io/Logging_2480/kartor_geotiff/A 24934-2025 georefererad karta.tif", "A 24934-2025")</f>
        <v/>
      </c>
      <c r="Z9">
        <f>HYPERLINK("https://klasma.github.io/Logging_2480/klagomål/A 24934-2025 FSC-klagomål.docx", "A 24934-2025")</f>
        <v/>
      </c>
      <c r="AA9">
        <f>HYPERLINK("https://klasma.github.io/Logging_2480/klagomålsmail/A 24934-2025 FSC-klagomål mail.docx", "A 24934-2025")</f>
        <v/>
      </c>
      <c r="AB9">
        <f>HYPERLINK("https://klasma.github.io/Logging_2480/tillsyn/A 24934-2025 tillsynsbegäran.docx", "A 24934-2025")</f>
        <v/>
      </c>
      <c r="AC9">
        <f>HYPERLINK("https://klasma.github.io/Logging_2480/tillsynsmail/A 24934-2025 tillsynsbegäran mail.docx", "A 24934-2025")</f>
        <v/>
      </c>
      <c r="AD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46223</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HYPERLINK("https://klasma.github.io/Logging_2480/kartor_geotiff/A 38519-2025 georefererad karta.tif", "A 38519-2025")</f>
        <v/>
      </c>
      <c r="Y10">
        <f>HYPERLINK("https://klasma.github.io/Logging_2480/knärot/A 38519-2025 karta knärot.png", "A 38519-2025")</f>
        <v/>
      </c>
      <c r="Z10">
        <f>HYPERLINK("https://klasma.github.io/Logging_2480/klagomål/A 38519-2025 FSC-klagomål.docx", "A 38519-2025")</f>
        <v/>
      </c>
      <c r="AA10">
        <f>HYPERLINK("https://klasma.github.io/Logging_2480/klagomålsmail/A 38519-2025 FSC-klagomål mail.docx", "A 38519-2025")</f>
        <v/>
      </c>
      <c r="AB10">
        <f>HYPERLINK("https://klasma.github.io/Logging_2480/tillsyn/A 38519-2025 tillsynsbegäran.docx", "A 38519-2025")</f>
        <v/>
      </c>
      <c r="AC10">
        <f>HYPERLINK("https://klasma.github.io/Logging_2480/tillsynsmail/A 38519-2025 tillsynsbegäran mail.docx", "A 38519-2025")</f>
        <v/>
      </c>
      <c r="AD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46223</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X11">
        <f>HYPERLINK("https://klasma.github.io/Logging_2480/kartor_geotiff/S 4725-2024 georefererad karta.tif", "S 4725-2024")</f>
        <v/>
      </c>
      <c r="Z11">
        <f>HYPERLINK("https://klasma.github.io/Logging_2480/klagomål/S 4725-2024 FSC-klagomål.docx", "S 4725-2024")</f>
        <v/>
      </c>
      <c r="AA11">
        <f>HYPERLINK("https://klasma.github.io/Logging_2480/klagomålsmail/S 4725-2024 FSC-klagomål mail.docx", "S 4725-2024")</f>
        <v/>
      </c>
      <c r="AB11">
        <f>HYPERLINK("https://klasma.github.io/Logging_2480/tillsyn/S 4725-2024 tillsynsbegäran.docx", "S 4725-2024")</f>
        <v/>
      </c>
      <c r="AC11">
        <f>HYPERLINK("https://klasma.github.io/Logging_2480/tillsynsmail/S 4725-2024 tillsynsbegäran mail.docx", "S 4725-2024")</f>
        <v/>
      </c>
      <c r="AD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46223</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X12">
        <f>HYPERLINK("https://klasma.github.io/Logging_2480/kartor_geotiff/A 6725-2024 georefererad karta.tif", "A 6725-2024")</f>
        <v/>
      </c>
      <c r="Z12">
        <f>HYPERLINK("https://klasma.github.io/Logging_2480/klagomål/A 6725-2024 FSC-klagomål.docx", "A 6725-2024")</f>
        <v/>
      </c>
      <c r="AA12">
        <f>HYPERLINK("https://klasma.github.io/Logging_2480/klagomålsmail/A 6725-2024 FSC-klagomål mail.docx", "A 6725-2024")</f>
        <v/>
      </c>
      <c r="AB12">
        <f>HYPERLINK("https://klasma.github.io/Logging_2480/tillsyn/A 6725-2024 tillsynsbegäran.docx", "A 6725-2024")</f>
        <v/>
      </c>
      <c r="AC12">
        <f>HYPERLINK("https://klasma.github.io/Logging_2480/tillsynsmail/A 6725-2024 tillsynsbegäran mail.docx", "A 6725-2024")</f>
        <v/>
      </c>
      <c r="AD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46223</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X13">
        <f>HYPERLINK("https://klasma.github.io/Logging_2480/kartor_geotiff/A 42391-2021 georefererad karta.tif", "A 42391-2021")</f>
        <v/>
      </c>
      <c r="Z13">
        <f>HYPERLINK("https://klasma.github.io/Logging_2480/klagomål/A 42391-2021 FSC-klagomål.docx", "A 42391-2021")</f>
        <v/>
      </c>
      <c r="AA13">
        <f>HYPERLINK("https://klasma.github.io/Logging_2480/klagomålsmail/A 42391-2021 FSC-klagomål mail.docx", "A 42391-2021")</f>
        <v/>
      </c>
      <c r="AB13">
        <f>HYPERLINK("https://klasma.github.io/Logging_2480/tillsyn/A 42391-2021 tillsynsbegäran.docx", "A 42391-2021")</f>
        <v/>
      </c>
      <c r="AC13">
        <f>HYPERLINK("https://klasma.github.io/Logging_2480/tillsynsmail/A 42391-2021 tillsynsbegäran mail.docx", "A 42391-2021")</f>
        <v/>
      </c>
      <c r="AD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46223</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HYPERLINK("https://klasma.github.io/Logging_2480/kartor_geotiff/A 22575-2024 georefererad karta.tif", "A 22575-2024")</f>
        <v/>
      </c>
      <c r="Y14">
        <f>HYPERLINK("https://klasma.github.io/Logging_2480/knärot/A 22575-2024 karta knärot.png", "A 22575-2024")</f>
        <v/>
      </c>
      <c r="Z14">
        <f>HYPERLINK("https://klasma.github.io/Logging_2480/klagomål/A 22575-2024 FSC-klagomål.docx", "A 22575-2024")</f>
        <v/>
      </c>
      <c r="AA14">
        <f>HYPERLINK("https://klasma.github.io/Logging_2480/klagomålsmail/A 22575-2024 FSC-klagomål mail.docx", "A 22575-2024")</f>
        <v/>
      </c>
      <c r="AB14">
        <f>HYPERLINK("https://klasma.github.io/Logging_2480/tillsyn/A 22575-2024 tillsynsbegäran.docx", "A 22575-2024")</f>
        <v/>
      </c>
      <c r="AC14">
        <f>HYPERLINK("https://klasma.github.io/Logging_2480/tillsynsmail/A 22575-2024 tillsynsbegäran mail.docx", "A 22575-2024")</f>
        <v/>
      </c>
      <c r="AD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46223</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X15">
        <f>HYPERLINK("https://klasma.github.io/Logging_2480/kartor_geotiff/A 31296-2022 georefererad karta.tif", "A 31296-2022")</f>
        <v/>
      </c>
      <c r="Z15">
        <f>HYPERLINK("https://klasma.github.io/Logging_2480/klagomål/A 31296-2022 FSC-klagomål.docx", "A 31296-2022")</f>
        <v/>
      </c>
      <c r="AA15">
        <f>HYPERLINK("https://klasma.github.io/Logging_2480/klagomålsmail/A 31296-2022 FSC-klagomål mail.docx", "A 31296-2022")</f>
        <v/>
      </c>
      <c r="AB15">
        <f>HYPERLINK("https://klasma.github.io/Logging_2480/tillsyn/A 31296-2022 tillsynsbegäran.docx", "A 31296-2022")</f>
        <v/>
      </c>
      <c r="AC15">
        <f>HYPERLINK("https://klasma.github.io/Logging_2480/tillsynsmail/A 31296-2022 tillsynsbegäran mail.docx", "A 31296-2022")</f>
        <v/>
      </c>
      <c r="AD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46223</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X16">
        <f>HYPERLINK("https://klasma.github.io/Logging_2480/kartor_geotiff/A 42025-2024 georefererad karta.tif", "A 42025-2024")</f>
        <v/>
      </c>
      <c r="Z16">
        <f>HYPERLINK("https://klasma.github.io/Logging_2480/klagomål/A 42025-2024 FSC-klagomål.docx", "A 42025-2024")</f>
        <v/>
      </c>
      <c r="AA16">
        <f>HYPERLINK("https://klasma.github.io/Logging_2480/klagomålsmail/A 42025-2024 FSC-klagomål mail.docx", "A 42025-2024")</f>
        <v/>
      </c>
      <c r="AB16">
        <f>HYPERLINK("https://klasma.github.io/Logging_2480/tillsyn/A 42025-2024 tillsynsbegäran.docx", "A 42025-2024")</f>
        <v/>
      </c>
      <c r="AC16">
        <f>HYPERLINK("https://klasma.github.io/Logging_2480/tillsynsmail/A 42025-2024 tillsynsbegäran mail.docx", "A 42025-2024")</f>
        <v/>
      </c>
      <c r="AD16">
        <f>HYPERLINK("https://klasma.github.io/Logging_2480/fåglar/A 42025-2024 prioriterade fågelarter.docx", "A 42025-2024")</f>
        <v/>
      </c>
    </row>
    <row r="17" ht="15" customHeight="1">
      <c r="A17" t="inlineStr">
        <is>
          <t>A 41407-2022</t>
        </is>
      </c>
      <c r="B17" t="inlineStr">
        <is>
          <t>avverkningsanmälan</t>
        </is>
      </c>
      <c r="C17" t="inlineStr">
        <is>
          <t>Föryngringsavverkning</t>
        </is>
      </c>
      <c r="D17" s="1" t="n">
        <v>44826</v>
      </c>
      <c r="E17" s="1" t="n">
        <v>46223</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s="2" t="inlineStr">
        <is>
          <t>Garnlav
Kötticka
Rosenticka
Stjärntagging
Tretåig hackspett
Ullticka
Älg
Vedticka
Järpe
Spillkråka
Grönsiska</t>
        </is>
      </c>
      <c r="V17">
        <f>HYPERLINK("https://klasma.github.io/Logging_2480/artfynd/A 41407-2022 artfynd.xlsx", "A 41407-2022")</f>
        <v/>
      </c>
      <c r="W17">
        <f>HYPERLINK("https://klasma.github.io/Logging_2480/kartor/A 41407-2022 karta.png", "A 41407-2022")</f>
        <v/>
      </c>
      <c r="X17">
        <f>HYPERLINK("https://klasma.github.io/Logging_2480/kartor_geotiff/A 41407-2022 georefererad karta.tif", "A 41407-2022")</f>
        <v/>
      </c>
      <c r="Z17">
        <f>HYPERLINK("https://klasma.github.io/Logging_2480/klagomål/A 41407-2022 FSC-klagomål.docx", "A 41407-2022")</f>
        <v/>
      </c>
      <c r="AA17">
        <f>HYPERLINK("https://klasma.github.io/Logging_2480/klagomålsmail/A 41407-2022 FSC-klagomål mail.docx", "A 41407-2022")</f>
        <v/>
      </c>
      <c r="AB17">
        <f>HYPERLINK("https://klasma.github.io/Logging_2480/tillsyn/A 41407-2022 tillsynsbegäran.docx", "A 41407-2022")</f>
        <v/>
      </c>
      <c r="AC17">
        <f>HYPERLINK("https://klasma.github.io/Logging_2480/tillsynsmail/A 41407-2022 tillsynsbegäran mail.docx", "A 41407-2022")</f>
        <v/>
      </c>
      <c r="AD17">
        <f>HYPERLINK("https://klasma.github.io/Logging_2480/fåglar/A 41407-2022 prioriterade fågelarter.docx", "A 41407-2022")</f>
        <v/>
      </c>
    </row>
    <row r="18" ht="15" customHeight="1">
      <c r="A18" t="inlineStr">
        <is>
          <t>A 51198-2022</t>
        </is>
      </c>
      <c r="B18" t="inlineStr">
        <is>
          <t>avverkningsanmälan</t>
        </is>
      </c>
      <c r="C18" t="inlineStr">
        <is>
          <t>Föryngringsavverkning</t>
        </is>
      </c>
      <c r="D18" s="1" t="n">
        <v>44868</v>
      </c>
      <c r="E18" s="1" t="n">
        <v>46223</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s="2" t="inlineStr">
        <is>
          <t>Garnlav
Goliatmusseron
Skrovlig taggsvamp
Blå taggsvamp
Dropptaggsvamp
Motaggsvamp
Orange taggsvamp
Skarp dropptaggsvamp
Violettgrå tagellav
Zontaggsvamp
Spillkråka</t>
        </is>
      </c>
      <c r="V18">
        <f>HYPERLINK("https://klasma.github.io/Logging_2480/artfynd/A 51198-2022 artfynd.xlsx", "A 51198-2022")</f>
        <v/>
      </c>
      <c r="W18">
        <f>HYPERLINK("https://klasma.github.io/Logging_2480/kartor/A 51198-2022 karta.png", "A 51198-2022")</f>
        <v/>
      </c>
      <c r="X18">
        <f>HYPERLINK("https://klasma.github.io/Logging_2480/kartor_geotiff/A 51198-2022 georefererad karta.tif", "A 51198-2022")</f>
        <v/>
      </c>
      <c r="Z18">
        <f>HYPERLINK("https://klasma.github.io/Logging_2480/klagomål/A 51198-2022 FSC-klagomål.docx", "A 51198-2022")</f>
        <v/>
      </c>
      <c r="AA18">
        <f>HYPERLINK("https://klasma.github.io/Logging_2480/klagomålsmail/A 51198-2022 FSC-klagomål mail.docx", "A 51198-2022")</f>
        <v/>
      </c>
      <c r="AB18">
        <f>HYPERLINK("https://klasma.github.io/Logging_2480/tillsyn/A 51198-2022 tillsynsbegäran.docx", "A 51198-2022")</f>
        <v/>
      </c>
      <c r="AC18">
        <f>HYPERLINK("https://klasma.github.io/Logging_2480/tillsynsmail/A 51198-2022 tillsynsbegäran mail.docx", "A 51198-2022")</f>
        <v/>
      </c>
      <c r="AD18">
        <f>HYPERLINK("https://klasma.github.io/Logging_2480/fåglar/A 51198-2022 prioriterade fågelarter.docx", "A 51198-2022")</f>
        <v/>
      </c>
    </row>
    <row r="19" ht="15" customHeight="1">
      <c r="A19" t="inlineStr">
        <is>
          <t>S 27-2022</t>
        </is>
      </c>
      <c r="B19" t="inlineStr">
        <is>
          <t>samrådsanmälan</t>
        </is>
      </c>
      <c r="C19" t="inlineStr">
        <is>
          <t>Skogsgödsling</t>
        </is>
      </c>
      <c r="D19" s="1" t="n">
        <v>44559</v>
      </c>
      <c r="E19" s="1" t="n">
        <v>46223</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X19">
        <f>HYPERLINK("https://klasma.github.io/Logging_2480/kartor_geotiff/S 27-2022 georefererad karta.tif", "S 27-2022")</f>
        <v/>
      </c>
      <c r="Z19">
        <f>HYPERLINK("https://klasma.github.io/Logging_2480/klagomål/S 27-2022 FSC-klagomål.docx", "S 27-2022")</f>
        <v/>
      </c>
      <c r="AA19">
        <f>HYPERLINK("https://klasma.github.io/Logging_2480/klagomålsmail/S 27-2022 FSC-klagomål mail.docx", "S 27-2022")</f>
        <v/>
      </c>
      <c r="AB19">
        <f>HYPERLINK("https://klasma.github.io/Logging_2480/tillsyn/S 27-2022 tillsynsbegäran.docx", "S 27-2022")</f>
        <v/>
      </c>
      <c r="AC19">
        <f>HYPERLINK("https://klasma.github.io/Logging_2480/tillsynsmail/S 27-2022 tillsynsbegäran mail.docx", "S 27-2022")</f>
        <v/>
      </c>
      <c r="AD19">
        <f>HYPERLINK("https://klasma.github.io/Logging_2480/fåglar/S 27-2022 prioriterade fågelarter.docx", "S 27-2022")</f>
        <v/>
      </c>
    </row>
    <row r="20" ht="15" customHeight="1">
      <c r="A20" t="inlineStr">
        <is>
          <t>A 8708-2023</t>
        </is>
      </c>
      <c r="B20" t="inlineStr">
        <is>
          <t>avverkningsanmälan</t>
        </is>
      </c>
      <c r="C20" t="inlineStr">
        <is>
          <t>Föryngringsavverkning</t>
        </is>
      </c>
      <c r="D20" s="1" t="n">
        <v>44973</v>
      </c>
      <c r="E20" s="1" t="n">
        <v>46223</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s="2" t="inlineStr">
        <is>
          <t>Aspgelélav
Garnlav
Gränsticka
Lunglav
Nordtagging
Violettgrå tagellav
Rävticka
Skinnlav
Vedticka
Huggorm</t>
        </is>
      </c>
      <c r="V20">
        <f>HYPERLINK("https://klasma.github.io/Logging_2480/artfynd/A 8708-2023 artfynd.xlsx", "A 8708-2023")</f>
        <v/>
      </c>
      <c r="W20">
        <f>HYPERLINK("https://klasma.github.io/Logging_2480/kartor/A 8708-2023 karta.png", "A 8708-2023")</f>
        <v/>
      </c>
      <c r="X20">
        <f>HYPERLINK("https://klasma.github.io/Logging_2480/kartor_geotiff/A 8708-2023 georefererad karta.tif", "A 8708-2023")</f>
        <v/>
      </c>
      <c r="Z20">
        <f>HYPERLINK("https://klasma.github.io/Logging_2480/klagomål/A 8708-2023 FSC-klagomål.docx", "A 8708-2023")</f>
        <v/>
      </c>
      <c r="AA20">
        <f>HYPERLINK("https://klasma.github.io/Logging_2480/klagomålsmail/A 8708-2023 FSC-klagomål mail.docx", "A 8708-2023")</f>
        <v/>
      </c>
      <c r="AB20">
        <f>HYPERLINK("https://klasma.github.io/Logging_2480/tillsyn/A 8708-2023 tillsynsbegäran.docx", "A 8708-2023")</f>
        <v/>
      </c>
      <c r="AC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46223</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s="2" t="inlineStr">
        <is>
          <t>Garnlav
Harticka
Stjärntagging
Talltita
Tretåig hackspett
Ullticka
Trådticka
Vedticka
Spillkråka
Kungsfågel</t>
        </is>
      </c>
      <c r="V21">
        <f>HYPERLINK("https://klasma.github.io/Logging_2480/artfynd/A 58829-2025 artfynd.xlsx", "A 58829-2025")</f>
        <v/>
      </c>
      <c r="W21">
        <f>HYPERLINK("https://klasma.github.io/Logging_2480/kartor/A 58829-2025 karta.png", "A 58829-2025")</f>
        <v/>
      </c>
      <c r="X21">
        <f>HYPERLINK("https://klasma.github.io/Logging_2480/kartor_geotiff/A 58829-2025 georefererad karta.tif", "A 58829-2025")</f>
        <v/>
      </c>
      <c r="Z21">
        <f>HYPERLINK("https://klasma.github.io/Logging_2480/klagomål/A 58829-2025 FSC-klagomål.docx", "A 58829-2025")</f>
        <v/>
      </c>
      <c r="AA21">
        <f>HYPERLINK("https://klasma.github.io/Logging_2480/klagomålsmail/A 58829-2025 FSC-klagomål mail.docx", "A 58829-2025")</f>
        <v/>
      </c>
      <c r="AB21">
        <f>HYPERLINK("https://klasma.github.io/Logging_2480/tillsyn/A 58829-2025 tillsynsbegäran.docx", "A 58829-2025")</f>
        <v/>
      </c>
      <c r="AC21">
        <f>HYPERLINK("https://klasma.github.io/Logging_2480/tillsynsmail/A 58829-2025 tillsynsbegäran mail.docx", "A 58829-2025")</f>
        <v/>
      </c>
      <c r="AD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46223</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X22">
        <f>HYPERLINK("https://klasma.github.io/Logging_2480/kartor_geotiff/A 45657-2024 georefererad karta.tif", "A 45657-2024")</f>
        <v/>
      </c>
      <c r="Z22">
        <f>HYPERLINK("https://klasma.github.io/Logging_2480/klagomål/A 45657-2024 FSC-klagomål.docx", "A 45657-2024")</f>
        <v/>
      </c>
      <c r="AA22">
        <f>HYPERLINK("https://klasma.github.io/Logging_2480/klagomålsmail/A 45657-2024 FSC-klagomål mail.docx", "A 45657-2024")</f>
        <v/>
      </c>
      <c r="AB22">
        <f>HYPERLINK("https://klasma.github.io/Logging_2480/tillsyn/A 45657-2024 tillsynsbegäran.docx", "A 45657-2024")</f>
        <v/>
      </c>
      <c r="AC22">
        <f>HYPERLINK("https://klasma.github.io/Logging_2480/tillsynsmail/A 45657-2024 tillsynsbegäran mail.docx", "A 45657-2024")</f>
        <v/>
      </c>
      <c r="AD22">
        <f>HYPERLINK("https://klasma.github.io/Logging_2480/fåglar/A 45657-2024 prioriterade fågelarter.docx", "A 45657-2024")</f>
        <v/>
      </c>
    </row>
    <row r="23" ht="15" customHeight="1">
      <c r="A23" t="inlineStr">
        <is>
          <t>A 15455-2025</t>
        </is>
      </c>
      <c r="B23" t="inlineStr">
        <is>
          <t>avverkningsanmälan</t>
        </is>
      </c>
      <c r="C23" t="inlineStr">
        <is>
          <t>Föryngringsavverkning</t>
        </is>
      </c>
      <c r="D23" s="1" t="n">
        <v>45747</v>
      </c>
      <c r="E23" s="1" t="n">
        <v>46223</v>
      </c>
      <c r="F23" t="inlineStr">
        <is>
          <t>VÄSTERBOTTENS LÄN</t>
        </is>
      </c>
      <c r="G23" t="inlineStr">
        <is>
          <t>UMEÅ</t>
        </is>
      </c>
      <c r="I23" t="n">
        <v>10.1</v>
      </c>
      <c r="J23" t="n">
        <v>10</v>
      </c>
      <c r="K23" t="n">
        <v>0</v>
      </c>
      <c r="L23" t="n">
        <v>3</v>
      </c>
      <c r="M23" t="n">
        <v>1</v>
      </c>
      <c r="N23" t="n">
        <v>0</v>
      </c>
      <c r="O23" t="n">
        <v>0</v>
      </c>
      <c r="P23" t="n">
        <v>0</v>
      </c>
      <c r="Q23" t="n">
        <v>4</v>
      </c>
      <c r="R23" t="n">
        <v>1</v>
      </c>
      <c r="S23" t="n">
        <v>10</v>
      </c>
      <c r="T23" t="n">
        <v>10</v>
      </c>
      <c r="U23" s="2" t="inlineStr">
        <is>
          <t>Gråtrut
Kricka
Skrattmås
Talltita
Videsparv
Havsörn
Kråka
Smålom
Sångsvan
Trana</t>
        </is>
      </c>
      <c r="V23">
        <f>HYPERLINK("https://klasma.github.io/Logging_2480/artfynd/A 15455-2025 artfynd.xlsx", "A 15455-2025")</f>
        <v/>
      </c>
      <c r="W23">
        <f>HYPERLINK("https://klasma.github.io/Logging_2480/kartor/A 15455-2025 karta.png", "A 15455-2025")</f>
        <v/>
      </c>
      <c r="X23">
        <f>HYPERLINK("https://klasma.github.io/Logging_2480/kartor_geotiff/A 15455-2025 georefererad karta.tif", "A 15455-2025")</f>
        <v/>
      </c>
      <c r="Z23">
        <f>HYPERLINK("https://klasma.github.io/Logging_2480/klagomål/A 15455-2025 FSC-klagomål.docx", "A 15455-2025")</f>
        <v/>
      </c>
      <c r="AA23">
        <f>HYPERLINK("https://klasma.github.io/Logging_2480/klagomålsmail/A 15455-2025 FSC-klagomål mail.docx", "A 15455-2025")</f>
        <v/>
      </c>
      <c r="AB23">
        <f>HYPERLINK("https://klasma.github.io/Logging_2480/tillsyn/A 15455-2025 tillsynsbegäran.docx", "A 15455-2025")</f>
        <v/>
      </c>
      <c r="AC23">
        <f>HYPERLINK("https://klasma.github.io/Logging_2480/tillsynsmail/A 15455-2025 tillsynsbegäran mail.docx", "A 15455-2025")</f>
        <v/>
      </c>
      <c r="AD23">
        <f>HYPERLINK("https://klasma.github.io/Logging_2480/fåglar/A 15455-2025 prioriterade fågelarter.docx", "A 15455-2025")</f>
        <v/>
      </c>
    </row>
    <row r="24" ht="15" customHeight="1">
      <c r="A24" t="inlineStr">
        <is>
          <t>S 4001-2024</t>
        </is>
      </c>
      <c r="B24" t="inlineStr">
        <is>
          <t>samrådsanmälan</t>
        </is>
      </c>
      <c r="C24" t="inlineStr">
        <is>
          <t>Annan skogsbruksåtgärd</t>
        </is>
      </c>
      <c r="D24" s="1" t="n">
        <v>45569</v>
      </c>
      <c r="E24" s="1" t="n">
        <v>46223</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X24">
        <f>HYPERLINK("https://klasma.github.io/Logging_2480/kartor_geotiff/S 4001-2024 georefererad karta.tif", "S 4001-2024")</f>
        <v/>
      </c>
      <c r="Z24">
        <f>HYPERLINK("https://klasma.github.io/Logging_2480/klagomål/S 4001-2024 FSC-klagomål.docx", "S 4001-2024")</f>
        <v/>
      </c>
      <c r="AA24">
        <f>HYPERLINK("https://klasma.github.io/Logging_2480/klagomålsmail/S 4001-2024 FSC-klagomål mail.docx", "S 4001-2024")</f>
        <v/>
      </c>
      <c r="AB24">
        <f>HYPERLINK("https://klasma.github.io/Logging_2480/tillsyn/S 4001-2024 tillsynsbegäran.docx", "S 4001-2024")</f>
        <v/>
      </c>
      <c r="AC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46223</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X25">
        <f>HYPERLINK("https://klasma.github.io/Logging_2480/kartor_geotiff/A 50969-2022 georefererad karta.tif", "A 50969-2022")</f>
        <v/>
      </c>
      <c r="Z25">
        <f>HYPERLINK("https://klasma.github.io/Logging_2480/klagomål/A 50969-2022 FSC-klagomål.docx", "A 50969-2022")</f>
        <v/>
      </c>
      <c r="AA25">
        <f>HYPERLINK("https://klasma.github.io/Logging_2480/klagomålsmail/A 50969-2022 FSC-klagomål mail.docx", "A 50969-2022")</f>
        <v/>
      </c>
      <c r="AB25">
        <f>HYPERLINK("https://klasma.github.io/Logging_2480/tillsyn/A 50969-2022 tillsynsbegäran.docx", "A 50969-2022")</f>
        <v/>
      </c>
      <c r="AC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46223</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HYPERLINK("https://klasma.github.io/Logging_2480/kartor_geotiff/A 49000-2025 georefererad karta.tif", "A 49000-2025")</f>
        <v/>
      </c>
      <c r="Y26">
        <f>HYPERLINK("https://klasma.github.io/Logging_2480/knärot/A 49000-2025 karta knärot.png", "A 49000-2025")</f>
        <v/>
      </c>
      <c r="Z26">
        <f>HYPERLINK("https://klasma.github.io/Logging_2480/klagomål/A 49000-2025 FSC-klagomål.docx", "A 49000-2025")</f>
        <v/>
      </c>
      <c r="AA26">
        <f>HYPERLINK("https://klasma.github.io/Logging_2480/klagomålsmail/A 49000-2025 FSC-klagomål mail.docx", "A 49000-2025")</f>
        <v/>
      </c>
      <c r="AB26">
        <f>HYPERLINK("https://klasma.github.io/Logging_2480/tillsyn/A 49000-2025 tillsynsbegäran.docx", "A 49000-2025")</f>
        <v/>
      </c>
      <c r="AC26">
        <f>HYPERLINK("https://klasma.github.io/Logging_2480/tillsynsmail/A 49000-2025 tillsynsbegäran mail.docx", "A 49000-2025")</f>
        <v/>
      </c>
      <c r="AD26">
        <f>HYPERLINK("https://klasma.github.io/Logging_2480/fåglar/A 49000-2025 prioriterade fågelarter.docx", "A 49000-2025")</f>
        <v/>
      </c>
    </row>
    <row r="27" ht="15" customHeight="1">
      <c r="A27" t="inlineStr">
        <is>
          <t>A 52764-2024</t>
        </is>
      </c>
      <c r="B27" t="inlineStr">
        <is>
          <t>avverkningsanmälan</t>
        </is>
      </c>
      <c r="C27" t="inlineStr">
        <is>
          <t>Föryngringsavverkning</t>
        </is>
      </c>
      <c r="D27" s="1" t="n">
        <v>45610</v>
      </c>
      <c r="E27" s="1" t="n">
        <v>46223</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X27">
        <f>HYPERLINK("https://klasma.github.io/Logging_2480/kartor_geotiff/A 52764-2024 georefererad karta.tif", "A 52764-2024")</f>
        <v/>
      </c>
      <c r="Z27">
        <f>HYPERLINK("https://klasma.github.io/Logging_2480/klagomål/A 52764-2024 FSC-klagomål.docx", "A 52764-2024")</f>
        <v/>
      </c>
      <c r="AA27">
        <f>HYPERLINK("https://klasma.github.io/Logging_2480/klagomålsmail/A 52764-2024 FSC-klagomål mail.docx", "A 52764-2024")</f>
        <v/>
      </c>
      <c r="AB27">
        <f>HYPERLINK("https://klasma.github.io/Logging_2480/tillsyn/A 52764-2024 tillsynsbegäran.docx", "A 52764-2024")</f>
        <v/>
      </c>
      <c r="AC27">
        <f>HYPERLINK("https://klasma.github.io/Logging_2480/tillsynsmail/A 52764-2024 tillsynsbegäran mail.docx", "A 52764-2024")</f>
        <v/>
      </c>
      <c r="AD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46223</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X28">
        <f>HYPERLINK("https://klasma.github.io/Logging_2480/kartor_geotiff/A 49447-2022 georefererad karta.tif", "A 49447-2022")</f>
        <v/>
      </c>
      <c r="Z28">
        <f>HYPERLINK("https://klasma.github.io/Logging_2480/klagomål/A 49447-2022 FSC-klagomål.docx", "A 49447-2022")</f>
        <v/>
      </c>
      <c r="AA28">
        <f>HYPERLINK("https://klasma.github.io/Logging_2480/klagomålsmail/A 49447-2022 FSC-klagomål mail.docx", "A 49447-2022")</f>
        <v/>
      </c>
      <c r="AB28">
        <f>HYPERLINK("https://klasma.github.io/Logging_2480/tillsyn/A 49447-2022 tillsynsbegäran.docx", "A 49447-2022")</f>
        <v/>
      </c>
      <c r="AC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46223</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X29">
        <f>HYPERLINK("https://klasma.github.io/Logging_2480/kartor_geotiff/A 16206-2022 georefererad karta.tif", "A 16206-2022")</f>
        <v/>
      </c>
      <c r="Z29">
        <f>HYPERLINK("https://klasma.github.io/Logging_2480/klagomål/A 16206-2022 FSC-klagomål.docx", "A 16206-2022")</f>
        <v/>
      </c>
      <c r="AA29">
        <f>HYPERLINK("https://klasma.github.io/Logging_2480/klagomålsmail/A 16206-2022 FSC-klagomål mail.docx", "A 16206-2022")</f>
        <v/>
      </c>
      <c r="AB29">
        <f>HYPERLINK("https://klasma.github.io/Logging_2480/tillsyn/A 16206-2022 tillsynsbegäran.docx", "A 16206-2022")</f>
        <v/>
      </c>
      <c r="AC29">
        <f>HYPERLINK("https://klasma.github.io/Logging_2480/tillsynsmail/A 16206-2022 tillsynsbegäran mail.docx", "A 16206-2022")</f>
        <v/>
      </c>
      <c r="AD29">
        <f>HYPERLINK("https://klasma.github.io/Logging_2480/fåglar/A 16206-2022 prioriterade fågelarter.docx", "A 16206-2022")</f>
        <v/>
      </c>
    </row>
    <row r="30" ht="15" customHeight="1">
      <c r="A30" t="inlineStr">
        <is>
          <t>A 47252-2024</t>
        </is>
      </c>
      <c r="B30" t="inlineStr">
        <is>
          <t>avverkningsanmälan</t>
        </is>
      </c>
      <c r="C30" t="inlineStr">
        <is>
          <t>Föryngringsavverkning</t>
        </is>
      </c>
      <c r="D30" s="1" t="n">
        <v>45586</v>
      </c>
      <c r="E30" s="1" t="n">
        <v>46223</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s="2" t="inlineStr">
        <is>
          <t>Garnlav
Mörk kolflarnlav
Vedskivlav
Spillkråka
Kungsfågel
Orre
Fläcknycklar</t>
        </is>
      </c>
      <c r="V30">
        <f>HYPERLINK("https://klasma.github.io/Logging_2480/artfynd/A 47252-2024 artfynd.xlsx", "A 47252-2024")</f>
        <v/>
      </c>
      <c r="W30">
        <f>HYPERLINK("https://klasma.github.io/Logging_2480/kartor/A 47252-2024 karta.png", "A 47252-2024")</f>
        <v/>
      </c>
      <c r="X30">
        <f>HYPERLINK("https://klasma.github.io/Logging_2480/kartor_geotiff/A 47252-2024 georefererad karta.tif", "A 47252-2024")</f>
        <v/>
      </c>
      <c r="Z30">
        <f>HYPERLINK("https://klasma.github.io/Logging_2480/klagomål/A 47252-2024 FSC-klagomål.docx", "A 47252-2024")</f>
        <v/>
      </c>
      <c r="AA30">
        <f>HYPERLINK("https://klasma.github.io/Logging_2480/klagomålsmail/A 47252-2024 FSC-klagomål mail.docx", "A 47252-2024")</f>
        <v/>
      </c>
      <c r="AB30">
        <f>HYPERLINK("https://klasma.github.io/Logging_2480/tillsyn/A 47252-2024 tillsynsbegäran.docx", "A 47252-2024")</f>
        <v/>
      </c>
      <c r="AC30">
        <f>HYPERLINK("https://klasma.github.io/Logging_2480/tillsynsmail/A 47252-2024 tillsynsbegäran mail.docx", "A 47252-2024")</f>
        <v/>
      </c>
      <c r="AD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46223</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s="2" t="inlineStr">
        <is>
          <t>Garnlav
Skrovlig taggsvamp
Dropptaggsvamp
Orange taggsvamp
Skarp dropptaggsvamp
Tallriska
Tjäder</t>
        </is>
      </c>
      <c r="V31">
        <f>HYPERLINK("https://klasma.github.io/Logging_2480/artfynd/A 32316-2022 artfynd.xlsx", "A 32316-2022")</f>
        <v/>
      </c>
      <c r="W31">
        <f>HYPERLINK("https://klasma.github.io/Logging_2480/kartor/A 32316-2022 karta.png", "A 32316-2022")</f>
        <v/>
      </c>
      <c r="X31">
        <f>HYPERLINK("https://klasma.github.io/Logging_2480/kartor_geotiff/A 32316-2022 georefererad karta.tif", "A 32316-2022")</f>
        <v/>
      </c>
      <c r="Z31">
        <f>HYPERLINK("https://klasma.github.io/Logging_2480/klagomål/A 32316-2022 FSC-klagomål.docx", "A 32316-2022")</f>
        <v/>
      </c>
      <c r="AA31">
        <f>HYPERLINK("https://klasma.github.io/Logging_2480/klagomålsmail/A 32316-2022 FSC-klagomål mail.docx", "A 32316-2022")</f>
        <v/>
      </c>
      <c r="AB31">
        <f>HYPERLINK("https://klasma.github.io/Logging_2480/tillsyn/A 32316-2022 tillsynsbegäran.docx", "A 32316-2022")</f>
        <v/>
      </c>
      <c r="AC31">
        <f>HYPERLINK("https://klasma.github.io/Logging_2480/tillsynsmail/A 32316-2022 tillsynsbegäran mail.docx", "A 32316-2022")</f>
        <v/>
      </c>
      <c r="AD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46223</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s="2" t="inlineStr">
        <is>
          <t>Garnlav
Tretåig hackspett
Ullticka
Bronshjon
Stuplav
Vedticka
Spillkråka</t>
        </is>
      </c>
      <c r="V32">
        <f>HYPERLINK("https://klasma.github.io/Logging_2480/artfynd/A 30187-2023 artfynd.xlsx", "A 30187-2023")</f>
        <v/>
      </c>
      <c r="W32">
        <f>HYPERLINK("https://klasma.github.io/Logging_2480/kartor/A 30187-2023 karta.png", "A 30187-2023")</f>
        <v/>
      </c>
      <c r="X32">
        <f>HYPERLINK("https://klasma.github.io/Logging_2480/kartor_geotiff/A 30187-2023 georefererad karta.tif", "A 30187-2023")</f>
        <v/>
      </c>
      <c r="Z32">
        <f>HYPERLINK("https://klasma.github.io/Logging_2480/klagomål/A 30187-2023 FSC-klagomål.docx", "A 30187-2023")</f>
        <v/>
      </c>
      <c r="AA32">
        <f>HYPERLINK("https://klasma.github.io/Logging_2480/klagomålsmail/A 30187-2023 FSC-klagomål mail.docx", "A 30187-2023")</f>
        <v/>
      </c>
      <c r="AB32">
        <f>HYPERLINK("https://klasma.github.io/Logging_2480/tillsyn/A 30187-2023 tillsynsbegäran.docx", "A 30187-2023")</f>
        <v/>
      </c>
      <c r="AC32">
        <f>HYPERLINK("https://klasma.github.io/Logging_2480/tillsynsmail/A 30187-2023 tillsynsbegäran mail.docx", "A 30187-2023")</f>
        <v/>
      </c>
      <c r="AD32">
        <f>HYPERLINK("https://klasma.github.io/Logging_2480/fåglar/A 30187-2023 prioriterade fågelarter.docx", "A 30187-2023")</f>
        <v/>
      </c>
    </row>
    <row r="33" ht="15" customHeight="1">
      <c r="A33" t="inlineStr">
        <is>
          <t>A 33974-2024</t>
        </is>
      </c>
      <c r="B33" t="inlineStr">
        <is>
          <t>avverkningsanmälan</t>
        </is>
      </c>
      <c r="C33" t="inlineStr">
        <is>
          <t>Föryngringsavverkning</t>
        </is>
      </c>
      <c r="D33" s="1" t="n">
        <v>45523</v>
      </c>
      <c r="E33" s="1" t="n">
        <v>46223</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X33">
        <f>HYPERLINK("https://klasma.github.io/Logging_2480/kartor_geotiff/A 33974-2024 georefererad karta.tif", "A 33974-2024")</f>
        <v/>
      </c>
      <c r="Z33">
        <f>HYPERLINK("https://klasma.github.io/Logging_2480/klagomål/A 33974-2024 FSC-klagomål.docx", "A 33974-2024")</f>
        <v/>
      </c>
      <c r="AA33">
        <f>HYPERLINK("https://klasma.github.io/Logging_2480/klagomålsmail/A 33974-2024 FSC-klagomål mail.docx", "A 33974-2024")</f>
        <v/>
      </c>
      <c r="AB33">
        <f>HYPERLINK("https://klasma.github.io/Logging_2480/tillsyn/A 33974-2024 tillsynsbegäran.docx", "A 33974-2024")</f>
        <v/>
      </c>
      <c r="AC33">
        <f>HYPERLINK("https://klasma.github.io/Logging_2480/tillsynsmail/A 33974-2024 tillsynsbegäran mail.docx", "A 33974-2024")</f>
        <v/>
      </c>
      <c r="AD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46223</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X34">
        <f>HYPERLINK("https://klasma.github.io/Logging_2480/kartor_geotiff/A 23008-2022 georefererad karta.tif", "A 23008-2022")</f>
        <v/>
      </c>
      <c r="Z34">
        <f>HYPERLINK("https://klasma.github.io/Logging_2480/klagomål/A 23008-2022 FSC-klagomål.docx", "A 23008-2022")</f>
        <v/>
      </c>
      <c r="AA34">
        <f>HYPERLINK("https://klasma.github.io/Logging_2480/klagomålsmail/A 23008-2022 FSC-klagomål mail.docx", "A 23008-2022")</f>
        <v/>
      </c>
      <c r="AB34">
        <f>HYPERLINK("https://klasma.github.io/Logging_2480/tillsyn/A 23008-2022 tillsynsbegäran.docx", "A 23008-2022")</f>
        <v/>
      </c>
      <c r="AC34">
        <f>HYPERLINK("https://klasma.github.io/Logging_2480/tillsynsmail/A 23008-2022 tillsynsbegäran mail.docx", "A 23008-2022")</f>
        <v/>
      </c>
      <c r="AD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46223</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X35">
        <f>HYPERLINK("https://klasma.github.io/Logging_2480/kartor_geotiff/A 38686-2021 georefererad karta.tif", "A 38686-2021")</f>
        <v/>
      </c>
      <c r="Z35">
        <f>HYPERLINK("https://klasma.github.io/Logging_2480/klagomål/A 38686-2021 FSC-klagomål.docx", "A 38686-2021")</f>
        <v/>
      </c>
      <c r="AA35">
        <f>HYPERLINK("https://klasma.github.io/Logging_2480/klagomålsmail/A 38686-2021 FSC-klagomål mail.docx", "A 38686-2021")</f>
        <v/>
      </c>
      <c r="AB35">
        <f>HYPERLINK("https://klasma.github.io/Logging_2480/tillsyn/A 38686-2021 tillsynsbegäran.docx", "A 38686-2021")</f>
        <v/>
      </c>
      <c r="AC35">
        <f>HYPERLINK("https://klasma.github.io/Logging_2480/tillsynsmail/A 38686-2021 tillsynsbegäran mail.docx", "A 38686-2021")</f>
        <v/>
      </c>
      <c r="AD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46223</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X36">
        <f>HYPERLINK("https://klasma.github.io/Logging_2480/kartor_geotiff/A 37856-2024 georefererad karta.tif", "A 37856-2024")</f>
        <v/>
      </c>
      <c r="Z36">
        <f>HYPERLINK("https://klasma.github.io/Logging_2480/klagomål/A 37856-2024 FSC-klagomål.docx", "A 37856-2024")</f>
        <v/>
      </c>
      <c r="AA36">
        <f>HYPERLINK("https://klasma.github.io/Logging_2480/klagomålsmail/A 37856-2024 FSC-klagomål mail.docx", "A 37856-2024")</f>
        <v/>
      </c>
      <c r="AB36">
        <f>HYPERLINK("https://klasma.github.io/Logging_2480/tillsyn/A 37856-2024 tillsynsbegäran.docx", "A 37856-2024")</f>
        <v/>
      </c>
      <c r="AC36">
        <f>HYPERLINK("https://klasma.github.io/Logging_2480/tillsynsmail/A 37856-2024 tillsynsbegäran mail.docx", "A 37856-2024")</f>
        <v/>
      </c>
      <c r="AD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46223</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X37">
        <f>HYPERLINK("https://klasma.github.io/Logging_2480/kartor_geotiff/A 28430-2025 georefererad karta.tif", "A 28430-2025")</f>
        <v/>
      </c>
      <c r="Z37">
        <f>HYPERLINK("https://klasma.github.io/Logging_2480/klagomål/A 28430-2025 FSC-klagomål.docx", "A 28430-2025")</f>
        <v/>
      </c>
      <c r="AA37">
        <f>HYPERLINK("https://klasma.github.io/Logging_2480/klagomålsmail/A 28430-2025 FSC-klagomål mail.docx", "A 28430-2025")</f>
        <v/>
      </c>
      <c r="AB37">
        <f>HYPERLINK("https://klasma.github.io/Logging_2480/tillsyn/A 28430-2025 tillsynsbegäran.docx", "A 28430-2025")</f>
        <v/>
      </c>
      <c r="AC37">
        <f>HYPERLINK("https://klasma.github.io/Logging_2480/tillsynsmail/A 28430-2025 tillsynsbegäran mail.docx", "A 28430-2025")</f>
        <v/>
      </c>
      <c r="AD37">
        <f>HYPERLINK("https://klasma.github.io/Logging_2480/fåglar/A 28430-2025 prioriterade fågelarter.docx", "A 28430-2025")</f>
        <v/>
      </c>
    </row>
    <row r="38" ht="15" customHeight="1">
      <c r="A38" t="inlineStr">
        <is>
          <t>A 22776-2026</t>
        </is>
      </c>
      <c r="B38" t="inlineStr">
        <is>
          <t>avverkningsanmälan</t>
        </is>
      </c>
      <c r="C38" t="inlineStr">
        <is>
          <t>Föryngringsavverkning</t>
        </is>
      </c>
      <c r="D38" s="1" t="n">
        <v>46157</v>
      </c>
      <c r="E38" s="1" t="n">
        <v>46223</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HYPERLINK("https://klasma.github.io/Logging_2480/kartor_geotiff/A 22776-2026 georefererad karta.tif", "A 22776-2026")</f>
        <v/>
      </c>
      <c r="Y38">
        <f>HYPERLINK("https://klasma.github.io/Logging_2480/knärot/A 22776-2026 karta knärot.png", "A 22776-2026")</f>
        <v/>
      </c>
      <c r="Z38">
        <f>HYPERLINK("https://klasma.github.io/Logging_2480/klagomål/A 22776-2026 FSC-klagomål.docx", "A 22776-2026")</f>
        <v/>
      </c>
      <c r="AA38">
        <f>HYPERLINK("https://klasma.github.io/Logging_2480/klagomålsmail/A 22776-2026 FSC-klagomål mail.docx", "A 22776-2026")</f>
        <v/>
      </c>
      <c r="AB38">
        <f>HYPERLINK("https://klasma.github.io/Logging_2480/tillsyn/A 22776-2026 tillsynsbegäran.docx", "A 22776-2026")</f>
        <v/>
      </c>
      <c r="AC38">
        <f>HYPERLINK("https://klasma.github.io/Logging_2480/tillsynsmail/A 22776-2026 tillsynsbegäran mail.docx", "A 22776-2026")</f>
        <v/>
      </c>
      <c r="AD38">
        <f>HYPERLINK("https://klasma.github.io/Logging_2480/fåglar/A 22776-2026 prioriterade fågelarter.docx", "A 22776-2026")</f>
        <v/>
      </c>
    </row>
    <row r="39" ht="15" customHeight="1">
      <c r="A39" t="inlineStr">
        <is>
          <t>A 25537-2026</t>
        </is>
      </c>
      <c r="B39" t="inlineStr">
        <is>
          <t>avverkningsanmälan</t>
        </is>
      </c>
      <c r="C39" t="inlineStr">
        <is>
          <t>Föryngringsavverkning</t>
        </is>
      </c>
      <c r="D39" s="1" t="n">
        <v>46177</v>
      </c>
      <c r="E39" s="1" t="n">
        <v>46223</v>
      </c>
      <c r="F39" t="inlineStr">
        <is>
          <t>VÄSTERBOTTENS LÄN</t>
        </is>
      </c>
      <c r="G39" t="inlineStr">
        <is>
          <t>UMEÅ</t>
        </is>
      </c>
      <c r="H39" t="inlineStr">
        <is>
          <t>Holmen skog AB</t>
        </is>
      </c>
      <c r="I39" t="n">
        <v>6.5</v>
      </c>
      <c r="J39" t="n">
        <v>2</v>
      </c>
      <c r="K39" t="n">
        <v>0</v>
      </c>
      <c r="L39" t="n">
        <v>4</v>
      </c>
      <c r="M39" t="n">
        <v>1</v>
      </c>
      <c r="N39" t="n">
        <v>0</v>
      </c>
      <c r="O39" t="n">
        <v>0</v>
      </c>
      <c r="P39" t="n">
        <v>0</v>
      </c>
      <c r="Q39" t="n">
        <v>5</v>
      </c>
      <c r="R39" t="n">
        <v>1</v>
      </c>
      <c r="S39" t="n">
        <v>6</v>
      </c>
      <c r="T39" t="n">
        <v>7</v>
      </c>
      <c r="U39" s="2" t="inlineStr">
        <is>
          <t>Tofsvipa
Dropptaggsvamp
Motaggsvamp
Orange taggsvamp
Skarp dropptaggsvamp
Orre</t>
        </is>
      </c>
      <c r="V39">
        <f>HYPERLINK("https://klasma.github.io/Logging_2480/artfynd/A 25537-2026 artfynd.xlsx", "A 25537-2026")</f>
        <v/>
      </c>
      <c r="W39">
        <f>HYPERLINK("https://klasma.github.io/Logging_2480/kartor/A 25537-2026 karta.png", "A 25537-2026")</f>
        <v/>
      </c>
      <c r="X39">
        <f>HYPERLINK("https://klasma.github.io/Logging_2480/kartor_geotiff/A 25537-2026 georefererad karta.tif", "A 25537-2026")</f>
        <v/>
      </c>
      <c r="Z39">
        <f>HYPERLINK("https://klasma.github.io/Logging_2480/klagomål/A 25537-2026 FSC-klagomål.docx", "A 25537-2026")</f>
        <v/>
      </c>
      <c r="AA39">
        <f>HYPERLINK("https://klasma.github.io/Logging_2480/klagomålsmail/A 25537-2026 FSC-klagomål mail.docx", "A 25537-2026")</f>
        <v/>
      </c>
      <c r="AB39">
        <f>HYPERLINK("https://klasma.github.io/Logging_2480/tillsyn/A 25537-2026 tillsynsbegäran.docx", "A 25537-2026")</f>
        <v/>
      </c>
      <c r="AC39">
        <f>HYPERLINK("https://klasma.github.io/Logging_2480/tillsynsmail/A 25537-2026 tillsynsbegäran mail.docx", "A 25537-2026")</f>
        <v/>
      </c>
      <c r="AD39">
        <f>HYPERLINK("https://klasma.github.io/Logging_2480/fåglar/A 25537-2026 prioriterade fågelarter.docx", "A 25537-2026")</f>
        <v/>
      </c>
    </row>
    <row r="40" ht="15" customHeight="1">
      <c r="A40" t="inlineStr">
        <is>
          <t>A 46143-2024</t>
        </is>
      </c>
      <c r="B40" t="inlineStr">
        <is>
          <t>avverkningsanmälan</t>
        </is>
      </c>
      <c r="C40" t="inlineStr">
        <is>
          <t>Föryngringsavverkning</t>
        </is>
      </c>
      <c r="D40" s="1" t="n">
        <v>45581</v>
      </c>
      <c r="E40" s="1" t="n">
        <v>46223</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s="2" t="inlineStr">
        <is>
          <t>Garnlav
Talltita
Tretåig hackspett
Thomsons trägnagare
Vedticka</t>
        </is>
      </c>
      <c r="V40">
        <f>HYPERLINK("https://klasma.github.io/Logging_2480/artfynd/A 46143-2024 artfynd.xlsx", "A 46143-2024")</f>
        <v/>
      </c>
      <c r="W40">
        <f>HYPERLINK("https://klasma.github.io/Logging_2480/kartor/A 46143-2024 karta.png", "A 46143-2024")</f>
        <v/>
      </c>
      <c r="X40">
        <f>HYPERLINK("https://klasma.github.io/Logging_2480/kartor_geotiff/A 46143-2024 georefererad karta.tif", "A 46143-2024")</f>
        <v/>
      </c>
      <c r="Z40">
        <f>HYPERLINK("https://klasma.github.io/Logging_2480/klagomål/A 46143-2024 FSC-klagomål.docx", "A 46143-2024")</f>
        <v/>
      </c>
      <c r="AA40">
        <f>HYPERLINK("https://klasma.github.io/Logging_2480/klagomålsmail/A 46143-2024 FSC-klagomål mail.docx", "A 46143-2024")</f>
        <v/>
      </c>
      <c r="AB40">
        <f>HYPERLINK("https://klasma.github.io/Logging_2480/tillsyn/A 46143-2024 tillsynsbegäran.docx", "A 46143-2024")</f>
        <v/>
      </c>
      <c r="AC40">
        <f>HYPERLINK("https://klasma.github.io/Logging_2480/tillsynsmail/A 46143-2024 tillsynsbegäran mail.docx", "A 46143-2024")</f>
        <v/>
      </c>
      <c r="AD40">
        <f>HYPERLINK("https://klasma.github.io/Logging_2480/fåglar/A 46143-2024 prioriterade fågelarter.docx", "A 46143-2024")</f>
        <v/>
      </c>
    </row>
    <row r="41" ht="15" customHeight="1">
      <c r="A41" t="inlineStr">
        <is>
          <t>A 26361-2026</t>
        </is>
      </c>
      <c r="B41" t="inlineStr">
        <is>
          <t>avverkningsanmälan</t>
        </is>
      </c>
      <c r="C41" t="inlineStr">
        <is>
          <t>Avverkning för annat ändamål</t>
        </is>
      </c>
      <c r="D41" s="1" t="n">
        <v>46182</v>
      </c>
      <c r="E41" s="1" t="n">
        <v>46223</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s="2" t="inlineStr">
        <is>
          <t>Torrmusseron
Motaggsvamp
Orange taggsvamp
Talltita
Vedticka</t>
        </is>
      </c>
      <c r="V41">
        <f>HYPERLINK("https://klasma.github.io/Logging_2480/artfynd/A 26361-2026 artfynd.xlsx", "A 26361-2026")</f>
        <v/>
      </c>
      <c r="W41">
        <f>HYPERLINK("https://klasma.github.io/Logging_2480/kartor/A 26361-2026 karta.png", "A 26361-2026")</f>
        <v/>
      </c>
      <c r="X41">
        <f>HYPERLINK("https://klasma.github.io/Logging_2480/kartor_geotiff/A 26361-2026 georefererad karta.tif", "A 26361-2026")</f>
        <v/>
      </c>
      <c r="Z41">
        <f>HYPERLINK("https://klasma.github.io/Logging_2480/klagomål/A 26361-2026 FSC-klagomål.docx", "A 26361-2026")</f>
        <v/>
      </c>
      <c r="AA41">
        <f>HYPERLINK("https://klasma.github.io/Logging_2480/klagomålsmail/A 26361-2026 FSC-klagomål mail.docx", "A 26361-2026")</f>
        <v/>
      </c>
      <c r="AB41">
        <f>HYPERLINK("https://klasma.github.io/Logging_2480/tillsyn/A 26361-2026 tillsynsbegäran.docx", "A 26361-2026")</f>
        <v/>
      </c>
      <c r="AC41">
        <f>HYPERLINK("https://klasma.github.io/Logging_2480/tillsynsmail/A 26361-2026 tillsynsbegäran mail.docx", "A 26361-2026")</f>
        <v/>
      </c>
      <c r="AD41">
        <f>HYPERLINK("https://klasma.github.io/Logging_2480/fåglar/A 26361-2026 prioriterade fågelarter.docx", "A 26361-2026")</f>
        <v/>
      </c>
    </row>
    <row r="42" ht="15" customHeight="1">
      <c r="A42" t="inlineStr">
        <is>
          <t>A 61749-2023</t>
        </is>
      </c>
      <c r="B42" t="inlineStr">
        <is>
          <t>avverkningsanmälan</t>
        </is>
      </c>
      <c r="C42" t="inlineStr">
        <is>
          <t>Föryngringsavverkning</t>
        </is>
      </c>
      <c r="D42" s="1" t="n">
        <v>45264</v>
      </c>
      <c r="E42" s="1" t="n">
        <v>46223</v>
      </c>
      <c r="F42" t="inlineStr">
        <is>
          <t>VÄSTERBOTTENS LÄN</t>
        </is>
      </c>
      <c r="G42" t="inlineStr">
        <is>
          <t>UMEÅ</t>
        </is>
      </c>
      <c r="I42" t="n">
        <v>2.4</v>
      </c>
      <c r="J42" t="n">
        <v>3</v>
      </c>
      <c r="K42" t="n">
        <v>0</v>
      </c>
      <c r="L42" t="n">
        <v>3</v>
      </c>
      <c r="M42" t="n">
        <v>1</v>
      </c>
      <c r="N42" t="n">
        <v>0</v>
      </c>
      <c r="O42" t="n">
        <v>0</v>
      </c>
      <c r="P42" t="n">
        <v>0</v>
      </c>
      <c r="Q42" t="n">
        <v>4</v>
      </c>
      <c r="R42" t="n">
        <v>1</v>
      </c>
      <c r="S42" t="n">
        <v>5</v>
      </c>
      <c r="T42" t="n">
        <v>8</v>
      </c>
      <c r="U42" s="2" t="inlineStr">
        <is>
          <t>Topplåsbräken
Höstlåsbräken
Månlåsbräken
Nordlåsbräken
Mattlummer</t>
        </is>
      </c>
      <c r="V42">
        <f>HYPERLINK("https://klasma.github.io/Logging_2480/artfynd/A 61749-2023 artfynd.xlsx", "A 61749-2023")</f>
        <v/>
      </c>
      <c r="W42">
        <f>HYPERLINK("https://klasma.github.io/Logging_2480/kartor/A 61749-2023 karta.png", "A 61749-2023")</f>
        <v/>
      </c>
      <c r="X42">
        <f>HYPERLINK("https://klasma.github.io/Logging_2480/kartor_geotiff/A 61749-2023 georefererad karta.tif", "A 61749-2023")</f>
        <v/>
      </c>
      <c r="Z42">
        <f>HYPERLINK("https://klasma.github.io/Logging_2480/klagomål/A 61749-2023 FSC-klagomål.docx", "A 61749-2023")</f>
        <v/>
      </c>
      <c r="AA42">
        <f>HYPERLINK("https://klasma.github.io/Logging_2480/klagomålsmail/A 61749-2023 FSC-klagomål mail.docx", "A 61749-2023")</f>
        <v/>
      </c>
      <c r="AB42">
        <f>HYPERLINK("https://klasma.github.io/Logging_2480/tillsyn/A 61749-2023 tillsynsbegäran.docx", "A 61749-2023")</f>
        <v/>
      </c>
      <c r="AC42">
        <f>HYPERLINK("https://klasma.github.io/Logging_2480/tillsynsmail/A 61749-2023 tillsynsbegäran mail.docx", "A 61749-2023")</f>
        <v/>
      </c>
    </row>
    <row r="43" ht="15" customHeight="1">
      <c r="A43" t="inlineStr">
        <is>
          <t>A 21732-2026</t>
        </is>
      </c>
      <c r="B43" t="inlineStr">
        <is>
          <t>avverkningsanmälan</t>
        </is>
      </c>
      <c r="C43" t="inlineStr">
        <is>
          <t>Föryngringsavverkning</t>
        </is>
      </c>
      <c r="D43" s="1" t="n">
        <v>46149</v>
      </c>
      <c r="E43" s="1" t="n">
        <v>46223</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s="2" t="inlineStr">
        <is>
          <t>Doftskinn
Tretåig hackspett
Ullticka
Spillkråka
Tjäder</t>
        </is>
      </c>
      <c r="V43">
        <f>HYPERLINK("https://klasma.github.io/Logging_2480/artfynd/A 21732-2026 artfynd.xlsx", "A 21732-2026")</f>
        <v/>
      </c>
      <c r="W43">
        <f>HYPERLINK("https://klasma.github.io/Logging_2480/kartor/A 21732-2026 karta.png", "A 21732-2026")</f>
        <v/>
      </c>
      <c r="X43">
        <f>HYPERLINK("https://klasma.github.io/Logging_2480/kartor_geotiff/A 21732-2026 georefererad karta.tif", "A 21732-2026")</f>
        <v/>
      </c>
      <c r="Z43">
        <f>HYPERLINK("https://klasma.github.io/Logging_2480/klagomål/A 21732-2026 FSC-klagomål.docx", "A 21732-2026")</f>
        <v/>
      </c>
      <c r="AA43">
        <f>HYPERLINK("https://klasma.github.io/Logging_2480/klagomålsmail/A 21732-2026 FSC-klagomål mail.docx", "A 21732-2026")</f>
        <v/>
      </c>
      <c r="AB43">
        <f>HYPERLINK("https://klasma.github.io/Logging_2480/tillsyn/A 21732-2026 tillsynsbegäran.docx", "A 21732-2026")</f>
        <v/>
      </c>
      <c r="AC43">
        <f>HYPERLINK("https://klasma.github.io/Logging_2480/tillsynsmail/A 21732-2026 tillsynsbegäran mail.docx", "A 21732-2026")</f>
        <v/>
      </c>
      <c r="AD43">
        <f>HYPERLINK("https://klasma.github.io/Logging_2480/fåglar/A 21732-2026 prioriterade fågelarter.docx", "A 21732-2026")</f>
        <v/>
      </c>
    </row>
    <row r="44" ht="15" customHeight="1">
      <c r="A44" t="inlineStr">
        <is>
          <t>A 684-2023</t>
        </is>
      </c>
      <c r="B44" t="inlineStr">
        <is>
          <t>avverkningsanmälan</t>
        </is>
      </c>
      <c r="C44" t="inlineStr">
        <is>
          <t>Föryngringsavverkning</t>
        </is>
      </c>
      <c r="D44" s="1" t="n">
        <v>44925</v>
      </c>
      <c r="E44" s="1" t="n">
        <v>46223</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s="2" t="inlineStr">
        <is>
          <t>Kolflarnlav
Talltita
Tretåig hackspett
Tjäder
Orre</t>
        </is>
      </c>
      <c r="V44">
        <f>HYPERLINK("https://klasma.github.io/Logging_2480/artfynd/A 684-2023 artfynd.xlsx", "A 684-2023")</f>
        <v/>
      </c>
      <c r="W44">
        <f>HYPERLINK("https://klasma.github.io/Logging_2480/kartor/A 684-2023 karta.png", "A 684-2023")</f>
        <v/>
      </c>
      <c r="X44">
        <f>HYPERLINK("https://klasma.github.io/Logging_2480/kartor_geotiff/A 684-2023 georefererad karta.tif", "A 684-2023")</f>
        <v/>
      </c>
      <c r="Z44">
        <f>HYPERLINK("https://klasma.github.io/Logging_2480/klagomål/A 684-2023 FSC-klagomål.docx", "A 684-2023")</f>
        <v/>
      </c>
      <c r="AA44">
        <f>HYPERLINK("https://klasma.github.io/Logging_2480/klagomålsmail/A 684-2023 FSC-klagomål mail.docx", "A 684-2023")</f>
        <v/>
      </c>
      <c r="AB44">
        <f>HYPERLINK("https://klasma.github.io/Logging_2480/tillsyn/A 684-2023 tillsynsbegäran.docx", "A 684-2023")</f>
        <v/>
      </c>
      <c r="AC44">
        <f>HYPERLINK("https://klasma.github.io/Logging_2480/tillsynsmail/A 684-2023 tillsynsbegäran mail.docx", "A 684-2023")</f>
        <v/>
      </c>
      <c r="AD44">
        <f>HYPERLINK("https://klasma.github.io/Logging_2480/fåglar/A 684-2023 prioriterade fågelarter.docx", "A 684-2023")</f>
        <v/>
      </c>
    </row>
    <row r="45" ht="15" customHeight="1">
      <c r="A45" t="inlineStr">
        <is>
          <t>A 13479-2022</t>
        </is>
      </c>
      <c r="B45" t="inlineStr">
        <is>
          <t>avverkningsanmälan</t>
        </is>
      </c>
      <c r="C45" t="inlineStr">
        <is>
          <t>Föryngringsavverkning</t>
        </is>
      </c>
      <c r="D45" s="1" t="n">
        <v>44645</v>
      </c>
      <c r="E45" s="1" t="n">
        <v>46223</v>
      </c>
      <c r="F45" t="inlineStr">
        <is>
          <t>VÄSTERBOTTENS LÄN</t>
        </is>
      </c>
      <c r="G45" t="inlineStr">
        <is>
          <t>UMEÅ</t>
        </is>
      </c>
      <c r="I45" t="n">
        <v>6.2</v>
      </c>
      <c r="J45" t="n">
        <v>5</v>
      </c>
      <c r="K45" t="n">
        <v>0</v>
      </c>
      <c r="L45" t="n">
        <v>3</v>
      </c>
      <c r="M45" t="n">
        <v>0</v>
      </c>
      <c r="N45" t="n">
        <v>0</v>
      </c>
      <c r="O45" t="n">
        <v>0</v>
      </c>
      <c r="P45" t="n">
        <v>0</v>
      </c>
      <c r="Q45" t="n">
        <v>3</v>
      </c>
      <c r="R45" t="n">
        <v>0</v>
      </c>
      <c r="S45" t="n">
        <v>5</v>
      </c>
      <c r="T45" t="n">
        <v>7</v>
      </c>
      <c r="U45" s="2" t="inlineStr">
        <is>
          <t>Dammfladdermus
Fransfladdermus
Nordfladdermus
Trollpipistrell
Vattenfladdermus</t>
        </is>
      </c>
      <c r="V45">
        <f>HYPERLINK("https://klasma.github.io/Logging_2480/artfynd/A 13479-2022 artfynd.xlsx", "A 13479-2022")</f>
        <v/>
      </c>
      <c r="W45">
        <f>HYPERLINK("https://klasma.github.io/Logging_2480/kartor/A 13479-2022 karta.png", "A 13479-2022")</f>
        <v/>
      </c>
      <c r="X45">
        <f>HYPERLINK("https://klasma.github.io/Logging_2480/kartor_geotiff/A 13479-2022 georefererad karta.tif", "A 13479-2022")</f>
        <v/>
      </c>
      <c r="Z45">
        <f>HYPERLINK("https://klasma.github.io/Logging_2480/klagomål/A 13479-2022 FSC-klagomål.docx", "A 13479-2022")</f>
        <v/>
      </c>
      <c r="AA45">
        <f>HYPERLINK("https://klasma.github.io/Logging_2480/klagomålsmail/A 13479-2022 FSC-klagomål mail.docx", "A 13479-2022")</f>
        <v/>
      </c>
      <c r="AB45">
        <f>HYPERLINK("https://klasma.github.io/Logging_2480/tillsyn/A 13479-2022 tillsynsbegäran.docx", "A 13479-2022")</f>
        <v/>
      </c>
      <c r="AC45">
        <f>HYPERLINK("https://klasma.github.io/Logging_2480/tillsynsmail/A 13479-2022 tillsynsbegäran mail.docx", "A 13479-2022")</f>
        <v/>
      </c>
    </row>
    <row r="46" ht="15" customHeight="1">
      <c r="A46" t="inlineStr">
        <is>
          <t>A 25549-2026</t>
        </is>
      </c>
      <c r="B46" t="inlineStr">
        <is>
          <t>avverkningsanmälan</t>
        </is>
      </c>
      <c r="C46" t="inlineStr">
        <is>
          <t>Föryngringsavverkning</t>
        </is>
      </c>
      <c r="D46" s="1" t="n">
        <v>46177</v>
      </c>
      <c r="E46" s="1" t="n">
        <v>46223</v>
      </c>
      <c r="F46" t="inlineStr">
        <is>
          <t>VÄSTERBOTTENS LÄN</t>
        </is>
      </c>
      <c r="G46" t="inlineStr">
        <is>
          <t>UMEÅ</t>
        </is>
      </c>
      <c r="H46" t="inlineStr">
        <is>
          <t>Holmen skog AB</t>
        </is>
      </c>
      <c r="I46" t="n">
        <v>8.9</v>
      </c>
      <c r="J46" t="n">
        <v>1</v>
      </c>
      <c r="K46" t="n">
        <v>1</v>
      </c>
      <c r="L46" t="n">
        <v>3</v>
      </c>
      <c r="M46" t="n">
        <v>1</v>
      </c>
      <c r="N46" t="n">
        <v>0</v>
      </c>
      <c r="O46" t="n">
        <v>0</v>
      </c>
      <c r="P46" t="n">
        <v>0</v>
      </c>
      <c r="Q46" t="n">
        <v>4</v>
      </c>
      <c r="R46" t="n">
        <v>1</v>
      </c>
      <c r="S46" t="n">
        <v>5</v>
      </c>
      <c r="T46" t="n">
        <v>5</v>
      </c>
      <c r="U46" s="2" t="inlineStr">
        <is>
          <t>Garnlav
Dropptaggsvamp
Talltita
Ullticka
Vedticka</t>
        </is>
      </c>
      <c r="V46">
        <f>HYPERLINK("https://klasma.github.io/Logging_2480/artfynd/A 25549-2026 artfynd.xlsx", "A 25549-2026")</f>
        <v/>
      </c>
      <c r="W46">
        <f>HYPERLINK("https://klasma.github.io/Logging_2480/kartor/A 25549-2026 karta.png", "A 25549-2026")</f>
        <v/>
      </c>
      <c r="X46">
        <f>HYPERLINK("https://klasma.github.io/Logging_2480/kartor_geotiff/A 25549-2026 georefererad karta.tif", "A 25549-2026")</f>
        <v/>
      </c>
      <c r="Z46">
        <f>HYPERLINK("https://klasma.github.io/Logging_2480/klagomål/A 25549-2026 FSC-klagomål.docx", "A 25549-2026")</f>
        <v/>
      </c>
      <c r="AA46">
        <f>HYPERLINK("https://klasma.github.io/Logging_2480/klagomålsmail/A 25549-2026 FSC-klagomål mail.docx", "A 25549-2026")</f>
        <v/>
      </c>
      <c r="AB46">
        <f>HYPERLINK("https://klasma.github.io/Logging_2480/tillsyn/A 25549-2026 tillsynsbegäran.docx", "A 25549-2026")</f>
        <v/>
      </c>
      <c r="AC46">
        <f>HYPERLINK("https://klasma.github.io/Logging_2480/tillsynsmail/A 25549-2026 tillsynsbegäran mail.docx", "A 25549-2026")</f>
        <v/>
      </c>
      <c r="AD46">
        <f>HYPERLINK("https://klasma.github.io/Logging_2480/fåglar/A 25549-2026 prioriterade fågelarter.docx", "A 25549-2026")</f>
        <v/>
      </c>
    </row>
    <row r="47" ht="15" customHeight="1">
      <c r="A47" t="inlineStr">
        <is>
          <t>A 42193-2024</t>
        </is>
      </c>
      <c r="B47" t="inlineStr">
        <is>
          <t>avverkningsanmälan</t>
        </is>
      </c>
      <c r="C47" t="inlineStr">
        <is>
          <t>Föryngringsavverkning</t>
        </is>
      </c>
      <c r="D47" s="1" t="n">
        <v>45562</v>
      </c>
      <c r="E47" s="1" t="n">
        <v>46223</v>
      </c>
      <c r="F47" t="inlineStr">
        <is>
          <t>VÄSTERBOTTENS LÄN</t>
        </is>
      </c>
      <c r="G47" t="inlineStr">
        <is>
          <t>UMEÅ</t>
        </is>
      </c>
      <c r="H47" t="inlineStr">
        <is>
          <t>Kommuner</t>
        </is>
      </c>
      <c r="I47" t="n">
        <v>2.2</v>
      </c>
      <c r="J47" t="n">
        <v>1</v>
      </c>
      <c r="K47" t="n">
        <v>0</v>
      </c>
      <c r="L47" t="n">
        <v>3</v>
      </c>
      <c r="M47" t="n">
        <v>2</v>
      </c>
      <c r="N47" t="n">
        <v>0</v>
      </c>
      <c r="O47" t="n">
        <v>0</v>
      </c>
      <c r="P47" t="n">
        <v>0</v>
      </c>
      <c r="Q47" t="n">
        <v>5</v>
      </c>
      <c r="R47" t="n">
        <v>2</v>
      </c>
      <c r="S47" t="n">
        <v>5</v>
      </c>
      <c r="T47" t="n">
        <v>8</v>
      </c>
      <c r="U47" s="2" t="inlineStr">
        <is>
          <t>Skrovlig taggsvamp
Smalfotad taggsvamp
Dropptaggsvamp
Mjölsvärting
Talltita</t>
        </is>
      </c>
      <c r="V47">
        <f>HYPERLINK("https://klasma.github.io/Logging_2480/artfynd/A 42193-2024 artfynd.xlsx", "A 42193-2024")</f>
        <v/>
      </c>
      <c r="W47">
        <f>HYPERLINK("https://klasma.github.io/Logging_2480/kartor/A 42193-2024 karta.png", "A 42193-2024")</f>
        <v/>
      </c>
      <c r="X47">
        <f>HYPERLINK("https://klasma.github.io/Logging_2480/kartor_geotiff/A 42193-2024 georefererad karta.tif", "A 42193-2024")</f>
        <v/>
      </c>
      <c r="Z47">
        <f>HYPERLINK("https://klasma.github.io/Logging_2480/klagomål/A 42193-2024 FSC-klagomål.docx", "A 42193-2024")</f>
        <v/>
      </c>
      <c r="AA47">
        <f>HYPERLINK("https://klasma.github.io/Logging_2480/klagomålsmail/A 42193-2024 FSC-klagomål mail.docx", "A 42193-2024")</f>
        <v/>
      </c>
      <c r="AB47">
        <f>HYPERLINK("https://klasma.github.io/Logging_2480/tillsyn/A 42193-2024 tillsynsbegäran.docx", "A 42193-2024")</f>
        <v/>
      </c>
      <c r="AC47">
        <f>HYPERLINK("https://klasma.github.io/Logging_2480/tillsynsmail/A 42193-2024 tillsynsbegäran mail.docx", "A 42193-2024")</f>
        <v/>
      </c>
      <c r="AD47">
        <f>HYPERLINK("https://klasma.github.io/Logging_2480/fåglar/A 42193-2024 prioriterade fågelarter.docx", "A 42193-2024")</f>
        <v/>
      </c>
    </row>
    <row r="48" ht="15" customHeight="1">
      <c r="A48" t="inlineStr">
        <is>
          <t>A 45691-2023</t>
        </is>
      </c>
      <c r="B48" t="inlineStr">
        <is>
          <t>avverkningsanmälan</t>
        </is>
      </c>
      <c r="C48" t="inlineStr">
        <is>
          <t>Föryngringsavverkning</t>
        </is>
      </c>
      <c r="D48" s="1" t="n">
        <v>45195</v>
      </c>
      <c r="E48" s="1" t="n">
        <v>46223</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s="2" t="inlineStr">
        <is>
          <t>Garnlav
Tretåig hackspett
Vaddporing
Stuplav</t>
        </is>
      </c>
      <c r="V48">
        <f>HYPERLINK("https://klasma.github.io/Logging_2480/artfynd/A 45691-2023 artfynd.xlsx", "A 45691-2023")</f>
        <v/>
      </c>
      <c r="W48">
        <f>HYPERLINK("https://klasma.github.io/Logging_2480/kartor/A 45691-2023 karta.png", "A 45691-2023")</f>
        <v/>
      </c>
      <c r="X48">
        <f>HYPERLINK("https://klasma.github.io/Logging_2480/kartor_geotiff/A 45691-2023 georefererad karta.tif", "A 45691-2023")</f>
        <v/>
      </c>
      <c r="Z48">
        <f>HYPERLINK("https://klasma.github.io/Logging_2480/klagomål/A 45691-2023 FSC-klagomål.docx", "A 45691-2023")</f>
        <v/>
      </c>
      <c r="AA48">
        <f>HYPERLINK("https://klasma.github.io/Logging_2480/klagomålsmail/A 45691-2023 FSC-klagomål mail.docx", "A 45691-2023")</f>
        <v/>
      </c>
      <c r="AB48">
        <f>HYPERLINK("https://klasma.github.io/Logging_2480/tillsyn/A 45691-2023 tillsynsbegäran.docx", "A 45691-2023")</f>
        <v/>
      </c>
      <c r="AC48">
        <f>HYPERLINK("https://klasma.github.io/Logging_2480/tillsynsmail/A 45691-2023 tillsynsbegäran mail.docx", "A 45691-2023")</f>
        <v/>
      </c>
      <c r="AD48">
        <f>HYPERLINK("https://klasma.github.io/Logging_2480/fåglar/A 45691-2023 prioriterade fågelarter.docx", "A 45691-2023")</f>
        <v/>
      </c>
    </row>
    <row r="49" ht="15" customHeight="1">
      <c r="A49" t="inlineStr">
        <is>
          <t>A 15648-2023</t>
        </is>
      </c>
      <c r="B49" t="inlineStr">
        <is>
          <t>avverkningsanmälan</t>
        </is>
      </c>
      <c r="C49" t="inlineStr">
        <is>
          <t>Föryngringsavverkning</t>
        </is>
      </c>
      <c r="D49" s="1" t="n">
        <v>45019</v>
      </c>
      <c r="E49" s="1" t="n">
        <v>46223</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s="2" t="inlineStr">
        <is>
          <t>Garnlav
Gammelgransskål
Ullticka
Bollvitmossa</t>
        </is>
      </c>
      <c r="V49">
        <f>HYPERLINK("https://klasma.github.io/Logging_2480/artfynd/A 15648-2023 artfynd.xlsx", "A 15648-2023")</f>
        <v/>
      </c>
      <c r="W49">
        <f>HYPERLINK("https://klasma.github.io/Logging_2480/kartor/A 15648-2023 karta.png", "A 15648-2023")</f>
        <v/>
      </c>
      <c r="X49">
        <f>HYPERLINK("https://klasma.github.io/Logging_2480/kartor_geotiff/A 15648-2023 georefererad karta.tif", "A 15648-2023")</f>
        <v/>
      </c>
      <c r="Z49">
        <f>HYPERLINK("https://klasma.github.io/Logging_2480/klagomål/A 15648-2023 FSC-klagomål.docx", "A 15648-2023")</f>
        <v/>
      </c>
      <c r="AA49">
        <f>HYPERLINK("https://klasma.github.io/Logging_2480/klagomålsmail/A 15648-2023 FSC-klagomål mail.docx", "A 15648-2023")</f>
        <v/>
      </c>
      <c r="AB49">
        <f>HYPERLINK("https://klasma.github.io/Logging_2480/tillsyn/A 15648-2023 tillsynsbegäran.docx", "A 15648-2023")</f>
        <v/>
      </c>
      <c r="AC49">
        <f>HYPERLINK("https://klasma.github.io/Logging_2480/tillsynsmail/A 15648-2023 tillsynsbegäran mail.docx", "A 15648-2023")</f>
        <v/>
      </c>
    </row>
    <row r="50" ht="15" customHeight="1">
      <c r="A50" t="inlineStr">
        <is>
          <t>A 11826-2026</t>
        </is>
      </c>
      <c r="B50" t="inlineStr">
        <is>
          <t>avverkningsanmälan</t>
        </is>
      </c>
      <c r="C50" t="inlineStr">
        <is>
          <t>Föryngringsavverkning</t>
        </is>
      </c>
      <c r="D50" s="1" t="n">
        <v>46085</v>
      </c>
      <c r="E50" s="1" t="n">
        <v>46223</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s="2" t="inlineStr">
        <is>
          <t>Småflikig brosklav
Talltita
Thomsons trägnagare
Vågbandad barkbock</t>
        </is>
      </c>
      <c r="V50">
        <f>HYPERLINK("https://klasma.github.io/Logging_2480/artfynd/A 11826-2026 artfynd.xlsx", "A 11826-2026")</f>
        <v/>
      </c>
      <c r="W50">
        <f>HYPERLINK("https://klasma.github.io/Logging_2480/kartor/A 11826-2026 karta.png", "A 11826-2026")</f>
        <v/>
      </c>
      <c r="X50">
        <f>HYPERLINK("https://klasma.github.io/Logging_2480/kartor_geotiff/A 11826-2026 georefererad karta.tif", "A 11826-2026")</f>
        <v/>
      </c>
      <c r="Z50">
        <f>HYPERLINK("https://klasma.github.io/Logging_2480/klagomål/A 11826-2026 FSC-klagomål.docx", "A 11826-2026")</f>
        <v/>
      </c>
      <c r="AA50">
        <f>HYPERLINK("https://klasma.github.io/Logging_2480/klagomålsmail/A 11826-2026 FSC-klagomål mail.docx", "A 11826-2026")</f>
        <v/>
      </c>
      <c r="AB50">
        <f>HYPERLINK("https://klasma.github.io/Logging_2480/tillsyn/A 11826-2026 tillsynsbegäran.docx", "A 11826-2026")</f>
        <v/>
      </c>
      <c r="AC50">
        <f>HYPERLINK("https://klasma.github.io/Logging_2480/tillsynsmail/A 11826-2026 tillsynsbegäran mail.docx", "A 11826-2026")</f>
        <v/>
      </c>
      <c r="AD50">
        <f>HYPERLINK("https://klasma.github.io/Logging_2480/fåglar/A 11826-2026 prioriterade fågelarter.docx", "A 11826-2026")</f>
        <v/>
      </c>
    </row>
    <row r="51" ht="15" customHeight="1">
      <c r="A51" t="inlineStr">
        <is>
          <t>A 36893-2025</t>
        </is>
      </c>
      <c r="B51" t="inlineStr">
        <is>
          <t>avverkningsanmälan</t>
        </is>
      </c>
      <c r="C51" t="inlineStr">
        <is>
          <t>Föryngringsavverkning</t>
        </is>
      </c>
      <c r="D51" s="1" t="n">
        <v>45874</v>
      </c>
      <c r="E51" s="1" t="n">
        <v>46223</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s="2" t="inlineStr">
        <is>
          <t>Garnlav
Thomsons trägnagare
Trådticka
Järpe</t>
        </is>
      </c>
      <c r="V51">
        <f>HYPERLINK("https://klasma.github.io/Logging_2480/artfynd/A 36893-2025 artfynd.xlsx", "A 36893-2025")</f>
        <v/>
      </c>
      <c r="W51">
        <f>HYPERLINK("https://klasma.github.io/Logging_2480/kartor/A 36893-2025 karta.png", "A 36893-2025")</f>
        <v/>
      </c>
      <c r="X51">
        <f>HYPERLINK("https://klasma.github.io/Logging_2480/kartor_geotiff/A 36893-2025 georefererad karta.tif", "A 36893-2025")</f>
        <v/>
      </c>
      <c r="Z51">
        <f>HYPERLINK("https://klasma.github.io/Logging_2480/klagomål/A 36893-2025 FSC-klagomål.docx", "A 36893-2025")</f>
        <v/>
      </c>
      <c r="AA51">
        <f>HYPERLINK("https://klasma.github.io/Logging_2480/klagomålsmail/A 36893-2025 FSC-klagomål mail.docx", "A 36893-2025")</f>
        <v/>
      </c>
      <c r="AB51">
        <f>HYPERLINK("https://klasma.github.io/Logging_2480/tillsyn/A 36893-2025 tillsynsbegäran.docx", "A 36893-2025")</f>
        <v/>
      </c>
      <c r="AC51">
        <f>HYPERLINK("https://klasma.github.io/Logging_2480/tillsynsmail/A 36893-2025 tillsynsbegäran mail.docx", "A 36893-2025")</f>
        <v/>
      </c>
      <c r="AD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46223</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s="2" t="inlineStr">
        <is>
          <t>Fransfladdermus
Nordfladdermus
Ögonpyrola
Vattenfladdermus</t>
        </is>
      </c>
      <c r="V52">
        <f>HYPERLINK("https://klasma.github.io/Logging_2480/artfynd/A 33215-2025 artfynd.xlsx", "A 33215-2025")</f>
        <v/>
      </c>
      <c r="W52">
        <f>HYPERLINK("https://klasma.github.io/Logging_2480/kartor/A 33215-2025 karta.png", "A 33215-2025")</f>
        <v/>
      </c>
      <c r="X52">
        <f>HYPERLINK("https://klasma.github.io/Logging_2480/kartor_geotiff/A 33215-2025 georefererad karta.tif", "A 33215-2025")</f>
        <v/>
      </c>
      <c r="Z52">
        <f>HYPERLINK("https://klasma.github.io/Logging_2480/klagomål/A 33215-2025 FSC-klagomål.docx", "A 33215-2025")</f>
        <v/>
      </c>
      <c r="AA52">
        <f>HYPERLINK("https://klasma.github.io/Logging_2480/klagomålsmail/A 33215-2025 FSC-klagomål mail.docx", "A 33215-2025")</f>
        <v/>
      </c>
      <c r="AB52">
        <f>HYPERLINK("https://klasma.github.io/Logging_2480/tillsyn/A 33215-2025 tillsynsbegäran.docx", "A 33215-2025")</f>
        <v/>
      </c>
      <c r="AC52">
        <f>HYPERLINK("https://klasma.github.io/Logging_2480/tillsynsmail/A 33215-2025 tillsynsbegäran mail.docx", "A 33215-2025")</f>
        <v/>
      </c>
    </row>
    <row r="53" ht="15" customHeight="1">
      <c r="A53" t="inlineStr">
        <is>
          <t>A 2643-2025</t>
        </is>
      </c>
      <c r="B53" t="inlineStr">
        <is>
          <t>avverkningsanmälan</t>
        </is>
      </c>
      <c r="C53" t="inlineStr">
        <is>
          <t>Föryngringsavverkning</t>
        </is>
      </c>
      <c r="D53" s="1" t="n">
        <v>45676</v>
      </c>
      <c r="E53" s="1" t="n">
        <v>46223</v>
      </c>
      <c r="F53" t="inlineStr">
        <is>
          <t>VÄSTERBOTTENS LÄN</t>
        </is>
      </c>
      <c r="G53" t="inlineStr">
        <is>
          <t>UMEÅ</t>
        </is>
      </c>
      <c r="H53" t="inlineStr">
        <is>
          <t>Övriga Aktiebolag</t>
        </is>
      </c>
      <c r="I53" t="n">
        <v>12.6</v>
      </c>
      <c r="J53" t="n">
        <v>0</v>
      </c>
      <c r="K53" t="n">
        <v>0</v>
      </c>
      <c r="L53" t="n">
        <v>3</v>
      </c>
      <c r="M53" t="n">
        <v>1</v>
      </c>
      <c r="N53" t="n">
        <v>0</v>
      </c>
      <c r="O53" t="n">
        <v>0</v>
      </c>
      <c r="P53" t="n">
        <v>0</v>
      </c>
      <c r="Q53" t="n">
        <v>4</v>
      </c>
      <c r="R53" t="n">
        <v>1</v>
      </c>
      <c r="S53" t="n">
        <v>4</v>
      </c>
      <c r="T53" t="n">
        <v>7</v>
      </c>
      <c r="U53" s="2" t="inlineStr">
        <is>
          <t>Garnlav
Dropptaggsvamp
Kolflarnlav
Ullticka</t>
        </is>
      </c>
      <c r="V53">
        <f>HYPERLINK("https://klasma.github.io/Logging_2480/artfynd/A 2643-2025 artfynd.xlsx", "A 2643-2025")</f>
        <v/>
      </c>
      <c r="W53">
        <f>HYPERLINK("https://klasma.github.io/Logging_2480/kartor/A 2643-2025 karta.png", "A 2643-2025")</f>
        <v/>
      </c>
      <c r="X53">
        <f>HYPERLINK("https://klasma.github.io/Logging_2480/kartor_geotiff/A 2643-2025 georefererad karta.tif", "A 2643-2025")</f>
        <v/>
      </c>
      <c r="Z53">
        <f>HYPERLINK("https://klasma.github.io/Logging_2480/klagomål/A 2643-2025 FSC-klagomål.docx", "A 2643-2025")</f>
        <v/>
      </c>
      <c r="AA53">
        <f>HYPERLINK("https://klasma.github.io/Logging_2480/klagomålsmail/A 2643-2025 FSC-klagomål mail.docx", "A 2643-2025")</f>
        <v/>
      </c>
      <c r="AB53">
        <f>HYPERLINK("https://klasma.github.io/Logging_2480/tillsyn/A 2643-2025 tillsynsbegäran.docx", "A 2643-2025")</f>
        <v/>
      </c>
      <c r="AC53">
        <f>HYPERLINK("https://klasma.github.io/Logging_2480/tillsynsmail/A 2643-2025 tillsynsbegäran mail.docx", "A 2643-2025")</f>
        <v/>
      </c>
    </row>
    <row r="54" ht="15" customHeight="1">
      <c r="A54" t="inlineStr">
        <is>
          <t>A 38685-2021</t>
        </is>
      </c>
      <c r="B54" t="inlineStr">
        <is>
          <t>avverkningsanmälan</t>
        </is>
      </c>
      <c r="C54" t="inlineStr">
        <is>
          <t>Avverkning för att bevara och utveckla /försöksver</t>
        </is>
      </c>
      <c r="D54" s="1" t="n">
        <v>44407</v>
      </c>
      <c r="E54" s="1" t="n">
        <v>46223</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X54">
        <f>HYPERLINK("https://klasma.github.io/Logging_2480/kartor_geotiff/A 38685-2021 georefererad karta.tif", "A 38685-2021")</f>
        <v/>
      </c>
      <c r="Z54">
        <f>HYPERLINK("https://klasma.github.io/Logging_2480/klagomål/A 38685-2021 FSC-klagomål.docx", "A 38685-2021")</f>
        <v/>
      </c>
      <c r="AA54">
        <f>HYPERLINK("https://klasma.github.io/Logging_2480/klagomålsmail/A 38685-2021 FSC-klagomål mail.docx", "A 38685-2021")</f>
        <v/>
      </c>
      <c r="AB54">
        <f>HYPERLINK("https://klasma.github.io/Logging_2480/tillsyn/A 38685-2021 tillsynsbegäran.docx", "A 38685-2021")</f>
        <v/>
      </c>
      <c r="AC54">
        <f>HYPERLINK("https://klasma.github.io/Logging_2480/tillsynsmail/A 38685-2021 tillsynsbegäran mail.docx", "A 38685-2021")</f>
        <v/>
      </c>
      <c r="AD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46223</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X55">
        <f>HYPERLINK("https://klasma.github.io/Logging_2480/kartor_geotiff/A 38449-2021 georefererad karta.tif", "A 38449-2021")</f>
        <v/>
      </c>
      <c r="Z55">
        <f>HYPERLINK("https://klasma.github.io/Logging_2480/klagomål/A 38449-2021 FSC-klagomål.docx", "A 38449-2021")</f>
        <v/>
      </c>
      <c r="AA55">
        <f>HYPERLINK("https://klasma.github.io/Logging_2480/klagomålsmail/A 38449-2021 FSC-klagomål mail.docx", "A 38449-2021")</f>
        <v/>
      </c>
      <c r="AB55">
        <f>HYPERLINK("https://klasma.github.io/Logging_2480/tillsyn/A 38449-2021 tillsynsbegäran.docx", "A 38449-2021")</f>
        <v/>
      </c>
      <c r="AC55">
        <f>HYPERLINK("https://klasma.github.io/Logging_2480/tillsynsmail/A 38449-2021 tillsynsbegäran mail.docx", "A 38449-2021")</f>
        <v/>
      </c>
    </row>
    <row r="56" ht="15" customHeight="1">
      <c r="A56" t="inlineStr">
        <is>
          <t>A 49136-2024</t>
        </is>
      </c>
      <c r="B56" t="inlineStr">
        <is>
          <t>avverkningsanmälan</t>
        </is>
      </c>
      <c r="C56" t="inlineStr">
        <is>
          <t>Föryngringsavverkning</t>
        </is>
      </c>
      <c r="D56" s="1" t="n">
        <v>45594</v>
      </c>
      <c r="E56" s="1" t="n">
        <v>46223</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s="2" t="inlineStr">
        <is>
          <t>Garnlav
Gammelgransskål
Lunglav</t>
        </is>
      </c>
      <c r="V56">
        <f>HYPERLINK("https://klasma.github.io/Logging_2480/artfynd/A 49136-2024 artfynd.xlsx", "A 49136-2024")</f>
        <v/>
      </c>
      <c r="W56">
        <f>HYPERLINK("https://klasma.github.io/Logging_2480/kartor/A 49136-2024 karta.png", "A 49136-2024")</f>
        <v/>
      </c>
      <c r="X56">
        <f>HYPERLINK("https://klasma.github.io/Logging_2480/kartor_geotiff/A 49136-2024 georefererad karta.tif", "A 49136-2024")</f>
        <v/>
      </c>
      <c r="Z56">
        <f>HYPERLINK("https://klasma.github.io/Logging_2480/klagomål/A 49136-2024 FSC-klagomål.docx", "A 49136-2024")</f>
        <v/>
      </c>
      <c r="AA56">
        <f>HYPERLINK("https://klasma.github.io/Logging_2480/klagomålsmail/A 49136-2024 FSC-klagomål mail.docx", "A 49136-2024")</f>
        <v/>
      </c>
      <c r="AB56">
        <f>HYPERLINK("https://klasma.github.io/Logging_2480/tillsyn/A 49136-2024 tillsynsbegäran.docx", "A 49136-2024")</f>
        <v/>
      </c>
      <c r="AC56">
        <f>HYPERLINK("https://klasma.github.io/Logging_2480/tillsynsmail/A 49136-2024 tillsynsbegäran mail.docx", "A 49136-2024")</f>
        <v/>
      </c>
    </row>
    <row r="57" ht="15" customHeight="1">
      <c r="A57" t="inlineStr">
        <is>
          <t>A 42195-2024</t>
        </is>
      </c>
      <c r="B57" t="inlineStr">
        <is>
          <t>avverkningsanmälan</t>
        </is>
      </c>
      <c r="C57" t="inlineStr">
        <is>
          <t>Föryngringsavverkning</t>
        </is>
      </c>
      <c r="D57" s="1" t="n">
        <v>45562</v>
      </c>
      <c r="E57" s="1" t="n">
        <v>46223</v>
      </c>
      <c r="F57" t="inlineStr">
        <is>
          <t>VÄSTERBOTTENS LÄN</t>
        </is>
      </c>
      <c r="G57" t="inlineStr">
        <is>
          <t>UMEÅ</t>
        </is>
      </c>
      <c r="H57" t="inlineStr">
        <is>
          <t>Kommuner</t>
        </is>
      </c>
      <c r="I57" t="n">
        <v>1.2</v>
      </c>
      <c r="J57" t="n">
        <v>1</v>
      </c>
      <c r="K57" t="n">
        <v>0</v>
      </c>
      <c r="L57" t="n">
        <v>1</v>
      </c>
      <c r="M57" t="n">
        <v>1</v>
      </c>
      <c r="N57" t="n">
        <v>0</v>
      </c>
      <c r="O57" t="n">
        <v>0</v>
      </c>
      <c r="P57" t="n">
        <v>0</v>
      </c>
      <c r="Q57" t="n">
        <v>2</v>
      </c>
      <c r="R57" t="n">
        <v>1</v>
      </c>
      <c r="S57" t="n">
        <v>3</v>
      </c>
      <c r="T57" t="n">
        <v>4</v>
      </c>
      <c r="U57" s="2" t="inlineStr">
        <is>
          <t>Smalfotad taggsvamp
Motaggsvamp
Spillkråka</t>
        </is>
      </c>
      <c r="V57">
        <f>HYPERLINK("https://klasma.github.io/Logging_2480/artfynd/A 42195-2024 artfynd.xlsx", "A 42195-2024")</f>
        <v/>
      </c>
      <c r="W57">
        <f>HYPERLINK("https://klasma.github.io/Logging_2480/kartor/A 42195-2024 karta.png", "A 42195-2024")</f>
        <v/>
      </c>
      <c r="X57">
        <f>HYPERLINK("https://klasma.github.io/Logging_2480/kartor_geotiff/A 42195-2024 georefererad karta.tif", "A 42195-2024")</f>
        <v/>
      </c>
      <c r="Z57">
        <f>HYPERLINK("https://klasma.github.io/Logging_2480/klagomål/A 42195-2024 FSC-klagomål.docx", "A 42195-2024")</f>
        <v/>
      </c>
      <c r="AA57">
        <f>HYPERLINK("https://klasma.github.io/Logging_2480/klagomålsmail/A 42195-2024 FSC-klagomål mail.docx", "A 42195-2024")</f>
        <v/>
      </c>
      <c r="AB57">
        <f>HYPERLINK("https://klasma.github.io/Logging_2480/tillsyn/A 42195-2024 tillsynsbegäran.docx", "A 42195-2024")</f>
        <v/>
      </c>
      <c r="AC57">
        <f>HYPERLINK("https://klasma.github.io/Logging_2480/tillsynsmail/A 42195-2024 tillsynsbegäran mail.docx", "A 42195-2024")</f>
        <v/>
      </c>
      <c r="AD57">
        <f>HYPERLINK("https://klasma.github.io/Logging_2480/fåglar/A 42195-2024 prioriterade fågelarter.docx", "A 42195-2024")</f>
        <v/>
      </c>
    </row>
    <row r="58" ht="15" customHeight="1">
      <c r="A58" t="inlineStr">
        <is>
          <t>A 36794-2025</t>
        </is>
      </c>
      <c r="B58" t="inlineStr">
        <is>
          <t>avverkningsanmälan</t>
        </is>
      </c>
      <c r="C58" t="inlineStr">
        <is>
          <t>Föryngringsavverkning</t>
        </is>
      </c>
      <c r="D58" s="1" t="n">
        <v>45873</v>
      </c>
      <c r="E58" s="1" t="n">
        <v>46223</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X58">
        <f>HYPERLINK("https://klasma.github.io/Logging_2480/kartor_geotiff/A 36794-2025 georefererad karta.tif", "A 36794-2025")</f>
        <v/>
      </c>
      <c r="Z58">
        <f>HYPERLINK("https://klasma.github.io/Logging_2480/klagomål/A 36794-2025 FSC-klagomål.docx", "A 36794-2025")</f>
        <v/>
      </c>
      <c r="AA58">
        <f>HYPERLINK("https://klasma.github.io/Logging_2480/klagomålsmail/A 36794-2025 FSC-klagomål mail.docx", "A 36794-2025")</f>
        <v/>
      </c>
      <c r="AB58">
        <f>HYPERLINK("https://klasma.github.io/Logging_2480/tillsyn/A 36794-2025 tillsynsbegäran.docx", "A 36794-2025")</f>
        <v/>
      </c>
      <c r="AC58">
        <f>HYPERLINK("https://klasma.github.io/Logging_2480/tillsynsmail/A 36794-2025 tillsynsbegäran mail.docx", "A 36794-2025")</f>
        <v/>
      </c>
      <c r="AD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46223</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X59">
        <f>HYPERLINK("https://klasma.github.io/Logging_2480/kartor_geotiff/A 49264-2025 georefererad karta.tif", "A 49264-2025")</f>
        <v/>
      </c>
      <c r="Z59">
        <f>HYPERLINK("https://klasma.github.io/Logging_2480/klagomål/A 49264-2025 FSC-klagomål.docx", "A 49264-2025")</f>
        <v/>
      </c>
      <c r="AA59">
        <f>HYPERLINK("https://klasma.github.io/Logging_2480/klagomålsmail/A 49264-2025 FSC-klagomål mail.docx", "A 49264-2025")</f>
        <v/>
      </c>
      <c r="AB59">
        <f>HYPERLINK("https://klasma.github.io/Logging_2480/tillsyn/A 49264-2025 tillsynsbegäran.docx", "A 49264-2025")</f>
        <v/>
      </c>
      <c r="AC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46223</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X60">
        <f>HYPERLINK("https://klasma.github.io/Logging_2480/kartor_geotiff/A 52006-2025 georefererad karta.tif", "A 52006-2025")</f>
        <v/>
      </c>
      <c r="Z60">
        <f>HYPERLINK("https://klasma.github.io/Logging_2480/klagomål/A 52006-2025 FSC-klagomål.docx", "A 52006-2025")</f>
        <v/>
      </c>
      <c r="AA60">
        <f>HYPERLINK("https://klasma.github.io/Logging_2480/klagomålsmail/A 52006-2025 FSC-klagomål mail.docx", "A 52006-2025")</f>
        <v/>
      </c>
      <c r="AB60">
        <f>HYPERLINK("https://klasma.github.io/Logging_2480/tillsyn/A 52006-2025 tillsynsbegäran.docx", "A 52006-2025")</f>
        <v/>
      </c>
      <c r="AC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46223</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s="2" t="inlineStr">
        <is>
          <t>Skrattmås
Skräntärna
Sädesärla</t>
        </is>
      </c>
      <c r="V61">
        <f>HYPERLINK("https://klasma.github.io/Logging_2480/artfynd/A 14970-2026 artfynd.xlsx", "A 14970-2026")</f>
        <v/>
      </c>
      <c r="W61">
        <f>HYPERLINK("https://klasma.github.io/Logging_2480/kartor/A 14970-2026 karta.png", "A 14970-2026")</f>
        <v/>
      </c>
      <c r="X61">
        <f>HYPERLINK("https://klasma.github.io/Logging_2480/kartor_geotiff/A 14970-2026 georefererad karta.tif", "A 14970-2026")</f>
        <v/>
      </c>
      <c r="Z61">
        <f>HYPERLINK("https://klasma.github.io/Logging_2480/klagomål/A 14970-2026 FSC-klagomål.docx", "A 14970-2026")</f>
        <v/>
      </c>
      <c r="AA61">
        <f>HYPERLINK("https://klasma.github.io/Logging_2480/klagomålsmail/A 14970-2026 FSC-klagomål mail.docx", "A 14970-2026")</f>
        <v/>
      </c>
      <c r="AB61">
        <f>HYPERLINK("https://klasma.github.io/Logging_2480/tillsyn/A 14970-2026 tillsynsbegäran.docx", "A 14970-2026")</f>
        <v/>
      </c>
      <c r="AC61">
        <f>HYPERLINK("https://klasma.github.io/Logging_2480/tillsynsmail/A 14970-2026 tillsynsbegäran mail.docx", "A 14970-2026")</f>
        <v/>
      </c>
      <c r="AD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46223</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s="2" t="inlineStr">
        <is>
          <t>Garnlav
Knärot
Ullticka</t>
        </is>
      </c>
      <c r="V62">
        <f>HYPERLINK("https://klasma.github.io/Logging_2480/artfynd/A 54319-2025 artfynd.xlsx", "A 54319-2025")</f>
        <v/>
      </c>
      <c r="W62">
        <f>HYPERLINK("https://klasma.github.io/Logging_2480/kartor/A 54319-2025 karta.png", "A 54319-2025")</f>
        <v/>
      </c>
      <c r="X62">
        <f>HYPERLINK("https://klasma.github.io/Logging_2480/kartor_geotiff/A 54319-2025 georefererad karta.tif", "A 54319-2025")</f>
        <v/>
      </c>
      <c r="Y62">
        <f>HYPERLINK("https://klasma.github.io/Logging_2480/knärot/A 54319-2025 karta knärot.png", "A 54319-2025")</f>
        <v/>
      </c>
      <c r="Z62">
        <f>HYPERLINK("https://klasma.github.io/Logging_2480/klagomål/A 54319-2025 FSC-klagomål.docx", "A 54319-2025")</f>
        <v/>
      </c>
      <c r="AA62">
        <f>HYPERLINK("https://klasma.github.io/Logging_2480/klagomålsmail/A 54319-2025 FSC-klagomål mail.docx", "A 54319-2025")</f>
        <v/>
      </c>
      <c r="AB62">
        <f>HYPERLINK("https://klasma.github.io/Logging_2480/tillsyn/A 54319-2025 tillsynsbegäran.docx", "A 54319-2025")</f>
        <v/>
      </c>
      <c r="AC62">
        <f>HYPERLINK("https://klasma.github.io/Logging_2480/tillsynsmail/A 54319-2025 tillsynsbegäran mail.docx", "A 54319-2025")</f>
        <v/>
      </c>
    </row>
    <row r="63" ht="15" customHeight="1">
      <c r="A63" t="inlineStr">
        <is>
          <t>A 32221-2024</t>
        </is>
      </c>
      <c r="B63" t="inlineStr">
        <is>
          <t>avverkningsanmälan</t>
        </is>
      </c>
      <c r="C63" t="inlineStr">
        <is>
          <t>Föryngringsavverkning</t>
        </is>
      </c>
      <c r="D63" s="1" t="n">
        <v>45511</v>
      </c>
      <c r="E63" s="1" t="n">
        <v>46223</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s="2" t="inlineStr">
        <is>
          <t>Talltita
Björksplintborre
Större träfjäril</t>
        </is>
      </c>
      <c r="V63">
        <f>HYPERLINK("https://klasma.github.io/Logging_2480/artfynd/A 32221-2024 artfynd.xlsx", "A 32221-2024")</f>
        <v/>
      </c>
      <c r="W63">
        <f>HYPERLINK("https://klasma.github.io/Logging_2480/kartor/A 32221-2024 karta.png", "A 32221-2024")</f>
        <v/>
      </c>
      <c r="X63">
        <f>HYPERLINK("https://klasma.github.io/Logging_2480/kartor_geotiff/A 32221-2024 georefererad karta.tif", "A 32221-2024")</f>
        <v/>
      </c>
      <c r="Z63">
        <f>HYPERLINK("https://klasma.github.io/Logging_2480/klagomål/A 32221-2024 FSC-klagomål.docx", "A 32221-2024")</f>
        <v/>
      </c>
      <c r="AA63">
        <f>HYPERLINK("https://klasma.github.io/Logging_2480/klagomålsmail/A 32221-2024 FSC-klagomål mail.docx", "A 32221-2024")</f>
        <v/>
      </c>
      <c r="AB63">
        <f>HYPERLINK("https://klasma.github.io/Logging_2480/tillsyn/A 32221-2024 tillsynsbegäran.docx", "A 32221-2024")</f>
        <v/>
      </c>
      <c r="AC63">
        <f>HYPERLINK("https://klasma.github.io/Logging_2480/tillsynsmail/A 32221-2024 tillsynsbegäran mail.docx", "A 32221-2024")</f>
        <v/>
      </c>
      <c r="AD63">
        <f>HYPERLINK("https://klasma.github.io/Logging_2480/fåglar/A 32221-2024 prioriterade fågelarter.docx", "A 32221-2024")</f>
        <v/>
      </c>
    </row>
    <row r="64" ht="15" customHeight="1">
      <c r="A64" t="inlineStr">
        <is>
          <t>A 37889-2023</t>
        </is>
      </c>
      <c r="B64" t="inlineStr">
        <is>
          <t>avverkningsanmälan</t>
        </is>
      </c>
      <c r="C64" t="inlineStr">
        <is>
          <t>Föryngringsavverkning</t>
        </is>
      </c>
      <c r="D64" s="1" t="n">
        <v>45160</v>
      </c>
      <c r="E64" s="1" t="n">
        <v>46223</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s="2" t="inlineStr">
        <is>
          <t>Dropptaggsvamp
Kolflarnlav
Motaggsvamp</t>
        </is>
      </c>
      <c r="V64">
        <f>HYPERLINK("https://klasma.github.io/Logging_2480/artfynd/A 37889-2023 artfynd.xlsx", "A 37889-2023")</f>
        <v/>
      </c>
      <c r="W64">
        <f>HYPERLINK("https://klasma.github.io/Logging_2480/kartor/A 37889-2023 karta.png", "A 37889-2023")</f>
        <v/>
      </c>
      <c r="X64">
        <f>HYPERLINK("https://klasma.github.io/Logging_2480/kartor_geotiff/A 37889-2023 georefererad karta.tif", "A 37889-2023")</f>
        <v/>
      </c>
      <c r="Z64">
        <f>HYPERLINK("https://klasma.github.io/Logging_2480/klagomål/A 37889-2023 FSC-klagomål.docx", "A 37889-2023")</f>
        <v/>
      </c>
      <c r="AA64">
        <f>HYPERLINK("https://klasma.github.io/Logging_2480/klagomålsmail/A 37889-2023 FSC-klagomål mail.docx", "A 37889-2023")</f>
        <v/>
      </c>
      <c r="AB64">
        <f>HYPERLINK("https://klasma.github.io/Logging_2480/tillsyn/A 37889-2023 tillsynsbegäran.docx", "A 37889-2023")</f>
        <v/>
      </c>
      <c r="AC64">
        <f>HYPERLINK("https://klasma.github.io/Logging_2480/tillsynsmail/A 37889-2023 tillsynsbegäran mail.docx", "A 37889-2023")</f>
        <v/>
      </c>
    </row>
    <row r="65" ht="15" customHeight="1">
      <c r="A65" t="inlineStr">
        <is>
          <t>A 6054-2025</t>
        </is>
      </c>
      <c r="B65" t="inlineStr">
        <is>
          <t>avverkningsanmälan</t>
        </is>
      </c>
      <c r="C65" t="inlineStr">
        <is>
          <t>Föryngringsavverkning</t>
        </is>
      </c>
      <c r="D65" s="1" t="n">
        <v>45695</v>
      </c>
      <c r="E65" s="1" t="n">
        <v>46223</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X65">
        <f>HYPERLINK("https://klasma.github.io/Logging_2480/kartor_geotiff/A 6054-2025 georefererad karta.tif", "A 6054-2025")</f>
        <v/>
      </c>
      <c r="Z65">
        <f>HYPERLINK("https://klasma.github.io/Logging_2480/klagomål/A 6054-2025 FSC-klagomål.docx", "A 6054-2025")</f>
        <v/>
      </c>
      <c r="AA65">
        <f>HYPERLINK("https://klasma.github.io/Logging_2480/klagomålsmail/A 6054-2025 FSC-klagomål mail.docx", "A 6054-2025")</f>
        <v/>
      </c>
      <c r="AB65">
        <f>HYPERLINK("https://klasma.github.io/Logging_2480/tillsyn/A 6054-2025 tillsynsbegäran.docx", "A 6054-2025")</f>
        <v/>
      </c>
      <c r="AC65">
        <f>HYPERLINK("https://klasma.github.io/Logging_2480/tillsynsmail/A 6054-2025 tillsynsbegäran mail.docx", "A 6054-2025")</f>
        <v/>
      </c>
      <c r="AD65">
        <f>HYPERLINK("https://klasma.github.io/Logging_2480/fåglar/A 6054-2025 prioriterade fågelarter.docx", "A 6054-2025")</f>
        <v/>
      </c>
    </row>
    <row r="66" ht="15" customHeight="1">
      <c r="A66" t="inlineStr">
        <is>
          <t>A 26933-2024</t>
        </is>
      </c>
      <c r="B66" t="inlineStr">
        <is>
          <t>avverkningsanmälan</t>
        </is>
      </c>
      <c r="C66" t="inlineStr">
        <is>
          <t>Föryngringsavverkning</t>
        </is>
      </c>
      <c r="D66" s="1" t="n">
        <v>45470</v>
      </c>
      <c r="E66" s="1" t="n">
        <v>46223</v>
      </c>
      <c r="F66" t="inlineStr">
        <is>
          <t>VÄSTERBOTTENS LÄN</t>
        </is>
      </c>
      <c r="G66" t="inlineStr">
        <is>
          <t>UMEÅ</t>
        </is>
      </c>
      <c r="I66" t="n">
        <v>0.9</v>
      </c>
      <c r="J66" t="n">
        <v>0</v>
      </c>
      <c r="K66" t="n">
        <v>2</v>
      </c>
      <c r="L66" t="n">
        <v>1</v>
      </c>
      <c r="M66" t="n">
        <v>0</v>
      </c>
      <c r="N66" t="n">
        <v>0</v>
      </c>
      <c r="O66" t="n">
        <v>0</v>
      </c>
      <c r="P66" t="n">
        <v>0</v>
      </c>
      <c r="Q66" t="n">
        <v>1</v>
      </c>
      <c r="R66" t="n">
        <v>0</v>
      </c>
      <c r="S66" t="n">
        <v>3</v>
      </c>
      <c r="T66" t="n">
        <v>5</v>
      </c>
      <c r="U66" s="2" t="inlineStr">
        <is>
          <t>Ullticka
Bronshjon
Vågbandad barkbock</t>
        </is>
      </c>
      <c r="V66">
        <f>HYPERLINK("https://klasma.github.io/Logging_2480/artfynd/A 26933-2024 artfynd.xlsx", "A 26933-2024")</f>
        <v/>
      </c>
      <c r="W66">
        <f>HYPERLINK("https://klasma.github.io/Logging_2480/kartor/A 26933-2024 karta.png", "A 26933-2024")</f>
        <v/>
      </c>
      <c r="X66">
        <f>HYPERLINK("https://klasma.github.io/Logging_2480/kartor_geotiff/A 26933-2024 georefererad karta.tif", "A 26933-2024")</f>
        <v/>
      </c>
      <c r="Z66">
        <f>HYPERLINK("https://klasma.github.io/Logging_2480/klagomål/A 26933-2024 FSC-klagomål.docx", "A 26933-2024")</f>
        <v/>
      </c>
      <c r="AA66">
        <f>HYPERLINK("https://klasma.github.io/Logging_2480/klagomålsmail/A 26933-2024 FSC-klagomål mail.docx", "A 26933-2024")</f>
        <v/>
      </c>
      <c r="AB66">
        <f>HYPERLINK("https://klasma.github.io/Logging_2480/tillsyn/A 26933-2024 tillsynsbegäran.docx", "A 26933-2024")</f>
        <v/>
      </c>
      <c r="AC66">
        <f>HYPERLINK("https://klasma.github.io/Logging_2480/tillsynsmail/A 26933-2024 tillsynsbegäran mail.docx", "A 26933-2024")</f>
        <v/>
      </c>
    </row>
    <row r="67" ht="15" customHeight="1">
      <c r="A67" t="inlineStr">
        <is>
          <t>A 30645-2025</t>
        </is>
      </c>
      <c r="B67" t="inlineStr">
        <is>
          <t>avverkningsanmälan</t>
        </is>
      </c>
      <c r="C67" t="inlineStr">
        <is>
          <t>Föryngringsavverkning</t>
        </is>
      </c>
      <c r="D67" s="1" t="n">
        <v>45831</v>
      </c>
      <c r="E67" s="1" t="n">
        <v>46223</v>
      </c>
      <c r="F67" t="inlineStr">
        <is>
          <t>VÄSTERBOTTENS LÄN</t>
        </is>
      </c>
      <c r="G67" t="inlineStr">
        <is>
          <t>UMEÅ</t>
        </is>
      </c>
      <c r="I67" t="n">
        <v>1.5</v>
      </c>
      <c r="J67" t="n">
        <v>0</v>
      </c>
      <c r="K67" t="n">
        <v>2</v>
      </c>
      <c r="L67" t="n">
        <v>1</v>
      </c>
      <c r="M67" t="n">
        <v>0</v>
      </c>
      <c r="N67" t="n">
        <v>0</v>
      </c>
      <c r="O67" t="n">
        <v>0</v>
      </c>
      <c r="P67" t="n">
        <v>0</v>
      </c>
      <c r="Q67" t="n">
        <v>1</v>
      </c>
      <c r="R67" t="n">
        <v>0</v>
      </c>
      <c r="S67" t="n">
        <v>3</v>
      </c>
      <c r="T67" t="n">
        <v>3</v>
      </c>
      <c r="U67" s="2" t="inlineStr">
        <is>
          <t>Violettgrå tagellav
Bronshjon
Vågbandad barkbock</t>
        </is>
      </c>
      <c r="V67">
        <f>HYPERLINK("https://klasma.github.io/Logging_2480/artfynd/A 30645-2025 artfynd.xlsx", "A 30645-2025")</f>
        <v/>
      </c>
      <c r="W67">
        <f>HYPERLINK("https://klasma.github.io/Logging_2480/kartor/A 30645-2025 karta.png", "A 30645-2025")</f>
        <v/>
      </c>
      <c r="X67">
        <f>HYPERLINK("https://klasma.github.io/Logging_2480/kartor_geotiff/A 30645-2025 georefererad karta.tif", "A 30645-2025")</f>
        <v/>
      </c>
      <c r="Z67">
        <f>HYPERLINK("https://klasma.github.io/Logging_2480/klagomål/A 30645-2025 FSC-klagomål.docx", "A 30645-2025")</f>
        <v/>
      </c>
      <c r="AA67">
        <f>HYPERLINK("https://klasma.github.io/Logging_2480/klagomålsmail/A 30645-2025 FSC-klagomål mail.docx", "A 30645-2025")</f>
        <v/>
      </c>
      <c r="AB67">
        <f>HYPERLINK("https://klasma.github.io/Logging_2480/tillsyn/A 30645-2025 tillsynsbegäran.docx", "A 30645-2025")</f>
        <v/>
      </c>
      <c r="AC67">
        <f>HYPERLINK("https://klasma.github.io/Logging_2480/tillsynsmail/A 30645-2025 tillsynsbegäran mail.docx", "A 30645-2025")</f>
        <v/>
      </c>
    </row>
    <row r="68" ht="15" customHeight="1">
      <c r="A68" t="inlineStr">
        <is>
          <t>A 60084-2025</t>
        </is>
      </c>
      <c r="B68" t="inlineStr">
        <is>
          <t>avverkningsanmälan</t>
        </is>
      </c>
      <c r="C68" t="inlineStr">
        <is>
          <t>Föryngringsavverkning</t>
        </is>
      </c>
      <c r="D68" s="1" t="n">
        <v>45993</v>
      </c>
      <c r="E68" s="1" t="n">
        <v>46223</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s="2" t="inlineStr">
        <is>
          <t>Garnlav
Tretåig hackspett
Vedticka</t>
        </is>
      </c>
      <c r="V68">
        <f>HYPERLINK("https://klasma.github.io/Logging_2480/artfynd/A 60084-2025 artfynd.xlsx", "A 60084-2025")</f>
        <v/>
      </c>
      <c r="W68">
        <f>HYPERLINK("https://klasma.github.io/Logging_2480/kartor/A 60084-2025 karta.png", "A 60084-2025")</f>
        <v/>
      </c>
      <c r="X68">
        <f>HYPERLINK("https://klasma.github.io/Logging_2480/kartor_geotiff/A 60084-2025 georefererad karta.tif", "A 60084-2025")</f>
        <v/>
      </c>
      <c r="Z68">
        <f>HYPERLINK("https://klasma.github.io/Logging_2480/klagomål/A 60084-2025 FSC-klagomål.docx", "A 60084-2025")</f>
        <v/>
      </c>
      <c r="AA68">
        <f>HYPERLINK("https://klasma.github.io/Logging_2480/klagomålsmail/A 60084-2025 FSC-klagomål mail.docx", "A 60084-2025")</f>
        <v/>
      </c>
      <c r="AB68">
        <f>HYPERLINK("https://klasma.github.io/Logging_2480/tillsyn/A 60084-2025 tillsynsbegäran.docx", "A 60084-2025")</f>
        <v/>
      </c>
      <c r="AC68">
        <f>HYPERLINK("https://klasma.github.io/Logging_2480/tillsynsmail/A 60084-2025 tillsynsbegäran mail.docx", "A 60084-2025")</f>
        <v/>
      </c>
      <c r="AD68">
        <f>HYPERLINK("https://klasma.github.io/Logging_2480/fåglar/A 60084-2025 prioriterade fågelarter.docx", "A 60084-2025")</f>
        <v/>
      </c>
    </row>
    <row r="69" ht="15" customHeight="1">
      <c r="A69" t="inlineStr">
        <is>
          <t>A 23010-2026</t>
        </is>
      </c>
      <c r="B69" t="inlineStr">
        <is>
          <t>avverkningsanmälan</t>
        </is>
      </c>
      <c r="C69" t="inlineStr">
        <is>
          <t>Föryngringsavverkning</t>
        </is>
      </c>
      <c r="D69" s="1" t="n">
        <v>46161</v>
      </c>
      <c r="E69" s="1" t="n">
        <v>46223</v>
      </c>
      <c r="F69" t="inlineStr">
        <is>
          <t>VÄSTERBOTTENS LÄN</t>
        </is>
      </c>
      <c r="G69" t="inlineStr">
        <is>
          <t>UMEÅ</t>
        </is>
      </c>
      <c r="I69" t="n">
        <v>2.8</v>
      </c>
      <c r="J69" t="n">
        <v>1</v>
      </c>
      <c r="K69" t="n">
        <v>1</v>
      </c>
      <c r="L69" t="n">
        <v>0</v>
      </c>
      <c r="M69" t="n">
        <v>1</v>
      </c>
      <c r="N69" t="n">
        <v>0</v>
      </c>
      <c r="O69" t="n">
        <v>0</v>
      </c>
      <c r="P69" t="n">
        <v>0</v>
      </c>
      <c r="Q69" t="n">
        <v>1</v>
      </c>
      <c r="R69" t="n">
        <v>1</v>
      </c>
      <c r="S69" t="n">
        <v>3</v>
      </c>
      <c r="T69" t="n">
        <v>4</v>
      </c>
      <c r="U69" s="2" t="inlineStr">
        <is>
          <t>Garnlav
Ögonpyrola
Revlummer</t>
        </is>
      </c>
      <c r="V69">
        <f>HYPERLINK("https://klasma.github.io/Logging_2480/artfynd/A 23010-2026 artfynd.xlsx", "A 23010-2026")</f>
        <v/>
      </c>
      <c r="W69">
        <f>HYPERLINK("https://klasma.github.io/Logging_2480/kartor/A 23010-2026 karta.png", "A 23010-2026")</f>
        <v/>
      </c>
      <c r="X69">
        <f>HYPERLINK("https://klasma.github.io/Logging_2480/kartor_geotiff/A 23010-2026 georefererad karta.tif", "A 23010-2026")</f>
        <v/>
      </c>
      <c r="Z69">
        <f>HYPERLINK("https://klasma.github.io/Logging_2480/klagomål/A 23010-2026 FSC-klagomål.docx", "A 23010-2026")</f>
        <v/>
      </c>
      <c r="AA69">
        <f>HYPERLINK("https://klasma.github.io/Logging_2480/klagomålsmail/A 23010-2026 FSC-klagomål mail.docx", "A 23010-2026")</f>
        <v/>
      </c>
      <c r="AB69">
        <f>HYPERLINK("https://klasma.github.io/Logging_2480/tillsyn/A 23010-2026 tillsynsbegäran.docx", "A 23010-2026")</f>
        <v/>
      </c>
      <c r="AC69">
        <f>HYPERLINK("https://klasma.github.io/Logging_2480/tillsynsmail/A 23010-2026 tillsynsbegäran mail.docx", "A 23010-2026")</f>
        <v/>
      </c>
    </row>
    <row r="70" ht="15" customHeight="1">
      <c r="A70" t="inlineStr">
        <is>
          <t>A 5029-2022</t>
        </is>
      </c>
      <c r="B70" t="inlineStr">
        <is>
          <t>avverkningsanmälan</t>
        </is>
      </c>
      <c r="C70" t="inlineStr">
        <is>
          <t>Föryngringsavverkning</t>
        </is>
      </c>
      <c r="D70" s="1" t="n">
        <v>44593</v>
      </c>
      <c r="E70" s="1" t="n">
        <v>46223</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X70">
        <f>HYPERLINK("https://klasma.github.io/Logging_2480/kartor_geotiff/A 5029-2022 georefererad karta.tif", "A 5029-2022")</f>
        <v/>
      </c>
      <c r="Z70">
        <f>HYPERLINK("https://klasma.github.io/Logging_2480/klagomål/A 5029-2022 FSC-klagomål.docx", "A 5029-2022")</f>
        <v/>
      </c>
      <c r="AA70">
        <f>HYPERLINK("https://klasma.github.io/Logging_2480/klagomålsmail/A 5029-2022 FSC-klagomål mail.docx", "A 5029-2022")</f>
        <v/>
      </c>
      <c r="AB70">
        <f>HYPERLINK("https://klasma.github.io/Logging_2480/tillsyn/A 5029-2022 tillsynsbegäran.docx", "A 5029-2022")</f>
        <v/>
      </c>
      <c r="AC70">
        <f>HYPERLINK("https://klasma.github.io/Logging_2480/tillsynsmail/A 5029-2022 tillsynsbegäran mail.docx", "A 5029-2022")</f>
        <v/>
      </c>
    </row>
    <row r="71" ht="15" customHeight="1">
      <c r="A71" t="inlineStr">
        <is>
          <t>A 12971-2025</t>
        </is>
      </c>
      <c r="B71" t="inlineStr">
        <is>
          <t>avverkningsanmälan</t>
        </is>
      </c>
      <c r="C71" t="inlineStr">
        <is>
          <t>Föryngringsavverkning</t>
        </is>
      </c>
      <c r="D71" s="1" t="n">
        <v>45734</v>
      </c>
      <c r="E71" s="1" t="n">
        <v>46223</v>
      </c>
      <c r="F71" t="inlineStr">
        <is>
          <t>VÄSTERBOTTENS LÄN</t>
        </is>
      </c>
      <c r="G71" t="inlineStr">
        <is>
          <t>UMEÅ</t>
        </is>
      </c>
      <c r="I71" t="n">
        <v>4.1</v>
      </c>
      <c r="J71" t="n">
        <v>0</v>
      </c>
      <c r="K71" t="n">
        <v>1</v>
      </c>
      <c r="L71" t="n">
        <v>2</v>
      </c>
      <c r="M71" t="n">
        <v>0</v>
      </c>
      <c r="N71" t="n">
        <v>0</v>
      </c>
      <c r="O71" t="n">
        <v>0</v>
      </c>
      <c r="P71" t="n">
        <v>0</v>
      </c>
      <c r="Q71" t="n">
        <v>2</v>
      </c>
      <c r="R71" t="n">
        <v>0</v>
      </c>
      <c r="S71" t="n">
        <v>3</v>
      </c>
      <c r="T71" t="n">
        <v>3</v>
      </c>
      <c r="U71" s="2" t="inlineStr">
        <is>
          <t>Ullticka
Violmussling
Jättesvampmal</t>
        </is>
      </c>
      <c r="V71">
        <f>HYPERLINK("https://klasma.github.io/Logging_2480/artfynd/A 12971-2025 artfynd.xlsx", "A 12971-2025")</f>
        <v/>
      </c>
      <c r="W71">
        <f>HYPERLINK("https://klasma.github.io/Logging_2480/kartor/A 12971-2025 karta.png", "A 12971-2025")</f>
        <v/>
      </c>
      <c r="X71">
        <f>HYPERLINK("https://klasma.github.io/Logging_2480/kartor_geotiff/A 12971-2025 georefererad karta.tif", "A 12971-2025")</f>
        <v/>
      </c>
      <c r="Z71">
        <f>HYPERLINK("https://klasma.github.io/Logging_2480/klagomål/A 12971-2025 FSC-klagomål.docx", "A 12971-2025")</f>
        <v/>
      </c>
      <c r="AA71">
        <f>HYPERLINK("https://klasma.github.io/Logging_2480/klagomålsmail/A 12971-2025 FSC-klagomål mail.docx", "A 12971-2025")</f>
        <v/>
      </c>
      <c r="AB71">
        <f>HYPERLINK("https://klasma.github.io/Logging_2480/tillsyn/A 12971-2025 tillsynsbegäran.docx", "A 12971-2025")</f>
        <v/>
      </c>
      <c r="AC71">
        <f>HYPERLINK("https://klasma.github.io/Logging_2480/tillsynsmail/A 12971-2025 tillsynsbegäran mail.docx", "A 12971-2025")</f>
        <v/>
      </c>
    </row>
    <row r="72" ht="15" customHeight="1">
      <c r="A72" t="inlineStr">
        <is>
          <t>S 4186-2023</t>
        </is>
      </c>
      <c r="B72" t="inlineStr">
        <is>
          <t>samrådsanmälan</t>
        </is>
      </c>
      <c r="C72" t="inlineStr">
        <is>
          <t>Skogsgödsling</t>
        </is>
      </c>
      <c r="D72" s="1" t="n">
        <v>45250</v>
      </c>
      <c r="E72" s="1" t="n">
        <v>46223</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X72">
        <f>HYPERLINK("https://klasma.github.io/Logging_2480/kartor_geotiff/S 4186-2023 georefererad karta.tif", "S 4186-2023")</f>
        <v/>
      </c>
      <c r="Z72">
        <f>HYPERLINK("https://klasma.github.io/Logging_2480/klagomål/S 4186-2023 FSC-klagomål.docx", "S 4186-2023")</f>
        <v/>
      </c>
      <c r="AA72">
        <f>HYPERLINK("https://klasma.github.io/Logging_2480/klagomålsmail/S 4186-2023 FSC-klagomål mail.docx", "S 4186-2023")</f>
        <v/>
      </c>
      <c r="AB72">
        <f>HYPERLINK("https://klasma.github.io/Logging_2480/tillsyn/S 4186-2023 tillsynsbegäran.docx", "S 4186-2023")</f>
        <v/>
      </c>
      <c r="AC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46223</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X73">
        <f>HYPERLINK("https://klasma.github.io/Logging_2480/kartor_geotiff/S 1721-2024 georefererad karta.tif", "S 1721-2024")</f>
        <v/>
      </c>
      <c r="Z73">
        <f>HYPERLINK("https://klasma.github.io/Logging_2480/klagomål/S 1721-2024 FSC-klagomål.docx", "S 1721-2024")</f>
        <v/>
      </c>
      <c r="AA73">
        <f>HYPERLINK("https://klasma.github.io/Logging_2480/klagomålsmail/S 1721-2024 FSC-klagomål mail.docx", "S 1721-2024")</f>
        <v/>
      </c>
      <c r="AB73">
        <f>HYPERLINK("https://klasma.github.io/Logging_2480/tillsyn/S 1721-2024 tillsynsbegäran.docx", "S 1721-2024")</f>
        <v/>
      </c>
      <c r="AC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46223</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X74">
        <f>HYPERLINK("https://klasma.github.io/Logging_2480/kartor_geotiff/S 2856-2025 georefererad karta.tif", "S 2856-2025")</f>
        <v/>
      </c>
      <c r="Z74">
        <f>HYPERLINK("https://klasma.github.io/Logging_2480/klagomål/S 2856-2025 FSC-klagomål.docx", "S 2856-2025")</f>
        <v/>
      </c>
      <c r="AA74">
        <f>HYPERLINK("https://klasma.github.io/Logging_2480/klagomålsmail/S 2856-2025 FSC-klagomål mail.docx", "S 2856-2025")</f>
        <v/>
      </c>
      <c r="AB74">
        <f>HYPERLINK("https://klasma.github.io/Logging_2480/tillsyn/S 2856-2025 tillsynsbegäran.docx", "S 2856-2025")</f>
        <v/>
      </c>
      <c r="AC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46223</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X75">
        <f>HYPERLINK("https://klasma.github.io/Logging_2480/kartor_geotiff/S 420-2026 georefererad karta.tif", "S 420-2026")</f>
        <v/>
      </c>
      <c r="Z75">
        <f>HYPERLINK("https://klasma.github.io/Logging_2480/klagomål/S 420-2026 FSC-klagomål.docx", "S 420-2026")</f>
        <v/>
      </c>
      <c r="AA75">
        <f>HYPERLINK("https://klasma.github.io/Logging_2480/klagomålsmail/S 420-2026 FSC-klagomål mail.docx", "S 420-2026")</f>
        <v/>
      </c>
      <c r="AB75">
        <f>HYPERLINK("https://klasma.github.io/Logging_2480/tillsyn/S 420-2026 tillsynsbegäran.docx", "S 420-2026")</f>
        <v/>
      </c>
      <c r="AC75">
        <f>HYPERLINK("https://klasma.github.io/Logging_2480/tillsynsmail/S 420-2026 tillsynsbegäran mail.docx", "S 420-2026")</f>
        <v/>
      </c>
      <c r="AD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46223</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X76">
        <f>HYPERLINK("https://klasma.github.io/Logging_2480/kartor_geotiff/A 38396-2021 georefererad karta.tif", "A 38396-2021")</f>
        <v/>
      </c>
      <c r="Z76">
        <f>HYPERLINK("https://klasma.github.io/Logging_2480/klagomål/A 38396-2021 FSC-klagomål.docx", "A 38396-2021")</f>
        <v/>
      </c>
      <c r="AA76">
        <f>HYPERLINK("https://klasma.github.io/Logging_2480/klagomålsmail/A 38396-2021 FSC-klagomål mail.docx", "A 38396-2021")</f>
        <v/>
      </c>
      <c r="AB76">
        <f>HYPERLINK("https://klasma.github.io/Logging_2480/tillsyn/A 38396-2021 tillsynsbegäran.docx", "A 38396-2021")</f>
        <v/>
      </c>
      <c r="AC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46223</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X77">
        <f>HYPERLINK("https://klasma.github.io/Logging_2480/kartor_geotiff/A 38403-2021 georefererad karta.tif", "A 38403-2021")</f>
        <v/>
      </c>
      <c r="Z77">
        <f>HYPERLINK("https://klasma.github.io/Logging_2480/klagomål/A 38403-2021 FSC-klagomål.docx", "A 38403-2021")</f>
        <v/>
      </c>
      <c r="AA77">
        <f>HYPERLINK("https://klasma.github.io/Logging_2480/klagomålsmail/A 38403-2021 FSC-klagomål mail.docx", "A 38403-2021")</f>
        <v/>
      </c>
      <c r="AB77">
        <f>HYPERLINK("https://klasma.github.io/Logging_2480/tillsyn/A 38403-2021 tillsynsbegäran.docx", "A 38403-2021")</f>
        <v/>
      </c>
      <c r="AC77">
        <f>HYPERLINK("https://klasma.github.io/Logging_2480/tillsynsmail/A 38403-2021 tillsynsbegäran mail.docx", "A 38403-2021")</f>
        <v/>
      </c>
      <c r="AD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46223</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X78">
        <f>HYPERLINK("https://klasma.github.io/Logging_2480/kartor_geotiff/A 38437-2021 georefererad karta.tif", "A 38437-2021")</f>
        <v/>
      </c>
      <c r="Z78">
        <f>HYPERLINK("https://klasma.github.io/Logging_2480/klagomål/A 38437-2021 FSC-klagomål.docx", "A 38437-2021")</f>
        <v/>
      </c>
      <c r="AA78">
        <f>HYPERLINK("https://klasma.github.io/Logging_2480/klagomålsmail/A 38437-2021 FSC-klagomål mail.docx", "A 38437-2021")</f>
        <v/>
      </c>
      <c r="AB78">
        <f>HYPERLINK("https://klasma.github.io/Logging_2480/tillsyn/A 38437-2021 tillsynsbegäran.docx", "A 38437-2021")</f>
        <v/>
      </c>
      <c r="AC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46223</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X79">
        <f>HYPERLINK("https://klasma.github.io/Logging_2480/kartor_geotiff/A 38443-2021 georefererad karta.tif", "A 38443-2021")</f>
        <v/>
      </c>
      <c r="Z79">
        <f>HYPERLINK("https://klasma.github.io/Logging_2480/klagomål/A 38443-2021 FSC-klagomål.docx", "A 38443-2021")</f>
        <v/>
      </c>
      <c r="AA79">
        <f>HYPERLINK("https://klasma.github.io/Logging_2480/klagomålsmail/A 38443-2021 FSC-klagomål mail.docx", "A 38443-2021")</f>
        <v/>
      </c>
      <c r="AB79">
        <f>HYPERLINK("https://klasma.github.io/Logging_2480/tillsyn/A 38443-2021 tillsynsbegäran.docx", "A 38443-2021")</f>
        <v/>
      </c>
      <c r="AC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46223</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X80">
        <f>HYPERLINK("https://klasma.github.io/Logging_2480/kartor_geotiff/A 38721-2021 georefererad karta.tif", "A 38721-2021")</f>
        <v/>
      </c>
      <c r="Z80">
        <f>HYPERLINK("https://klasma.github.io/Logging_2480/klagomål/A 38721-2021 FSC-klagomål.docx", "A 38721-2021")</f>
        <v/>
      </c>
      <c r="AA80">
        <f>HYPERLINK("https://klasma.github.io/Logging_2480/klagomålsmail/A 38721-2021 FSC-klagomål mail.docx", "A 38721-2021")</f>
        <v/>
      </c>
      <c r="AB80">
        <f>HYPERLINK("https://klasma.github.io/Logging_2480/tillsyn/A 38721-2021 tillsynsbegäran.docx", "A 38721-2021")</f>
        <v/>
      </c>
      <c r="AC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46223</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X81">
        <f>HYPERLINK("https://klasma.github.io/Logging_2480/kartor_geotiff/A 38681-2021 georefererad karta.tif", "A 38681-2021")</f>
        <v/>
      </c>
      <c r="Z81">
        <f>HYPERLINK("https://klasma.github.io/Logging_2480/klagomål/A 38681-2021 FSC-klagomål.docx", "A 38681-2021")</f>
        <v/>
      </c>
      <c r="AA81">
        <f>HYPERLINK("https://klasma.github.io/Logging_2480/klagomålsmail/A 38681-2021 FSC-klagomål mail.docx", "A 38681-2021")</f>
        <v/>
      </c>
      <c r="AB81">
        <f>HYPERLINK("https://klasma.github.io/Logging_2480/tillsyn/A 38681-2021 tillsynsbegäran.docx", "A 38681-2021")</f>
        <v/>
      </c>
      <c r="AC81">
        <f>HYPERLINK("https://klasma.github.io/Logging_2480/tillsynsmail/A 38681-2021 tillsynsbegäran mail.docx", "A 38681-2021")</f>
        <v/>
      </c>
      <c r="AD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46223</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X82">
        <f>HYPERLINK("https://klasma.github.io/Logging_2480/kartor_geotiff/A 38438-2021 georefererad karta.tif", "A 38438-2021")</f>
        <v/>
      </c>
      <c r="Z82">
        <f>HYPERLINK("https://klasma.github.io/Logging_2480/klagomål/A 38438-2021 FSC-klagomål.docx", "A 38438-2021")</f>
        <v/>
      </c>
      <c r="AA82">
        <f>HYPERLINK("https://klasma.github.io/Logging_2480/klagomålsmail/A 38438-2021 FSC-klagomål mail.docx", "A 38438-2021")</f>
        <v/>
      </c>
      <c r="AB82">
        <f>HYPERLINK("https://klasma.github.io/Logging_2480/tillsyn/A 38438-2021 tillsynsbegäran.docx", "A 38438-2021")</f>
        <v/>
      </c>
      <c r="AC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46223</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X83">
        <f>HYPERLINK("https://klasma.github.io/Logging_2480/kartor_geotiff/A 48771-2022 georefererad karta.tif", "A 48771-2022")</f>
        <v/>
      </c>
      <c r="Z83">
        <f>HYPERLINK("https://klasma.github.io/Logging_2480/klagomål/A 48771-2022 FSC-klagomål.docx", "A 48771-2022")</f>
        <v/>
      </c>
      <c r="AA83">
        <f>HYPERLINK("https://klasma.github.io/Logging_2480/klagomålsmail/A 48771-2022 FSC-klagomål mail.docx", "A 48771-2022")</f>
        <v/>
      </c>
      <c r="AB83">
        <f>HYPERLINK("https://klasma.github.io/Logging_2480/tillsyn/A 48771-2022 tillsynsbegäran.docx", "A 48771-2022")</f>
        <v/>
      </c>
      <c r="AC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46223</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X84">
        <f>HYPERLINK("https://klasma.github.io/Logging_2480/kartor_geotiff/A 38400-2021 georefererad karta.tif", "A 38400-2021")</f>
        <v/>
      </c>
      <c r="Z84">
        <f>HYPERLINK("https://klasma.github.io/Logging_2480/klagomål/A 38400-2021 FSC-klagomål.docx", "A 38400-2021")</f>
        <v/>
      </c>
      <c r="AA84">
        <f>HYPERLINK("https://klasma.github.io/Logging_2480/klagomålsmail/A 38400-2021 FSC-klagomål mail.docx", "A 38400-2021")</f>
        <v/>
      </c>
      <c r="AB84">
        <f>HYPERLINK("https://klasma.github.io/Logging_2480/tillsyn/A 38400-2021 tillsynsbegäran.docx", "A 38400-2021")</f>
        <v/>
      </c>
      <c r="AC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46223</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X85">
        <f>HYPERLINK("https://klasma.github.io/Logging_2480/kartor_geotiff/A 38717-2021 georefererad karta.tif", "A 38717-2021")</f>
        <v/>
      </c>
      <c r="Z85">
        <f>HYPERLINK("https://klasma.github.io/Logging_2480/klagomål/A 38717-2021 FSC-klagomål.docx", "A 38717-2021")</f>
        <v/>
      </c>
      <c r="AA85">
        <f>HYPERLINK("https://klasma.github.io/Logging_2480/klagomålsmail/A 38717-2021 FSC-klagomål mail.docx", "A 38717-2021")</f>
        <v/>
      </c>
      <c r="AB85">
        <f>HYPERLINK("https://klasma.github.io/Logging_2480/tillsyn/A 38717-2021 tillsynsbegäran.docx", "A 38717-2021")</f>
        <v/>
      </c>
      <c r="AC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46223</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X86">
        <f>HYPERLINK("https://klasma.github.io/Logging_2480/kartor_geotiff/A 703-2022 georefererad karta.tif", "A 703-2022")</f>
        <v/>
      </c>
      <c r="Z86">
        <f>HYPERLINK("https://klasma.github.io/Logging_2480/klagomål/A 703-2022 FSC-klagomål.docx", "A 703-2022")</f>
        <v/>
      </c>
      <c r="AA86">
        <f>HYPERLINK("https://klasma.github.io/Logging_2480/klagomålsmail/A 703-2022 FSC-klagomål mail.docx", "A 703-2022")</f>
        <v/>
      </c>
      <c r="AB86">
        <f>HYPERLINK("https://klasma.github.io/Logging_2480/tillsyn/A 703-2022 tillsynsbegäran.docx", "A 703-2022")</f>
        <v/>
      </c>
      <c r="AC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46223</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X87">
        <f>HYPERLINK("https://klasma.github.io/Logging_2480/kartor_geotiff/A 38689-2021 georefererad karta.tif", "A 38689-2021")</f>
        <v/>
      </c>
      <c r="Z87">
        <f>HYPERLINK("https://klasma.github.io/Logging_2480/klagomål/A 38689-2021 FSC-klagomål.docx", "A 38689-2021")</f>
        <v/>
      </c>
      <c r="AA87">
        <f>HYPERLINK("https://klasma.github.io/Logging_2480/klagomålsmail/A 38689-2021 FSC-klagomål mail.docx", "A 38689-2021")</f>
        <v/>
      </c>
      <c r="AB87">
        <f>HYPERLINK("https://klasma.github.io/Logging_2480/tillsyn/A 38689-2021 tillsynsbegäran.docx", "A 38689-2021")</f>
        <v/>
      </c>
      <c r="AC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46223</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X88">
        <f>HYPERLINK("https://klasma.github.io/Logging_2480/kartor_geotiff/A 47038-2021 georefererad karta.tif", "A 47038-2021")</f>
        <v/>
      </c>
      <c r="Z88">
        <f>HYPERLINK("https://klasma.github.io/Logging_2480/klagomål/A 47038-2021 FSC-klagomål.docx", "A 47038-2021")</f>
        <v/>
      </c>
      <c r="AA88">
        <f>HYPERLINK("https://klasma.github.io/Logging_2480/klagomålsmail/A 47038-2021 FSC-klagomål mail.docx", "A 47038-2021")</f>
        <v/>
      </c>
      <c r="AB88">
        <f>HYPERLINK("https://klasma.github.io/Logging_2480/tillsyn/A 47038-2021 tillsynsbegäran.docx", "A 47038-2021")</f>
        <v/>
      </c>
      <c r="AC88">
        <f>HYPERLINK("https://klasma.github.io/Logging_2480/tillsynsmail/A 47038-2021 tillsynsbegäran mail.docx", "A 47038-2021")</f>
        <v/>
      </c>
      <c r="AD88">
        <f>HYPERLINK("https://klasma.github.io/Logging_2480/fåglar/A 47038-2021 prioriterade fågelarter.docx", "A 47038-2021")</f>
        <v/>
      </c>
    </row>
    <row r="89" ht="15" customHeight="1">
      <c r="A89" t="inlineStr">
        <is>
          <t>A 9771-2022</t>
        </is>
      </c>
      <c r="B89" t="inlineStr">
        <is>
          <t>avverkningsanmälan</t>
        </is>
      </c>
      <c r="C89" t="inlineStr">
        <is>
          <t>Föryngringsavverkning</t>
        </is>
      </c>
      <c r="D89" s="1" t="n">
        <v>44619</v>
      </c>
      <c r="E89" s="1" t="n">
        <v>46223</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s="2" t="inlineStr">
        <is>
          <t>Blå taggsvamp
Dropptaggsvamp</t>
        </is>
      </c>
      <c r="V89">
        <f>HYPERLINK("https://klasma.github.io/Logging_2480/artfynd/A 9771-2022 artfynd.xlsx", "A 9771-2022")</f>
        <v/>
      </c>
      <c r="W89">
        <f>HYPERLINK("https://klasma.github.io/Logging_2480/kartor/A 9771-2022 karta.png", "A 9771-2022")</f>
        <v/>
      </c>
      <c r="X89">
        <f>HYPERLINK("https://klasma.github.io/Logging_2480/kartor_geotiff/A 9771-2022 georefererad karta.tif", "A 9771-2022")</f>
        <v/>
      </c>
      <c r="Z89">
        <f>HYPERLINK("https://klasma.github.io/Logging_2480/klagomål/A 9771-2022 FSC-klagomål.docx", "A 9771-2022")</f>
        <v/>
      </c>
      <c r="AA89">
        <f>HYPERLINK("https://klasma.github.io/Logging_2480/klagomålsmail/A 9771-2022 FSC-klagomål mail.docx", "A 9771-2022")</f>
        <v/>
      </c>
      <c r="AB89">
        <f>HYPERLINK("https://klasma.github.io/Logging_2480/tillsyn/A 9771-2022 tillsynsbegäran.docx", "A 9771-2022")</f>
        <v/>
      </c>
      <c r="AC89">
        <f>HYPERLINK("https://klasma.github.io/Logging_2480/tillsynsmail/A 9771-2022 tillsynsbegäran mail.docx", "A 9771-2022")</f>
        <v/>
      </c>
    </row>
    <row r="90" ht="15" customHeight="1">
      <c r="A90" t="inlineStr">
        <is>
          <t>A 43029-2024</t>
        </is>
      </c>
      <c r="B90" t="inlineStr">
        <is>
          <t>avverkningsanmälan</t>
        </is>
      </c>
      <c r="C90" t="inlineStr">
        <is>
          <t>Föryngringsavverkning</t>
        </is>
      </c>
      <c r="D90" s="1" t="n">
        <v>45567</v>
      </c>
      <c r="E90" s="1" t="n">
        <v>46223</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s="2" t="inlineStr">
        <is>
          <t>Dropptaggsvamp
Fläcknycklar</t>
        </is>
      </c>
      <c r="V90">
        <f>HYPERLINK("https://klasma.github.io/Logging_2480/artfynd/A 43029-2024 artfynd.xlsx", "A 43029-2024")</f>
        <v/>
      </c>
      <c r="W90">
        <f>HYPERLINK("https://klasma.github.io/Logging_2480/kartor/A 43029-2024 karta.png", "A 43029-2024")</f>
        <v/>
      </c>
      <c r="X90">
        <f>HYPERLINK("https://klasma.github.io/Logging_2480/kartor_geotiff/A 43029-2024 georefererad karta.tif", "A 43029-2024")</f>
        <v/>
      </c>
      <c r="Z90">
        <f>HYPERLINK("https://klasma.github.io/Logging_2480/klagomål/A 43029-2024 FSC-klagomål.docx", "A 43029-2024")</f>
        <v/>
      </c>
      <c r="AA90">
        <f>HYPERLINK("https://klasma.github.io/Logging_2480/klagomålsmail/A 43029-2024 FSC-klagomål mail.docx", "A 43029-2024")</f>
        <v/>
      </c>
      <c r="AB90">
        <f>HYPERLINK("https://klasma.github.io/Logging_2480/tillsyn/A 43029-2024 tillsynsbegäran.docx", "A 43029-2024")</f>
        <v/>
      </c>
      <c r="AC90">
        <f>HYPERLINK("https://klasma.github.io/Logging_2480/tillsynsmail/A 43029-2024 tillsynsbegäran mail.docx", "A 43029-2024")</f>
        <v/>
      </c>
    </row>
    <row r="91" ht="15" customHeight="1">
      <c r="A91" t="inlineStr">
        <is>
          <t>A 31805-2025</t>
        </is>
      </c>
      <c r="B91" t="inlineStr">
        <is>
          <t>avverkningsanmälan</t>
        </is>
      </c>
      <c r="C91" t="inlineStr">
        <is>
          <t>Föryngringsavverkning</t>
        </is>
      </c>
      <c r="D91" s="1" t="n">
        <v>45834</v>
      </c>
      <c r="E91" s="1" t="n">
        <v>46223</v>
      </c>
      <c r="F91" t="inlineStr">
        <is>
          <t>VÄSTERBOTTENS LÄN</t>
        </is>
      </c>
      <c r="G91" t="inlineStr">
        <is>
          <t>UMEÅ</t>
        </is>
      </c>
      <c r="I91" t="n">
        <v>3.5</v>
      </c>
      <c r="J91" t="n">
        <v>0</v>
      </c>
      <c r="K91" t="n">
        <v>1</v>
      </c>
      <c r="L91" t="n">
        <v>0</v>
      </c>
      <c r="M91" t="n">
        <v>1</v>
      </c>
      <c r="N91" t="n">
        <v>0</v>
      </c>
      <c r="O91" t="n">
        <v>0</v>
      </c>
      <c r="P91" t="n">
        <v>0</v>
      </c>
      <c r="Q91" t="n">
        <v>1</v>
      </c>
      <c r="R91" t="n">
        <v>1</v>
      </c>
      <c r="S91" t="n">
        <v>2</v>
      </c>
      <c r="T91" t="n">
        <v>2</v>
      </c>
      <c r="U91" s="2" t="inlineStr">
        <is>
          <t>Garnlav
Thomsons trägnagare</t>
        </is>
      </c>
      <c r="V91">
        <f>HYPERLINK("https://klasma.github.io/Logging_2480/artfynd/A 31805-2025 artfynd.xlsx", "A 31805-2025")</f>
        <v/>
      </c>
      <c r="W91">
        <f>HYPERLINK("https://klasma.github.io/Logging_2480/kartor/A 31805-2025 karta.png", "A 31805-2025")</f>
        <v/>
      </c>
      <c r="X91">
        <f>HYPERLINK("https://klasma.github.io/Logging_2480/kartor_geotiff/A 31805-2025 georefererad karta.tif", "A 31805-2025")</f>
        <v/>
      </c>
      <c r="Z91">
        <f>HYPERLINK("https://klasma.github.io/Logging_2480/klagomål/A 31805-2025 FSC-klagomål.docx", "A 31805-2025")</f>
        <v/>
      </c>
      <c r="AA91">
        <f>HYPERLINK("https://klasma.github.io/Logging_2480/klagomålsmail/A 31805-2025 FSC-klagomål mail.docx", "A 31805-2025")</f>
        <v/>
      </c>
      <c r="AB91">
        <f>HYPERLINK("https://klasma.github.io/Logging_2480/tillsyn/A 31805-2025 tillsynsbegäran.docx", "A 31805-2025")</f>
        <v/>
      </c>
      <c r="AC91">
        <f>HYPERLINK("https://klasma.github.io/Logging_2480/tillsynsmail/A 31805-2025 tillsynsbegäran mail.docx", "A 31805-2025")</f>
        <v/>
      </c>
    </row>
    <row r="92" ht="15" customHeight="1">
      <c r="A92" t="inlineStr">
        <is>
          <t>A 43708-2025</t>
        </is>
      </c>
      <c r="B92" t="inlineStr">
        <is>
          <t>avverkningsanmälan</t>
        </is>
      </c>
      <c r="C92" t="inlineStr">
        <is>
          <t>Föryngringsavverkning</t>
        </is>
      </c>
      <c r="D92" s="1" t="n">
        <v>45912</v>
      </c>
      <c r="E92" s="1" t="n">
        <v>46223</v>
      </c>
      <c r="F92" t="inlineStr">
        <is>
          <t>VÄSTERBOTTENS LÄN</t>
        </is>
      </c>
      <c r="G92" t="inlineStr">
        <is>
          <t>UMEÅ</t>
        </is>
      </c>
      <c r="I92" t="n">
        <v>2.3</v>
      </c>
      <c r="J92" t="n">
        <v>0</v>
      </c>
      <c r="K92" t="n">
        <v>0</v>
      </c>
      <c r="L92" t="n">
        <v>1</v>
      </c>
      <c r="M92" t="n">
        <v>1</v>
      </c>
      <c r="N92" t="n">
        <v>0</v>
      </c>
      <c r="O92" t="n">
        <v>0</v>
      </c>
      <c r="P92" t="n">
        <v>0</v>
      </c>
      <c r="Q92" t="n">
        <v>2</v>
      </c>
      <c r="R92" t="n">
        <v>1</v>
      </c>
      <c r="S92" t="n">
        <v>2</v>
      </c>
      <c r="T92" t="n">
        <v>4</v>
      </c>
      <c r="U92" s="2" t="inlineStr">
        <is>
          <t>Garnlav
Violettgrå tagellav</t>
        </is>
      </c>
      <c r="V92">
        <f>HYPERLINK("https://klasma.github.io/Logging_2480/artfynd/A 43708-2025 artfynd.xlsx", "A 43708-2025")</f>
        <v/>
      </c>
      <c r="W92">
        <f>HYPERLINK("https://klasma.github.io/Logging_2480/kartor/A 43708-2025 karta.png", "A 43708-2025")</f>
        <v/>
      </c>
      <c r="X92">
        <f>HYPERLINK("https://klasma.github.io/Logging_2480/kartor_geotiff/A 43708-2025 georefererad karta.tif", "A 43708-2025")</f>
        <v/>
      </c>
      <c r="Z92">
        <f>HYPERLINK("https://klasma.github.io/Logging_2480/klagomål/A 43708-2025 FSC-klagomål.docx", "A 43708-2025")</f>
        <v/>
      </c>
      <c r="AA92">
        <f>HYPERLINK("https://klasma.github.io/Logging_2480/klagomålsmail/A 43708-2025 FSC-klagomål mail.docx", "A 43708-2025")</f>
        <v/>
      </c>
      <c r="AB92">
        <f>HYPERLINK("https://klasma.github.io/Logging_2480/tillsyn/A 43708-2025 tillsynsbegäran.docx", "A 43708-2025")</f>
        <v/>
      </c>
      <c r="AC92">
        <f>HYPERLINK("https://klasma.github.io/Logging_2480/tillsynsmail/A 43708-2025 tillsynsbegäran mail.docx", "A 43708-2025")</f>
        <v/>
      </c>
    </row>
    <row r="93" ht="15" customHeight="1">
      <c r="A93" t="inlineStr">
        <is>
          <t>A 34496-2025</t>
        </is>
      </c>
      <c r="B93" t="inlineStr">
        <is>
          <t>avverkningsanmälan</t>
        </is>
      </c>
      <c r="C93" t="inlineStr">
        <is>
          <t>Föryngringsavverkning</t>
        </is>
      </c>
      <c r="D93" s="1" t="n">
        <v>45847</v>
      </c>
      <c r="E93" s="1" t="n">
        <v>46223</v>
      </c>
      <c r="F93" t="inlineStr">
        <is>
          <t>VÄSTERBOTTENS LÄN</t>
        </is>
      </c>
      <c r="G93" t="inlineStr">
        <is>
          <t>UMEÅ</t>
        </is>
      </c>
      <c r="I93" t="n">
        <v>4.6</v>
      </c>
      <c r="J93" t="n">
        <v>1</v>
      </c>
      <c r="K93" t="n">
        <v>0</v>
      </c>
      <c r="L93" t="n">
        <v>0</v>
      </c>
      <c r="M93" t="n">
        <v>1</v>
      </c>
      <c r="N93" t="n">
        <v>0</v>
      </c>
      <c r="O93" t="n">
        <v>0</v>
      </c>
      <c r="P93" t="n">
        <v>0</v>
      </c>
      <c r="Q93" t="n">
        <v>1</v>
      </c>
      <c r="R93" t="n">
        <v>1</v>
      </c>
      <c r="S93" t="n">
        <v>2</v>
      </c>
      <c r="T93" t="n">
        <v>2</v>
      </c>
      <c r="U93" s="2" t="inlineStr">
        <is>
          <t>Mörk kådsvartspik
Kungsfågel</t>
        </is>
      </c>
      <c r="V93">
        <f>HYPERLINK("https://klasma.github.io/Logging_2480/artfynd/A 34496-2025 artfynd.xlsx", "A 34496-2025")</f>
        <v/>
      </c>
      <c r="W93">
        <f>HYPERLINK("https://klasma.github.io/Logging_2480/kartor/A 34496-2025 karta.png", "A 34496-2025")</f>
        <v/>
      </c>
      <c r="X93">
        <f>HYPERLINK("https://klasma.github.io/Logging_2480/kartor_geotiff/A 34496-2025 georefererad karta.tif", "A 34496-2025")</f>
        <v/>
      </c>
      <c r="Z93">
        <f>HYPERLINK("https://klasma.github.io/Logging_2480/klagomål/A 34496-2025 FSC-klagomål.docx", "A 34496-2025")</f>
        <v/>
      </c>
      <c r="AA93">
        <f>HYPERLINK("https://klasma.github.io/Logging_2480/klagomålsmail/A 34496-2025 FSC-klagomål mail.docx", "A 34496-2025")</f>
        <v/>
      </c>
      <c r="AB93">
        <f>HYPERLINK("https://klasma.github.io/Logging_2480/tillsyn/A 34496-2025 tillsynsbegäran.docx", "A 34496-2025")</f>
        <v/>
      </c>
      <c r="AC93">
        <f>HYPERLINK("https://klasma.github.io/Logging_2480/tillsynsmail/A 34496-2025 tillsynsbegäran mail.docx", "A 34496-2025")</f>
        <v/>
      </c>
    </row>
    <row r="94" ht="15" customHeight="1">
      <c r="A94" t="inlineStr">
        <is>
          <t>A 6178-2026</t>
        </is>
      </c>
      <c r="B94" t="inlineStr">
        <is>
          <t>avverkningsanmälan</t>
        </is>
      </c>
      <c r="C94" t="inlineStr">
        <is>
          <t>Föryngringsavverkning</t>
        </is>
      </c>
      <c r="D94" s="1" t="n">
        <v>46055</v>
      </c>
      <c r="E94" s="1" t="n">
        <v>46223</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s="2" t="inlineStr">
        <is>
          <t>Orre
Fläcknycklar</t>
        </is>
      </c>
      <c r="V94">
        <f>HYPERLINK("https://klasma.github.io/Logging_2480/artfynd/A 6178-2026 artfynd.xlsx", "A 6178-2026")</f>
        <v/>
      </c>
      <c r="W94">
        <f>HYPERLINK("https://klasma.github.io/Logging_2480/kartor/A 6178-2026 karta.png", "A 6178-2026")</f>
        <v/>
      </c>
      <c r="X94">
        <f>HYPERLINK("https://klasma.github.io/Logging_2480/kartor_geotiff/A 6178-2026 georefererad karta.tif", "A 6178-2026")</f>
        <v/>
      </c>
      <c r="Z94">
        <f>HYPERLINK("https://klasma.github.io/Logging_2480/klagomål/A 6178-2026 FSC-klagomål.docx", "A 6178-2026")</f>
        <v/>
      </c>
      <c r="AA94">
        <f>HYPERLINK("https://klasma.github.io/Logging_2480/klagomålsmail/A 6178-2026 FSC-klagomål mail.docx", "A 6178-2026")</f>
        <v/>
      </c>
      <c r="AB94">
        <f>HYPERLINK("https://klasma.github.io/Logging_2480/tillsyn/A 6178-2026 tillsynsbegäran.docx", "A 6178-2026")</f>
        <v/>
      </c>
      <c r="AC94">
        <f>HYPERLINK("https://klasma.github.io/Logging_2480/tillsynsmail/A 6178-2026 tillsynsbegäran mail.docx", "A 6178-2026")</f>
        <v/>
      </c>
      <c r="AD94">
        <f>HYPERLINK("https://klasma.github.io/Logging_2480/fåglar/A 6178-2026 prioriterade fågelarter.docx", "A 6178-2026")</f>
        <v/>
      </c>
    </row>
    <row r="95" ht="15" customHeight="1">
      <c r="A95" t="inlineStr">
        <is>
          <t>A 45659-2024</t>
        </is>
      </c>
      <c r="B95" t="inlineStr">
        <is>
          <t>avverkningsanmälan</t>
        </is>
      </c>
      <c r="C95" t="inlineStr">
        <is>
          <t>Föryngringsavverkning</t>
        </is>
      </c>
      <c r="D95" s="1" t="n">
        <v>45579</v>
      </c>
      <c r="E95" s="1" t="n">
        <v>46223</v>
      </c>
      <c r="F95" t="inlineStr">
        <is>
          <t>VÄSTERBOTTENS LÄN</t>
        </is>
      </c>
      <c r="G95" t="inlineStr">
        <is>
          <t>UMEÅ</t>
        </is>
      </c>
      <c r="H95" t="inlineStr">
        <is>
          <t>Kommuner</t>
        </is>
      </c>
      <c r="I95" t="n">
        <v>9.199999999999999</v>
      </c>
      <c r="J95" t="n">
        <v>1</v>
      </c>
      <c r="K95" t="n">
        <v>0</v>
      </c>
      <c r="L95" t="n">
        <v>1</v>
      </c>
      <c r="M95" t="n">
        <v>0</v>
      </c>
      <c r="N95" t="n">
        <v>0</v>
      </c>
      <c r="O95" t="n">
        <v>0</v>
      </c>
      <c r="P95" t="n">
        <v>0</v>
      </c>
      <c r="Q95" t="n">
        <v>1</v>
      </c>
      <c r="R95" t="n">
        <v>0</v>
      </c>
      <c r="S95" t="n">
        <v>2</v>
      </c>
      <c r="T95" t="n">
        <v>2</v>
      </c>
      <c r="U95" s="2" t="inlineStr">
        <is>
          <t>Dropptaggsvamp
Revlummer</t>
        </is>
      </c>
      <c r="V95">
        <f>HYPERLINK("https://klasma.github.io/Logging_2480/artfynd/A 45659-2024 artfynd.xlsx", "A 45659-2024")</f>
        <v/>
      </c>
      <c r="W95">
        <f>HYPERLINK("https://klasma.github.io/Logging_2480/kartor/A 45659-2024 karta.png", "A 45659-2024")</f>
        <v/>
      </c>
      <c r="X95">
        <f>HYPERLINK("https://klasma.github.io/Logging_2480/kartor_geotiff/A 45659-2024 georefererad karta.tif", "A 45659-2024")</f>
        <v/>
      </c>
      <c r="Z95">
        <f>HYPERLINK("https://klasma.github.io/Logging_2480/klagomål/A 45659-2024 FSC-klagomål.docx", "A 45659-2024")</f>
        <v/>
      </c>
      <c r="AA95">
        <f>HYPERLINK("https://klasma.github.io/Logging_2480/klagomålsmail/A 45659-2024 FSC-klagomål mail.docx", "A 45659-2024")</f>
        <v/>
      </c>
      <c r="AB95">
        <f>HYPERLINK("https://klasma.github.io/Logging_2480/tillsyn/A 45659-2024 tillsynsbegäran.docx", "A 45659-2024")</f>
        <v/>
      </c>
      <c r="AC95">
        <f>HYPERLINK("https://klasma.github.io/Logging_2480/tillsynsmail/A 45659-2024 tillsynsbegäran mail.docx", "A 45659-2024")</f>
        <v/>
      </c>
    </row>
    <row r="96" ht="15" customHeight="1">
      <c r="A96" t="inlineStr">
        <is>
          <t>A 42835-2025</t>
        </is>
      </c>
      <c r="B96" t="inlineStr">
        <is>
          <t>avverkningsanmälan</t>
        </is>
      </c>
      <c r="C96" t="inlineStr">
        <is>
          <t>Föryngringsavverkning</t>
        </is>
      </c>
      <c r="D96" s="1" t="n">
        <v>45908</v>
      </c>
      <c r="E96" s="1" t="n">
        <v>46223</v>
      </c>
      <c r="F96" t="inlineStr">
        <is>
          <t>VÄSTERBOTTENS LÄN</t>
        </is>
      </c>
      <c r="G96" t="inlineStr">
        <is>
          <t>UMEÅ</t>
        </is>
      </c>
      <c r="H96" t="inlineStr">
        <is>
          <t>Övriga statliga verk och myndigheter</t>
        </is>
      </c>
      <c r="I96" t="n">
        <v>1.1</v>
      </c>
      <c r="J96" t="n">
        <v>1</v>
      </c>
      <c r="K96" t="n">
        <v>0</v>
      </c>
      <c r="L96" t="n">
        <v>2</v>
      </c>
      <c r="M96" t="n">
        <v>0</v>
      </c>
      <c r="N96" t="n">
        <v>0</v>
      </c>
      <c r="O96" t="n">
        <v>0</v>
      </c>
      <c r="P96" t="n">
        <v>0</v>
      </c>
      <c r="Q96" t="n">
        <v>2</v>
      </c>
      <c r="R96" t="n">
        <v>0</v>
      </c>
      <c r="S96" t="n">
        <v>2</v>
      </c>
      <c r="T96" t="n">
        <v>2</v>
      </c>
      <c r="U96" s="2" t="inlineStr">
        <is>
          <t>Klofibbla
Talltita</t>
        </is>
      </c>
      <c r="V96">
        <f>HYPERLINK("https://klasma.github.io/Logging_2480/artfynd/A 42835-2025 artfynd.xlsx", "A 42835-2025")</f>
        <v/>
      </c>
      <c r="W96">
        <f>HYPERLINK("https://klasma.github.io/Logging_2480/kartor/A 42835-2025 karta.png", "A 42835-2025")</f>
        <v/>
      </c>
      <c r="X96">
        <f>HYPERLINK("https://klasma.github.io/Logging_2480/kartor_geotiff/A 42835-2025 georefererad karta.tif", "A 42835-2025")</f>
        <v/>
      </c>
      <c r="Z96">
        <f>HYPERLINK("https://klasma.github.io/Logging_2480/klagomål/A 42835-2025 FSC-klagomål.docx", "A 42835-2025")</f>
        <v/>
      </c>
      <c r="AA96">
        <f>HYPERLINK("https://klasma.github.io/Logging_2480/klagomålsmail/A 42835-2025 FSC-klagomål mail.docx", "A 42835-2025")</f>
        <v/>
      </c>
      <c r="AB96">
        <f>HYPERLINK("https://klasma.github.io/Logging_2480/tillsyn/A 42835-2025 tillsynsbegäran.docx", "A 42835-2025")</f>
        <v/>
      </c>
      <c r="AC96">
        <f>HYPERLINK("https://klasma.github.io/Logging_2480/tillsynsmail/A 42835-2025 tillsynsbegäran mail.docx", "A 42835-2025")</f>
        <v/>
      </c>
      <c r="AD96">
        <f>HYPERLINK("https://klasma.github.io/Logging_2480/fåglar/A 42835-2025 prioriterade fågelarter.docx", "A 42835-2025")</f>
        <v/>
      </c>
    </row>
    <row r="97" ht="15" customHeight="1">
      <c r="A97" t="inlineStr">
        <is>
          <t>A 25699-2025</t>
        </is>
      </c>
      <c r="B97" t="inlineStr">
        <is>
          <t>avverkningsanmälan</t>
        </is>
      </c>
      <c r="C97" t="inlineStr">
        <is>
          <t>Föryngringsavverkning</t>
        </is>
      </c>
      <c r="D97" s="1" t="n">
        <v>45803</v>
      </c>
      <c r="E97" s="1" t="n">
        <v>46223</v>
      </c>
      <c r="F97" t="inlineStr">
        <is>
          <t>VÄSTERBOTTENS LÄN</t>
        </is>
      </c>
      <c r="G97" t="inlineStr">
        <is>
          <t>UMEÅ</t>
        </is>
      </c>
      <c r="I97" t="n">
        <v>1.8</v>
      </c>
      <c r="J97" t="n">
        <v>0</v>
      </c>
      <c r="K97" t="n">
        <v>1</v>
      </c>
      <c r="L97" t="n">
        <v>1</v>
      </c>
      <c r="M97" t="n">
        <v>0</v>
      </c>
      <c r="N97" t="n">
        <v>0</v>
      </c>
      <c r="O97" t="n">
        <v>0</v>
      </c>
      <c r="P97" t="n">
        <v>0</v>
      </c>
      <c r="Q97" t="n">
        <v>1</v>
      </c>
      <c r="R97" t="n">
        <v>0</v>
      </c>
      <c r="S97" t="n">
        <v>2</v>
      </c>
      <c r="T97" t="n">
        <v>2</v>
      </c>
      <c r="U97" s="2" t="inlineStr">
        <is>
          <t>Småflikig brosklav
Nästlav</t>
        </is>
      </c>
      <c r="V97">
        <f>HYPERLINK("https://klasma.github.io/Logging_2480/artfynd/A 25699-2025 artfynd.xlsx", "A 25699-2025")</f>
        <v/>
      </c>
      <c r="W97">
        <f>HYPERLINK("https://klasma.github.io/Logging_2480/kartor/A 25699-2025 karta.png", "A 25699-2025")</f>
        <v/>
      </c>
      <c r="X97">
        <f>HYPERLINK("https://klasma.github.io/Logging_2480/kartor_geotiff/A 25699-2025 georefererad karta.tif", "A 25699-2025")</f>
        <v/>
      </c>
      <c r="Z97">
        <f>HYPERLINK("https://klasma.github.io/Logging_2480/klagomål/A 25699-2025 FSC-klagomål.docx", "A 25699-2025")</f>
        <v/>
      </c>
      <c r="AA97">
        <f>HYPERLINK("https://klasma.github.io/Logging_2480/klagomålsmail/A 25699-2025 FSC-klagomål mail.docx", "A 25699-2025")</f>
        <v/>
      </c>
      <c r="AB97">
        <f>HYPERLINK("https://klasma.github.io/Logging_2480/tillsyn/A 25699-2025 tillsynsbegäran.docx", "A 25699-2025")</f>
        <v/>
      </c>
      <c r="AC97">
        <f>HYPERLINK("https://klasma.github.io/Logging_2480/tillsynsmail/A 25699-2025 tillsynsbegäran mail.docx", "A 25699-2025")</f>
        <v/>
      </c>
    </row>
    <row r="98" ht="15" customHeight="1">
      <c r="A98" t="inlineStr">
        <is>
          <t>A 51971-2025</t>
        </is>
      </c>
      <c r="B98" t="inlineStr">
        <is>
          <t>avverkningsanmälan</t>
        </is>
      </c>
      <c r="C98" t="inlineStr">
        <is>
          <t>Föryngringsavverkning</t>
        </is>
      </c>
      <c r="D98" s="1" t="n">
        <v>45952</v>
      </c>
      <c r="E98" s="1" t="n">
        <v>46223</v>
      </c>
      <c r="F98" t="inlineStr">
        <is>
          <t>VÄSTERBOTTENS LÄN</t>
        </is>
      </c>
      <c r="G98" t="inlineStr">
        <is>
          <t>UMEÅ</t>
        </is>
      </c>
      <c r="I98" t="n">
        <v>3.4</v>
      </c>
      <c r="J98" t="n">
        <v>0</v>
      </c>
      <c r="K98" t="n">
        <v>0</v>
      </c>
      <c r="L98" t="n">
        <v>0</v>
      </c>
      <c r="M98" t="n">
        <v>0</v>
      </c>
      <c r="N98" t="n">
        <v>0</v>
      </c>
      <c r="O98" t="n">
        <v>0</v>
      </c>
      <c r="P98" t="n">
        <v>0</v>
      </c>
      <c r="Q98" t="n">
        <v>0</v>
      </c>
      <c r="R98" t="n">
        <v>0</v>
      </c>
      <c r="S98" t="n">
        <v>2</v>
      </c>
      <c r="T98" t="n">
        <v>2</v>
      </c>
      <c r="U98" s="2" t="inlineStr">
        <is>
          <t>Skogsstjärna
Vitsippa</t>
        </is>
      </c>
      <c r="V98">
        <f>HYPERLINK("https://klasma.github.io/Logging_2480/artfynd/A 51971-2025 artfynd.xlsx", "A 51971-2025")</f>
        <v/>
      </c>
      <c r="W98">
        <f>HYPERLINK("https://klasma.github.io/Logging_2480/kartor/A 51971-2025 karta.png", "A 51971-2025")</f>
        <v/>
      </c>
      <c r="X98">
        <f>HYPERLINK("https://klasma.github.io/Logging_2480/kartor_geotiff/A 51971-2025 georefererad karta.tif", "A 51971-2025")</f>
        <v/>
      </c>
      <c r="Z98">
        <f>HYPERLINK("https://klasma.github.io/Logging_2480/klagomål/A 51971-2025 FSC-klagomål.docx", "A 51971-2025")</f>
        <v/>
      </c>
      <c r="AA98">
        <f>HYPERLINK("https://klasma.github.io/Logging_2480/klagomålsmail/A 51971-2025 FSC-klagomål mail.docx", "A 51971-2025")</f>
        <v/>
      </c>
      <c r="AB98">
        <f>HYPERLINK("https://klasma.github.io/Logging_2480/tillsyn/A 51971-2025 tillsynsbegäran.docx", "A 51971-2025")</f>
        <v/>
      </c>
      <c r="AC98">
        <f>HYPERLINK("https://klasma.github.io/Logging_2480/tillsynsmail/A 51971-2025 tillsynsbegäran mail.docx", "A 51971-2025")</f>
        <v/>
      </c>
    </row>
    <row r="99" ht="15" customHeight="1">
      <c r="A99" t="inlineStr">
        <is>
          <t>A 13279-2026</t>
        </is>
      </c>
      <c r="B99" t="inlineStr">
        <is>
          <t>avverkningsanmälan</t>
        </is>
      </c>
      <c r="C99" t="inlineStr">
        <is>
          <t>Föryngringsavverkning</t>
        </is>
      </c>
      <c r="D99" s="1" t="n">
        <v>46093</v>
      </c>
      <c r="E99" s="1" t="n">
        <v>46223</v>
      </c>
      <c r="F99" t="inlineStr">
        <is>
          <t>VÄSTERBOTTENS LÄN</t>
        </is>
      </c>
      <c r="G99" t="inlineStr">
        <is>
          <t>UMEÅ</t>
        </is>
      </c>
      <c r="H99" t="inlineStr">
        <is>
          <t>Kommuner</t>
        </is>
      </c>
      <c r="I99" t="n">
        <v>0.6</v>
      </c>
      <c r="J99" t="n">
        <v>1</v>
      </c>
      <c r="K99" t="n">
        <v>0</v>
      </c>
      <c r="L99" t="n">
        <v>0</v>
      </c>
      <c r="M99" t="n">
        <v>1</v>
      </c>
      <c r="N99" t="n">
        <v>0</v>
      </c>
      <c r="O99" t="n">
        <v>0</v>
      </c>
      <c r="P99" t="n">
        <v>0</v>
      </c>
      <c r="Q99" t="n">
        <v>1</v>
      </c>
      <c r="R99" t="n">
        <v>1</v>
      </c>
      <c r="S99" t="n">
        <v>2</v>
      </c>
      <c r="T99" t="n">
        <v>2</v>
      </c>
      <c r="U99" s="2" t="inlineStr">
        <is>
          <t>Igelkott
Kråka</t>
        </is>
      </c>
      <c r="V99">
        <f>HYPERLINK("https://klasma.github.io/Logging_2480/artfynd/A 13279-2026 artfynd.xlsx", "A 13279-2026")</f>
        <v/>
      </c>
      <c r="W99">
        <f>HYPERLINK("https://klasma.github.io/Logging_2480/kartor/A 13279-2026 karta.png", "A 13279-2026")</f>
        <v/>
      </c>
      <c r="X99">
        <f>HYPERLINK("https://klasma.github.io/Logging_2480/kartor_geotiff/A 13279-2026 georefererad karta.tif", "A 13279-2026")</f>
        <v/>
      </c>
      <c r="Z99">
        <f>HYPERLINK("https://klasma.github.io/Logging_2480/klagomål/A 13279-2026 FSC-klagomål.docx", "A 13279-2026")</f>
        <v/>
      </c>
      <c r="AA99">
        <f>HYPERLINK("https://klasma.github.io/Logging_2480/klagomålsmail/A 13279-2026 FSC-klagomål mail.docx", "A 13279-2026")</f>
        <v/>
      </c>
      <c r="AB99">
        <f>HYPERLINK("https://klasma.github.io/Logging_2480/tillsyn/A 13279-2026 tillsynsbegäran.docx", "A 13279-2026")</f>
        <v/>
      </c>
      <c r="AC99">
        <f>HYPERLINK("https://klasma.github.io/Logging_2480/tillsynsmail/A 13279-2026 tillsynsbegäran mail.docx", "A 13279-2026")</f>
        <v/>
      </c>
    </row>
    <row r="100" ht="15" customHeight="1">
      <c r="A100" t="inlineStr">
        <is>
          <t>A 60047-2025</t>
        </is>
      </c>
      <c r="B100" t="inlineStr">
        <is>
          <t>avverkningsanmälan</t>
        </is>
      </c>
      <c r="C100" t="inlineStr">
        <is>
          <t>Föryngringsavverkning</t>
        </is>
      </c>
      <c r="D100" s="1" t="n">
        <v>45993</v>
      </c>
      <c r="E100" s="1" t="n">
        <v>46223</v>
      </c>
      <c r="F100" t="inlineStr">
        <is>
          <t>VÄSTERBOTTENS LÄN</t>
        </is>
      </c>
      <c r="G100" t="inlineStr">
        <is>
          <t>UMEÅ</t>
        </is>
      </c>
      <c r="H100" t="inlineStr">
        <is>
          <t>Sveaskog</t>
        </is>
      </c>
      <c r="I100" t="n">
        <v>1.6</v>
      </c>
      <c r="J100" t="n">
        <v>0</v>
      </c>
      <c r="K100" t="n">
        <v>0</v>
      </c>
      <c r="L100" t="n">
        <v>2</v>
      </c>
      <c r="M100" t="n">
        <v>0</v>
      </c>
      <c r="N100" t="n">
        <v>0</v>
      </c>
      <c r="O100" t="n">
        <v>0</v>
      </c>
      <c r="P100" t="n">
        <v>0</v>
      </c>
      <c r="Q100" t="n">
        <v>2</v>
      </c>
      <c r="R100" t="n">
        <v>0</v>
      </c>
      <c r="S100" t="n">
        <v>2</v>
      </c>
      <c r="T100" t="n">
        <v>3</v>
      </c>
      <c r="U100" s="2" t="inlineStr">
        <is>
          <t>Dropptaggsvamp
Kolflarnlav</t>
        </is>
      </c>
      <c r="V100">
        <f>HYPERLINK("https://klasma.github.io/Logging_2480/artfynd/A 60047-2025 artfynd.xlsx", "A 60047-2025")</f>
        <v/>
      </c>
      <c r="W100">
        <f>HYPERLINK("https://klasma.github.io/Logging_2480/kartor/A 60047-2025 karta.png", "A 60047-2025")</f>
        <v/>
      </c>
      <c r="X100">
        <f>HYPERLINK("https://klasma.github.io/Logging_2480/kartor_geotiff/A 60047-2025 georefererad karta.tif", "A 60047-2025")</f>
        <v/>
      </c>
      <c r="Z100">
        <f>HYPERLINK("https://klasma.github.io/Logging_2480/klagomål/A 60047-2025 FSC-klagomål.docx", "A 60047-2025")</f>
        <v/>
      </c>
      <c r="AA100">
        <f>HYPERLINK("https://klasma.github.io/Logging_2480/klagomålsmail/A 60047-2025 FSC-klagomål mail.docx", "A 60047-2025")</f>
        <v/>
      </c>
      <c r="AB100">
        <f>HYPERLINK("https://klasma.github.io/Logging_2480/tillsyn/A 60047-2025 tillsynsbegäran.docx", "A 60047-2025")</f>
        <v/>
      </c>
      <c r="AC100">
        <f>HYPERLINK("https://klasma.github.io/Logging_2480/tillsynsmail/A 60047-2025 tillsynsbegäran mail.docx", "A 60047-2025")</f>
        <v/>
      </c>
    </row>
    <row r="101" ht="15" customHeight="1">
      <c r="A101" t="inlineStr">
        <is>
          <t>A 29827-2023</t>
        </is>
      </c>
      <c r="B101" t="inlineStr">
        <is>
          <t>avverkningsanmälan</t>
        </is>
      </c>
      <c r="C101" t="inlineStr">
        <is>
          <t>Föryngringsavverkning</t>
        </is>
      </c>
      <c r="D101" s="1" t="n">
        <v>45107</v>
      </c>
      <c r="E101" s="1" t="n">
        <v>46223</v>
      </c>
      <c r="F101" t="inlineStr">
        <is>
          <t>VÄSTERBOTTENS LÄN</t>
        </is>
      </c>
      <c r="G101" t="inlineStr">
        <is>
          <t>UMEÅ</t>
        </is>
      </c>
      <c r="I101" t="n">
        <v>11.9</v>
      </c>
      <c r="J101" t="n">
        <v>1</v>
      </c>
      <c r="K101" t="n">
        <v>1</v>
      </c>
      <c r="L101" t="n">
        <v>0</v>
      </c>
      <c r="M101" t="n">
        <v>0</v>
      </c>
      <c r="N101" t="n">
        <v>0</v>
      </c>
      <c r="O101" t="n">
        <v>0</v>
      </c>
      <c r="P101" t="n">
        <v>0</v>
      </c>
      <c r="Q101" t="n">
        <v>0</v>
      </c>
      <c r="R101" t="n">
        <v>0</v>
      </c>
      <c r="S101" t="n">
        <v>2</v>
      </c>
      <c r="T101" t="n">
        <v>2</v>
      </c>
      <c r="U101" s="2" t="inlineStr">
        <is>
          <t>Vedticka
Revlummer</t>
        </is>
      </c>
      <c r="V101">
        <f>HYPERLINK("https://klasma.github.io/Logging_2480/artfynd/A 29827-2023 artfynd.xlsx", "A 29827-2023")</f>
        <v/>
      </c>
      <c r="W101">
        <f>HYPERLINK("https://klasma.github.io/Logging_2480/kartor/A 29827-2023 karta.png", "A 29827-2023")</f>
        <v/>
      </c>
      <c r="X101">
        <f>HYPERLINK("https://klasma.github.io/Logging_2480/kartor_geotiff/A 29827-2023 georefererad karta.tif", "A 29827-2023")</f>
        <v/>
      </c>
      <c r="Z101">
        <f>HYPERLINK("https://klasma.github.io/Logging_2480/klagomål/A 29827-2023 FSC-klagomål.docx", "A 29827-2023")</f>
        <v/>
      </c>
      <c r="AA101">
        <f>HYPERLINK("https://klasma.github.io/Logging_2480/klagomålsmail/A 29827-2023 FSC-klagomål mail.docx", "A 29827-2023")</f>
        <v/>
      </c>
      <c r="AB101">
        <f>HYPERLINK("https://klasma.github.io/Logging_2480/tillsyn/A 29827-2023 tillsynsbegäran.docx", "A 29827-2023")</f>
        <v/>
      </c>
      <c r="AC101">
        <f>HYPERLINK("https://klasma.github.io/Logging_2480/tillsynsmail/A 29827-2023 tillsynsbegäran mail.docx", "A 29827-2023")</f>
        <v/>
      </c>
    </row>
    <row r="102" ht="15" customHeight="1">
      <c r="A102" t="inlineStr">
        <is>
          <t>A 72125-2021</t>
        </is>
      </c>
      <c r="B102" t="inlineStr">
        <is>
          <t>avverkningsanmälan</t>
        </is>
      </c>
      <c r="C102" t="inlineStr">
        <is>
          <t>Föryngringsavverkning</t>
        </is>
      </c>
      <c r="D102" s="1" t="n">
        <v>44543</v>
      </c>
      <c r="E102" s="1" t="n">
        <v>46223</v>
      </c>
      <c r="F102" t="inlineStr">
        <is>
          <t>VÄSTERBOTTENS LÄN</t>
        </is>
      </c>
      <c r="G102" t="inlineStr">
        <is>
          <t>UMEÅ</t>
        </is>
      </c>
      <c r="I102" t="n">
        <v>4.4</v>
      </c>
      <c r="J102" t="n">
        <v>1</v>
      </c>
      <c r="K102" t="n">
        <v>0</v>
      </c>
      <c r="L102" t="n">
        <v>1</v>
      </c>
      <c r="M102" t="n">
        <v>0</v>
      </c>
      <c r="N102" t="n">
        <v>0</v>
      </c>
      <c r="O102" t="n">
        <v>0</v>
      </c>
      <c r="P102" t="n">
        <v>0</v>
      </c>
      <c r="Q102" t="n">
        <v>1</v>
      </c>
      <c r="R102" t="n">
        <v>0</v>
      </c>
      <c r="S102" t="n">
        <v>2</v>
      </c>
      <c r="T102" t="n">
        <v>2</v>
      </c>
      <c r="U102" s="2" t="inlineStr">
        <is>
          <t>Sumpviol
Mindre vattensalamander</t>
        </is>
      </c>
      <c r="V102">
        <f>HYPERLINK("https://klasma.github.io/Logging_2480/artfynd/A 72125-2021 artfynd.xlsx", "A 72125-2021")</f>
        <v/>
      </c>
      <c r="W102">
        <f>HYPERLINK("https://klasma.github.io/Logging_2480/kartor/A 72125-2021 karta.png", "A 72125-2021")</f>
        <v/>
      </c>
      <c r="X102">
        <f>HYPERLINK("https://klasma.github.io/Logging_2480/kartor_geotiff/A 72125-2021 georefererad karta.tif", "A 72125-2021")</f>
        <v/>
      </c>
      <c r="Z102">
        <f>HYPERLINK("https://klasma.github.io/Logging_2480/klagomål/A 72125-2021 FSC-klagomål.docx", "A 72125-2021")</f>
        <v/>
      </c>
      <c r="AA102">
        <f>HYPERLINK("https://klasma.github.io/Logging_2480/klagomålsmail/A 72125-2021 FSC-klagomål mail.docx", "A 72125-2021")</f>
        <v/>
      </c>
      <c r="AB102">
        <f>HYPERLINK("https://klasma.github.io/Logging_2480/tillsyn/A 72125-2021 tillsynsbegäran.docx", "A 72125-2021")</f>
        <v/>
      </c>
      <c r="AC102">
        <f>HYPERLINK("https://klasma.github.io/Logging_2480/tillsynsmail/A 72125-2021 tillsynsbegäran mail.docx", "A 72125-2021")</f>
        <v/>
      </c>
    </row>
    <row r="103" ht="15" customHeight="1">
      <c r="A103" t="inlineStr">
        <is>
          <t>A 16839-2022</t>
        </is>
      </c>
      <c r="B103" t="inlineStr">
        <is>
          <t>avverkningsanmälan</t>
        </is>
      </c>
      <c r="C103" t="inlineStr">
        <is>
          <t>Föryngringsavverkning</t>
        </is>
      </c>
      <c r="D103" s="1" t="n">
        <v>44673</v>
      </c>
      <c r="E103" s="1" t="n">
        <v>46223</v>
      </c>
      <c r="F103" t="inlineStr">
        <is>
          <t>VÄSTERBOTTENS LÄN</t>
        </is>
      </c>
      <c r="G103" t="inlineStr">
        <is>
          <t>UMEÅ</t>
        </is>
      </c>
      <c r="I103" t="n">
        <v>3</v>
      </c>
      <c r="J103" t="n">
        <v>2</v>
      </c>
      <c r="K103" t="n">
        <v>0</v>
      </c>
      <c r="L103" t="n">
        <v>0</v>
      </c>
      <c r="M103" t="n">
        <v>0</v>
      </c>
      <c r="N103" t="n">
        <v>0</v>
      </c>
      <c r="O103" t="n">
        <v>0</v>
      </c>
      <c r="P103" t="n">
        <v>0</v>
      </c>
      <c r="Q103" t="n">
        <v>0</v>
      </c>
      <c r="R103" t="n">
        <v>0</v>
      </c>
      <c r="S103" t="n">
        <v>2</v>
      </c>
      <c r="T103" t="n">
        <v>2</v>
      </c>
      <c r="U103" s="2" t="inlineStr">
        <is>
          <t>Kråka
Orre</t>
        </is>
      </c>
      <c r="V103">
        <f>HYPERLINK("https://klasma.github.io/Logging_2480/artfynd/A 16839-2022 artfynd.xlsx", "A 16839-2022")</f>
        <v/>
      </c>
      <c r="W103">
        <f>HYPERLINK("https://klasma.github.io/Logging_2480/kartor/A 16839-2022 karta.png", "A 16839-2022")</f>
        <v/>
      </c>
      <c r="X103">
        <f>HYPERLINK("https://klasma.github.io/Logging_2480/kartor_geotiff/A 16839-2022 georefererad karta.tif", "A 16839-2022")</f>
        <v/>
      </c>
      <c r="Z103">
        <f>HYPERLINK("https://klasma.github.io/Logging_2480/klagomål/A 16839-2022 FSC-klagomål.docx", "A 16839-2022")</f>
        <v/>
      </c>
      <c r="AA103">
        <f>HYPERLINK("https://klasma.github.io/Logging_2480/klagomålsmail/A 16839-2022 FSC-klagomål mail.docx", "A 16839-2022")</f>
        <v/>
      </c>
      <c r="AB103">
        <f>HYPERLINK("https://klasma.github.io/Logging_2480/tillsyn/A 16839-2022 tillsynsbegäran.docx", "A 16839-2022")</f>
        <v/>
      </c>
      <c r="AC103">
        <f>HYPERLINK("https://klasma.github.io/Logging_2480/tillsynsmail/A 16839-2022 tillsynsbegäran mail.docx", "A 16839-2022")</f>
        <v/>
      </c>
      <c r="AD103">
        <f>HYPERLINK("https://klasma.github.io/Logging_2480/fåglar/A 16839-2022 prioriterade fågelarter.docx", "A 16839-2022")</f>
        <v/>
      </c>
    </row>
    <row r="104" ht="15" customHeight="1">
      <c r="A104" t="inlineStr">
        <is>
          <t>A 3933-2025</t>
        </is>
      </c>
      <c r="B104" t="inlineStr">
        <is>
          <t>avverkningsanmälan</t>
        </is>
      </c>
      <c r="C104" t="inlineStr">
        <is>
          <t>Föryngringsavverkning</t>
        </is>
      </c>
      <c r="D104" s="1" t="n">
        <v>45684</v>
      </c>
      <c r="E104" s="1" t="n">
        <v>46223</v>
      </c>
      <c r="F104" t="inlineStr">
        <is>
          <t>VÄSTERBOTTENS LÄN</t>
        </is>
      </c>
      <c r="G104" t="inlineStr">
        <is>
          <t>UMEÅ</t>
        </is>
      </c>
      <c r="I104" t="n">
        <v>8.300000000000001</v>
      </c>
      <c r="J104" t="n">
        <v>0</v>
      </c>
      <c r="K104" t="n">
        <v>0</v>
      </c>
      <c r="L104" t="n">
        <v>1</v>
      </c>
      <c r="M104" t="n">
        <v>1</v>
      </c>
      <c r="N104" t="n">
        <v>0</v>
      </c>
      <c r="O104" t="n">
        <v>0</v>
      </c>
      <c r="P104" t="n">
        <v>0</v>
      </c>
      <c r="Q104" t="n">
        <v>2</v>
      </c>
      <c r="R104" t="n">
        <v>1</v>
      </c>
      <c r="S104" t="n">
        <v>2</v>
      </c>
      <c r="T104" t="n">
        <v>3</v>
      </c>
      <c r="U104" s="2" t="inlineStr">
        <is>
          <t>Garnlav
Mörk kolflarnlav</t>
        </is>
      </c>
      <c r="V104">
        <f>HYPERLINK("https://klasma.github.io/Logging_2480/artfynd/A 3933-2025 artfynd.xlsx", "A 3933-2025")</f>
        <v/>
      </c>
      <c r="W104">
        <f>HYPERLINK("https://klasma.github.io/Logging_2480/kartor/A 3933-2025 karta.png", "A 3933-2025")</f>
        <v/>
      </c>
      <c r="X104">
        <f>HYPERLINK("https://klasma.github.io/Logging_2480/kartor_geotiff/A 3933-2025 georefererad karta.tif", "A 3933-2025")</f>
        <v/>
      </c>
      <c r="Z104">
        <f>HYPERLINK("https://klasma.github.io/Logging_2480/klagomål/A 3933-2025 FSC-klagomål.docx", "A 3933-2025")</f>
        <v/>
      </c>
      <c r="AA104">
        <f>HYPERLINK("https://klasma.github.io/Logging_2480/klagomålsmail/A 3933-2025 FSC-klagomål mail.docx", "A 3933-2025")</f>
        <v/>
      </c>
      <c r="AB104">
        <f>HYPERLINK("https://klasma.github.io/Logging_2480/tillsyn/A 3933-2025 tillsynsbegäran.docx", "A 3933-2025")</f>
        <v/>
      </c>
      <c r="AC104">
        <f>HYPERLINK("https://klasma.github.io/Logging_2480/tillsynsmail/A 3933-2025 tillsynsbegäran mail.docx", "A 3933-2025")</f>
        <v/>
      </c>
    </row>
    <row r="105" ht="15" customHeight="1">
      <c r="A105" t="inlineStr">
        <is>
          <t>A 28221-2026</t>
        </is>
      </c>
      <c r="B105" t="inlineStr">
        <is>
          <t>avverkningsanmälan</t>
        </is>
      </c>
      <c r="C105" t="inlineStr">
        <is>
          <t>Föryngringsavverkning</t>
        </is>
      </c>
      <c r="D105" s="1" t="n">
        <v>46196</v>
      </c>
      <c r="E105" s="1" t="n">
        <v>46223</v>
      </c>
      <c r="F105" t="inlineStr">
        <is>
          <t>VÄSTERBOTTENS LÄN</t>
        </is>
      </c>
      <c r="G105" t="inlineStr">
        <is>
          <t>UMEÅ</t>
        </is>
      </c>
      <c r="I105" t="n">
        <v>5.3</v>
      </c>
      <c r="J105" t="n">
        <v>1</v>
      </c>
      <c r="K105" t="n">
        <v>0</v>
      </c>
      <c r="L105" t="n">
        <v>1</v>
      </c>
      <c r="M105" t="n">
        <v>0</v>
      </c>
      <c r="N105" t="n">
        <v>0</v>
      </c>
      <c r="O105" t="n">
        <v>0</v>
      </c>
      <c r="P105" t="n">
        <v>0</v>
      </c>
      <c r="Q105" t="n">
        <v>1</v>
      </c>
      <c r="R105" t="n">
        <v>0</v>
      </c>
      <c r="S105" t="n">
        <v>2</v>
      </c>
      <c r="T105" t="n">
        <v>2</v>
      </c>
      <c r="U105" s="2" t="inlineStr">
        <is>
          <t>Ullticka
Tofsmes</t>
        </is>
      </c>
      <c r="V105">
        <f>HYPERLINK("https://klasma.github.io/Logging_2480/artfynd/A 28221-2026 artfynd.xlsx", "A 28221-2026")</f>
        <v/>
      </c>
      <c r="W105">
        <f>HYPERLINK("https://klasma.github.io/Logging_2480/kartor/A 28221-2026 karta.png", "A 28221-2026")</f>
        <v/>
      </c>
      <c r="X105">
        <f>HYPERLINK("https://klasma.github.io/Logging_2480/kartor_geotiff/A 28221-2026 georefererad karta.tif", "A 28221-2026")</f>
        <v/>
      </c>
      <c r="Z105">
        <f>HYPERLINK("https://klasma.github.io/Logging_2480/klagomål/A 28221-2026 FSC-klagomål.docx", "A 28221-2026")</f>
        <v/>
      </c>
      <c r="AA105">
        <f>HYPERLINK("https://klasma.github.io/Logging_2480/klagomålsmail/A 28221-2026 FSC-klagomål mail.docx", "A 28221-2026")</f>
        <v/>
      </c>
      <c r="AB105">
        <f>HYPERLINK("https://klasma.github.io/Logging_2480/tillsyn/A 28221-2026 tillsynsbegäran.docx", "A 28221-2026")</f>
        <v/>
      </c>
      <c r="AC105">
        <f>HYPERLINK("https://klasma.github.io/Logging_2480/tillsynsmail/A 28221-2026 tillsynsbegäran mail.docx", "A 28221-2026")</f>
        <v/>
      </c>
    </row>
    <row r="106" ht="15" customHeight="1">
      <c r="A106" t="inlineStr">
        <is>
          <t>A 22777-2026</t>
        </is>
      </c>
      <c r="B106" t="inlineStr">
        <is>
          <t>avverkningsanmälan</t>
        </is>
      </c>
      <c r="C106" t="inlineStr">
        <is>
          <t>Föryngringsavverkning</t>
        </is>
      </c>
      <c r="D106" s="1" t="n">
        <v>46157</v>
      </c>
      <c r="E106" s="1" t="n">
        <v>46223</v>
      </c>
      <c r="F106" t="inlineStr">
        <is>
          <t>VÄSTERBOTTENS LÄN</t>
        </is>
      </c>
      <c r="G106" t="inlineStr">
        <is>
          <t>UMEÅ</t>
        </is>
      </c>
      <c r="H106" t="inlineStr">
        <is>
          <t>Holmen skog AB</t>
        </is>
      </c>
      <c r="I106" t="n">
        <v>7</v>
      </c>
      <c r="J106" t="n">
        <v>1</v>
      </c>
      <c r="K106" t="n">
        <v>0</v>
      </c>
      <c r="L106" t="n">
        <v>1</v>
      </c>
      <c r="M106" t="n">
        <v>1</v>
      </c>
      <c r="N106" t="n">
        <v>0</v>
      </c>
      <c r="O106" t="n">
        <v>0</v>
      </c>
      <c r="P106" t="n">
        <v>0</v>
      </c>
      <c r="Q106" t="n">
        <v>2</v>
      </c>
      <c r="R106" t="n">
        <v>1</v>
      </c>
      <c r="S106" t="n">
        <v>2</v>
      </c>
      <c r="T106" t="n">
        <v>3</v>
      </c>
      <c r="U106" s="2" t="inlineStr">
        <is>
          <t>Garnlav
Tretåig hackspett</t>
        </is>
      </c>
      <c r="V106">
        <f>HYPERLINK("https://klasma.github.io/Logging_2480/artfynd/A 22777-2026 artfynd.xlsx", "A 22777-2026")</f>
        <v/>
      </c>
      <c r="W106">
        <f>HYPERLINK("https://klasma.github.io/Logging_2480/kartor/A 22777-2026 karta.png", "A 22777-2026")</f>
        <v/>
      </c>
      <c r="X106">
        <f>HYPERLINK("https://klasma.github.io/Logging_2480/kartor_geotiff/A 22777-2026 georefererad karta.tif", "A 22777-2026")</f>
        <v/>
      </c>
      <c r="Z106">
        <f>HYPERLINK("https://klasma.github.io/Logging_2480/klagomål/A 22777-2026 FSC-klagomål.docx", "A 22777-2026")</f>
        <v/>
      </c>
      <c r="AA106">
        <f>HYPERLINK("https://klasma.github.io/Logging_2480/klagomålsmail/A 22777-2026 FSC-klagomål mail.docx", "A 22777-2026")</f>
        <v/>
      </c>
      <c r="AB106">
        <f>HYPERLINK("https://klasma.github.io/Logging_2480/tillsyn/A 22777-2026 tillsynsbegäran.docx", "A 22777-2026")</f>
        <v/>
      </c>
      <c r="AC106">
        <f>HYPERLINK("https://klasma.github.io/Logging_2480/tillsynsmail/A 22777-2026 tillsynsbegäran mail.docx", "A 22777-2026")</f>
        <v/>
      </c>
      <c r="AD106">
        <f>HYPERLINK("https://klasma.github.io/Logging_2480/fåglar/A 22777-2026 prioriterade fågelarter.docx", "A 22777-2026")</f>
        <v/>
      </c>
    </row>
    <row r="107" ht="15" customHeight="1">
      <c r="A107" t="inlineStr">
        <is>
          <t>A 17359-2023</t>
        </is>
      </c>
      <c r="B107" t="inlineStr">
        <is>
          <t>avverkningsanmälan</t>
        </is>
      </c>
      <c r="C107" t="inlineStr">
        <is>
          <t>Föryngringsavverkning</t>
        </is>
      </c>
      <c r="D107" s="1" t="n">
        <v>45033</v>
      </c>
      <c r="E107" s="1" t="n">
        <v>46223</v>
      </c>
      <c r="F107" t="inlineStr">
        <is>
          <t>VÄSTERBOTTENS LÄN</t>
        </is>
      </c>
      <c r="G107" t="inlineStr">
        <is>
          <t>UMEÅ</t>
        </is>
      </c>
      <c r="H107" t="inlineStr">
        <is>
          <t>Kommuner</t>
        </is>
      </c>
      <c r="I107" t="n">
        <v>2.6</v>
      </c>
      <c r="J107" t="n">
        <v>2</v>
      </c>
      <c r="K107" t="n">
        <v>0</v>
      </c>
      <c r="L107" t="n">
        <v>1</v>
      </c>
      <c r="M107" t="n">
        <v>0</v>
      </c>
      <c r="N107" t="n">
        <v>0</v>
      </c>
      <c r="O107" t="n">
        <v>0</v>
      </c>
      <c r="P107" t="n">
        <v>0</v>
      </c>
      <c r="Q107" t="n">
        <v>1</v>
      </c>
      <c r="R107" t="n">
        <v>0</v>
      </c>
      <c r="S107" t="n">
        <v>2</v>
      </c>
      <c r="T107" t="n">
        <v>2</v>
      </c>
      <c r="U107" s="2" t="inlineStr">
        <is>
          <t>Talltita
Kungsfågel</t>
        </is>
      </c>
      <c r="V107">
        <f>HYPERLINK("https://klasma.github.io/Logging_2480/artfynd/A 17359-2023 artfynd.xlsx", "A 17359-2023")</f>
        <v/>
      </c>
      <c r="W107">
        <f>HYPERLINK("https://klasma.github.io/Logging_2480/kartor/A 17359-2023 karta.png", "A 17359-2023")</f>
        <v/>
      </c>
      <c r="X107">
        <f>HYPERLINK("https://klasma.github.io/Logging_2480/kartor_geotiff/A 17359-2023 georefererad karta.tif", "A 17359-2023")</f>
        <v/>
      </c>
      <c r="Z107">
        <f>HYPERLINK("https://klasma.github.io/Logging_2480/klagomål/A 17359-2023 FSC-klagomål.docx", "A 17359-2023")</f>
        <v/>
      </c>
      <c r="AA107">
        <f>HYPERLINK("https://klasma.github.io/Logging_2480/klagomålsmail/A 17359-2023 FSC-klagomål mail.docx", "A 17359-2023")</f>
        <v/>
      </c>
      <c r="AB107">
        <f>HYPERLINK("https://klasma.github.io/Logging_2480/tillsyn/A 17359-2023 tillsynsbegäran.docx", "A 17359-2023")</f>
        <v/>
      </c>
      <c r="AC107">
        <f>HYPERLINK("https://klasma.github.io/Logging_2480/tillsynsmail/A 17359-2023 tillsynsbegäran mail.docx", "A 17359-2023")</f>
        <v/>
      </c>
      <c r="AD107">
        <f>HYPERLINK("https://klasma.github.io/Logging_2480/fåglar/A 17359-2023 prioriterade fågelarter.docx", "A 17359-2023")</f>
        <v/>
      </c>
    </row>
    <row r="108" ht="15" customHeight="1">
      <c r="A108" t="inlineStr">
        <is>
          <t>A 29723-2026</t>
        </is>
      </c>
      <c r="B108" t="inlineStr">
        <is>
          <t>avverkningsanmälan</t>
        </is>
      </c>
      <c r="C108" t="inlineStr">
        <is>
          <t>Föryngringsavverkning</t>
        </is>
      </c>
      <c r="D108" s="1" t="n">
        <v>46204</v>
      </c>
      <c r="E108" s="1" t="n">
        <v>46223</v>
      </c>
      <c r="F108" t="inlineStr">
        <is>
          <t>VÄSTERBOTTENS LÄN</t>
        </is>
      </c>
      <c r="G108" t="inlineStr">
        <is>
          <t>UMEÅ</t>
        </is>
      </c>
      <c r="H108" t="inlineStr">
        <is>
          <t>SCA</t>
        </is>
      </c>
      <c r="I108" t="n">
        <v>2.5</v>
      </c>
      <c r="J108" t="n">
        <v>2</v>
      </c>
      <c r="K108" t="n">
        <v>0</v>
      </c>
      <c r="L108" t="n">
        <v>1</v>
      </c>
      <c r="M108" t="n">
        <v>0</v>
      </c>
      <c r="N108" t="n">
        <v>0</v>
      </c>
      <c r="O108" t="n">
        <v>0</v>
      </c>
      <c r="P108" t="n">
        <v>0</v>
      </c>
      <c r="Q108" t="n">
        <v>1</v>
      </c>
      <c r="R108" t="n">
        <v>0</v>
      </c>
      <c r="S108" t="n">
        <v>2</v>
      </c>
      <c r="T108" t="n">
        <v>2</v>
      </c>
      <c r="U108" s="2" t="inlineStr">
        <is>
          <t>Tretåig hackspett
Kopparödla</t>
        </is>
      </c>
      <c r="V108">
        <f>HYPERLINK("https://klasma.github.io/Logging_2480/artfynd/A 29723-2026 artfynd.xlsx", "A 29723-2026")</f>
        <v/>
      </c>
      <c r="W108">
        <f>HYPERLINK("https://klasma.github.io/Logging_2480/kartor/A 29723-2026 karta.png", "A 29723-2026")</f>
        <v/>
      </c>
      <c r="X108">
        <f>HYPERLINK("https://klasma.github.io/Logging_2480/kartor_geotiff/A 29723-2026 georefererad karta.tif", "A 29723-2026")</f>
        <v/>
      </c>
      <c r="Z108">
        <f>HYPERLINK("https://klasma.github.io/Logging_2480/klagomål/A 29723-2026 FSC-klagomål.docx", "A 29723-2026")</f>
        <v/>
      </c>
      <c r="AA108">
        <f>HYPERLINK("https://klasma.github.io/Logging_2480/klagomålsmail/A 29723-2026 FSC-klagomål mail.docx", "A 29723-2026")</f>
        <v/>
      </c>
      <c r="AB108">
        <f>HYPERLINK("https://klasma.github.io/Logging_2480/tillsyn/A 29723-2026 tillsynsbegäran.docx", "A 29723-2026")</f>
        <v/>
      </c>
      <c r="AC108">
        <f>HYPERLINK("https://klasma.github.io/Logging_2480/tillsynsmail/A 29723-2026 tillsynsbegäran mail.docx", "A 29723-2026")</f>
        <v/>
      </c>
      <c r="AD108">
        <f>HYPERLINK("https://klasma.github.io/Logging_2480/fåglar/A 29723-2026 prioriterade fågelarter.docx", "A 29723-2026")</f>
        <v/>
      </c>
    </row>
    <row r="109" ht="15" customHeight="1">
      <c r="A109" t="inlineStr">
        <is>
          <t>A 251-2026</t>
        </is>
      </c>
      <c r="B109" t="inlineStr">
        <is>
          <t>avverkningsanmälan</t>
        </is>
      </c>
      <c r="C109" t="inlineStr">
        <is>
          <t>Föryngringsavverkning</t>
        </is>
      </c>
      <c r="D109" s="1" t="n">
        <v>46027</v>
      </c>
      <c r="E109" s="1" t="n">
        <v>46223</v>
      </c>
      <c r="F109" t="inlineStr">
        <is>
          <t>VÄSTERBOTTENS LÄN</t>
        </is>
      </c>
      <c r="G109" t="inlineStr">
        <is>
          <t>UMEÅ</t>
        </is>
      </c>
      <c r="I109" t="n">
        <v>2.5</v>
      </c>
      <c r="J109" t="n">
        <v>1</v>
      </c>
      <c r="K109" t="n">
        <v>0</v>
      </c>
      <c r="L109" t="n">
        <v>1</v>
      </c>
      <c r="M109" t="n">
        <v>1</v>
      </c>
      <c r="N109" t="n">
        <v>0</v>
      </c>
      <c r="O109" t="n">
        <v>0</v>
      </c>
      <c r="P109" t="n">
        <v>0</v>
      </c>
      <c r="Q109" t="n">
        <v>2</v>
      </c>
      <c r="R109" t="n">
        <v>1</v>
      </c>
      <c r="S109" t="n">
        <v>2</v>
      </c>
      <c r="T109" t="n">
        <v>11</v>
      </c>
      <c r="U109" s="2" t="inlineStr">
        <is>
          <t>Garnlav
Tretåig hackspett</t>
        </is>
      </c>
      <c r="V109">
        <f>HYPERLINK("https://klasma.github.io/Logging_2480/artfynd/A 251-2026 artfynd.xlsx", "A 251-2026")</f>
        <v/>
      </c>
      <c r="W109">
        <f>HYPERLINK("https://klasma.github.io/Logging_2480/kartor/A 251-2026 karta.png", "A 251-2026")</f>
        <v/>
      </c>
      <c r="X109">
        <f>HYPERLINK("https://klasma.github.io/Logging_2480/kartor_geotiff/A 251-2026 georefererad karta.tif", "A 251-2026")</f>
        <v/>
      </c>
      <c r="Z109">
        <f>HYPERLINK("https://klasma.github.io/Logging_2480/klagomål/A 251-2026 FSC-klagomål.docx", "A 251-2026")</f>
        <v/>
      </c>
      <c r="AA109">
        <f>HYPERLINK("https://klasma.github.io/Logging_2480/klagomålsmail/A 251-2026 FSC-klagomål mail.docx", "A 251-2026")</f>
        <v/>
      </c>
      <c r="AB109">
        <f>HYPERLINK("https://klasma.github.io/Logging_2480/tillsyn/A 251-2026 tillsynsbegäran.docx", "A 251-2026")</f>
        <v/>
      </c>
      <c r="AC109">
        <f>HYPERLINK("https://klasma.github.io/Logging_2480/tillsynsmail/A 251-2026 tillsynsbegäran mail.docx", "A 251-2026")</f>
        <v/>
      </c>
      <c r="AD109">
        <f>HYPERLINK("https://klasma.github.io/Logging_2480/fåglar/A 251-2026 prioriterade fågelarter.docx", "A 251-2026")</f>
        <v/>
      </c>
    </row>
    <row r="110" ht="15" customHeight="1">
      <c r="A110" t="inlineStr">
        <is>
          <t>A 258-2026</t>
        </is>
      </c>
      <c r="B110" t="inlineStr">
        <is>
          <t>avverkningsanmälan</t>
        </is>
      </c>
      <c r="C110" t="inlineStr">
        <is>
          <t>Föryngringsavverkning</t>
        </is>
      </c>
      <c r="D110" s="1" t="n">
        <v>46027</v>
      </c>
      <c r="E110" s="1" t="n">
        <v>46223</v>
      </c>
      <c r="F110" t="inlineStr">
        <is>
          <t>VÄSTERBOTTENS LÄN</t>
        </is>
      </c>
      <c r="G110" t="inlineStr">
        <is>
          <t>UMEÅ</t>
        </is>
      </c>
      <c r="I110" t="n">
        <v>3.2</v>
      </c>
      <c r="J110" t="n">
        <v>2</v>
      </c>
      <c r="K110" t="n">
        <v>0</v>
      </c>
      <c r="L110" t="n">
        <v>2</v>
      </c>
      <c r="M110" t="n">
        <v>0</v>
      </c>
      <c r="N110" t="n">
        <v>0</v>
      </c>
      <c r="O110" t="n">
        <v>0</v>
      </c>
      <c r="P110" t="n">
        <v>0</v>
      </c>
      <c r="Q110" t="n">
        <v>2</v>
      </c>
      <c r="R110" t="n">
        <v>0</v>
      </c>
      <c r="S110" t="n">
        <v>2</v>
      </c>
      <c r="T110" t="n">
        <v>6</v>
      </c>
      <c r="U110" s="2" t="inlineStr">
        <is>
          <t>Talltita
Tretåig hackspett</t>
        </is>
      </c>
      <c r="V110">
        <f>HYPERLINK("https://klasma.github.io/Logging_2480/artfynd/A 258-2026 artfynd.xlsx", "A 258-2026")</f>
        <v/>
      </c>
      <c r="W110">
        <f>HYPERLINK("https://klasma.github.io/Logging_2480/kartor/A 258-2026 karta.png", "A 258-2026")</f>
        <v/>
      </c>
      <c r="X110">
        <f>HYPERLINK("https://klasma.github.io/Logging_2480/kartor_geotiff/A 258-2026 georefererad karta.tif", "A 258-2026")</f>
        <v/>
      </c>
      <c r="Z110">
        <f>HYPERLINK("https://klasma.github.io/Logging_2480/klagomål/A 258-2026 FSC-klagomål.docx", "A 258-2026")</f>
        <v/>
      </c>
      <c r="AA110">
        <f>HYPERLINK("https://klasma.github.io/Logging_2480/klagomålsmail/A 258-2026 FSC-klagomål mail.docx", "A 258-2026")</f>
        <v/>
      </c>
      <c r="AB110">
        <f>HYPERLINK("https://klasma.github.io/Logging_2480/tillsyn/A 258-2026 tillsynsbegäran.docx", "A 258-2026")</f>
        <v/>
      </c>
      <c r="AC110">
        <f>HYPERLINK("https://klasma.github.io/Logging_2480/tillsynsmail/A 258-2026 tillsynsbegäran mail.docx", "A 258-2026")</f>
        <v/>
      </c>
      <c r="AD110">
        <f>HYPERLINK("https://klasma.github.io/Logging_2480/fåglar/A 258-2026 prioriterade fågelarter.docx", "A 258-2026")</f>
        <v/>
      </c>
    </row>
    <row r="111" ht="15" customHeight="1">
      <c r="A111" t="inlineStr">
        <is>
          <t>A 15654-2023</t>
        </is>
      </c>
      <c r="B111" t="inlineStr">
        <is>
          <t>avverkningsanmälan</t>
        </is>
      </c>
      <c r="C111" t="inlineStr">
        <is>
          <t>Föryngringsavverkning</t>
        </is>
      </c>
      <c r="D111" s="1" t="n">
        <v>45019</v>
      </c>
      <c r="E111" s="1" t="n">
        <v>46223</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s="2" t="inlineStr">
        <is>
          <t>Cylinderskägglav
Garnlav</t>
        </is>
      </c>
      <c r="V111">
        <f>HYPERLINK("https://klasma.github.io/Logging_2480/artfynd/A 15654-2023 artfynd.xlsx", "A 15654-2023")</f>
        <v/>
      </c>
      <c r="W111">
        <f>HYPERLINK("https://klasma.github.io/Logging_2480/kartor/A 15654-2023 karta.png", "A 15654-2023")</f>
        <v/>
      </c>
      <c r="X111">
        <f>HYPERLINK("https://klasma.github.io/Logging_2480/kartor_geotiff/A 15654-2023 georefererad karta.tif", "A 15654-2023")</f>
        <v/>
      </c>
      <c r="Z111">
        <f>HYPERLINK("https://klasma.github.io/Logging_2480/klagomål/A 15654-2023 FSC-klagomål.docx", "A 15654-2023")</f>
        <v/>
      </c>
      <c r="AA111">
        <f>HYPERLINK("https://klasma.github.io/Logging_2480/klagomålsmail/A 15654-2023 FSC-klagomål mail.docx", "A 15654-2023")</f>
        <v/>
      </c>
      <c r="AB111">
        <f>HYPERLINK("https://klasma.github.io/Logging_2480/tillsyn/A 15654-2023 tillsynsbegäran.docx", "A 15654-2023")</f>
        <v/>
      </c>
      <c r="AC111">
        <f>HYPERLINK("https://klasma.github.io/Logging_2480/tillsynsmail/A 15654-2023 tillsynsbegäran mail.docx", "A 15654-2023")</f>
        <v/>
      </c>
    </row>
    <row r="112" ht="15" customHeight="1">
      <c r="A112" t="inlineStr">
        <is>
          <t>A 23738-2026</t>
        </is>
      </c>
      <c r="B112" t="inlineStr">
        <is>
          <t>avverkningsanmälan</t>
        </is>
      </c>
      <c r="C112" t="inlineStr">
        <is>
          <t>Föryngringsavverkning</t>
        </is>
      </c>
      <c r="D112" s="1" t="n">
        <v>46164</v>
      </c>
      <c r="E112" s="1" t="n">
        <v>46223</v>
      </c>
      <c r="F112" t="inlineStr">
        <is>
          <t>VÄSTERBOTTENS LÄN</t>
        </is>
      </c>
      <c r="G112" t="inlineStr">
        <is>
          <t>UMEÅ</t>
        </is>
      </c>
      <c r="I112" t="n">
        <v>2.1</v>
      </c>
      <c r="J112" t="n">
        <v>2</v>
      </c>
      <c r="K112" t="n">
        <v>0</v>
      </c>
      <c r="L112" t="n">
        <v>0</v>
      </c>
      <c r="M112" t="n">
        <v>0</v>
      </c>
      <c r="N112" t="n">
        <v>0</v>
      </c>
      <c r="O112" t="n">
        <v>0</v>
      </c>
      <c r="P112" t="n">
        <v>0</v>
      </c>
      <c r="Q112" t="n">
        <v>0</v>
      </c>
      <c r="R112" t="n">
        <v>0</v>
      </c>
      <c r="S112" t="n">
        <v>2</v>
      </c>
      <c r="T112" t="n">
        <v>2</v>
      </c>
      <c r="U112" s="2" t="inlineStr">
        <is>
          <t>Svartvit flugsnappare
Ärtsångare</t>
        </is>
      </c>
      <c r="V112">
        <f>HYPERLINK("https://klasma.github.io/Logging_2480/artfynd/A 23738-2026 artfynd.xlsx", "A 23738-2026")</f>
        <v/>
      </c>
      <c r="W112">
        <f>HYPERLINK("https://klasma.github.io/Logging_2480/kartor/A 23738-2026 karta.png", "A 23738-2026")</f>
        <v/>
      </c>
      <c r="X112">
        <f>HYPERLINK("https://klasma.github.io/Logging_2480/kartor_geotiff/A 23738-2026 georefererad karta.tif", "A 23738-2026")</f>
        <v/>
      </c>
      <c r="Z112">
        <f>HYPERLINK("https://klasma.github.io/Logging_2480/klagomål/A 23738-2026 FSC-klagomål.docx", "A 23738-2026")</f>
        <v/>
      </c>
      <c r="AA112">
        <f>HYPERLINK("https://klasma.github.io/Logging_2480/klagomålsmail/A 23738-2026 FSC-klagomål mail.docx", "A 23738-2026")</f>
        <v/>
      </c>
      <c r="AB112">
        <f>HYPERLINK("https://klasma.github.io/Logging_2480/tillsyn/A 23738-2026 tillsynsbegäran.docx", "A 23738-2026")</f>
        <v/>
      </c>
      <c r="AC112">
        <f>HYPERLINK("https://klasma.github.io/Logging_2480/tillsynsmail/A 23738-2026 tillsynsbegäran mail.docx", "A 23738-2026")</f>
        <v/>
      </c>
    </row>
    <row r="113" ht="15" customHeight="1">
      <c r="A113" t="inlineStr">
        <is>
          <t>A 58680-2024</t>
        </is>
      </c>
      <c r="B113" t="inlineStr">
        <is>
          <t>avverkningsanmälan</t>
        </is>
      </c>
      <c r="C113" t="inlineStr">
        <is>
          <t>Föryngringsavverkning</t>
        </is>
      </c>
      <c r="D113" s="1" t="n">
        <v>45635</v>
      </c>
      <c r="E113" s="1" t="n">
        <v>46223</v>
      </c>
      <c r="F113" t="inlineStr">
        <is>
          <t>VÄSTERBOTTENS LÄN</t>
        </is>
      </c>
      <c r="G113" t="inlineStr">
        <is>
          <t>UMEÅ</t>
        </is>
      </c>
      <c r="I113" t="n">
        <v>1.6</v>
      </c>
      <c r="J113" t="n">
        <v>1</v>
      </c>
      <c r="K113" t="n">
        <v>0</v>
      </c>
      <c r="L113" t="n">
        <v>0</v>
      </c>
      <c r="M113" t="n">
        <v>1</v>
      </c>
      <c r="N113" t="n">
        <v>0</v>
      </c>
      <c r="O113" t="n">
        <v>0</v>
      </c>
      <c r="P113" t="n">
        <v>0</v>
      </c>
      <c r="Q113" t="n">
        <v>1</v>
      </c>
      <c r="R113" t="n">
        <v>1</v>
      </c>
      <c r="S113" t="n">
        <v>2</v>
      </c>
      <c r="T113" t="n">
        <v>2</v>
      </c>
      <c r="U113" s="2" t="inlineStr">
        <is>
          <t>Finflikig brosklav
Vanlig groda</t>
        </is>
      </c>
      <c r="V113">
        <f>HYPERLINK("https://klasma.github.io/Logging_2480/artfynd/A 58680-2024 artfynd.xlsx", "A 58680-2024")</f>
        <v/>
      </c>
      <c r="W113">
        <f>HYPERLINK("https://klasma.github.io/Logging_2480/kartor/A 58680-2024 karta.png", "A 58680-2024")</f>
        <v/>
      </c>
      <c r="X113">
        <f>HYPERLINK("https://klasma.github.io/Logging_2480/kartor_geotiff/A 58680-2024 georefererad karta.tif", "A 58680-2024")</f>
        <v/>
      </c>
      <c r="Z113">
        <f>HYPERLINK("https://klasma.github.io/Logging_2480/klagomål/A 58680-2024 FSC-klagomål.docx", "A 58680-2024")</f>
        <v/>
      </c>
      <c r="AA113">
        <f>HYPERLINK("https://klasma.github.io/Logging_2480/klagomålsmail/A 58680-2024 FSC-klagomål mail.docx", "A 58680-2024")</f>
        <v/>
      </c>
      <c r="AB113">
        <f>HYPERLINK("https://klasma.github.io/Logging_2480/tillsyn/A 58680-2024 tillsynsbegäran.docx", "A 58680-2024")</f>
        <v/>
      </c>
      <c r="AC113">
        <f>HYPERLINK("https://klasma.github.io/Logging_2480/tillsynsmail/A 58680-2024 tillsynsbegäran mail.docx", "A 58680-2024")</f>
        <v/>
      </c>
    </row>
    <row r="114" ht="15" customHeight="1">
      <c r="A114" t="inlineStr">
        <is>
          <t>S 4722-2024</t>
        </is>
      </c>
      <c r="B114" t="inlineStr">
        <is>
          <t>samrådsanmälan</t>
        </is>
      </c>
      <c r="C114" t="inlineStr">
        <is>
          <t>Annan skogsbruksåtgärd</t>
        </is>
      </c>
      <c r="D114" s="1" t="n">
        <v>45607</v>
      </c>
      <c r="E114" s="1" t="n">
        <v>46223</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X114">
        <f>HYPERLINK("https://klasma.github.io/Logging_2480/kartor_geotiff/S 4722-2024 georefererad karta.tif", "S 4722-2024")</f>
        <v/>
      </c>
      <c r="Z114">
        <f>HYPERLINK("https://klasma.github.io/Logging_2480/klagomål/S 4722-2024 FSC-klagomål.docx", "S 4722-2024")</f>
        <v/>
      </c>
      <c r="AA114">
        <f>HYPERLINK("https://klasma.github.io/Logging_2480/klagomålsmail/S 4722-2024 FSC-klagomål mail.docx", "S 4722-2024")</f>
        <v/>
      </c>
      <c r="AB114">
        <f>HYPERLINK("https://klasma.github.io/Logging_2480/tillsyn/S 4722-2024 tillsynsbegäran.docx", "S 4722-2024")</f>
        <v/>
      </c>
      <c r="AC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46223</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X115">
        <f>HYPERLINK("https://klasma.github.io/Logging_2480/kartor_geotiff/S 1251-2025 georefererad karta.tif", "S 1251-2025")</f>
        <v/>
      </c>
      <c r="Z115">
        <f>HYPERLINK("https://klasma.github.io/Logging_2480/klagomål/S 1251-2025 FSC-klagomål.docx", "S 1251-2025")</f>
        <v/>
      </c>
      <c r="AA115">
        <f>HYPERLINK("https://klasma.github.io/Logging_2480/klagomålsmail/S 1251-2025 FSC-klagomål mail.docx", "S 1251-2025")</f>
        <v/>
      </c>
      <c r="AB115">
        <f>HYPERLINK("https://klasma.github.io/Logging_2480/tillsyn/S 1251-2025 tillsynsbegäran.docx", "S 1251-2025")</f>
        <v/>
      </c>
      <c r="AC115">
        <f>HYPERLINK("https://klasma.github.io/Logging_2480/tillsynsmail/S 1251-2025 tillsynsbegäran mail.docx", "S 1251-2025")</f>
        <v/>
      </c>
      <c r="AD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46223</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X116">
        <f>HYPERLINK("https://klasma.github.io/Logging_2480/kartor_geotiff/A 38393-2021 georefererad karta.tif", "A 38393-2021")</f>
        <v/>
      </c>
      <c r="Z116">
        <f>HYPERLINK("https://klasma.github.io/Logging_2480/klagomål/A 38393-2021 FSC-klagomål.docx", "A 38393-2021")</f>
        <v/>
      </c>
      <c r="AA116">
        <f>HYPERLINK("https://klasma.github.io/Logging_2480/klagomålsmail/A 38393-2021 FSC-klagomål mail.docx", "A 38393-2021")</f>
        <v/>
      </c>
      <c r="AB116">
        <f>HYPERLINK("https://klasma.github.io/Logging_2480/tillsyn/A 38393-2021 tillsynsbegäran.docx", "A 38393-2021")</f>
        <v/>
      </c>
      <c r="AC116">
        <f>HYPERLINK("https://klasma.github.io/Logging_2480/tillsynsmail/A 38393-2021 tillsynsbegäran mail.docx", "A 38393-2021")</f>
        <v/>
      </c>
      <c r="AD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46223</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X117">
        <f>HYPERLINK("https://klasma.github.io/Logging_2480/kartor_geotiff/A 38439-2021 georefererad karta.tif", "A 38439-2021")</f>
        <v/>
      </c>
      <c r="Z117">
        <f>HYPERLINK("https://klasma.github.io/Logging_2480/klagomål/A 38439-2021 FSC-klagomål.docx", "A 38439-2021")</f>
        <v/>
      </c>
      <c r="AA117">
        <f>HYPERLINK("https://klasma.github.io/Logging_2480/klagomålsmail/A 38439-2021 FSC-klagomål mail.docx", "A 38439-2021")</f>
        <v/>
      </c>
      <c r="AB117">
        <f>HYPERLINK("https://klasma.github.io/Logging_2480/tillsyn/A 38439-2021 tillsynsbegäran.docx", "A 38439-2021")</f>
        <v/>
      </c>
      <c r="AC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46223</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X118">
        <f>HYPERLINK("https://klasma.github.io/Logging_2480/kartor_geotiff/A 38535-2021 georefererad karta.tif", "A 38535-2021")</f>
        <v/>
      </c>
      <c r="Z118">
        <f>HYPERLINK("https://klasma.github.io/Logging_2480/klagomål/A 38535-2021 FSC-klagomål.docx", "A 38535-2021")</f>
        <v/>
      </c>
      <c r="AA118">
        <f>HYPERLINK("https://klasma.github.io/Logging_2480/klagomålsmail/A 38535-2021 FSC-klagomål mail.docx", "A 38535-2021")</f>
        <v/>
      </c>
      <c r="AB118">
        <f>HYPERLINK("https://klasma.github.io/Logging_2480/tillsyn/A 38535-2021 tillsynsbegäran.docx", "A 38535-2021")</f>
        <v/>
      </c>
      <c r="AC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46223</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X119">
        <f>HYPERLINK("https://klasma.github.io/Logging_2480/kartor_geotiff/A 38921-2021 georefererad karta.tif", "A 38921-2021")</f>
        <v/>
      </c>
      <c r="Z119">
        <f>HYPERLINK("https://klasma.github.io/Logging_2480/klagomål/A 38921-2021 FSC-klagomål.docx", "A 38921-2021")</f>
        <v/>
      </c>
      <c r="AA119">
        <f>HYPERLINK("https://klasma.github.io/Logging_2480/klagomålsmail/A 38921-2021 FSC-klagomål mail.docx", "A 38921-2021")</f>
        <v/>
      </c>
      <c r="AB119">
        <f>HYPERLINK("https://klasma.github.io/Logging_2480/tillsyn/A 38921-2021 tillsynsbegäran.docx", "A 38921-2021")</f>
        <v/>
      </c>
      <c r="AC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46223</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X120">
        <f>HYPERLINK("https://klasma.github.io/Logging_2480/kartor_geotiff/A 6711-2022 georefererad karta.tif", "A 6711-2022")</f>
        <v/>
      </c>
      <c r="Z120">
        <f>HYPERLINK("https://klasma.github.io/Logging_2480/klagomål/A 6711-2022 FSC-klagomål.docx", "A 6711-2022")</f>
        <v/>
      </c>
      <c r="AA120">
        <f>HYPERLINK("https://klasma.github.io/Logging_2480/klagomålsmail/A 6711-2022 FSC-klagomål mail.docx", "A 6711-2022")</f>
        <v/>
      </c>
      <c r="AB120">
        <f>HYPERLINK("https://klasma.github.io/Logging_2480/tillsyn/A 6711-2022 tillsynsbegäran.docx", "A 6711-2022")</f>
        <v/>
      </c>
      <c r="AC120">
        <f>HYPERLINK("https://klasma.github.io/Logging_2480/tillsynsmail/A 6711-2022 tillsynsbegäran mail.docx", "A 6711-2022")</f>
        <v/>
      </c>
      <c r="AD120">
        <f>HYPERLINK("https://klasma.github.io/Logging_2480/fåglar/A 6711-2022 prioriterade fågelarter.docx", "A 6711-2022")</f>
        <v/>
      </c>
    </row>
    <row r="121" ht="15" customHeight="1">
      <c r="A121" t="inlineStr">
        <is>
          <t>A 38395-2021</t>
        </is>
      </c>
      <c r="B121" t="inlineStr">
        <is>
          <t>avverkningsanmälan</t>
        </is>
      </c>
      <c r="C121" t="inlineStr">
        <is>
          <t>Avverkning för att bevara och utveckla /försöksver</t>
        </is>
      </c>
      <c r="D121" s="1" t="n">
        <v>44406</v>
      </c>
      <c r="E121" s="1" t="n">
        <v>46223</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HYPERLINK("https://klasma.github.io/Logging_2480/artfynd/A 38395-2021 artfynd.xlsx", "A 38395-2021")</f>
        <v/>
      </c>
      <c r="W121">
        <f>HYPERLINK("https://klasma.github.io/Logging_2480/kartor/A 38395-2021 karta.png", "A 38395-2021")</f>
        <v/>
      </c>
      <c r="X121">
        <f>HYPERLINK("https://klasma.github.io/Logging_2480/kartor_geotiff/A 38395-2021 georefererad karta.tif", "A 38395-2021")</f>
        <v/>
      </c>
      <c r="Z121">
        <f>HYPERLINK("https://klasma.github.io/Logging_2480/klagomål/A 38395-2021 FSC-klagomål.docx", "A 38395-2021")</f>
        <v/>
      </c>
      <c r="AA121">
        <f>HYPERLINK("https://klasma.github.io/Logging_2480/klagomålsmail/A 38395-2021 FSC-klagomål mail.docx", "A 38395-2021")</f>
        <v/>
      </c>
      <c r="AB121">
        <f>HYPERLINK("https://klasma.github.io/Logging_2480/tillsyn/A 38395-2021 tillsynsbegäran.docx", "A 38395-2021")</f>
        <v/>
      </c>
      <c r="AC121">
        <f>HYPERLINK("https://klasma.github.io/Logging_2480/tillsynsmail/A 38395-2021 tillsynsbegäran mail.docx", "A 38395-2021")</f>
        <v/>
      </c>
      <c r="AD121">
        <f>HYPERLINK("https://klasma.github.io/Logging_2480/fåglar/A 38395-2021 prioriterade fågelarter.docx", "A 38395-2021")</f>
        <v/>
      </c>
    </row>
    <row r="122" ht="15" customHeight="1">
      <c r="A122" t="inlineStr">
        <is>
          <t>A 38390-2021</t>
        </is>
      </c>
      <c r="B122" t="inlineStr">
        <is>
          <t>avverkningsanmälan</t>
        </is>
      </c>
      <c r="C122" t="inlineStr">
        <is>
          <t>Avverkning för att bevara och utveckla /försöksver</t>
        </is>
      </c>
      <c r="D122" s="1" t="n">
        <v>44406</v>
      </c>
      <c r="E122" s="1" t="n">
        <v>46223</v>
      </c>
      <c r="F122" t="inlineStr">
        <is>
          <t>VÄSTERBOTTENS LÄN</t>
        </is>
      </c>
      <c r="G122" t="inlineStr">
        <is>
          <t>UMEÅ</t>
        </is>
      </c>
      <c r="H122" t="inlineStr">
        <is>
          <t>Övriga statliga verk och myndigheter</t>
        </is>
      </c>
      <c r="I122" t="n">
        <v>1.5</v>
      </c>
      <c r="J122" t="n">
        <v>0</v>
      </c>
      <c r="K122" t="n">
        <v>0</v>
      </c>
      <c r="L122" t="n">
        <v>1</v>
      </c>
      <c r="M122" t="n">
        <v>0</v>
      </c>
      <c r="N122" t="n">
        <v>0</v>
      </c>
      <c r="O122" t="n">
        <v>0</v>
      </c>
      <c r="P122" t="n">
        <v>0</v>
      </c>
      <c r="Q122" t="n">
        <v>1</v>
      </c>
      <c r="R122" t="n">
        <v>0</v>
      </c>
      <c r="S122" t="n">
        <v>1</v>
      </c>
      <c r="T122" t="n">
        <v>1</v>
      </c>
      <c r="U122" s="2" t="inlineStr">
        <is>
          <t>Ullticka</t>
        </is>
      </c>
      <c r="V122">
        <f>HYPERLINK("https://klasma.github.io/Logging_2480/artfynd/A 38390-2021 artfynd.xlsx", "A 38390-2021")</f>
        <v/>
      </c>
      <c r="W122">
        <f>HYPERLINK("https://klasma.github.io/Logging_2480/kartor/A 38390-2021 karta.png", "A 38390-2021")</f>
        <v/>
      </c>
      <c r="X122">
        <f>HYPERLINK("https://klasma.github.io/Logging_2480/kartor_geotiff/A 38390-2021 georefererad karta.tif", "A 38390-2021")</f>
        <v/>
      </c>
      <c r="Z122">
        <f>HYPERLINK("https://klasma.github.io/Logging_2480/klagomål/A 38390-2021 FSC-klagomål.docx", "A 38390-2021")</f>
        <v/>
      </c>
      <c r="AA122">
        <f>HYPERLINK("https://klasma.github.io/Logging_2480/klagomålsmail/A 38390-2021 FSC-klagomål mail.docx", "A 38390-2021")</f>
        <v/>
      </c>
      <c r="AB122">
        <f>HYPERLINK("https://klasma.github.io/Logging_2480/tillsyn/A 38390-2021 tillsynsbegäran.docx", "A 38390-2021")</f>
        <v/>
      </c>
      <c r="AC122">
        <f>HYPERLINK("https://klasma.github.io/Logging_2480/tillsynsmail/A 38390-2021 tillsynsbegäran mail.docx", "A 38390-2021")</f>
        <v/>
      </c>
    </row>
    <row r="123" ht="15" customHeight="1">
      <c r="A123" t="inlineStr">
        <is>
          <t>A 38891-2021</t>
        </is>
      </c>
      <c r="B123" t="inlineStr">
        <is>
          <t>avverkningsanmälan</t>
        </is>
      </c>
      <c r="C123" t="inlineStr">
        <is>
          <t>Avverkning för att bevara och utveckla /försöksver</t>
        </is>
      </c>
      <c r="D123" s="1" t="n">
        <v>44410</v>
      </c>
      <c r="E123" s="1" t="n">
        <v>46223</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X123">
        <f>HYPERLINK("https://klasma.github.io/Logging_2480/kartor_geotiff/A 38891-2021 georefererad karta.tif", "A 38891-2021")</f>
        <v/>
      </c>
      <c r="Z123">
        <f>HYPERLINK("https://klasma.github.io/Logging_2480/klagomål/A 38891-2021 FSC-klagomål.docx", "A 38891-2021")</f>
        <v/>
      </c>
      <c r="AA123">
        <f>HYPERLINK("https://klasma.github.io/Logging_2480/klagomålsmail/A 38891-2021 FSC-klagomål mail.docx", "A 38891-2021")</f>
        <v/>
      </c>
      <c r="AB123">
        <f>HYPERLINK("https://klasma.github.io/Logging_2480/tillsyn/A 38891-2021 tillsynsbegäran.docx", "A 38891-2021")</f>
        <v/>
      </c>
      <c r="AC123">
        <f>HYPERLINK("https://klasma.github.io/Logging_2480/tillsynsmail/A 38891-2021 tillsynsbegäran mail.docx", "A 38891-2021")</f>
        <v/>
      </c>
      <c r="AD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46223</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X124">
        <f>HYPERLINK("https://klasma.github.io/Logging_2480/kartor_geotiff/A 38391-2021 georefererad karta.tif", "A 38391-2021")</f>
        <v/>
      </c>
      <c r="Z124">
        <f>HYPERLINK("https://klasma.github.io/Logging_2480/klagomål/A 38391-2021 FSC-klagomål.docx", "A 38391-2021")</f>
        <v/>
      </c>
      <c r="AA124">
        <f>HYPERLINK("https://klasma.github.io/Logging_2480/klagomålsmail/A 38391-2021 FSC-klagomål mail.docx", "A 38391-2021")</f>
        <v/>
      </c>
      <c r="AB124">
        <f>HYPERLINK("https://klasma.github.io/Logging_2480/tillsyn/A 38391-2021 tillsynsbegäran.docx", "A 38391-2021")</f>
        <v/>
      </c>
      <c r="AC124">
        <f>HYPERLINK("https://klasma.github.io/Logging_2480/tillsynsmail/A 38391-2021 tillsynsbegäran mail.docx", "A 38391-2021")</f>
        <v/>
      </c>
      <c r="AD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46223</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X125">
        <f>HYPERLINK("https://klasma.github.io/Logging_2480/kartor_geotiff/A 38545-2021 georefererad karta.tif", "A 38545-2021")</f>
        <v/>
      </c>
      <c r="Z125">
        <f>HYPERLINK("https://klasma.github.io/Logging_2480/klagomål/A 38545-2021 FSC-klagomål.docx", "A 38545-2021")</f>
        <v/>
      </c>
      <c r="AA125">
        <f>HYPERLINK("https://klasma.github.io/Logging_2480/klagomålsmail/A 38545-2021 FSC-klagomål mail.docx", "A 38545-2021")</f>
        <v/>
      </c>
      <c r="AB125">
        <f>HYPERLINK("https://klasma.github.io/Logging_2480/tillsyn/A 38545-2021 tillsynsbegäran.docx", "A 38545-2021")</f>
        <v/>
      </c>
      <c r="AC125">
        <f>HYPERLINK("https://klasma.github.io/Logging_2480/tillsynsmail/A 38545-2021 tillsynsbegäran mail.docx", "A 38545-2021")</f>
        <v/>
      </c>
      <c r="AD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46223</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X126">
        <f>HYPERLINK("https://klasma.github.io/Logging_2480/kartor_geotiff/A 23006-2022 georefererad karta.tif", "A 23006-2022")</f>
        <v/>
      </c>
      <c r="Z126">
        <f>HYPERLINK("https://klasma.github.io/Logging_2480/klagomål/A 23006-2022 FSC-klagomål.docx", "A 23006-2022")</f>
        <v/>
      </c>
      <c r="AA126">
        <f>HYPERLINK("https://klasma.github.io/Logging_2480/klagomålsmail/A 23006-2022 FSC-klagomål mail.docx", "A 23006-2022")</f>
        <v/>
      </c>
      <c r="AB126">
        <f>HYPERLINK("https://klasma.github.io/Logging_2480/tillsyn/A 23006-2022 tillsynsbegäran.docx", "A 23006-2022")</f>
        <v/>
      </c>
      <c r="AC126">
        <f>HYPERLINK("https://klasma.github.io/Logging_2480/tillsynsmail/A 23006-2022 tillsynsbegäran mail.docx", "A 23006-2022")</f>
        <v/>
      </c>
      <c r="AD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46223</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X127">
        <f>HYPERLINK("https://klasma.github.io/Logging_2480/kartor_geotiff/A 11515-2022 georefererad karta.tif", "A 11515-2022")</f>
        <v/>
      </c>
      <c r="Z127">
        <f>HYPERLINK("https://klasma.github.io/Logging_2480/klagomål/A 11515-2022 FSC-klagomål.docx", "A 11515-2022")</f>
        <v/>
      </c>
      <c r="AA127">
        <f>HYPERLINK("https://klasma.github.io/Logging_2480/klagomålsmail/A 11515-2022 FSC-klagomål mail.docx", "A 11515-2022")</f>
        <v/>
      </c>
      <c r="AB127">
        <f>HYPERLINK("https://klasma.github.io/Logging_2480/tillsyn/A 11515-2022 tillsynsbegäran.docx", "A 11515-2022")</f>
        <v/>
      </c>
      <c r="AC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46223</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X128">
        <f>HYPERLINK("https://klasma.github.io/Logging_2480/kartor_geotiff/A 23035-2022 georefererad karta.tif", "A 23035-2022")</f>
        <v/>
      </c>
      <c r="Z128">
        <f>HYPERLINK("https://klasma.github.io/Logging_2480/klagomål/A 23035-2022 FSC-klagomål.docx", "A 23035-2022")</f>
        <v/>
      </c>
      <c r="AA128">
        <f>HYPERLINK("https://klasma.github.io/Logging_2480/klagomålsmail/A 23035-2022 FSC-klagomål mail.docx", "A 23035-2022")</f>
        <v/>
      </c>
      <c r="AB128">
        <f>HYPERLINK("https://klasma.github.io/Logging_2480/tillsyn/A 23035-2022 tillsynsbegäran.docx", "A 23035-2022")</f>
        <v/>
      </c>
      <c r="AC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46223</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X129">
        <f>HYPERLINK("https://klasma.github.io/Logging_2480/kartor_geotiff/A 38731-2021 georefererad karta.tif", "A 38731-2021")</f>
        <v/>
      </c>
      <c r="Z129">
        <f>HYPERLINK("https://klasma.github.io/Logging_2480/klagomål/A 38731-2021 FSC-klagomål.docx", "A 38731-2021")</f>
        <v/>
      </c>
      <c r="AA129">
        <f>HYPERLINK("https://klasma.github.io/Logging_2480/klagomålsmail/A 38731-2021 FSC-klagomål mail.docx", "A 38731-2021")</f>
        <v/>
      </c>
      <c r="AB129">
        <f>HYPERLINK("https://klasma.github.io/Logging_2480/tillsyn/A 38731-2021 tillsynsbegäran.docx", "A 38731-2021")</f>
        <v/>
      </c>
      <c r="AC129">
        <f>HYPERLINK("https://klasma.github.io/Logging_2480/tillsynsmail/A 38731-2021 tillsynsbegäran mail.docx", "A 38731-2021")</f>
        <v/>
      </c>
      <c r="AD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46223</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X130">
        <f>HYPERLINK("https://klasma.github.io/Logging_2480/kartor_geotiff/A 38683-2021 georefererad karta.tif", "A 38683-2021")</f>
        <v/>
      </c>
      <c r="Z130">
        <f>HYPERLINK("https://klasma.github.io/Logging_2480/klagomål/A 38683-2021 FSC-klagomål.docx", "A 38683-2021")</f>
        <v/>
      </c>
      <c r="AA130">
        <f>HYPERLINK("https://klasma.github.io/Logging_2480/klagomålsmail/A 38683-2021 FSC-klagomål mail.docx", "A 38683-2021")</f>
        <v/>
      </c>
      <c r="AB130">
        <f>HYPERLINK("https://klasma.github.io/Logging_2480/tillsyn/A 38683-2021 tillsynsbegäran.docx", "A 38683-2021")</f>
        <v/>
      </c>
      <c r="AC130">
        <f>HYPERLINK("https://klasma.github.io/Logging_2480/tillsynsmail/A 38683-2021 tillsynsbegäran mail.docx", "A 38683-2021")</f>
        <v/>
      </c>
    </row>
    <row r="131" ht="15" customHeight="1">
      <c r="A131" t="inlineStr">
        <is>
          <t>A 58670-2023</t>
        </is>
      </c>
      <c r="B131" t="inlineStr">
        <is>
          <t>avverkningsanmälan</t>
        </is>
      </c>
      <c r="C131" t="inlineStr">
        <is>
          <t>Föryngringsavverkning</t>
        </is>
      </c>
      <c r="D131" s="1" t="n">
        <v>45251</v>
      </c>
      <c r="E131" s="1" t="n">
        <v>46223</v>
      </c>
      <c r="F131" t="inlineStr">
        <is>
          <t>VÄSTERBOTTENS LÄN</t>
        </is>
      </c>
      <c r="G131" t="inlineStr">
        <is>
          <t>UMEÅ</t>
        </is>
      </c>
      <c r="H131" t="inlineStr">
        <is>
          <t>Sveaskog</t>
        </is>
      </c>
      <c r="I131" t="n">
        <v>11.9</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HYPERLINK("https://klasma.github.io/Logging_2480/artfynd/A 58670-2023 artfynd.xlsx", "A 58670-2023")</f>
        <v/>
      </c>
      <c r="W131">
        <f>HYPERLINK("https://klasma.github.io/Logging_2480/kartor/A 58670-2023 karta.png", "A 58670-2023")</f>
        <v/>
      </c>
      <c r="X131">
        <f>HYPERLINK("https://klasma.github.io/Logging_2480/kartor_geotiff/A 58670-2023 georefererad karta.tif", "A 58670-2023")</f>
        <v/>
      </c>
      <c r="Z131">
        <f>HYPERLINK("https://klasma.github.io/Logging_2480/klagomål/A 58670-2023 FSC-klagomål.docx", "A 58670-2023")</f>
        <v/>
      </c>
      <c r="AA131">
        <f>HYPERLINK("https://klasma.github.io/Logging_2480/klagomålsmail/A 58670-2023 FSC-klagomål mail.docx", "A 58670-2023")</f>
        <v/>
      </c>
      <c r="AB131">
        <f>HYPERLINK("https://klasma.github.io/Logging_2480/tillsyn/A 58670-2023 tillsynsbegäran.docx", "A 58670-2023")</f>
        <v/>
      </c>
      <c r="AC131">
        <f>HYPERLINK("https://klasma.github.io/Logging_2480/tillsynsmail/A 58670-2023 tillsynsbegäran mail.docx", "A 58670-2023")</f>
        <v/>
      </c>
    </row>
    <row r="132" ht="15" customHeight="1">
      <c r="A132" t="inlineStr">
        <is>
          <t>A 40851-2024</t>
        </is>
      </c>
      <c r="B132" t="inlineStr">
        <is>
          <t>avverkningsanmälan</t>
        </is>
      </c>
      <c r="C132" t="inlineStr">
        <is>
          <t>Föryngringsavverkning</t>
        </is>
      </c>
      <c r="D132" s="1" t="n">
        <v>45558</v>
      </c>
      <c r="E132" s="1" t="n">
        <v>46223</v>
      </c>
      <c r="F132" t="inlineStr">
        <is>
          <t>VÄSTERBOTTENS LÄN</t>
        </is>
      </c>
      <c r="G132" t="inlineStr">
        <is>
          <t>UMEÅ</t>
        </is>
      </c>
      <c r="I132" t="n">
        <v>2.9</v>
      </c>
      <c r="J132" t="n">
        <v>1</v>
      </c>
      <c r="K132" t="n">
        <v>0</v>
      </c>
      <c r="L132" t="n">
        <v>0</v>
      </c>
      <c r="M132" t="n">
        <v>0</v>
      </c>
      <c r="N132" t="n">
        <v>0</v>
      </c>
      <c r="O132" t="n">
        <v>0</v>
      </c>
      <c r="P132" t="n">
        <v>0</v>
      </c>
      <c r="Q132" t="n">
        <v>0</v>
      </c>
      <c r="R132" t="n">
        <v>0</v>
      </c>
      <c r="S132" t="n">
        <v>1</v>
      </c>
      <c r="T132" t="n">
        <v>1</v>
      </c>
      <c r="U132" s="2" t="inlineStr">
        <is>
          <t>Havsörn</t>
        </is>
      </c>
      <c r="V132">
        <f>HYPERLINK("https://klasma.github.io/Logging_2480/artfynd/A 40851-2024 artfynd.xlsx", "A 40851-2024")</f>
        <v/>
      </c>
      <c r="W132">
        <f>HYPERLINK("https://klasma.github.io/Logging_2480/kartor/A 40851-2024 karta.png", "A 40851-2024")</f>
        <v/>
      </c>
      <c r="X132">
        <f>HYPERLINK("https://klasma.github.io/Logging_2480/kartor_geotiff/A 40851-2024 georefererad karta.tif", "A 40851-2024")</f>
        <v/>
      </c>
      <c r="Z132">
        <f>HYPERLINK("https://klasma.github.io/Logging_2480/klagomål/A 40851-2024 FSC-klagomål.docx", "A 40851-2024")</f>
        <v/>
      </c>
      <c r="AA132">
        <f>HYPERLINK("https://klasma.github.io/Logging_2480/klagomålsmail/A 40851-2024 FSC-klagomål mail.docx", "A 40851-2024")</f>
        <v/>
      </c>
      <c r="AB132">
        <f>HYPERLINK("https://klasma.github.io/Logging_2480/tillsyn/A 40851-2024 tillsynsbegäran.docx", "A 40851-2024")</f>
        <v/>
      </c>
      <c r="AC132">
        <f>HYPERLINK("https://klasma.github.io/Logging_2480/tillsynsmail/A 40851-2024 tillsynsbegäran mail.docx", "A 40851-2024")</f>
        <v/>
      </c>
      <c r="AD132">
        <f>HYPERLINK("https://klasma.github.io/Logging_2480/fåglar/A 40851-2024 prioriterade fågelarter.docx", "A 40851-2024")</f>
        <v/>
      </c>
    </row>
    <row r="133" ht="15" customHeight="1">
      <c r="A133" t="inlineStr">
        <is>
          <t>A 11511-2022</t>
        </is>
      </c>
      <c r="B133" t="inlineStr">
        <is>
          <t>avverkningsanmälan</t>
        </is>
      </c>
      <c r="C133" t="inlineStr">
        <is>
          <t>Föryngringsavverkning</t>
        </is>
      </c>
      <c r="D133" s="1" t="n">
        <v>44631</v>
      </c>
      <c r="E133" s="1" t="n">
        <v>46223</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s="2" t="inlineStr">
        <is>
          <t>Brunfläckig pärlemorfjäril</t>
        </is>
      </c>
      <c r="V133">
        <f>HYPERLINK("https://klasma.github.io/Logging_2480/artfynd/A 11511-2022 artfynd.xlsx", "A 11511-2022")</f>
        <v/>
      </c>
      <c r="W133">
        <f>HYPERLINK("https://klasma.github.io/Logging_2480/kartor/A 11511-2022 karta.png", "A 11511-2022")</f>
        <v/>
      </c>
      <c r="X133">
        <f>HYPERLINK("https://klasma.github.io/Logging_2480/kartor_geotiff/A 11511-2022 georefererad karta.tif", "A 11511-2022")</f>
        <v/>
      </c>
      <c r="Z133">
        <f>HYPERLINK("https://klasma.github.io/Logging_2480/klagomål/A 11511-2022 FSC-klagomål.docx", "A 11511-2022")</f>
        <v/>
      </c>
      <c r="AA133">
        <f>HYPERLINK("https://klasma.github.io/Logging_2480/klagomålsmail/A 11511-2022 FSC-klagomål mail.docx", "A 11511-2022")</f>
        <v/>
      </c>
      <c r="AB133">
        <f>HYPERLINK("https://klasma.github.io/Logging_2480/tillsyn/A 11511-2022 tillsynsbegäran.docx", "A 11511-2022")</f>
        <v/>
      </c>
      <c r="AC133">
        <f>HYPERLINK("https://klasma.github.io/Logging_2480/tillsynsmail/A 11511-2022 tillsynsbegäran mail.docx", "A 11511-2022")</f>
        <v/>
      </c>
    </row>
    <row r="134" ht="15" customHeight="1">
      <c r="A134" t="inlineStr">
        <is>
          <t>A 13181-2022</t>
        </is>
      </c>
      <c r="B134" t="inlineStr">
        <is>
          <t>avverkningsanmälan</t>
        </is>
      </c>
      <c r="C134" t="inlineStr">
        <is>
          <t>Föryngringsavverkning</t>
        </is>
      </c>
      <c r="D134" s="1" t="n">
        <v>44644</v>
      </c>
      <c r="E134" s="1" t="n">
        <v>46223</v>
      </c>
      <c r="F134" t="inlineStr">
        <is>
          <t>VÄSTERBOTTENS LÄN</t>
        </is>
      </c>
      <c r="G134" t="inlineStr">
        <is>
          <t>UMEÅ</t>
        </is>
      </c>
      <c r="I134" t="n">
        <v>0.7</v>
      </c>
      <c r="J134" t="n">
        <v>1</v>
      </c>
      <c r="K134" t="n">
        <v>0</v>
      </c>
      <c r="L134" t="n">
        <v>0</v>
      </c>
      <c r="M134" t="n">
        <v>0</v>
      </c>
      <c r="N134" t="n">
        <v>0</v>
      </c>
      <c r="O134" t="n">
        <v>0</v>
      </c>
      <c r="P134" t="n">
        <v>0</v>
      </c>
      <c r="Q134" t="n">
        <v>0</v>
      </c>
      <c r="R134" t="n">
        <v>0</v>
      </c>
      <c r="S134" t="n">
        <v>1</v>
      </c>
      <c r="T134" t="n">
        <v>1</v>
      </c>
      <c r="U134" s="2" t="inlineStr">
        <is>
          <t>Fläcknycklar</t>
        </is>
      </c>
      <c r="V134">
        <f>HYPERLINK("https://klasma.github.io/Logging_2480/artfynd/A 13181-2022 artfynd.xlsx", "A 13181-2022")</f>
        <v/>
      </c>
      <c r="W134">
        <f>HYPERLINK("https://klasma.github.io/Logging_2480/kartor/A 13181-2022 karta.png", "A 13181-2022")</f>
        <v/>
      </c>
      <c r="X134">
        <f>HYPERLINK("https://klasma.github.io/Logging_2480/kartor_geotiff/A 13181-2022 georefererad karta.tif", "A 13181-2022")</f>
        <v/>
      </c>
      <c r="Z134">
        <f>HYPERLINK("https://klasma.github.io/Logging_2480/klagomål/A 13181-2022 FSC-klagomål.docx", "A 13181-2022")</f>
        <v/>
      </c>
      <c r="AA134">
        <f>HYPERLINK("https://klasma.github.io/Logging_2480/klagomålsmail/A 13181-2022 FSC-klagomål mail.docx", "A 13181-2022")</f>
        <v/>
      </c>
      <c r="AB134">
        <f>HYPERLINK("https://klasma.github.io/Logging_2480/tillsyn/A 13181-2022 tillsynsbegäran.docx", "A 13181-2022")</f>
        <v/>
      </c>
      <c r="AC134">
        <f>HYPERLINK("https://klasma.github.io/Logging_2480/tillsynsmail/A 13181-2022 tillsynsbegäran mail.docx", "A 13181-2022")</f>
        <v/>
      </c>
    </row>
    <row r="135" ht="15" customHeight="1">
      <c r="A135" t="inlineStr">
        <is>
          <t>A 11502-2022</t>
        </is>
      </c>
      <c r="B135" t="inlineStr">
        <is>
          <t>avverkningsanmälan</t>
        </is>
      </c>
      <c r="C135" t="inlineStr">
        <is>
          <t>Föryngringsavverkning</t>
        </is>
      </c>
      <c r="D135" s="1" t="n">
        <v>44631</v>
      </c>
      <c r="E135" s="1" t="n">
        <v>46223</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s="2" t="inlineStr">
        <is>
          <t>Violettgrå tagellav</t>
        </is>
      </c>
      <c r="V135">
        <f>HYPERLINK("https://klasma.github.io/Logging_2480/artfynd/A 11502-2022 artfynd.xlsx", "A 11502-2022")</f>
        <v/>
      </c>
      <c r="W135">
        <f>HYPERLINK("https://klasma.github.io/Logging_2480/kartor/A 11502-2022 karta.png", "A 11502-2022")</f>
        <v/>
      </c>
      <c r="X135">
        <f>HYPERLINK("https://klasma.github.io/Logging_2480/kartor_geotiff/A 11502-2022 georefererad karta.tif", "A 11502-2022")</f>
        <v/>
      </c>
      <c r="Z135">
        <f>HYPERLINK("https://klasma.github.io/Logging_2480/klagomål/A 11502-2022 FSC-klagomål.docx", "A 11502-2022")</f>
        <v/>
      </c>
      <c r="AA135">
        <f>HYPERLINK("https://klasma.github.io/Logging_2480/klagomålsmail/A 11502-2022 FSC-klagomål mail.docx", "A 11502-2022")</f>
        <v/>
      </c>
      <c r="AB135">
        <f>HYPERLINK("https://klasma.github.io/Logging_2480/tillsyn/A 11502-2022 tillsynsbegäran.docx", "A 11502-2022")</f>
        <v/>
      </c>
      <c r="AC135">
        <f>HYPERLINK("https://klasma.github.io/Logging_2480/tillsynsmail/A 11502-2022 tillsynsbegäran mail.docx", "A 11502-2022")</f>
        <v/>
      </c>
    </row>
    <row r="136" ht="15" customHeight="1">
      <c r="A136" t="inlineStr">
        <is>
          <t>A 42939-2025</t>
        </is>
      </c>
      <c r="B136" t="inlineStr">
        <is>
          <t>avverkningsanmälan</t>
        </is>
      </c>
      <c r="C136" t="inlineStr">
        <is>
          <t>Föryngringsavverkning</t>
        </is>
      </c>
      <c r="D136" s="1" t="n">
        <v>45909</v>
      </c>
      <c r="E136" s="1" t="n">
        <v>46223</v>
      </c>
      <c r="F136" t="inlineStr">
        <is>
          <t>VÄSTERBOTTENS LÄN</t>
        </is>
      </c>
      <c r="G136" t="inlineStr">
        <is>
          <t>UMEÅ</t>
        </is>
      </c>
      <c r="I136" t="n">
        <v>1</v>
      </c>
      <c r="J136" t="n">
        <v>1</v>
      </c>
      <c r="K136" t="n">
        <v>0</v>
      </c>
      <c r="L136" t="n">
        <v>0</v>
      </c>
      <c r="M136" t="n">
        <v>0</v>
      </c>
      <c r="N136" t="n">
        <v>0</v>
      </c>
      <c r="O136" t="n">
        <v>0</v>
      </c>
      <c r="P136" t="n">
        <v>0</v>
      </c>
      <c r="Q136" t="n">
        <v>0</v>
      </c>
      <c r="R136" t="n">
        <v>0</v>
      </c>
      <c r="S136" t="n">
        <v>1</v>
      </c>
      <c r="T136" t="n">
        <v>1</v>
      </c>
      <c r="U136" s="2" t="inlineStr">
        <is>
          <t>Fläcknycklar</t>
        </is>
      </c>
      <c r="V136">
        <f>HYPERLINK("https://klasma.github.io/Logging_2480/artfynd/A 42939-2025 artfynd.xlsx", "A 42939-2025")</f>
        <v/>
      </c>
      <c r="W136">
        <f>HYPERLINK("https://klasma.github.io/Logging_2480/kartor/A 42939-2025 karta.png", "A 42939-2025")</f>
        <v/>
      </c>
      <c r="X136">
        <f>HYPERLINK("https://klasma.github.io/Logging_2480/kartor_geotiff/A 42939-2025 georefererad karta.tif", "A 42939-2025")</f>
        <v/>
      </c>
      <c r="Z136">
        <f>HYPERLINK("https://klasma.github.io/Logging_2480/klagomål/A 42939-2025 FSC-klagomål.docx", "A 42939-2025")</f>
        <v/>
      </c>
      <c r="AA136">
        <f>HYPERLINK("https://klasma.github.io/Logging_2480/klagomålsmail/A 42939-2025 FSC-klagomål mail.docx", "A 42939-2025")</f>
        <v/>
      </c>
      <c r="AB136">
        <f>HYPERLINK("https://klasma.github.io/Logging_2480/tillsyn/A 42939-2025 tillsynsbegäran.docx", "A 42939-2025")</f>
        <v/>
      </c>
      <c r="AC136">
        <f>HYPERLINK("https://klasma.github.io/Logging_2480/tillsynsmail/A 42939-2025 tillsynsbegäran mail.docx", "A 42939-2025")</f>
        <v/>
      </c>
    </row>
    <row r="137" ht="15" customHeight="1">
      <c r="A137" t="inlineStr">
        <is>
          <t>A 26250-2023</t>
        </is>
      </c>
      <c r="B137" t="inlineStr">
        <is>
          <t>avverkningsanmälan</t>
        </is>
      </c>
      <c r="C137" t="inlineStr">
        <is>
          <t>Föryngringsavverkning</t>
        </is>
      </c>
      <c r="D137" s="1" t="n">
        <v>45086</v>
      </c>
      <c r="E137" s="1" t="n">
        <v>46223</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s="2" t="inlineStr">
        <is>
          <t>Huggorm</t>
        </is>
      </c>
      <c r="V137">
        <f>HYPERLINK("https://klasma.github.io/Logging_2480/artfynd/A 26250-2023 artfynd.xlsx", "A 26250-2023")</f>
        <v/>
      </c>
      <c r="W137">
        <f>HYPERLINK("https://klasma.github.io/Logging_2480/kartor/A 26250-2023 karta.png", "A 26250-2023")</f>
        <v/>
      </c>
      <c r="X137">
        <f>HYPERLINK("https://klasma.github.io/Logging_2480/kartor_geotiff/A 26250-2023 georefererad karta.tif", "A 26250-2023")</f>
        <v/>
      </c>
      <c r="Z137">
        <f>HYPERLINK("https://klasma.github.io/Logging_2480/klagomål/A 26250-2023 FSC-klagomål.docx", "A 26250-2023")</f>
        <v/>
      </c>
      <c r="AA137">
        <f>HYPERLINK("https://klasma.github.io/Logging_2480/klagomålsmail/A 26250-2023 FSC-klagomål mail.docx", "A 26250-2023")</f>
        <v/>
      </c>
      <c r="AB137">
        <f>HYPERLINK("https://klasma.github.io/Logging_2480/tillsyn/A 26250-2023 tillsynsbegäran.docx", "A 26250-2023")</f>
        <v/>
      </c>
      <c r="AC137">
        <f>HYPERLINK("https://klasma.github.io/Logging_2480/tillsynsmail/A 26250-2023 tillsynsbegäran mail.docx", "A 26250-2023")</f>
        <v/>
      </c>
    </row>
    <row r="138" ht="15" customHeight="1">
      <c r="A138" t="inlineStr">
        <is>
          <t>A 5912-2026</t>
        </is>
      </c>
      <c r="B138" t="inlineStr">
        <is>
          <t>avverkningsanmälan</t>
        </is>
      </c>
      <c r="C138" t="inlineStr">
        <is>
          <t>Föryngringsavverkning</t>
        </is>
      </c>
      <c r="D138" s="1" t="n">
        <v>46052</v>
      </c>
      <c r="E138" s="1" t="n">
        <v>46223</v>
      </c>
      <c r="F138" t="inlineStr">
        <is>
          <t>VÄSTERBOTTENS LÄN</t>
        </is>
      </c>
      <c r="G138" t="inlineStr">
        <is>
          <t>UMEÅ</t>
        </is>
      </c>
      <c r="I138" t="n">
        <v>1.3</v>
      </c>
      <c r="J138" t="n">
        <v>1</v>
      </c>
      <c r="K138" t="n">
        <v>0</v>
      </c>
      <c r="L138" t="n">
        <v>0</v>
      </c>
      <c r="M138" t="n">
        <v>0</v>
      </c>
      <c r="N138" t="n">
        <v>0</v>
      </c>
      <c r="O138" t="n">
        <v>0</v>
      </c>
      <c r="P138" t="n">
        <v>0</v>
      </c>
      <c r="Q138" t="n">
        <v>0</v>
      </c>
      <c r="R138" t="n">
        <v>0</v>
      </c>
      <c r="S138" t="n">
        <v>1</v>
      </c>
      <c r="T138" t="n">
        <v>1</v>
      </c>
      <c r="U138" s="2" t="inlineStr">
        <is>
          <t>Spillkråka</t>
        </is>
      </c>
      <c r="V138">
        <f>HYPERLINK("https://klasma.github.io/Logging_2480/artfynd/A 5912-2026 artfynd.xlsx", "A 5912-2026")</f>
        <v/>
      </c>
      <c r="W138">
        <f>HYPERLINK("https://klasma.github.io/Logging_2480/kartor/A 5912-2026 karta.png", "A 5912-2026")</f>
        <v/>
      </c>
      <c r="X138">
        <f>HYPERLINK("https://klasma.github.io/Logging_2480/kartor_geotiff/A 5912-2026 georefererad karta.tif", "A 5912-2026")</f>
        <v/>
      </c>
      <c r="Z138">
        <f>HYPERLINK("https://klasma.github.io/Logging_2480/klagomål/A 5912-2026 FSC-klagomål.docx", "A 5912-2026")</f>
        <v/>
      </c>
      <c r="AA138">
        <f>HYPERLINK("https://klasma.github.io/Logging_2480/klagomålsmail/A 5912-2026 FSC-klagomål mail.docx", "A 5912-2026")</f>
        <v/>
      </c>
      <c r="AB138">
        <f>HYPERLINK("https://klasma.github.io/Logging_2480/tillsyn/A 5912-2026 tillsynsbegäran.docx", "A 5912-2026")</f>
        <v/>
      </c>
      <c r="AC138">
        <f>HYPERLINK("https://klasma.github.io/Logging_2480/tillsynsmail/A 5912-2026 tillsynsbegäran mail.docx", "A 5912-2026")</f>
        <v/>
      </c>
      <c r="AD138">
        <f>HYPERLINK("https://klasma.github.io/Logging_2480/fåglar/A 5912-2026 prioriterade fågelarter.docx", "A 5912-2026")</f>
        <v/>
      </c>
    </row>
    <row r="139" ht="15" customHeight="1">
      <c r="A139" t="inlineStr">
        <is>
          <t>A 43550-2024</t>
        </is>
      </c>
      <c r="B139" t="inlineStr">
        <is>
          <t>avverkningsanmälan</t>
        </is>
      </c>
      <c r="C139" t="inlineStr">
        <is>
          <t>Föryngringsavverkning</t>
        </is>
      </c>
      <c r="D139" s="1" t="n">
        <v>45569</v>
      </c>
      <c r="E139" s="1" t="n">
        <v>46223</v>
      </c>
      <c r="F139" t="inlineStr">
        <is>
          <t>VÄSTERBOTTENS LÄN</t>
        </is>
      </c>
      <c r="G139" t="inlineStr">
        <is>
          <t>UMEÅ</t>
        </is>
      </c>
      <c r="H139" t="inlineStr">
        <is>
          <t>Kommuner</t>
        </is>
      </c>
      <c r="I139" t="n">
        <v>3.9</v>
      </c>
      <c r="J139" t="n">
        <v>0</v>
      </c>
      <c r="K139" t="n">
        <v>1</v>
      </c>
      <c r="L139" t="n">
        <v>0</v>
      </c>
      <c r="M139" t="n">
        <v>0</v>
      </c>
      <c r="N139" t="n">
        <v>0</v>
      </c>
      <c r="O139" t="n">
        <v>0</v>
      </c>
      <c r="P139" t="n">
        <v>0</v>
      </c>
      <c r="Q139" t="n">
        <v>0</v>
      </c>
      <c r="R139" t="n">
        <v>0</v>
      </c>
      <c r="S139" t="n">
        <v>1</v>
      </c>
      <c r="T139" t="n">
        <v>1</v>
      </c>
      <c r="U139" s="2" t="inlineStr">
        <is>
          <t>Rävticka</t>
        </is>
      </c>
      <c r="V139">
        <f>HYPERLINK("https://klasma.github.io/Logging_2480/artfynd/A 43550-2024 artfynd.xlsx", "A 43550-2024")</f>
        <v/>
      </c>
      <c r="W139">
        <f>HYPERLINK("https://klasma.github.io/Logging_2480/kartor/A 43550-2024 karta.png", "A 43550-2024")</f>
        <v/>
      </c>
      <c r="X139">
        <f>HYPERLINK("https://klasma.github.io/Logging_2480/kartor_geotiff/A 43550-2024 georefererad karta.tif", "A 43550-2024")</f>
        <v/>
      </c>
      <c r="Z139">
        <f>HYPERLINK("https://klasma.github.io/Logging_2480/klagomål/A 43550-2024 FSC-klagomål.docx", "A 43550-2024")</f>
        <v/>
      </c>
      <c r="AA139">
        <f>HYPERLINK("https://klasma.github.io/Logging_2480/klagomålsmail/A 43550-2024 FSC-klagomål mail.docx", "A 43550-2024")</f>
        <v/>
      </c>
      <c r="AB139">
        <f>HYPERLINK("https://klasma.github.io/Logging_2480/tillsyn/A 43550-2024 tillsynsbegäran.docx", "A 43550-2024")</f>
        <v/>
      </c>
      <c r="AC139">
        <f>HYPERLINK("https://klasma.github.io/Logging_2480/tillsynsmail/A 43550-2024 tillsynsbegäran mail.docx", "A 43550-2024")</f>
        <v/>
      </c>
    </row>
    <row r="140" ht="15" customHeight="1">
      <c r="A140" t="inlineStr">
        <is>
          <t>A 49312-2025</t>
        </is>
      </c>
      <c r="B140" t="inlineStr">
        <is>
          <t>avverkningsanmälan</t>
        </is>
      </c>
      <c r="C140" t="inlineStr">
        <is>
          <t>Föryngringsavverkning</t>
        </is>
      </c>
      <c r="D140" s="1" t="n">
        <v>45938</v>
      </c>
      <c r="E140" s="1" t="n">
        <v>46223</v>
      </c>
      <c r="F140" t="inlineStr">
        <is>
          <t>VÄSTERBOTTENS LÄN</t>
        </is>
      </c>
      <c r="G140" t="inlineStr">
        <is>
          <t>UMEÅ</t>
        </is>
      </c>
      <c r="H140" t="inlineStr">
        <is>
          <t>Sveaskog</t>
        </is>
      </c>
      <c r="I140" t="n">
        <v>30.6</v>
      </c>
      <c r="J140" t="n">
        <v>1</v>
      </c>
      <c r="K140" t="n">
        <v>0</v>
      </c>
      <c r="L140" t="n">
        <v>1</v>
      </c>
      <c r="M140" t="n">
        <v>0</v>
      </c>
      <c r="N140" t="n">
        <v>0</v>
      </c>
      <c r="O140" t="n">
        <v>0</v>
      </c>
      <c r="P140" t="n">
        <v>0</v>
      </c>
      <c r="Q140" t="n">
        <v>1</v>
      </c>
      <c r="R140" t="n">
        <v>0</v>
      </c>
      <c r="S140" t="n">
        <v>1</v>
      </c>
      <c r="T140" t="n">
        <v>1</v>
      </c>
      <c r="U140" s="2" t="inlineStr">
        <is>
          <t>Talltita</t>
        </is>
      </c>
      <c r="V140">
        <f>HYPERLINK("https://klasma.github.io/Logging_2480/artfynd/A 49312-2025 artfynd.xlsx", "A 49312-2025")</f>
        <v/>
      </c>
      <c r="W140">
        <f>HYPERLINK("https://klasma.github.io/Logging_2480/kartor/A 49312-2025 karta.png", "A 49312-2025")</f>
        <v/>
      </c>
      <c r="X140">
        <f>HYPERLINK("https://klasma.github.io/Logging_2480/kartor_geotiff/A 49312-2025 georefererad karta.tif", "A 49312-2025")</f>
        <v/>
      </c>
      <c r="Z140">
        <f>HYPERLINK("https://klasma.github.io/Logging_2480/klagomål/A 49312-2025 FSC-klagomål.docx", "A 49312-2025")</f>
        <v/>
      </c>
      <c r="AA140">
        <f>HYPERLINK("https://klasma.github.io/Logging_2480/klagomålsmail/A 49312-2025 FSC-klagomål mail.docx", "A 49312-2025")</f>
        <v/>
      </c>
      <c r="AB140">
        <f>HYPERLINK("https://klasma.github.io/Logging_2480/tillsyn/A 49312-2025 tillsynsbegäran.docx", "A 49312-2025")</f>
        <v/>
      </c>
      <c r="AC140">
        <f>HYPERLINK("https://klasma.github.io/Logging_2480/tillsynsmail/A 49312-2025 tillsynsbegäran mail.docx", "A 49312-2025")</f>
        <v/>
      </c>
      <c r="AD140">
        <f>HYPERLINK("https://klasma.github.io/Logging_2480/fåglar/A 49312-2025 prioriterade fågelarter.docx", "A 49312-2025")</f>
        <v/>
      </c>
    </row>
    <row r="141" ht="15" customHeight="1">
      <c r="A141" t="inlineStr">
        <is>
          <t>A 49497-2025</t>
        </is>
      </c>
      <c r="B141" t="inlineStr">
        <is>
          <t>avverkningsanmälan</t>
        </is>
      </c>
      <c r="C141" t="inlineStr">
        <is>
          <t>Föryngringsavverkning</t>
        </is>
      </c>
      <c r="D141" s="1" t="n">
        <v>45939</v>
      </c>
      <c r="E141" s="1" t="n">
        <v>46223</v>
      </c>
      <c r="F141" t="inlineStr">
        <is>
          <t>VÄSTERBOTTENS LÄN</t>
        </is>
      </c>
      <c r="G141" t="inlineStr">
        <is>
          <t>UMEÅ</t>
        </is>
      </c>
      <c r="I141" t="n">
        <v>17.2</v>
      </c>
      <c r="J141" t="n">
        <v>0</v>
      </c>
      <c r="K141" t="n">
        <v>1</v>
      </c>
      <c r="L141" t="n">
        <v>0</v>
      </c>
      <c r="M141" t="n">
        <v>0</v>
      </c>
      <c r="N141" t="n">
        <v>0</v>
      </c>
      <c r="O141" t="n">
        <v>0</v>
      </c>
      <c r="P141" t="n">
        <v>0</v>
      </c>
      <c r="Q141" t="n">
        <v>0</v>
      </c>
      <c r="R141" t="n">
        <v>0</v>
      </c>
      <c r="S141" t="n">
        <v>1</v>
      </c>
      <c r="T141" t="n">
        <v>1</v>
      </c>
      <c r="U141" s="2" t="inlineStr">
        <is>
          <t>Trådticka</t>
        </is>
      </c>
      <c r="V141">
        <f>HYPERLINK("https://klasma.github.io/Logging_2480/artfynd/A 49497-2025 artfynd.xlsx", "A 49497-2025")</f>
        <v/>
      </c>
      <c r="W141">
        <f>HYPERLINK("https://klasma.github.io/Logging_2480/kartor/A 49497-2025 karta.png", "A 49497-2025")</f>
        <v/>
      </c>
      <c r="X141">
        <f>HYPERLINK("https://klasma.github.io/Logging_2480/kartor_geotiff/A 49497-2025 georefererad karta.tif", "A 49497-2025")</f>
        <v/>
      </c>
      <c r="Z141">
        <f>HYPERLINK("https://klasma.github.io/Logging_2480/klagomål/A 49497-2025 FSC-klagomål.docx", "A 49497-2025")</f>
        <v/>
      </c>
      <c r="AA141">
        <f>HYPERLINK("https://klasma.github.io/Logging_2480/klagomålsmail/A 49497-2025 FSC-klagomål mail.docx", "A 49497-2025")</f>
        <v/>
      </c>
      <c r="AB141">
        <f>HYPERLINK("https://klasma.github.io/Logging_2480/tillsyn/A 49497-2025 tillsynsbegäran.docx", "A 49497-2025")</f>
        <v/>
      </c>
      <c r="AC141">
        <f>HYPERLINK("https://klasma.github.io/Logging_2480/tillsynsmail/A 49497-2025 tillsynsbegäran mail.docx", "A 49497-2025")</f>
        <v/>
      </c>
    </row>
    <row r="142" ht="15" customHeight="1">
      <c r="A142" t="inlineStr">
        <is>
          <t>A 42352-2021</t>
        </is>
      </c>
      <c r="B142" t="inlineStr">
        <is>
          <t>avverkningsanmälan</t>
        </is>
      </c>
      <c r="C142" t="inlineStr">
        <is>
          <t>Föryngringsavverkning</t>
        </is>
      </c>
      <c r="D142" s="1" t="n">
        <v>44427</v>
      </c>
      <c r="E142" s="1" t="n">
        <v>46223</v>
      </c>
      <c r="F142" t="inlineStr">
        <is>
          <t>VÄSTERBOTTENS LÄN</t>
        </is>
      </c>
      <c r="G142" t="inlineStr">
        <is>
          <t>UMEÅ</t>
        </is>
      </c>
      <c r="I142" t="n">
        <v>0.9</v>
      </c>
      <c r="J142" t="n">
        <v>0</v>
      </c>
      <c r="K142" t="n">
        <v>0</v>
      </c>
      <c r="L142" t="n">
        <v>0</v>
      </c>
      <c r="M142" t="n">
        <v>1</v>
      </c>
      <c r="N142" t="n">
        <v>0</v>
      </c>
      <c r="O142" t="n">
        <v>0</v>
      </c>
      <c r="P142" t="n">
        <v>0</v>
      </c>
      <c r="Q142" t="n">
        <v>1</v>
      </c>
      <c r="R142" t="n">
        <v>1</v>
      </c>
      <c r="S142" t="n">
        <v>1</v>
      </c>
      <c r="T142" t="n">
        <v>1</v>
      </c>
      <c r="U142" s="2" t="inlineStr">
        <is>
          <t>Garnlav</t>
        </is>
      </c>
      <c r="V142">
        <f>HYPERLINK("https://klasma.github.io/Logging_2480/artfynd/A 42352-2021 artfynd.xlsx", "A 42352-2021")</f>
        <v/>
      </c>
      <c r="W142">
        <f>HYPERLINK("https://klasma.github.io/Logging_2480/kartor/A 42352-2021 karta.png", "A 42352-2021")</f>
        <v/>
      </c>
      <c r="X142">
        <f>HYPERLINK("https://klasma.github.io/Logging_2480/kartor_geotiff/A 42352-2021 georefererad karta.tif", "A 42352-2021")</f>
        <v/>
      </c>
      <c r="Z142">
        <f>HYPERLINK("https://klasma.github.io/Logging_2480/klagomål/A 42352-2021 FSC-klagomål.docx", "A 42352-2021")</f>
        <v/>
      </c>
      <c r="AA142">
        <f>HYPERLINK("https://klasma.github.io/Logging_2480/klagomålsmail/A 42352-2021 FSC-klagomål mail.docx", "A 42352-2021")</f>
        <v/>
      </c>
      <c r="AB142">
        <f>HYPERLINK("https://klasma.github.io/Logging_2480/tillsyn/A 42352-2021 tillsynsbegäran.docx", "A 42352-2021")</f>
        <v/>
      </c>
      <c r="AC142">
        <f>HYPERLINK("https://klasma.github.io/Logging_2480/tillsynsmail/A 42352-2021 tillsynsbegäran mail.docx", "A 42352-2021")</f>
        <v/>
      </c>
    </row>
    <row r="143" ht="15" customHeight="1">
      <c r="A143" t="inlineStr">
        <is>
          <t>A 43519-2022</t>
        </is>
      </c>
      <c r="B143" t="inlineStr">
        <is>
          <t>avverkningsanmälan</t>
        </is>
      </c>
      <c r="C143" t="inlineStr">
        <is>
          <t>Föryngringsavverkning</t>
        </is>
      </c>
      <c r="D143" s="1" t="n">
        <v>44837</v>
      </c>
      <c r="E143" s="1" t="n">
        <v>46223</v>
      </c>
      <c r="F143" t="inlineStr">
        <is>
          <t>VÄSTERBOTTENS LÄN</t>
        </is>
      </c>
      <c r="G143" t="inlineStr">
        <is>
          <t>UMEÅ</t>
        </is>
      </c>
      <c r="I143" t="n">
        <v>4.2</v>
      </c>
      <c r="J143" t="n">
        <v>0</v>
      </c>
      <c r="K143" t="n">
        <v>0</v>
      </c>
      <c r="L143" t="n">
        <v>1</v>
      </c>
      <c r="M143" t="n">
        <v>0</v>
      </c>
      <c r="N143" t="n">
        <v>0</v>
      </c>
      <c r="O143" t="n">
        <v>0</v>
      </c>
      <c r="P143" t="n">
        <v>0</v>
      </c>
      <c r="Q143" t="n">
        <v>1</v>
      </c>
      <c r="R143" t="n">
        <v>0</v>
      </c>
      <c r="S143" t="n">
        <v>1</v>
      </c>
      <c r="T143" t="n">
        <v>1</v>
      </c>
      <c r="U143" s="2" t="inlineStr">
        <is>
          <t>Skogshare</t>
        </is>
      </c>
      <c r="V143">
        <f>HYPERLINK("https://klasma.github.io/Logging_2480/artfynd/A 43519-2022 artfynd.xlsx", "A 43519-2022")</f>
        <v/>
      </c>
      <c r="W143">
        <f>HYPERLINK("https://klasma.github.io/Logging_2480/kartor/A 43519-2022 karta.png", "A 43519-2022")</f>
        <v/>
      </c>
      <c r="X143">
        <f>HYPERLINK("https://klasma.github.io/Logging_2480/kartor_geotiff/A 43519-2022 georefererad karta.tif", "A 43519-2022")</f>
        <v/>
      </c>
      <c r="Z143">
        <f>HYPERLINK("https://klasma.github.io/Logging_2480/klagomål/A 43519-2022 FSC-klagomål.docx", "A 43519-2022")</f>
        <v/>
      </c>
      <c r="AA143">
        <f>HYPERLINK("https://klasma.github.io/Logging_2480/klagomålsmail/A 43519-2022 FSC-klagomål mail.docx", "A 43519-2022")</f>
        <v/>
      </c>
      <c r="AB143">
        <f>HYPERLINK("https://klasma.github.io/Logging_2480/tillsyn/A 43519-2022 tillsynsbegäran.docx", "A 43519-2022")</f>
        <v/>
      </c>
      <c r="AC143">
        <f>HYPERLINK("https://klasma.github.io/Logging_2480/tillsynsmail/A 43519-2022 tillsynsbegäran mail.docx", "A 43519-2022")</f>
        <v/>
      </c>
    </row>
    <row r="144" ht="15" customHeight="1">
      <c r="A144" t="inlineStr">
        <is>
          <t>A 10747-2026</t>
        </is>
      </c>
      <c r="B144" t="inlineStr">
        <is>
          <t>avverkningsanmälan</t>
        </is>
      </c>
      <c r="C144" t="inlineStr">
        <is>
          <t>Föryngringsavverkning</t>
        </is>
      </c>
      <c r="D144" s="1" t="n">
        <v>46078</v>
      </c>
      <c r="E144" s="1" t="n">
        <v>46223</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s="2" t="inlineStr">
        <is>
          <t>Spinnfingersvamp</t>
        </is>
      </c>
      <c r="V144">
        <f>HYPERLINK("https://klasma.github.io/Logging_2480/artfynd/A 10747-2026 artfynd.xlsx", "A 10747-2026")</f>
        <v/>
      </c>
      <c r="W144">
        <f>HYPERLINK("https://klasma.github.io/Logging_2480/kartor/A 10747-2026 karta.png", "A 10747-2026")</f>
        <v/>
      </c>
      <c r="X144">
        <f>HYPERLINK("https://klasma.github.io/Logging_2480/kartor_geotiff/A 10747-2026 georefererad karta.tif", "A 10747-2026")</f>
        <v/>
      </c>
      <c r="Z144">
        <f>HYPERLINK("https://klasma.github.io/Logging_2480/klagomål/A 10747-2026 FSC-klagomål.docx", "A 10747-2026")</f>
        <v/>
      </c>
      <c r="AA144">
        <f>HYPERLINK("https://klasma.github.io/Logging_2480/klagomålsmail/A 10747-2026 FSC-klagomål mail.docx", "A 10747-2026")</f>
        <v/>
      </c>
      <c r="AB144">
        <f>HYPERLINK("https://klasma.github.io/Logging_2480/tillsyn/A 10747-2026 tillsynsbegäran.docx", "A 10747-2026")</f>
        <v/>
      </c>
      <c r="AC144">
        <f>HYPERLINK("https://klasma.github.io/Logging_2480/tillsynsmail/A 10747-2026 tillsynsbegäran mail.docx", "A 10747-2026")</f>
        <v/>
      </c>
    </row>
    <row r="145" ht="15" customHeight="1">
      <c r="A145" t="inlineStr">
        <is>
          <t>A 13768-2023</t>
        </is>
      </c>
      <c r="B145" t="inlineStr">
        <is>
          <t>avverkningsanmälan</t>
        </is>
      </c>
      <c r="C145" t="inlineStr">
        <is>
          <t>Föryngringsavverkning</t>
        </is>
      </c>
      <c r="D145" s="1" t="n">
        <v>45006</v>
      </c>
      <c r="E145" s="1" t="n">
        <v>46223</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s="2" t="inlineStr">
        <is>
          <t>Plattlummer</t>
        </is>
      </c>
      <c r="V145">
        <f>HYPERLINK("https://klasma.github.io/Logging_2480/artfynd/A 13768-2023 artfynd.xlsx", "A 13768-2023")</f>
        <v/>
      </c>
      <c r="W145">
        <f>HYPERLINK("https://klasma.github.io/Logging_2480/kartor/A 13768-2023 karta.png", "A 13768-2023")</f>
        <v/>
      </c>
      <c r="X145">
        <f>HYPERLINK("https://klasma.github.io/Logging_2480/kartor_geotiff/A 13768-2023 georefererad karta.tif", "A 13768-2023")</f>
        <v/>
      </c>
      <c r="Z145">
        <f>HYPERLINK("https://klasma.github.io/Logging_2480/klagomål/A 13768-2023 FSC-klagomål.docx", "A 13768-2023")</f>
        <v/>
      </c>
      <c r="AA145">
        <f>HYPERLINK("https://klasma.github.io/Logging_2480/klagomålsmail/A 13768-2023 FSC-klagomål mail.docx", "A 13768-2023")</f>
        <v/>
      </c>
      <c r="AB145">
        <f>HYPERLINK("https://klasma.github.io/Logging_2480/tillsyn/A 13768-2023 tillsynsbegäran.docx", "A 13768-2023")</f>
        <v/>
      </c>
      <c r="AC145">
        <f>HYPERLINK("https://klasma.github.io/Logging_2480/tillsynsmail/A 13768-2023 tillsynsbegäran mail.docx", "A 13768-2023")</f>
        <v/>
      </c>
    </row>
    <row r="146" ht="15" customHeight="1">
      <c r="A146" t="inlineStr">
        <is>
          <t>A 57635-2025</t>
        </is>
      </c>
      <c r="B146" t="inlineStr">
        <is>
          <t>avverkningsanmälan</t>
        </is>
      </c>
      <c r="C146" t="inlineStr">
        <is>
          <t>Föryngringsavverkning</t>
        </is>
      </c>
      <c r="D146" s="1" t="n">
        <v>45981</v>
      </c>
      <c r="E146" s="1" t="n">
        <v>46223</v>
      </c>
      <c r="F146" t="inlineStr">
        <is>
          <t>VÄSTERBOTTENS LÄN</t>
        </is>
      </c>
      <c r="G146" t="inlineStr">
        <is>
          <t>UMEÅ</t>
        </is>
      </c>
      <c r="H146" t="inlineStr">
        <is>
          <t>Holmen skog AB</t>
        </is>
      </c>
      <c r="I146" t="n">
        <v>3.5</v>
      </c>
      <c r="J146" t="n">
        <v>0</v>
      </c>
      <c r="K146" t="n">
        <v>0</v>
      </c>
      <c r="L146" t="n">
        <v>1</v>
      </c>
      <c r="M146" t="n">
        <v>0</v>
      </c>
      <c r="N146" t="n">
        <v>0</v>
      </c>
      <c r="O146" t="n">
        <v>0</v>
      </c>
      <c r="P146" t="n">
        <v>0</v>
      </c>
      <c r="Q146" t="n">
        <v>1</v>
      </c>
      <c r="R146" t="n">
        <v>0</v>
      </c>
      <c r="S146" t="n">
        <v>1</v>
      </c>
      <c r="T146" t="n">
        <v>1</v>
      </c>
      <c r="U146" s="2" t="inlineStr">
        <is>
          <t>Vitfläckig guldvinge</t>
        </is>
      </c>
      <c r="V146">
        <f>HYPERLINK("https://klasma.github.io/Logging_2480/artfynd/A 57635-2025 artfynd.xlsx", "A 57635-2025")</f>
        <v/>
      </c>
      <c r="W146">
        <f>HYPERLINK("https://klasma.github.io/Logging_2480/kartor/A 57635-2025 karta.png", "A 57635-2025")</f>
        <v/>
      </c>
      <c r="X146">
        <f>HYPERLINK("https://klasma.github.io/Logging_2480/kartor_geotiff/A 57635-2025 georefererad karta.tif", "A 57635-2025")</f>
        <v/>
      </c>
      <c r="Z146">
        <f>HYPERLINK("https://klasma.github.io/Logging_2480/klagomål/A 57635-2025 FSC-klagomål.docx", "A 57635-2025")</f>
        <v/>
      </c>
      <c r="AA146">
        <f>HYPERLINK("https://klasma.github.io/Logging_2480/klagomålsmail/A 57635-2025 FSC-klagomål mail.docx", "A 57635-2025")</f>
        <v/>
      </c>
      <c r="AB146">
        <f>HYPERLINK("https://klasma.github.io/Logging_2480/tillsyn/A 57635-2025 tillsynsbegäran.docx", "A 57635-2025")</f>
        <v/>
      </c>
      <c r="AC146">
        <f>HYPERLINK("https://klasma.github.io/Logging_2480/tillsynsmail/A 57635-2025 tillsynsbegäran mail.docx", "A 57635-2025")</f>
        <v/>
      </c>
    </row>
    <row r="147" ht="15" customHeight="1">
      <c r="A147" t="inlineStr">
        <is>
          <t>A 45633-2024</t>
        </is>
      </c>
      <c r="B147" t="inlineStr">
        <is>
          <t>avverkningsanmälan</t>
        </is>
      </c>
      <c r="C147" t="inlineStr">
        <is>
          <t>Föryngringsavverkning</t>
        </is>
      </c>
      <c r="D147" s="1" t="n">
        <v>45579</v>
      </c>
      <c r="E147" s="1" t="n">
        <v>46223</v>
      </c>
      <c r="F147" t="inlineStr">
        <is>
          <t>VÄSTERBOTTENS LÄN</t>
        </is>
      </c>
      <c r="G147" t="inlineStr">
        <is>
          <t>UMEÅ</t>
        </is>
      </c>
      <c r="H147" t="inlineStr">
        <is>
          <t>Holmen skog AB</t>
        </is>
      </c>
      <c r="I147" t="n">
        <v>5.4</v>
      </c>
      <c r="J147" t="n">
        <v>0</v>
      </c>
      <c r="K147" t="n">
        <v>0</v>
      </c>
      <c r="L147" t="n">
        <v>1</v>
      </c>
      <c r="M147" t="n">
        <v>0</v>
      </c>
      <c r="N147" t="n">
        <v>0</v>
      </c>
      <c r="O147" t="n">
        <v>0</v>
      </c>
      <c r="P147" t="n">
        <v>0</v>
      </c>
      <c r="Q147" t="n">
        <v>1</v>
      </c>
      <c r="R147" t="n">
        <v>0</v>
      </c>
      <c r="S147" t="n">
        <v>1</v>
      </c>
      <c r="T147" t="n">
        <v>2</v>
      </c>
      <c r="U147" s="2" t="inlineStr">
        <is>
          <t>Mörk kolflarnlav</t>
        </is>
      </c>
      <c r="V147">
        <f>HYPERLINK("https://klasma.github.io/Logging_2480/artfynd/A 45633-2024 artfynd.xlsx", "A 45633-2024")</f>
        <v/>
      </c>
      <c r="W147">
        <f>HYPERLINK("https://klasma.github.io/Logging_2480/kartor/A 45633-2024 karta.png", "A 45633-2024")</f>
        <v/>
      </c>
      <c r="X147">
        <f>HYPERLINK("https://klasma.github.io/Logging_2480/kartor_geotiff/A 45633-2024 georefererad karta.tif", "A 45633-2024")</f>
        <v/>
      </c>
      <c r="Z147">
        <f>HYPERLINK("https://klasma.github.io/Logging_2480/klagomål/A 45633-2024 FSC-klagomål.docx", "A 45633-2024")</f>
        <v/>
      </c>
      <c r="AA147">
        <f>HYPERLINK("https://klasma.github.io/Logging_2480/klagomålsmail/A 45633-2024 FSC-klagomål mail.docx", "A 45633-2024")</f>
        <v/>
      </c>
      <c r="AB147">
        <f>HYPERLINK("https://klasma.github.io/Logging_2480/tillsyn/A 45633-2024 tillsynsbegäran.docx", "A 45633-2024")</f>
        <v/>
      </c>
      <c r="AC147">
        <f>HYPERLINK("https://klasma.github.io/Logging_2480/tillsynsmail/A 45633-2024 tillsynsbegäran mail.docx", "A 45633-2024")</f>
        <v/>
      </c>
    </row>
    <row r="148" ht="15" customHeight="1">
      <c r="A148" t="inlineStr">
        <is>
          <t>A 10945-2025</t>
        </is>
      </c>
      <c r="B148" t="inlineStr">
        <is>
          <t>avverkningsanmälan</t>
        </is>
      </c>
      <c r="C148" t="inlineStr">
        <is>
          <t>Föryngringsavverkning</t>
        </is>
      </c>
      <c r="D148" s="1" t="n">
        <v>45723</v>
      </c>
      <c r="E148" s="1" t="n">
        <v>46223</v>
      </c>
      <c r="F148" t="inlineStr">
        <is>
          <t>VÄSTERBOTTENS LÄN</t>
        </is>
      </c>
      <c r="G148" t="inlineStr">
        <is>
          <t>UMEÅ</t>
        </is>
      </c>
      <c r="I148" t="n">
        <v>1.6</v>
      </c>
      <c r="J148" t="n">
        <v>0</v>
      </c>
      <c r="K148" t="n">
        <v>0</v>
      </c>
      <c r="L148" t="n">
        <v>0</v>
      </c>
      <c r="M148" t="n">
        <v>1</v>
      </c>
      <c r="N148" t="n">
        <v>0</v>
      </c>
      <c r="O148" t="n">
        <v>0</v>
      </c>
      <c r="P148" t="n">
        <v>0</v>
      </c>
      <c r="Q148" t="n">
        <v>1</v>
      </c>
      <c r="R148" t="n">
        <v>1</v>
      </c>
      <c r="S148" t="n">
        <v>1</v>
      </c>
      <c r="T148" t="n">
        <v>1</v>
      </c>
      <c r="U148" s="2" t="inlineStr">
        <is>
          <t>Garnlav</t>
        </is>
      </c>
      <c r="V148">
        <f>HYPERLINK("https://klasma.github.io/Logging_2480/artfynd/A 10945-2025 artfynd.xlsx", "A 10945-2025")</f>
        <v/>
      </c>
      <c r="W148">
        <f>HYPERLINK("https://klasma.github.io/Logging_2480/kartor/A 10945-2025 karta.png", "A 10945-2025")</f>
        <v/>
      </c>
      <c r="X148">
        <f>HYPERLINK("https://klasma.github.io/Logging_2480/kartor_geotiff/A 10945-2025 georefererad karta.tif", "A 10945-2025")</f>
        <v/>
      </c>
      <c r="Z148">
        <f>HYPERLINK("https://klasma.github.io/Logging_2480/klagomål/A 10945-2025 FSC-klagomål.docx", "A 10945-2025")</f>
        <v/>
      </c>
      <c r="AA148">
        <f>HYPERLINK("https://klasma.github.io/Logging_2480/klagomålsmail/A 10945-2025 FSC-klagomål mail.docx", "A 10945-2025")</f>
        <v/>
      </c>
      <c r="AB148">
        <f>HYPERLINK("https://klasma.github.io/Logging_2480/tillsyn/A 10945-2025 tillsynsbegäran.docx", "A 10945-2025")</f>
        <v/>
      </c>
      <c r="AC148">
        <f>HYPERLINK("https://klasma.github.io/Logging_2480/tillsynsmail/A 10945-2025 tillsynsbegäran mail.docx", "A 10945-2025")</f>
        <v/>
      </c>
    </row>
    <row r="149" ht="15" customHeight="1">
      <c r="A149" t="inlineStr">
        <is>
          <t>A 7050-2024</t>
        </is>
      </c>
      <c r="B149" t="inlineStr">
        <is>
          <t>avverkningsanmälan</t>
        </is>
      </c>
      <c r="C149" t="inlineStr">
        <is>
          <t>Föryngringsavverkning</t>
        </is>
      </c>
      <c r="D149" s="1" t="n">
        <v>45343</v>
      </c>
      <c r="E149" s="1" t="n">
        <v>46223</v>
      </c>
      <c r="F149" t="inlineStr">
        <is>
          <t>VÄSTERBOTTENS LÄN</t>
        </is>
      </c>
      <c r="G149" t="inlineStr">
        <is>
          <t>UMEÅ</t>
        </is>
      </c>
      <c r="I149" t="n">
        <v>6.5</v>
      </c>
      <c r="J149" t="n">
        <v>1</v>
      </c>
      <c r="K149" t="n">
        <v>0</v>
      </c>
      <c r="L149" t="n">
        <v>1</v>
      </c>
      <c r="M149" t="n">
        <v>0</v>
      </c>
      <c r="N149" t="n">
        <v>0</v>
      </c>
      <c r="O149" t="n">
        <v>0</v>
      </c>
      <c r="P149" t="n">
        <v>0</v>
      </c>
      <c r="Q149" t="n">
        <v>1</v>
      </c>
      <c r="R149" t="n">
        <v>0</v>
      </c>
      <c r="S149" t="n">
        <v>1</v>
      </c>
      <c r="T149" t="n">
        <v>1</v>
      </c>
      <c r="U149" s="2" t="inlineStr">
        <is>
          <t>Talltita</t>
        </is>
      </c>
      <c r="V149">
        <f>HYPERLINK("https://klasma.github.io/Logging_2480/artfynd/A 7050-2024 artfynd.xlsx", "A 7050-2024")</f>
        <v/>
      </c>
      <c r="W149">
        <f>HYPERLINK("https://klasma.github.io/Logging_2480/kartor/A 7050-2024 karta.png", "A 7050-2024")</f>
        <v/>
      </c>
      <c r="X149">
        <f>HYPERLINK("https://klasma.github.io/Logging_2480/kartor_geotiff/A 7050-2024 georefererad karta.tif", "A 7050-2024")</f>
        <v/>
      </c>
      <c r="Z149">
        <f>HYPERLINK("https://klasma.github.io/Logging_2480/klagomål/A 7050-2024 FSC-klagomål.docx", "A 7050-2024")</f>
        <v/>
      </c>
      <c r="AA149">
        <f>HYPERLINK("https://klasma.github.io/Logging_2480/klagomålsmail/A 7050-2024 FSC-klagomål mail.docx", "A 7050-2024")</f>
        <v/>
      </c>
      <c r="AB149">
        <f>HYPERLINK("https://klasma.github.io/Logging_2480/tillsyn/A 7050-2024 tillsynsbegäran.docx", "A 7050-2024")</f>
        <v/>
      </c>
      <c r="AC149">
        <f>HYPERLINK("https://klasma.github.io/Logging_2480/tillsynsmail/A 7050-2024 tillsynsbegäran mail.docx", "A 7050-2024")</f>
        <v/>
      </c>
      <c r="AD149">
        <f>HYPERLINK("https://klasma.github.io/Logging_2480/fåglar/A 7050-2024 prioriterade fågelarter.docx", "A 7050-2024")</f>
        <v/>
      </c>
    </row>
    <row r="150" ht="15" customHeight="1">
      <c r="A150" t="inlineStr">
        <is>
          <t>A 62145-2025</t>
        </is>
      </c>
      <c r="B150" t="inlineStr">
        <is>
          <t>avverkningsanmälan</t>
        </is>
      </c>
      <c r="C150" t="inlineStr">
        <is>
          <t>Föryngringsavverkning</t>
        </is>
      </c>
      <c r="D150" s="1" t="n">
        <v>46006</v>
      </c>
      <c r="E150" s="1" t="n">
        <v>46223</v>
      </c>
      <c r="F150" t="inlineStr">
        <is>
          <t>VÄSTERBOTTENS LÄN</t>
        </is>
      </c>
      <c r="G150" t="inlineStr">
        <is>
          <t>UMEÅ</t>
        </is>
      </c>
      <c r="I150" t="n">
        <v>2.8</v>
      </c>
      <c r="J150" t="n">
        <v>1</v>
      </c>
      <c r="K150" t="n">
        <v>0</v>
      </c>
      <c r="L150" t="n">
        <v>1</v>
      </c>
      <c r="M150" t="n">
        <v>0</v>
      </c>
      <c r="N150" t="n">
        <v>0</v>
      </c>
      <c r="O150" t="n">
        <v>0</v>
      </c>
      <c r="P150" t="n">
        <v>0</v>
      </c>
      <c r="Q150" t="n">
        <v>1</v>
      </c>
      <c r="R150" t="n">
        <v>0</v>
      </c>
      <c r="S150" t="n">
        <v>1</v>
      </c>
      <c r="T150" t="n">
        <v>2</v>
      </c>
      <c r="U150" s="2" t="inlineStr">
        <is>
          <t>Tretåig hackspett</t>
        </is>
      </c>
      <c r="V150">
        <f>HYPERLINK("https://klasma.github.io/Logging_2480/artfynd/A 62145-2025 artfynd.xlsx", "A 62145-2025")</f>
        <v/>
      </c>
      <c r="W150">
        <f>HYPERLINK("https://klasma.github.io/Logging_2480/kartor/A 62145-2025 karta.png", "A 62145-2025")</f>
        <v/>
      </c>
      <c r="X150">
        <f>HYPERLINK("https://klasma.github.io/Logging_2480/kartor_geotiff/A 62145-2025 georefererad karta.tif", "A 62145-2025")</f>
        <v/>
      </c>
      <c r="Z150">
        <f>HYPERLINK("https://klasma.github.io/Logging_2480/klagomål/A 62145-2025 FSC-klagomål.docx", "A 62145-2025")</f>
        <v/>
      </c>
      <c r="AA150">
        <f>HYPERLINK("https://klasma.github.io/Logging_2480/klagomålsmail/A 62145-2025 FSC-klagomål mail.docx", "A 62145-2025")</f>
        <v/>
      </c>
      <c r="AB150">
        <f>HYPERLINK("https://klasma.github.io/Logging_2480/tillsyn/A 62145-2025 tillsynsbegäran.docx", "A 62145-2025")</f>
        <v/>
      </c>
      <c r="AC150">
        <f>HYPERLINK("https://klasma.github.io/Logging_2480/tillsynsmail/A 62145-2025 tillsynsbegäran mail.docx", "A 62145-2025")</f>
        <v/>
      </c>
      <c r="AD150">
        <f>HYPERLINK("https://klasma.github.io/Logging_2480/fåglar/A 62145-2025 prioriterade fågelarter.docx", "A 62145-2025")</f>
        <v/>
      </c>
    </row>
    <row r="151" ht="15" customHeight="1">
      <c r="A151" t="inlineStr">
        <is>
          <t>A 28262-2023</t>
        </is>
      </c>
      <c r="B151" t="inlineStr">
        <is>
          <t>avverkningsanmälan</t>
        </is>
      </c>
      <c r="C151" t="inlineStr">
        <is>
          <t>Föryngringsavverkning</t>
        </is>
      </c>
      <c r="D151" s="1" t="n">
        <v>45099</v>
      </c>
      <c r="E151" s="1" t="n">
        <v>46223</v>
      </c>
      <c r="F151" t="inlineStr">
        <is>
          <t>VÄSTERBOTTENS LÄN</t>
        </is>
      </c>
      <c r="G151" t="inlineStr">
        <is>
          <t>UMEÅ</t>
        </is>
      </c>
      <c r="H151" t="inlineStr">
        <is>
          <t>Holmen skog AB</t>
        </is>
      </c>
      <c r="I151" t="n">
        <v>2.6</v>
      </c>
      <c r="J151" t="n">
        <v>0</v>
      </c>
      <c r="K151" t="n">
        <v>1</v>
      </c>
      <c r="L151" t="n">
        <v>0</v>
      </c>
      <c r="M151" t="n">
        <v>0</v>
      </c>
      <c r="N151" t="n">
        <v>0</v>
      </c>
      <c r="O151" t="n">
        <v>0</v>
      </c>
      <c r="P151" t="n">
        <v>0</v>
      </c>
      <c r="Q151" t="n">
        <v>0</v>
      </c>
      <c r="R151" t="n">
        <v>0</v>
      </c>
      <c r="S151" t="n">
        <v>1</v>
      </c>
      <c r="T151" t="n">
        <v>1</v>
      </c>
      <c r="U151" s="2" t="inlineStr">
        <is>
          <t>Gulskölding</t>
        </is>
      </c>
      <c r="V151">
        <f>HYPERLINK("https://klasma.github.io/Logging_2480/artfynd/A 28262-2023 artfynd.xlsx", "A 28262-2023")</f>
        <v/>
      </c>
      <c r="W151">
        <f>HYPERLINK("https://klasma.github.io/Logging_2480/kartor/A 28262-2023 karta.png", "A 28262-2023")</f>
        <v/>
      </c>
      <c r="X151">
        <f>HYPERLINK("https://klasma.github.io/Logging_2480/kartor_geotiff/A 28262-2023 georefererad karta.tif", "A 28262-2023")</f>
        <v/>
      </c>
      <c r="Z151">
        <f>HYPERLINK("https://klasma.github.io/Logging_2480/klagomål/A 28262-2023 FSC-klagomål.docx", "A 28262-2023")</f>
        <v/>
      </c>
      <c r="AA151">
        <f>HYPERLINK("https://klasma.github.io/Logging_2480/klagomålsmail/A 28262-2023 FSC-klagomål mail.docx", "A 28262-2023")</f>
        <v/>
      </c>
      <c r="AB151">
        <f>HYPERLINK("https://klasma.github.io/Logging_2480/tillsyn/A 28262-2023 tillsynsbegäran.docx", "A 28262-2023")</f>
        <v/>
      </c>
      <c r="AC151">
        <f>HYPERLINK("https://klasma.github.io/Logging_2480/tillsynsmail/A 28262-2023 tillsynsbegäran mail.docx", "A 28262-2023")</f>
        <v/>
      </c>
    </row>
    <row r="152" ht="15" customHeight="1">
      <c r="A152" t="inlineStr">
        <is>
          <t>A 14954-2026</t>
        </is>
      </c>
      <c r="B152" t="inlineStr">
        <is>
          <t>avverkningsanmälan</t>
        </is>
      </c>
      <c r="C152" t="inlineStr">
        <is>
          <t>Avverkning för annat ändamål</t>
        </is>
      </c>
      <c r="D152" s="1" t="n">
        <v>46104</v>
      </c>
      <c r="E152" s="1" t="n">
        <v>46223</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s="2" t="inlineStr">
        <is>
          <t>Vanlig padda</t>
        </is>
      </c>
      <c r="V152">
        <f>HYPERLINK("https://klasma.github.io/Logging_2480/artfynd/A 14954-2026 artfynd.xlsx", "A 14954-2026")</f>
        <v/>
      </c>
      <c r="W152">
        <f>HYPERLINK("https://klasma.github.io/Logging_2480/kartor/A 14954-2026 karta.png", "A 14954-2026")</f>
        <v/>
      </c>
      <c r="X152">
        <f>HYPERLINK("https://klasma.github.io/Logging_2480/kartor_geotiff/A 14954-2026 georefererad karta.tif", "A 14954-2026")</f>
        <v/>
      </c>
      <c r="Z152">
        <f>HYPERLINK("https://klasma.github.io/Logging_2480/klagomål/A 14954-2026 FSC-klagomål.docx", "A 14954-2026")</f>
        <v/>
      </c>
      <c r="AA152">
        <f>HYPERLINK("https://klasma.github.io/Logging_2480/klagomålsmail/A 14954-2026 FSC-klagomål mail.docx", "A 14954-2026")</f>
        <v/>
      </c>
      <c r="AB152">
        <f>HYPERLINK("https://klasma.github.io/Logging_2480/tillsyn/A 14954-2026 tillsynsbegäran.docx", "A 14954-2026")</f>
        <v/>
      </c>
      <c r="AC152">
        <f>HYPERLINK("https://klasma.github.io/Logging_2480/tillsynsmail/A 14954-2026 tillsynsbegäran mail.docx", "A 14954-2026")</f>
        <v/>
      </c>
    </row>
    <row r="153" ht="15" customHeight="1">
      <c r="A153" t="inlineStr">
        <is>
          <t>A 32464-2023</t>
        </is>
      </c>
      <c r="B153" t="inlineStr">
        <is>
          <t>avverkningsanmälan</t>
        </is>
      </c>
      <c r="C153" t="inlineStr">
        <is>
          <t>Föryngringsavverkning</t>
        </is>
      </c>
      <c r="D153" s="1" t="n">
        <v>45120</v>
      </c>
      <c r="E153" s="1" t="n">
        <v>46223</v>
      </c>
      <c r="F153" t="inlineStr">
        <is>
          <t>VÄSTERBOTTENS LÄN</t>
        </is>
      </c>
      <c r="G153" t="inlineStr">
        <is>
          <t>UMEÅ</t>
        </is>
      </c>
      <c r="I153" t="n">
        <v>1.9</v>
      </c>
      <c r="J153" t="n">
        <v>1</v>
      </c>
      <c r="K153" t="n">
        <v>0</v>
      </c>
      <c r="L153" t="n">
        <v>1</v>
      </c>
      <c r="M153" t="n">
        <v>0</v>
      </c>
      <c r="N153" t="n">
        <v>0</v>
      </c>
      <c r="O153" t="n">
        <v>0</v>
      </c>
      <c r="P153" t="n">
        <v>0</v>
      </c>
      <c r="Q153" t="n">
        <v>1</v>
      </c>
      <c r="R153" t="n">
        <v>0</v>
      </c>
      <c r="S153" t="n">
        <v>1</v>
      </c>
      <c r="T153" t="n">
        <v>1</v>
      </c>
      <c r="U153" s="2" t="inlineStr">
        <is>
          <t>Drillsnäppa</t>
        </is>
      </c>
      <c r="V153">
        <f>HYPERLINK("https://klasma.github.io/Logging_2480/artfynd/A 32464-2023 artfynd.xlsx", "A 32464-2023")</f>
        <v/>
      </c>
      <c r="W153">
        <f>HYPERLINK("https://klasma.github.io/Logging_2480/kartor/A 32464-2023 karta.png", "A 32464-2023")</f>
        <v/>
      </c>
      <c r="X153">
        <f>HYPERLINK("https://klasma.github.io/Logging_2480/kartor_geotiff/A 32464-2023 georefererad karta.tif", "A 32464-2023")</f>
        <v/>
      </c>
      <c r="Z153">
        <f>HYPERLINK("https://klasma.github.io/Logging_2480/klagomål/A 32464-2023 FSC-klagomål.docx", "A 32464-2023")</f>
        <v/>
      </c>
      <c r="AA153">
        <f>HYPERLINK("https://klasma.github.io/Logging_2480/klagomålsmail/A 32464-2023 FSC-klagomål mail.docx", "A 32464-2023")</f>
        <v/>
      </c>
      <c r="AB153">
        <f>HYPERLINK("https://klasma.github.io/Logging_2480/tillsyn/A 32464-2023 tillsynsbegäran.docx", "A 32464-2023")</f>
        <v/>
      </c>
      <c r="AC153">
        <f>HYPERLINK("https://klasma.github.io/Logging_2480/tillsynsmail/A 32464-2023 tillsynsbegäran mail.docx", "A 32464-2023")</f>
        <v/>
      </c>
      <c r="AD153">
        <f>HYPERLINK("https://klasma.github.io/Logging_2480/fåglar/A 32464-2023 prioriterade fågelarter.docx", "A 32464-2023")</f>
        <v/>
      </c>
    </row>
    <row r="154" ht="15" customHeight="1">
      <c r="A154" t="inlineStr">
        <is>
          <t>A 16737-2026</t>
        </is>
      </c>
      <c r="B154" t="inlineStr">
        <is>
          <t>avverkningsanmälan</t>
        </is>
      </c>
      <c r="C154" t="inlineStr">
        <is>
          <t>Föryngringsavverkning</t>
        </is>
      </c>
      <c r="D154" s="1" t="n">
        <v>46113</v>
      </c>
      <c r="E154" s="1" t="n">
        <v>46223</v>
      </c>
      <c r="F154" t="inlineStr">
        <is>
          <t>VÄSTERBOTTENS LÄN</t>
        </is>
      </c>
      <c r="G154" t="inlineStr">
        <is>
          <t>UMEÅ</t>
        </is>
      </c>
      <c r="I154" t="n">
        <v>1.2</v>
      </c>
      <c r="J154" t="n">
        <v>0</v>
      </c>
      <c r="K154" t="n">
        <v>0</v>
      </c>
      <c r="L154" t="n">
        <v>1</v>
      </c>
      <c r="M154" t="n">
        <v>0</v>
      </c>
      <c r="N154" t="n">
        <v>0</v>
      </c>
      <c r="O154" t="n">
        <v>0</v>
      </c>
      <c r="P154" t="n">
        <v>0</v>
      </c>
      <c r="Q154" t="n">
        <v>1</v>
      </c>
      <c r="R154" t="n">
        <v>0</v>
      </c>
      <c r="S154" t="n">
        <v>1</v>
      </c>
      <c r="T154" t="n">
        <v>1</v>
      </c>
      <c r="U154" s="2" t="inlineStr">
        <is>
          <t>Motaggsvamp</t>
        </is>
      </c>
      <c r="V154">
        <f>HYPERLINK("https://klasma.github.io/Logging_2480/artfynd/A 16737-2026 artfynd.xlsx", "A 16737-2026")</f>
        <v/>
      </c>
      <c r="W154">
        <f>HYPERLINK("https://klasma.github.io/Logging_2480/kartor/A 16737-2026 karta.png", "A 16737-2026")</f>
        <v/>
      </c>
      <c r="X154">
        <f>HYPERLINK("https://klasma.github.io/Logging_2480/kartor_geotiff/A 16737-2026 georefererad karta.tif", "A 16737-2026")</f>
        <v/>
      </c>
      <c r="Z154">
        <f>HYPERLINK("https://klasma.github.io/Logging_2480/klagomål/A 16737-2026 FSC-klagomål.docx", "A 16737-2026")</f>
        <v/>
      </c>
      <c r="AA154">
        <f>HYPERLINK("https://klasma.github.io/Logging_2480/klagomålsmail/A 16737-2026 FSC-klagomål mail.docx", "A 16737-2026")</f>
        <v/>
      </c>
      <c r="AB154">
        <f>HYPERLINK("https://klasma.github.io/Logging_2480/tillsyn/A 16737-2026 tillsynsbegäran.docx", "A 16737-2026")</f>
        <v/>
      </c>
      <c r="AC154">
        <f>HYPERLINK("https://klasma.github.io/Logging_2480/tillsynsmail/A 16737-2026 tillsynsbegäran mail.docx", "A 16737-2026")</f>
        <v/>
      </c>
    </row>
    <row r="155" ht="15" customHeight="1">
      <c r="A155" t="inlineStr">
        <is>
          <t>A 29000-2024</t>
        </is>
      </c>
      <c r="B155" t="inlineStr">
        <is>
          <t>avverkningsanmälan</t>
        </is>
      </c>
      <c r="C155" t="inlineStr">
        <is>
          <t>Föryngringsavverkning</t>
        </is>
      </c>
      <c r="D155" s="1" t="n">
        <v>45481</v>
      </c>
      <c r="E155" s="1" t="n">
        <v>46223</v>
      </c>
      <c r="F155" t="inlineStr">
        <is>
          <t>VÄSTERBOTTENS LÄN</t>
        </is>
      </c>
      <c r="G155" t="inlineStr">
        <is>
          <t>UMEÅ</t>
        </is>
      </c>
      <c r="I155" t="n">
        <v>1</v>
      </c>
      <c r="J155" t="n">
        <v>1</v>
      </c>
      <c r="K155" t="n">
        <v>0</v>
      </c>
      <c r="L155" t="n">
        <v>1</v>
      </c>
      <c r="M155" t="n">
        <v>0</v>
      </c>
      <c r="N155" t="n">
        <v>0</v>
      </c>
      <c r="O155" t="n">
        <v>0</v>
      </c>
      <c r="P155" t="n">
        <v>0</v>
      </c>
      <c r="Q155" t="n">
        <v>1</v>
      </c>
      <c r="R155" t="n">
        <v>0</v>
      </c>
      <c r="S155" t="n">
        <v>1</v>
      </c>
      <c r="T155" t="n">
        <v>1</v>
      </c>
      <c r="U155" s="2" t="inlineStr">
        <is>
          <t>Fransfladdermus</t>
        </is>
      </c>
      <c r="V155">
        <f>HYPERLINK("https://klasma.github.io/Logging_2480/artfynd/A 29000-2024 artfynd.xlsx", "A 29000-2024")</f>
        <v/>
      </c>
      <c r="W155">
        <f>HYPERLINK("https://klasma.github.io/Logging_2480/kartor/A 29000-2024 karta.png", "A 29000-2024")</f>
        <v/>
      </c>
      <c r="X155">
        <f>HYPERLINK("https://klasma.github.io/Logging_2480/kartor_geotiff/A 29000-2024 georefererad karta.tif", "A 29000-2024")</f>
        <v/>
      </c>
      <c r="Z155">
        <f>HYPERLINK("https://klasma.github.io/Logging_2480/klagomål/A 29000-2024 FSC-klagomål.docx", "A 29000-2024")</f>
        <v/>
      </c>
      <c r="AA155">
        <f>HYPERLINK("https://klasma.github.io/Logging_2480/klagomålsmail/A 29000-2024 FSC-klagomål mail.docx", "A 29000-2024")</f>
        <v/>
      </c>
      <c r="AB155">
        <f>HYPERLINK("https://klasma.github.io/Logging_2480/tillsyn/A 29000-2024 tillsynsbegäran.docx", "A 29000-2024")</f>
        <v/>
      </c>
      <c r="AC155">
        <f>HYPERLINK("https://klasma.github.io/Logging_2480/tillsynsmail/A 29000-2024 tillsynsbegäran mail.docx", "A 29000-2024")</f>
        <v/>
      </c>
    </row>
    <row r="156" ht="15" customHeight="1">
      <c r="A156" t="inlineStr">
        <is>
          <t>A 30266-2023</t>
        </is>
      </c>
      <c r="B156" t="inlineStr">
        <is>
          <t>avverkningsanmälan</t>
        </is>
      </c>
      <c r="C156" t="inlineStr">
        <is>
          <t>Föryngringsavverkning</t>
        </is>
      </c>
      <c r="D156" s="1" t="n">
        <v>45110</v>
      </c>
      <c r="E156" s="1" t="n">
        <v>46223</v>
      </c>
      <c r="F156" t="inlineStr">
        <is>
          <t>VÄSTERBOTTENS LÄN</t>
        </is>
      </c>
      <c r="G156" t="inlineStr">
        <is>
          <t>UMEÅ</t>
        </is>
      </c>
      <c r="H156" t="inlineStr">
        <is>
          <t>Holmen skog AB</t>
        </is>
      </c>
      <c r="I156" t="n">
        <v>4.7</v>
      </c>
      <c r="J156" t="n">
        <v>0</v>
      </c>
      <c r="K156" t="n">
        <v>0</v>
      </c>
      <c r="L156" t="n">
        <v>1</v>
      </c>
      <c r="M156" t="n">
        <v>0</v>
      </c>
      <c r="N156" t="n">
        <v>0</v>
      </c>
      <c r="O156" t="n">
        <v>0</v>
      </c>
      <c r="P156" t="n">
        <v>0</v>
      </c>
      <c r="Q156" t="n">
        <v>1</v>
      </c>
      <c r="R156" t="n">
        <v>0</v>
      </c>
      <c r="S156" t="n">
        <v>1</v>
      </c>
      <c r="T156" t="n">
        <v>1</v>
      </c>
      <c r="U156" s="2" t="inlineStr">
        <is>
          <t>Tallticka</t>
        </is>
      </c>
      <c r="V156">
        <f>HYPERLINK("https://klasma.github.io/Logging_2480/artfynd/A 30266-2023 artfynd.xlsx", "A 30266-2023")</f>
        <v/>
      </c>
      <c r="W156">
        <f>HYPERLINK("https://klasma.github.io/Logging_2480/kartor/A 30266-2023 karta.png", "A 30266-2023")</f>
        <v/>
      </c>
      <c r="X156">
        <f>HYPERLINK("https://klasma.github.io/Logging_2480/kartor_geotiff/A 30266-2023 georefererad karta.tif", "A 30266-2023")</f>
        <v/>
      </c>
      <c r="Z156">
        <f>HYPERLINK("https://klasma.github.io/Logging_2480/klagomål/A 30266-2023 FSC-klagomål.docx", "A 30266-2023")</f>
        <v/>
      </c>
      <c r="AA156">
        <f>HYPERLINK("https://klasma.github.io/Logging_2480/klagomålsmail/A 30266-2023 FSC-klagomål mail.docx", "A 30266-2023")</f>
        <v/>
      </c>
      <c r="AB156">
        <f>HYPERLINK("https://klasma.github.io/Logging_2480/tillsyn/A 30266-2023 tillsynsbegäran.docx", "A 30266-2023")</f>
        <v/>
      </c>
      <c r="AC156">
        <f>HYPERLINK("https://klasma.github.io/Logging_2480/tillsynsmail/A 30266-2023 tillsynsbegäran mail.docx", "A 30266-2023")</f>
        <v/>
      </c>
    </row>
    <row r="157" ht="15" customHeight="1">
      <c r="A157" t="inlineStr">
        <is>
          <t>A 18922-2023</t>
        </is>
      </c>
      <c r="B157" t="inlineStr">
        <is>
          <t>avverkningsanmälan</t>
        </is>
      </c>
      <c r="C157" t="inlineStr">
        <is>
          <t>Föryngringsavverkning</t>
        </is>
      </c>
      <c r="D157" s="1" t="n">
        <v>45043</v>
      </c>
      <c r="E157" s="1" t="n">
        <v>46223</v>
      </c>
      <c r="F157" t="inlineStr">
        <is>
          <t>VÄSTERBOTTENS LÄN</t>
        </is>
      </c>
      <c r="G157" t="inlineStr">
        <is>
          <t>UMEÅ</t>
        </is>
      </c>
      <c r="I157" t="n">
        <v>9.199999999999999</v>
      </c>
      <c r="J157" t="n">
        <v>0</v>
      </c>
      <c r="K157" t="n">
        <v>0</v>
      </c>
      <c r="L157" t="n">
        <v>1</v>
      </c>
      <c r="M157" t="n">
        <v>0</v>
      </c>
      <c r="N157" t="n">
        <v>0</v>
      </c>
      <c r="O157" t="n">
        <v>0</v>
      </c>
      <c r="P157" t="n">
        <v>0</v>
      </c>
      <c r="Q157" t="n">
        <v>1</v>
      </c>
      <c r="R157" t="n">
        <v>0</v>
      </c>
      <c r="S157" t="n">
        <v>1</v>
      </c>
      <c r="T157" t="n">
        <v>1</v>
      </c>
      <c r="U157" s="2" t="inlineStr">
        <is>
          <t>Ullticka</t>
        </is>
      </c>
      <c r="V157">
        <f>HYPERLINK("https://klasma.github.io/Logging_2480/artfynd/A 18922-2023 artfynd.xlsx", "A 18922-2023")</f>
        <v/>
      </c>
      <c r="W157">
        <f>HYPERLINK("https://klasma.github.io/Logging_2480/kartor/A 18922-2023 karta.png", "A 18922-2023")</f>
        <v/>
      </c>
      <c r="X157">
        <f>HYPERLINK("https://klasma.github.io/Logging_2480/kartor_geotiff/A 18922-2023 georefererad karta.tif", "A 18922-2023")</f>
        <v/>
      </c>
      <c r="Z157">
        <f>HYPERLINK("https://klasma.github.io/Logging_2480/klagomål/A 18922-2023 FSC-klagomål.docx", "A 18922-2023")</f>
        <v/>
      </c>
      <c r="AA157">
        <f>HYPERLINK("https://klasma.github.io/Logging_2480/klagomålsmail/A 18922-2023 FSC-klagomål mail.docx", "A 18922-2023")</f>
        <v/>
      </c>
      <c r="AB157">
        <f>HYPERLINK("https://klasma.github.io/Logging_2480/tillsyn/A 18922-2023 tillsynsbegäran.docx", "A 18922-2023")</f>
        <v/>
      </c>
      <c r="AC157">
        <f>HYPERLINK("https://klasma.github.io/Logging_2480/tillsynsmail/A 18922-2023 tillsynsbegäran mail.docx", "A 18922-2023")</f>
        <v/>
      </c>
    </row>
    <row r="158" ht="15" customHeight="1">
      <c r="A158" t="inlineStr">
        <is>
          <t>A 20169-2026</t>
        </is>
      </c>
      <c r="B158" t="inlineStr">
        <is>
          <t>avverkningsanmälan</t>
        </is>
      </c>
      <c r="C158" t="inlineStr">
        <is>
          <t>Föryngringsavverkning</t>
        </is>
      </c>
      <c r="D158" s="1" t="n">
        <v>46139</v>
      </c>
      <c r="E158" s="1" t="n">
        <v>46223</v>
      </c>
      <c r="F158" t="inlineStr">
        <is>
          <t>VÄSTERBOTTENS LÄN</t>
        </is>
      </c>
      <c r="G158" t="inlineStr">
        <is>
          <t>UMEÅ</t>
        </is>
      </c>
      <c r="H158" t="inlineStr">
        <is>
          <t>Holmen skog AB</t>
        </is>
      </c>
      <c r="I158" t="n">
        <v>4.4</v>
      </c>
      <c r="J158" t="n">
        <v>1</v>
      </c>
      <c r="K158" t="n">
        <v>0</v>
      </c>
      <c r="L158" t="n">
        <v>1</v>
      </c>
      <c r="M158" t="n">
        <v>0</v>
      </c>
      <c r="N158" t="n">
        <v>0</v>
      </c>
      <c r="O158" t="n">
        <v>0</v>
      </c>
      <c r="P158" t="n">
        <v>0</v>
      </c>
      <c r="Q158" t="n">
        <v>1</v>
      </c>
      <c r="R158" t="n">
        <v>0</v>
      </c>
      <c r="S158" t="n">
        <v>1</v>
      </c>
      <c r="T158" t="n">
        <v>1</v>
      </c>
      <c r="U158" s="2" t="inlineStr">
        <is>
          <t>Kricka</t>
        </is>
      </c>
      <c r="V158">
        <f>HYPERLINK("https://klasma.github.io/Logging_2480/artfynd/A 20169-2026 artfynd.xlsx", "A 20169-2026")</f>
        <v/>
      </c>
      <c r="W158">
        <f>HYPERLINK("https://klasma.github.io/Logging_2480/kartor/A 20169-2026 karta.png", "A 20169-2026")</f>
        <v/>
      </c>
      <c r="X158">
        <f>HYPERLINK("https://klasma.github.io/Logging_2480/kartor_geotiff/A 20169-2026 georefererad karta.tif", "A 20169-2026")</f>
        <v/>
      </c>
      <c r="Z158">
        <f>HYPERLINK("https://klasma.github.io/Logging_2480/klagomål/A 20169-2026 FSC-klagomål.docx", "A 20169-2026")</f>
        <v/>
      </c>
      <c r="AA158">
        <f>HYPERLINK("https://klasma.github.io/Logging_2480/klagomålsmail/A 20169-2026 FSC-klagomål mail.docx", "A 20169-2026")</f>
        <v/>
      </c>
      <c r="AB158">
        <f>HYPERLINK("https://klasma.github.io/Logging_2480/tillsyn/A 20169-2026 tillsynsbegäran.docx", "A 20169-2026")</f>
        <v/>
      </c>
      <c r="AC158">
        <f>HYPERLINK("https://klasma.github.io/Logging_2480/tillsynsmail/A 20169-2026 tillsynsbegäran mail.docx", "A 20169-2026")</f>
        <v/>
      </c>
      <c r="AD158">
        <f>HYPERLINK("https://klasma.github.io/Logging_2480/fåglar/A 20169-2026 prioriterade fågelarter.docx", "A 20169-2026")</f>
        <v/>
      </c>
    </row>
    <row r="159" ht="15" customHeight="1">
      <c r="A159" t="inlineStr">
        <is>
          <t>A 26932-2024</t>
        </is>
      </c>
      <c r="B159" t="inlineStr">
        <is>
          <t>avverkningsanmälan</t>
        </is>
      </c>
      <c r="C159" t="inlineStr">
        <is>
          <t>Föryngringsavverkning</t>
        </is>
      </c>
      <c r="D159" s="1" t="n">
        <v>45470</v>
      </c>
      <c r="E159" s="1" t="n">
        <v>46223</v>
      </c>
      <c r="F159" t="inlineStr">
        <is>
          <t>VÄSTERBOTTENS LÄN</t>
        </is>
      </c>
      <c r="G159" t="inlineStr">
        <is>
          <t>UMEÅ</t>
        </is>
      </c>
      <c r="I159" t="n">
        <v>4</v>
      </c>
      <c r="J159" t="n">
        <v>0</v>
      </c>
      <c r="K159" t="n">
        <v>0</v>
      </c>
      <c r="L159" t="n">
        <v>1</v>
      </c>
      <c r="M159" t="n">
        <v>0</v>
      </c>
      <c r="N159" t="n">
        <v>0</v>
      </c>
      <c r="O159" t="n">
        <v>0</v>
      </c>
      <c r="P159" t="n">
        <v>0</v>
      </c>
      <c r="Q159" t="n">
        <v>1</v>
      </c>
      <c r="R159" t="n">
        <v>0</v>
      </c>
      <c r="S159" t="n">
        <v>1</v>
      </c>
      <c r="T159" t="n">
        <v>1</v>
      </c>
      <c r="U159" s="2" t="inlineStr">
        <is>
          <t>Violettgrå tagellav</t>
        </is>
      </c>
      <c r="V159">
        <f>HYPERLINK("https://klasma.github.io/Logging_2480/artfynd/A 26932-2024 artfynd.xlsx", "A 26932-2024")</f>
        <v/>
      </c>
      <c r="W159">
        <f>HYPERLINK("https://klasma.github.io/Logging_2480/kartor/A 26932-2024 karta.png", "A 26932-2024")</f>
        <v/>
      </c>
      <c r="X159">
        <f>HYPERLINK("https://klasma.github.io/Logging_2480/kartor_geotiff/A 26932-2024 georefererad karta.tif", "A 26932-2024")</f>
        <v/>
      </c>
      <c r="Z159">
        <f>HYPERLINK("https://klasma.github.io/Logging_2480/klagomål/A 26932-2024 FSC-klagomål.docx", "A 26932-2024")</f>
        <v/>
      </c>
      <c r="AA159">
        <f>HYPERLINK("https://klasma.github.io/Logging_2480/klagomålsmail/A 26932-2024 FSC-klagomål mail.docx", "A 26932-2024")</f>
        <v/>
      </c>
      <c r="AB159">
        <f>HYPERLINK("https://klasma.github.io/Logging_2480/tillsyn/A 26932-2024 tillsynsbegäran.docx", "A 26932-2024")</f>
        <v/>
      </c>
      <c r="AC159">
        <f>HYPERLINK("https://klasma.github.io/Logging_2480/tillsynsmail/A 26932-2024 tillsynsbegäran mail.docx", "A 26932-2024")</f>
        <v/>
      </c>
    </row>
    <row r="160" ht="15" customHeight="1">
      <c r="A160" t="inlineStr">
        <is>
          <t>A 26317-2026</t>
        </is>
      </c>
      <c r="B160" t="inlineStr">
        <is>
          <t>avverkningsanmälan</t>
        </is>
      </c>
      <c r="C160" t="inlineStr">
        <is>
          <t>Föryngringsavverkning</t>
        </is>
      </c>
      <c r="D160" s="1" t="n">
        <v>46182</v>
      </c>
      <c r="E160" s="1" t="n">
        <v>46223</v>
      </c>
      <c r="F160" t="inlineStr">
        <is>
          <t>VÄSTERBOTTENS LÄN</t>
        </is>
      </c>
      <c r="G160" t="inlineStr">
        <is>
          <t>UMEÅ</t>
        </is>
      </c>
      <c r="I160" t="n">
        <v>3.3</v>
      </c>
      <c r="J160" t="n">
        <v>0</v>
      </c>
      <c r="K160" t="n">
        <v>0</v>
      </c>
      <c r="L160" t="n">
        <v>1</v>
      </c>
      <c r="M160" t="n">
        <v>0</v>
      </c>
      <c r="N160" t="n">
        <v>0</v>
      </c>
      <c r="O160" t="n">
        <v>0</v>
      </c>
      <c r="P160" t="n">
        <v>0</v>
      </c>
      <c r="Q160" t="n">
        <v>1</v>
      </c>
      <c r="R160" t="n">
        <v>0</v>
      </c>
      <c r="S160" t="n">
        <v>1</v>
      </c>
      <c r="T160" t="n">
        <v>1</v>
      </c>
      <c r="U160" s="2" t="inlineStr">
        <is>
          <t>Violettgrå tagellav</t>
        </is>
      </c>
      <c r="V160">
        <f>HYPERLINK("https://klasma.github.io/Logging_2480/artfynd/A 26317-2026 artfynd.xlsx", "A 26317-2026")</f>
        <v/>
      </c>
      <c r="W160">
        <f>HYPERLINK("https://klasma.github.io/Logging_2480/kartor/A 26317-2026 karta.png", "A 26317-2026")</f>
        <v/>
      </c>
      <c r="X160">
        <f>HYPERLINK("https://klasma.github.io/Logging_2480/kartor_geotiff/A 26317-2026 georefererad karta.tif", "A 26317-2026")</f>
        <v/>
      </c>
      <c r="Z160">
        <f>HYPERLINK("https://klasma.github.io/Logging_2480/klagomål/A 26317-2026 FSC-klagomål.docx", "A 26317-2026")</f>
        <v/>
      </c>
      <c r="AA160">
        <f>HYPERLINK("https://klasma.github.io/Logging_2480/klagomålsmail/A 26317-2026 FSC-klagomål mail.docx", "A 26317-2026")</f>
        <v/>
      </c>
      <c r="AB160">
        <f>HYPERLINK("https://klasma.github.io/Logging_2480/tillsyn/A 26317-2026 tillsynsbegäran.docx", "A 26317-2026")</f>
        <v/>
      </c>
      <c r="AC160">
        <f>HYPERLINK("https://klasma.github.io/Logging_2480/tillsynsmail/A 26317-2026 tillsynsbegäran mail.docx", "A 26317-2026")</f>
        <v/>
      </c>
    </row>
    <row r="161" ht="15" customHeight="1">
      <c r="A161" t="inlineStr">
        <is>
          <t>A 33206-2025</t>
        </is>
      </c>
      <c r="B161" t="inlineStr">
        <is>
          <t>avverkningsanmälan</t>
        </is>
      </c>
      <c r="C161" t="inlineStr">
        <is>
          <t>Föryngringsavverkning</t>
        </is>
      </c>
      <c r="D161" s="1" t="n">
        <v>45840</v>
      </c>
      <c r="E161" s="1" t="n">
        <v>46223</v>
      </c>
      <c r="F161" t="inlineStr">
        <is>
          <t>VÄSTERBOTTENS LÄN</t>
        </is>
      </c>
      <c r="G161" t="inlineStr">
        <is>
          <t>UMEÅ</t>
        </is>
      </c>
      <c r="I161" t="n">
        <v>3</v>
      </c>
      <c r="J161" t="n">
        <v>0</v>
      </c>
      <c r="K161" t="n">
        <v>0</v>
      </c>
      <c r="L161" t="n">
        <v>1</v>
      </c>
      <c r="M161" t="n">
        <v>0</v>
      </c>
      <c r="N161" t="n">
        <v>0</v>
      </c>
      <c r="O161" t="n">
        <v>0</v>
      </c>
      <c r="P161" t="n">
        <v>0</v>
      </c>
      <c r="Q161" t="n">
        <v>1</v>
      </c>
      <c r="R161" t="n">
        <v>0</v>
      </c>
      <c r="S161" t="n">
        <v>1</v>
      </c>
      <c r="T161" t="n">
        <v>1</v>
      </c>
      <c r="U161" s="2" t="inlineStr">
        <is>
          <t>Rosenticka</t>
        </is>
      </c>
      <c r="V161">
        <f>HYPERLINK("https://klasma.github.io/Logging_2480/artfynd/A 33206-2025 artfynd.xlsx", "A 33206-2025")</f>
        <v/>
      </c>
      <c r="W161">
        <f>HYPERLINK("https://klasma.github.io/Logging_2480/kartor/A 33206-2025 karta.png", "A 33206-2025")</f>
        <v/>
      </c>
      <c r="X161">
        <f>HYPERLINK("https://klasma.github.io/Logging_2480/kartor_geotiff/A 33206-2025 georefererad karta.tif", "A 33206-2025")</f>
        <v/>
      </c>
      <c r="Z161">
        <f>HYPERLINK("https://klasma.github.io/Logging_2480/klagomål/A 33206-2025 FSC-klagomål.docx", "A 33206-2025")</f>
        <v/>
      </c>
      <c r="AA161">
        <f>HYPERLINK("https://klasma.github.io/Logging_2480/klagomålsmail/A 33206-2025 FSC-klagomål mail.docx", "A 33206-2025")</f>
        <v/>
      </c>
      <c r="AB161">
        <f>HYPERLINK("https://klasma.github.io/Logging_2480/tillsyn/A 33206-2025 tillsynsbegäran.docx", "A 33206-2025")</f>
        <v/>
      </c>
      <c r="AC161">
        <f>HYPERLINK("https://klasma.github.io/Logging_2480/tillsynsmail/A 33206-2025 tillsynsbegäran mail.docx", "A 33206-2025")</f>
        <v/>
      </c>
    </row>
    <row r="162" ht="15" customHeight="1">
      <c r="A162" t="inlineStr">
        <is>
          <t>A 59075-2022</t>
        </is>
      </c>
      <c r="B162" t="inlineStr">
        <is>
          <t>avverkningsanmälan</t>
        </is>
      </c>
      <c r="C162" t="inlineStr">
        <is>
          <t>Föryngringsavverkning</t>
        </is>
      </c>
      <c r="D162" s="1" t="n">
        <v>44904</v>
      </c>
      <c r="E162" s="1" t="n">
        <v>46223</v>
      </c>
      <c r="F162" t="inlineStr">
        <is>
          <t>VÄSTERBOTTENS LÄN</t>
        </is>
      </c>
      <c r="G162" t="inlineStr">
        <is>
          <t>UMEÅ</t>
        </is>
      </c>
      <c r="I162" t="n">
        <v>0.4</v>
      </c>
      <c r="J162" t="n">
        <v>0</v>
      </c>
      <c r="K162" t="n">
        <v>1</v>
      </c>
      <c r="L162" t="n">
        <v>0</v>
      </c>
      <c r="M162" t="n">
        <v>0</v>
      </c>
      <c r="N162" t="n">
        <v>0</v>
      </c>
      <c r="O162" t="n">
        <v>0</v>
      </c>
      <c r="P162" t="n">
        <v>0</v>
      </c>
      <c r="Q162" t="n">
        <v>0</v>
      </c>
      <c r="R162" t="n">
        <v>0</v>
      </c>
      <c r="S162" t="n">
        <v>1</v>
      </c>
      <c r="T162" t="n">
        <v>4</v>
      </c>
      <c r="U162" s="2" t="inlineStr">
        <is>
          <t>Vedticka</t>
        </is>
      </c>
      <c r="V162">
        <f>HYPERLINK("https://klasma.github.io/Logging_2480/artfynd/A 59075-2022 artfynd.xlsx", "A 59075-2022")</f>
        <v/>
      </c>
      <c r="W162">
        <f>HYPERLINK("https://klasma.github.io/Logging_2480/kartor/A 59075-2022 karta.png", "A 59075-2022")</f>
        <v/>
      </c>
      <c r="X162">
        <f>HYPERLINK("https://klasma.github.io/Logging_2480/kartor_geotiff/A 59075-2022 georefererad karta.tif", "A 59075-2022")</f>
        <v/>
      </c>
      <c r="Z162">
        <f>HYPERLINK("https://klasma.github.io/Logging_2480/klagomål/A 59075-2022 FSC-klagomål.docx", "A 59075-2022")</f>
        <v/>
      </c>
      <c r="AA162">
        <f>HYPERLINK("https://klasma.github.io/Logging_2480/klagomålsmail/A 59075-2022 FSC-klagomål mail.docx", "A 59075-2022")</f>
        <v/>
      </c>
      <c r="AB162">
        <f>HYPERLINK("https://klasma.github.io/Logging_2480/tillsyn/A 59075-2022 tillsynsbegäran.docx", "A 59075-2022")</f>
        <v/>
      </c>
      <c r="AC162">
        <f>HYPERLINK("https://klasma.github.io/Logging_2480/tillsynsmail/A 59075-2022 tillsynsbegäran mail.docx", "A 59075-2022")</f>
        <v/>
      </c>
    </row>
    <row r="163" ht="15" customHeight="1">
      <c r="A163" t="inlineStr">
        <is>
          <t>A 21131-2026</t>
        </is>
      </c>
      <c r="B163" t="inlineStr">
        <is>
          <t>avverkningsanmälan</t>
        </is>
      </c>
      <c r="C163" t="inlineStr">
        <is>
          <t>Föryngringsavverkning</t>
        </is>
      </c>
      <c r="D163" s="1" t="n">
        <v>46146</v>
      </c>
      <c r="E163" s="1" t="n">
        <v>46223</v>
      </c>
      <c r="F163" t="inlineStr">
        <is>
          <t>VÄSTERBOTTENS LÄN</t>
        </is>
      </c>
      <c r="G163" t="inlineStr">
        <is>
          <t>UMEÅ</t>
        </is>
      </c>
      <c r="H163" t="inlineStr">
        <is>
          <t>Holmen skog AB</t>
        </is>
      </c>
      <c r="I163" t="n">
        <v>10.5</v>
      </c>
      <c r="J163" t="n">
        <v>1</v>
      </c>
      <c r="K163" t="n">
        <v>0</v>
      </c>
      <c r="L163" t="n">
        <v>0</v>
      </c>
      <c r="M163" t="n">
        <v>0</v>
      </c>
      <c r="N163" t="n">
        <v>0</v>
      </c>
      <c r="O163" t="n">
        <v>0</v>
      </c>
      <c r="P163" t="n">
        <v>0</v>
      </c>
      <c r="Q163" t="n">
        <v>0</v>
      </c>
      <c r="R163" t="n">
        <v>0</v>
      </c>
      <c r="S163" t="n">
        <v>1</v>
      </c>
      <c r="T163" t="n">
        <v>2</v>
      </c>
      <c r="U163" s="2" t="inlineStr">
        <is>
          <t>Fläcknycklar</t>
        </is>
      </c>
      <c r="V163">
        <f>HYPERLINK("https://klasma.github.io/Logging_2480/artfynd/A 21131-2026 artfynd.xlsx", "A 21131-2026")</f>
        <v/>
      </c>
      <c r="W163">
        <f>HYPERLINK("https://klasma.github.io/Logging_2480/kartor/A 21131-2026 karta.png", "A 21131-2026")</f>
        <v/>
      </c>
      <c r="X163">
        <f>HYPERLINK("https://klasma.github.io/Logging_2480/kartor_geotiff/A 21131-2026 georefererad karta.tif", "A 21131-2026")</f>
        <v/>
      </c>
      <c r="Z163">
        <f>HYPERLINK("https://klasma.github.io/Logging_2480/klagomål/A 21131-2026 FSC-klagomål.docx", "A 21131-2026")</f>
        <v/>
      </c>
      <c r="AA163">
        <f>HYPERLINK("https://klasma.github.io/Logging_2480/klagomålsmail/A 21131-2026 FSC-klagomål mail.docx", "A 21131-2026")</f>
        <v/>
      </c>
      <c r="AB163">
        <f>HYPERLINK("https://klasma.github.io/Logging_2480/tillsyn/A 21131-2026 tillsynsbegäran.docx", "A 21131-2026")</f>
        <v/>
      </c>
      <c r="AC163">
        <f>HYPERLINK("https://klasma.github.io/Logging_2480/tillsynsmail/A 21131-2026 tillsynsbegäran mail.docx", "A 21131-2026")</f>
        <v/>
      </c>
    </row>
    <row r="164" ht="15" customHeight="1">
      <c r="A164" t="inlineStr">
        <is>
          <t>A 31318-2022</t>
        </is>
      </c>
      <c r="B164" t="inlineStr">
        <is>
          <t>avverkningsanmälan</t>
        </is>
      </c>
      <c r="C164" t="inlineStr">
        <is>
          <t>Föryngringsavverkning</t>
        </is>
      </c>
      <c r="D164" s="1" t="n">
        <v>44772</v>
      </c>
      <c r="E164" s="1" t="n">
        <v>46223</v>
      </c>
      <c r="F164" t="inlineStr">
        <is>
          <t>VÄSTERBOTTENS LÄN</t>
        </is>
      </c>
      <c r="G164" t="inlineStr">
        <is>
          <t>UMEÅ</t>
        </is>
      </c>
      <c r="I164" t="n">
        <v>11.3</v>
      </c>
      <c r="J164" t="n">
        <v>1</v>
      </c>
      <c r="K164" t="n">
        <v>0</v>
      </c>
      <c r="L164" t="n">
        <v>0</v>
      </c>
      <c r="M164" t="n">
        <v>0</v>
      </c>
      <c r="N164" t="n">
        <v>0</v>
      </c>
      <c r="O164" t="n">
        <v>0</v>
      </c>
      <c r="P164" t="n">
        <v>0</v>
      </c>
      <c r="Q164" t="n">
        <v>0</v>
      </c>
      <c r="R164" t="n">
        <v>0</v>
      </c>
      <c r="S164" t="n">
        <v>1</v>
      </c>
      <c r="T164" t="n">
        <v>2</v>
      </c>
      <c r="U164" s="2" t="inlineStr">
        <is>
          <t>Sävsparv</t>
        </is>
      </c>
      <c r="V164">
        <f>HYPERLINK("https://klasma.github.io/Logging_2480/artfynd/A 31318-2022 artfynd.xlsx", "A 31318-2022")</f>
        <v/>
      </c>
      <c r="W164">
        <f>HYPERLINK("https://klasma.github.io/Logging_2480/kartor/A 31318-2022 karta.png", "A 31318-2022")</f>
        <v/>
      </c>
      <c r="X164">
        <f>HYPERLINK("https://klasma.github.io/Logging_2480/kartor_geotiff/A 31318-2022 georefererad karta.tif", "A 31318-2022")</f>
        <v/>
      </c>
      <c r="Z164">
        <f>HYPERLINK("https://klasma.github.io/Logging_2480/klagomål/A 31318-2022 FSC-klagomål.docx", "A 31318-2022")</f>
        <v/>
      </c>
      <c r="AA164">
        <f>HYPERLINK("https://klasma.github.io/Logging_2480/klagomålsmail/A 31318-2022 FSC-klagomål mail.docx", "A 31318-2022")</f>
        <v/>
      </c>
      <c r="AB164">
        <f>HYPERLINK("https://klasma.github.io/Logging_2480/tillsyn/A 31318-2022 tillsynsbegäran.docx", "A 31318-2022")</f>
        <v/>
      </c>
      <c r="AC164">
        <f>HYPERLINK("https://klasma.github.io/Logging_2480/tillsynsmail/A 31318-2022 tillsynsbegäran mail.docx", "A 31318-2022")</f>
        <v/>
      </c>
      <c r="AD164">
        <f>HYPERLINK("https://klasma.github.io/Logging_2480/fåglar/A 31318-2022 prioriterade fågelarter.docx", "A 31318-2022")</f>
        <v/>
      </c>
    </row>
    <row r="165" ht="15" customHeight="1">
      <c r="A165" t="inlineStr">
        <is>
          <t>A 21881-2026</t>
        </is>
      </c>
      <c r="B165" t="inlineStr">
        <is>
          <t>avverkningsanmälan</t>
        </is>
      </c>
      <c r="C165" t="inlineStr">
        <is>
          <t>Föryngringsavverkning</t>
        </is>
      </c>
      <c r="D165" s="1" t="n">
        <v>46150</v>
      </c>
      <c r="E165" s="1" t="n">
        <v>46223</v>
      </c>
      <c r="F165" t="inlineStr">
        <is>
          <t>VÄSTERBOTTENS LÄN</t>
        </is>
      </c>
      <c r="G165" t="inlineStr">
        <is>
          <t>UMEÅ</t>
        </is>
      </c>
      <c r="H165" t="inlineStr">
        <is>
          <t>Holmen skog AB</t>
        </is>
      </c>
      <c r="I165" t="n">
        <v>2.9</v>
      </c>
      <c r="J165" t="n">
        <v>1</v>
      </c>
      <c r="K165" t="n">
        <v>0</v>
      </c>
      <c r="L165" t="n">
        <v>0</v>
      </c>
      <c r="M165" t="n">
        <v>0</v>
      </c>
      <c r="N165" t="n">
        <v>0</v>
      </c>
      <c r="O165" t="n">
        <v>0</v>
      </c>
      <c r="P165" t="n">
        <v>0</v>
      </c>
      <c r="Q165" t="n">
        <v>0</v>
      </c>
      <c r="R165" t="n">
        <v>0</v>
      </c>
      <c r="S165" t="n">
        <v>1</v>
      </c>
      <c r="T165" t="n">
        <v>1</v>
      </c>
      <c r="U165" s="2" t="inlineStr">
        <is>
          <t>Fläcknycklar</t>
        </is>
      </c>
      <c r="V165">
        <f>HYPERLINK("https://klasma.github.io/Logging_2480/artfynd/A 21881-2026 artfynd.xlsx", "A 21881-2026")</f>
        <v/>
      </c>
      <c r="W165">
        <f>HYPERLINK("https://klasma.github.io/Logging_2480/kartor/A 21881-2026 karta.png", "A 21881-2026")</f>
        <v/>
      </c>
      <c r="X165">
        <f>HYPERLINK("https://klasma.github.io/Logging_2480/kartor_geotiff/A 21881-2026 georefererad karta.tif", "A 21881-2026")</f>
        <v/>
      </c>
      <c r="Z165">
        <f>HYPERLINK("https://klasma.github.io/Logging_2480/klagomål/A 21881-2026 FSC-klagomål.docx", "A 21881-2026")</f>
        <v/>
      </c>
      <c r="AA165">
        <f>HYPERLINK("https://klasma.github.io/Logging_2480/klagomålsmail/A 21881-2026 FSC-klagomål mail.docx", "A 21881-2026")</f>
        <v/>
      </c>
      <c r="AB165">
        <f>HYPERLINK("https://klasma.github.io/Logging_2480/tillsyn/A 21881-2026 tillsynsbegäran.docx", "A 21881-2026")</f>
        <v/>
      </c>
      <c r="AC165">
        <f>HYPERLINK("https://klasma.github.io/Logging_2480/tillsynsmail/A 21881-2026 tillsynsbegäran mail.docx", "A 21881-2026")</f>
        <v/>
      </c>
    </row>
    <row r="166" ht="15" customHeight="1">
      <c r="A166" t="inlineStr">
        <is>
          <t>A 21859-2026</t>
        </is>
      </c>
      <c r="B166" t="inlineStr">
        <is>
          <t>avverkningsanmälan</t>
        </is>
      </c>
      <c r="C166" t="inlineStr">
        <is>
          <t>Föryngringsavverkning</t>
        </is>
      </c>
      <c r="D166" s="1" t="n">
        <v>46150</v>
      </c>
      <c r="E166" s="1" t="n">
        <v>46223</v>
      </c>
      <c r="F166" t="inlineStr">
        <is>
          <t>VÄSTERBOTTENS LÄN</t>
        </is>
      </c>
      <c r="G166" t="inlineStr">
        <is>
          <t>UMEÅ</t>
        </is>
      </c>
      <c r="H166" t="inlineStr">
        <is>
          <t>Holmen skog AB</t>
        </is>
      </c>
      <c r="I166" t="n">
        <v>4</v>
      </c>
      <c r="J166" t="n">
        <v>0</v>
      </c>
      <c r="K166" t="n">
        <v>0</v>
      </c>
      <c r="L166" t="n">
        <v>1</v>
      </c>
      <c r="M166" t="n">
        <v>0</v>
      </c>
      <c r="N166" t="n">
        <v>0</v>
      </c>
      <c r="O166" t="n">
        <v>0</v>
      </c>
      <c r="P166" t="n">
        <v>0</v>
      </c>
      <c r="Q166" t="n">
        <v>1</v>
      </c>
      <c r="R166" t="n">
        <v>0</v>
      </c>
      <c r="S166" t="n">
        <v>1</v>
      </c>
      <c r="T166" t="n">
        <v>1</v>
      </c>
      <c r="U166" s="2" t="inlineStr">
        <is>
          <t>Blanksvart spiklav</t>
        </is>
      </c>
      <c r="V166">
        <f>HYPERLINK("https://klasma.github.io/Logging_2480/artfynd/A 21859-2026 artfynd.xlsx", "A 21859-2026")</f>
        <v/>
      </c>
      <c r="W166">
        <f>HYPERLINK("https://klasma.github.io/Logging_2480/kartor/A 21859-2026 karta.png", "A 21859-2026")</f>
        <v/>
      </c>
      <c r="X166">
        <f>HYPERLINK("https://klasma.github.io/Logging_2480/kartor_geotiff/A 21859-2026 georefererad karta.tif", "A 21859-2026")</f>
        <v/>
      </c>
      <c r="Z166">
        <f>HYPERLINK("https://klasma.github.io/Logging_2480/klagomål/A 21859-2026 FSC-klagomål.docx", "A 21859-2026")</f>
        <v/>
      </c>
      <c r="AA166">
        <f>HYPERLINK("https://klasma.github.io/Logging_2480/klagomålsmail/A 21859-2026 FSC-klagomål mail.docx", "A 21859-2026")</f>
        <v/>
      </c>
      <c r="AB166">
        <f>HYPERLINK("https://klasma.github.io/Logging_2480/tillsyn/A 21859-2026 tillsynsbegäran.docx", "A 21859-2026")</f>
        <v/>
      </c>
      <c r="AC166">
        <f>HYPERLINK("https://klasma.github.io/Logging_2480/tillsynsmail/A 21859-2026 tillsynsbegäran mail.docx", "A 21859-2026")</f>
        <v/>
      </c>
    </row>
    <row r="167" ht="15" customHeight="1">
      <c r="A167" t="inlineStr">
        <is>
          <t>A 63810-2023</t>
        </is>
      </c>
      <c r="B167" t="inlineStr">
        <is>
          <t>avverkningsanmälan</t>
        </is>
      </c>
      <c r="C167" t="inlineStr">
        <is>
          <t>Föryngringsavverkning</t>
        </is>
      </c>
      <c r="D167" s="1" t="n">
        <v>45275</v>
      </c>
      <c r="E167" s="1" t="n">
        <v>46223</v>
      </c>
      <c r="F167" t="inlineStr">
        <is>
          <t>VÄSTERBOTTENS LÄN</t>
        </is>
      </c>
      <c r="G167" t="inlineStr">
        <is>
          <t>UMEÅ</t>
        </is>
      </c>
      <c r="I167" t="n">
        <v>1.1</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HYPERLINK("https://klasma.github.io/Logging_2480/artfynd/A 63810-2023 artfynd.xlsx", "A 63810-2023")</f>
        <v/>
      </c>
      <c r="W167">
        <f>HYPERLINK("https://klasma.github.io/Logging_2480/kartor/A 63810-2023 karta.png", "A 63810-2023")</f>
        <v/>
      </c>
      <c r="X167">
        <f>HYPERLINK("https://klasma.github.io/Logging_2480/kartor_geotiff/A 63810-2023 georefererad karta.tif", "A 63810-2023")</f>
        <v/>
      </c>
      <c r="Z167">
        <f>HYPERLINK("https://klasma.github.io/Logging_2480/klagomål/A 63810-2023 FSC-klagomål.docx", "A 63810-2023")</f>
        <v/>
      </c>
      <c r="AA167">
        <f>HYPERLINK("https://klasma.github.io/Logging_2480/klagomålsmail/A 63810-2023 FSC-klagomål mail.docx", "A 63810-2023")</f>
        <v/>
      </c>
      <c r="AB167">
        <f>HYPERLINK("https://klasma.github.io/Logging_2480/tillsyn/A 63810-2023 tillsynsbegäran.docx", "A 63810-2023")</f>
        <v/>
      </c>
      <c r="AC167">
        <f>HYPERLINK("https://klasma.github.io/Logging_2480/tillsynsmail/A 63810-2023 tillsynsbegäran mail.docx", "A 63810-2023")</f>
        <v/>
      </c>
      <c r="AD167">
        <f>HYPERLINK("https://klasma.github.io/Logging_2480/fåglar/A 63810-2023 prioriterade fågelarter.docx", "A 63810-2023")</f>
        <v/>
      </c>
    </row>
    <row r="168" ht="15" customHeight="1">
      <c r="A168" t="inlineStr">
        <is>
          <t>A 28088-2026</t>
        </is>
      </c>
      <c r="B168" t="inlineStr">
        <is>
          <t>avverkningsanmälan</t>
        </is>
      </c>
      <c r="C168" t="inlineStr">
        <is>
          <t>Föryngringsavverkning</t>
        </is>
      </c>
      <c r="D168" s="1" t="n">
        <v>46195</v>
      </c>
      <c r="E168" s="1" t="n">
        <v>46223</v>
      </c>
      <c r="F168" t="inlineStr">
        <is>
          <t>VÄSTERBOTTENS LÄN</t>
        </is>
      </c>
      <c r="G168" t="inlineStr">
        <is>
          <t>UMEÅ</t>
        </is>
      </c>
      <c r="I168" t="n">
        <v>34.2</v>
      </c>
      <c r="J168" t="n">
        <v>1</v>
      </c>
      <c r="K168" t="n">
        <v>0</v>
      </c>
      <c r="L168" t="n">
        <v>0</v>
      </c>
      <c r="M168" t="n">
        <v>0</v>
      </c>
      <c r="N168" t="n">
        <v>0</v>
      </c>
      <c r="O168" t="n">
        <v>0</v>
      </c>
      <c r="P168" t="n">
        <v>0</v>
      </c>
      <c r="Q168" t="n">
        <v>0</v>
      </c>
      <c r="R168" t="n">
        <v>0</v>
      </c>
      <c r="S168" t="n">
        <v>1</v>
      </c>
      <c r="T168" t="n">
        <v>1</v>
      </c>
      <c r="U168" s="2" t="inlineStr">
        <is>
          <t>Utter</t>
        </is>
      </c>
      <c r="V168">
        <f>HYPERLINK("https://klasma.github.io/Logging_2480/artfynd/A 28088-2026 artfynd.xlsx", "A 28088-2026")</f>
        <v/>
      </c>
      <c r="W168">
        <f>HYPERLINK("https://klasma.github.io/Logging_2480/kartor/A 28088-2026 karta.png", "A 28088-2026")</f>
        <v/>
      </c>
      <c r="X168">
        <f>HYPERLINK("https://klasma.github.io/Logging_2480/kartor_geotiff/A 28088-2026 georefererad karta.tif", "A 28088-2026")</f>
        <v/>
      </c>
      <c r="Z168">
        <f>HYPERLINK("https://klasma.github.io/Logging_2480/klagomål/A 28088-2026 FSC-klagomål.docx", "A 28088-2026")</f>
        <v/>
      </c>
      <c r="AA168">
        <f>HYPERLINK("https://klasma.github.io/Logging_2480/klagomålsmail/A 28088-2026 FSC-klagomål mail.docx", "A 28088-2026")</f>
        <v/>
      </c>
      <c r="AB168">
        <f>HYPERLINK("https://klasma.github.io/Logging_2480/tillsyn/A 28088-2026 tillsynsbegäran.docx", "A 28088-2026")</f>
        <v/>
      </c>
      <c r="AC168">
        <f>HYPERLINK("https://klasma.github.io/Logging_2480/tillsynsmail/A 28088-2026 tillsynsbegäran mail.docx", "A 28088-2026")</f>
        <v/>
      </c>
    </row>
    <row r="169" ht="15" customHeight="1">
      <c r="A169" t="inlineStr">
        <is>
          <t>A 22662-2026</t>
        </is>
      </c>
      <c r="B169" t="inlineStr">
        <is>
          <t>avverkningsanmälan</t>
        </is>
      </c>
      <c r="C169" t="inlineStr">
        <is>
          <t>Föryngringsavverkning</t>
        </is>
      </c>
      <c r="D169" s="1" t="n">
        <v>46155</v>
      </c>
      <c r="E169" s="1" t="n">
        <v>46223</v>
      </c>
      <c r="F169" t="inlineStr">
        <is>
          <t>VÄSTERBOTTENS LÄN</t>
        </is>
      </c>
      <c r="G169" t="inlineStr">
        <is>
          <t>UMEÅ</t>
        </is>
      </c>
      <c r="H169" t="inlineStr">
        <is>
          <t>Kommuner</t>
        </is>
      </c>
      <c r="I169" t="n">
        <v>1.1</v>
      </c>
      <c r="J169" t="n">
        <v>0</v>
      </c>
      <c r="K169" t="n">
        <v>0</v>
      </c>
      <c r="L169" t="n">
        <v>0</v>
      </c>
      <c r="M169" t="n">
        <v>1</v>
      </c>
      <c r="N169" t="n">
        <v>0</v>
      </c>
      <c r="O169" t="n">
        <v>0</v>
      </c>
      <c r="P169" t="n">
        <v>0</v>
      </c>
      <c r="Q169" t="n">
        <v>1</v>
      </c>
      <c r="R169" t="n">
        <v>1</v>
      </c>
      <c r="S169" t="n">
        <v>1</v>
      </c>
      <c r="T169" t="n">
        <v>2</v>
      </c>
      <c r="U169" s="2" t="inlineStr">
        <is>
          <t>Klapperstarr</t>
        </is>
      </c>
      <c r="V169">
        <f>HYPERLINK("https://klasma.github.io/Logging_2480/artfynd/A 22662-2026 artfynd.xlsx", "A 22662-2026")</f>
        <v/>
      </c>
      <c r="W169">
        <f>HYPERLINK("https://klasma.github.io/Logging_2480/kartor/A 22662-2026 karta.png", "A 22662-2026")</f>
        <v/>
      </c>
      <c r="X169">
        <f>HYPERLINK("https://klasma.github.io/Logging_2480/kartor_geotiff/A 22662-2026 georefererad karta.tif", "A 22662-2026")</f>
        <v/>
      </c>
      <c r="Z169">
        <f>HYPERLINK("https://klasma.github.io/Logging_2480/klagomål/A 22662-2026 FSC-klagomål.docx", "A 22662-2026")</f>
        <v/>
      </c>
      <c r="AA169">
        <f>HYPERLINK("https://klasma.github.io/Logging_2480/klagomålsmail/A 22662-2026 FSC-klagomål mail.docx", "A 22662-2026")</f>
        <v/>
      </c>
      <c r="AB169">
        <f>HYPERLINK("https://klasma.github.io/Logging_2480/tillsyn/A 22662-2026 tillsynsbegäran.docx", "A 22662-2026")</f>
        <v/>
      </c>
      <c r="AC169">
        <f>HYPERLINK("https://klasma.github.io/Logging_2480/tillsynsmail/A 22662-2026 tillsynsbegäran mail.docx", "A 22662-2026")</f>
        <v/>
      </c>
    </row>
    <row r="170" ht="15" customHeight="1">
      <c r="A170" t="inlineStr">
        <is>
          <t>A 38750-2021</t>
        </is>
      </c>
      <c r="B170" t="inlineStr">
        <is>
          <t>avverkningsanmälan</t>
        </is>
      </c>
      <c r="C170" t="inlineStr">
        <is>
          <t>Avverkning för att bevara och utveckla /försöksver</t>
        </is>
      </c>
      <c r="D170" s="1" t="n">
        <v>44410</v>
      </c>
      <c r="E170" s="1" t="n">
        <v>46223</v>
      </c>
      <c r="F170" t="inlineStr">
        <is>
          <t>VÄSTERBOTTENS LÄN</t>
        </is>
      </c>
      <c r="G170" t="inlineStr">
        <is>
          <t>UMEÅ</t>
        </is>
      </c>
      <c r="H170" t="inlineStr">
        <is>
          <t>Kommuner</t>
        </is>
      </c>
      <c r="I170" t="n">
        <v>1.7</v>
      </c>
      <c r="J170" t="n">
        <v>0</v>
      </c>
      <c r="K170" t="n">
        <v>0</v>
      </c>
      <c r="L170" t="n">
        <v>1</v>
      </c>
      <c r="M170" t="n">
        <v>0</v>
      </c>
      <c r="N170" t="n">
        <v>0</v>
      </c>
      <c r="O170" t="n">
        <v>0</v>
      </c>
      <c r="P170" t="n">
        <v>0</v>
      </c>
      <c r="Q170" t="n">
        <v>1</v>
      </c>
      <c r="R170" t="n">
        <v>0</v>
      </c>
      <c r="S170" t="n">
        <v>1</v>
      </c>
      <c r="T170" t="n">
        <v>2</v>
      </c>
      <c r="U170" s="2" t="inlineStr">
        <is>
          <t>Stubbträfluga</t>
        </is>
      </c>
      <c r="V170">
        <f>HYPERLINK("https://klasma.github.io/Logging_2480/artfynd/A 38750-2021 artfynd.xlsx", "A 38750-2021")</f>
        <v/>
      </c>
      <c r="W170">
        <f>HYPERLINK("https://klasma.github.io/Logging_2480/kartor/A 38750-2021 karta.png", "A 38750-2021")</f>
        <v/>
      </c>
      <c r="X170">
        <f>HYPERLINK("https://klasma.github.io/Logging_2480/kartor_geotiff/A 38750-2021 georefererad karta.tif", "A 38750-2021")</f>
        <v/>
      </c>
      <c r="Z170">
        <f>HYPERLINK("https://klasma.github.io/Logging_2480/klagomål/A 38750-2021 FSC-klagomål.docx", "A 38750-2021")</f>
        <v/>
      </c>
      <c r="AA170">
        <f>HYPERLINK("https://klasma.github.io/Logging_2480/klagomålsmail/A 38750-2021 FSC-klagomål mail.docx", "A 38750-2021")</f>
        <v/>
      </c>
      <c r="AB170">
        <f>HYPERLINK("https://klasma.github.io/Logging_2480/tillsyn/A 38750-2021 tillsynsbegäran.docx", "A 38750-2021")</f>
        <v/>
      </c>
      <c r="AC170">
        <f>HYPERLINK("https://klasma.github.io/Logging_2480/tillsynsmail/A 38750-2021 tillsynsbegäran mail.docx", "A 38750-2021")</f>
        <v/>
      </c>
    </row>
    <row r="171" ht="15" customHeight="1">
      <c r="A171" t="inlineStr">
        <is>
          <t>A 45429-2024</t>
        </is>
      </c>
      <c r="B171" t="inlineStr">
        <is>
          <t>avverkningsanmälan</t>
        </is>
      </c>
      <c r="C171" t="inlineStr">
        <is>
          <t>Föryngringsavverkning</t>
        </is>
      </c>
      <c r="D171" s="1" t="n">
        <v>45576</v>
      </c>
      <c r="E171" s="1" t="n">
        <v>46223</v>
      </c>
      <c r="F171" t="inlineStr">
        <is>
          <t>VÄSTERBOTTENS LÄN</t>
        </is>
      </c>
      <c r="G171" t="inlineStr">
        <is>
          <t>UMEÅ</t>
        </is>
      </c>
      <c r="H171" t="inlineStr">
        <is>
          <t>Sveaskog</t>
        </is>
      </c>
      <c r="I171" t="n">
        <v>11.5</v>
      </c>
      <c r="J171" t="n">
        <v>0</v>
      </c>
      <c r="K171" t="n">
        <v>0</v>
      </c>
      <c r="L171" t="n">
        <v>1</v>
      </c>
      <c r="M171" t="n">
        <v>0</v>
      </c>
      <c r="N171" t="n">
        <v>0</v>
      </c>
      <c r="O171" t="n">
        <v>0</v>
      </c>
      <c r="P171" t="n">
        <v>0</v>
      </c>
      <c r="Q171" t="n">
        <v>1</v>
      </c>
      <c r="R171" t="n">
        <v>0</v>
      </c>
      <c r="S171" t="n">
        <v>1</v>
      </c>
      <c r="T171" t="n">
        <v>2</v>
      </c>
      <c r="U171" s="2" t="inlineStr">
        <is>
          <t>Motaggsvamp</t>
        </is>
      </c>
      <c r="V171">
        <f>HYPERLINK("https://klasma.github.io/Logging_2480/artfynd/A 45429-2024 artfynd.xlsx", "A 45429-2024")</f>
        <v/>
      </c>
      <c r="W171">
        <f>HYPERLINK("https://klasma.github.io/Logging_2480/kartor/A 45429-2024 karta.png", "A 45429-2024")</f>
        <v/>
      </c>
      <c r="X171">
        <f>HYPERLINK("https://klasma.github.io/Logging_2480/kartor_geotiff/A 45429-2024 georefererad karta.tif", "A 45429-2024")</f>
        <v/>
      </c>
      <c r="Z171">
        <f>HYPERLINK("https://klasma.github.io/Logging_2480/klagomål/A 45429-2024 FSC-klagomål.docx", "A 45429-2024")</f>
        <v/>
      </c>
      <c r="AA171">
        <f>HYPERLINK("https://klasma.github.io/Logging_2480/klagomålsmail/A 45429-2024 FSC-klagomål mail.docx", "A 45429-2024")</f>
        <v/>
      </c>
      <c r="AB171">
        <f>HYPERLINK("https://klasma.github.io/Logging_2480/tillsyn/A 45429-2024 tillsynsbegäran.docx", "A 45429-2024")</f>
        <v/>
      </c>
      <c r="AC171">
        <f>HYPERLINK("https://klasma.github.io/Logging_2480/tillsynsmail/A 45429-2024 tillsynsbegäran mail.docx", "A 45429-2024")</f>
        <v/>
      </c>
    </row>
    <row r="172" ht="15" customHeight="1">
      <c r="A172" t="inlineStr">
        <is>
          <t>A 29342-2026</t>
        </is>
      </c>
      <c r="B172" t="inlineStr">
        <is>
          <t>avverkningsanmälan</t>
        </is>
      </c>
      <c r="C172" t="inlineStr">
        <is>
          <t>Föryngringsavverkning</t>
        </is>
      </c>
      <c r="D172" s="1" t="n">
        <v>46202</v>
      </c>
      <c r="E172" s="1" t="n">
        <v>46223</v>
      </c>
      <c r="F172" t="inlineStr">
        <is>
          <t>VÄSTERBOTTENS LÄN</t>
        </is>
      </c>
      <c r="G172" t="inlineStr">
        <is>
          <t>UMEÅ</t>
        </is>
      </c>
      <c r="H172" t="inlineStr">
        <is>
          <t>Holmen skog AB</t>
        </is>
      </c>
      <c r="I172" t="n">
        <v>0.8</v>
      </c>
      <c r="J172" t="n">
        <v>1</v>
      </c>
      <c r="K172" t="n">
        <v>0</v>
      </c>
      <c r="L172" t="n">
        <v>0</v>
      </c>
      <c r="M172" t="n">
        <v>0</v>
      </c>
      <c r="N172" t="n">
        <v>0</v>
      </c>
      <c r="O172" t="n">
        <v>0</v>
      </c>
      <c r="P172" t="n">
        <v>0</v>
      </c>
      <c r="Q172" t="n">
        <v>0</v>
      </c>
      <c r="R172" t="n">
        <v>0</v>
      </c>
      <c r="S172" t="n">
        <v>1</v>
      </c>
      <c r="T172" t="n">
        <v>1</v>
      </c>
      <c r="U172" s="2" t="inlineStr">
        <is>
          <t>Utter</t>
        </is>
      </c>
      <c r="V172">
        <f>HYPERLINK("https://klasma.github.io/Logging_2480/artfynd/A 29342-2026 artfynd.xlsx", "A 29342-2026")</f>
        <v/>
      </c>
      <c r="W172">
        <f>HYPERLINK("https://klasma.github.io/Logging_2480/kartor/A 29342-2026 karta.png", "A 29342-2026")</f>
        <v/>
      </c>
      <c r="X172">
        <f>HYPERLINK("https://klasma.github.io/Logging_2480/kartor_geotiff/A 29342-2026 georefererad karta.tif", "A 29342-2026")</f>
        <v/>
      </c>
      <c r="Z172">
        <f>HYPERLINK("https://klasma.github.io/Logging_2480/klagomål/A 29342-2026 FSC-klagomål.docx", "A 29342-2026")</f>
        <v/>
      </c>
      <c r="AA172">
        <f>HYPERLINK("https://klasma.github.io/Logging_2480/klagomålsmail/A 29342-2026 FSC-klagomål mail.docx", "A 29342-2026")</f>
        <v/>
      </c>
      <c r="AB172">
        <f>HYPERLINK("https://klasma.github.io/Logging_2480/tillsyn/A 29342-2026 tillsynsbegäran.docx", "A 29342-2026")</f>
        <v/>
      </c>
      <c r="AC172">
        <f>HYPERLINK("https://klasma.github.io/Logging_2480/tillsynsmail/A 29342-2026 tillsynsbegäran mail.docx", "A 29342-2026")</f>
        <v/>
      </c>
    </row>
    <row r="173" ht="15" customHeight="1">
      <c r="A173" t="inlineStr">
        <is>
          <t>A 23134-2026</t>
        </is>
      </c>
      <c r="B173" t="inlineStr">
        <is>
          <t>avverkningsanmälan</t>
        </is>
      </c>
      <c r="C173" t="inlineStr">
        <is>
          <t>Föryngringsavverkning</t>
        </is>
      </c>
      <c r="D173" s="1" t="n">
        <v>46161</v>
      </c>
      <c r="E173" s="1" t="n">
        <v>46223</v>
      </c>
      <c r="F173" t="inlineStr">
        <is>
          <t>VÄSTERBOTTENS LÄN</t>
        </is>
      </c>
      <c r="G173" t="inlineStr">
        <is>
          <t>UMEÅ</t>
        </is>
      </c>
      <c r="H173" t="inlineStr">
        <is>
          <t>Holmen skog AB</t>
        </is>
      </c>
      <c r="I173" t="n">
        <v>2.9</v>
      </c>
      <c r="J173" t="n">
        <v>0</v>
      </c>
      <c r="K173" t="n">
        <v>0</v>
      </c>
      <c r="L173" t="n">
        <v>0</v>
      </c>
      <c r="M173" t="n">
        <v>1</v>
      </c>
      <c r="N173" t="n">
        <v>0</v>
      </c>
      <c r="O173" t="n">
        <v>0</v>
      </c>
      <c r="P173" t="n">
        <v>0</v>
      </c>
      <c r="Q173" t="n">
        <v>1</v>
      </c>
      <c r="R173" t="n">
        <v>1</v>
      </c>
      <c r="S173" t="n">
        <v>1</v>
      </c>
      <c r="T173" t="n">
        <v>1</v>
      </c>
      <c r="U173" s="2" t="inlineStr">
        <is>
          <t>Raggbock</t>
        </is>
      </c>
      <c r="V173">
        <f>HYPERLINK("https://klasma.github.io/Logging_2480/artfynd/A 23134-2026 artfynd.xlsx", "A 23134-2026")</f>
        <v/>
      </c>
      <c r="W173">
        <f>HYPERLINK("https://klasma.github.io/Logging_2480/kartor/A 23134-2026 karta.png", "A 23134-2026")</f>
        <v/>
      </c>
      <c r="X173">
        <f>HYPERLINK("https://klasma.github.io/Logging_2480/kartor_geotiff/A 23134-2026 georefererad karta.tif", "A 23134-2026")</f>
        <v/>
      </c>
      <c r="Z173">
        <f>HYPERLINK("https://klasma.github.io/Logging_2480/klagomål/A 23134-2026 FSC-klagomål.docx", "A 23134-2026")</f>
        <v/>
      </c>
      <c r="AA173">
        <f>HYPERLINK("https://klasma.github.io/Logging_2480/klagomålsmail/A 23134-2026 FSC-klagomål mail.docx", "A 23134-2026")</f>
        <v/>
      </c>
      <c r="AB173">
        <f>HYPERLINK("https://klasma.github.io/Logging_2480/tillsyn/A 23134-2026 tillsynsbegäran.docx", "A 23134-2026")</f>
        <v/>
      </c>
      <c r="AC173">
        <f>HYPERLINK("https://klasma.github.io/Logging_2480/tillsynsmail/A 23134-2026 tillsynsbegäran mail.docx", "A 23134-2026")</f>
        <v/>
      </c>
    </row>
    <row r="174" ht="15" customHeight="1">
      <c r="A174" t="inlineStr">
        <is>
          <t>A 2737-2023</t>
        </is>
      </c>
      <c r="B174" t="inlineStr">
        <is>
          <t>avverkningsanmälan</t>
        </is>
      </c>
      <c r="C174" t="inlineStr">
        <is>
          <t>Föryngringsavverkning</t>
        </is>
      </c>
      <c r="D174" s="1" t="n">
        <v>44944</v>
      </c>
      <c r="E174" s="1" t="n">
        <v>46223</v>
      </c>
      <c r="F174" t="inlineStr">
        <is>
          <t>VÄSTERBOTTENS LÄN</t>
        </is>
      </c>
      <c r="G174" t="inlineStr">
        <is>
          <t>UMEÅ</t>
        </is>
      </c>
      <c r="I174" t="n">
        <v>0.9</v>
      </c>
      <c r="J174" t="n">
        <v>1</v>
      </c>
      <c r="K174" t="n">
        <v>0</v>
      </c>
      <c r="L174" t="n">
        <v>0</v>
      </c>
      <c r="M174" t="n">
        <v>0</v>
      </c>
      <c r="N174" t="n">
        <v>0</v>
      </c>
      <c r="O174" t="n">
        <v>0</v>
      </c>
      <c r="P174" t="n">
        <v>0</v>
      </c>
      <c r="Q174" t="n">
        <v>0</v>
      </c>
      <c r="R174" t="n">
        <v>0</v>
      </c>
      <c r="S174" t="n">
        <v>1</v>
      </c>
      <c r="T174" t="n">
        <v>1</v>
      </c>
      <c r="U174" s="2" t="inlineStr">
        <is>
          <t>Fläcknycklar</t>
        </is>
      </c>
      <c r="V174">
        <f>HYPERLINK("https://klasma.github.io/Logging_2480/artfynd/A 2737-2023 artfynd.xlsx", "A 2737-2023")</f>
        <v/>
      </c>
      <c r="W174">
        <f>HYPERLINK("https://klasma.github.io/Logging_2480/kartor/A 2737-2023 karta.png", "A 2737-2023")</f>
        <v/>
      </c>
      <c r="X174">
        <f>HYPERLINK("https://klasma.github.io/Logging_2480/kartor_geotiff/A 2737-2023 georefererad karta.tif", "A 2737-2023")</f>
        <v/>
      </c>
      <c r="Z174">
        <f>HYPERLINK("https://klasma.github.io/Logging_2480/klagomål/A 2737-2023 FSC-klagomål.docx", "A 2737-2023")</f>
        <v/>
      </c>
      <c r="AA174">
        <f>HYPERLINK("https://klasma.github.io/Logging_2480/klagomålsmail/A 2737-2023 FSC-klagomål mail.docx", "A 2737-2023")</f>
        <v/>
      </c>
      <c r="AB174">
        <f>HYPERLINK("https://klasma.github.io/Logging_2480/tillsyn/A 2737-2023 tillsynsbegäran.docx", "A 2737-2023")</f>
        <v/>
      </c>
      <c r="AC174">
        <f>HYPERLINK("https://klasma.github.io/Logging_2480/tillsynsmail/A 2737-2023 tillsynsbegäran mail.docx", "A 2737-2023")</f>
        <v/>
      </c>
    </row>
    <row r="175" ht="15" customHeight="1">
      <c r="A175" t="inlineStr">
        <is>
          <t>A 49850-2021</t>
        </is>
      </c>
      <c r="B175" t="inlineStr">
        <is>
          <t>avverkningsanmälan</t>
        </is>
      </c>
      <c r="C175" t="inlineStr">
        <is>
          <t>Föryngringsavverkning</t>
        </is>
      </c>
      <c r="D175" s="1" t="n">
        <v>44455</v>
      </c>
      <c r="E175" s="1" t="n">
        <v>46223</v>
      </c>
      <c r="F175" t="inlineStr">
        <is>
          <t>VÄSTERBOTTENS LÄN</t>
        </is>
      </c>
      <c r="G175" t="inlineStr">
        <is>
          <t>UMEÅ</t>
        </is>
      </c>
      <c r="I175" t="n">
        <v>3.8</v>
      </c>
      <c r="J175" t="n">
        <v>0</v>
      </c>
      <c r="K175" t="n">
        <v>0</v>
      </c>
      <c r="L175" t="n">
        <v>1</v>
      </c>
      <c r="M175" t="n">
        <v>0</v>
      </c>
      <c r="N175" t="n">
        <v>0</v>
      </c>
      <c r="O175" t="n">
        <v>0</v>
      </c>
      <c r="P175" t="n">
        <v>0</v>
      </c>
      <c r="Q175" t="n">
        <v>1</v>
      </c>
      <c r="R175" t="n">
        <v>0</v>
      </c>
      <c r="S175" t="n">
        <v>1</v>
      </c>
      <c r="T175" t="n">
        <v>1</v>
      </c>
      <c r="U175" s="2" t="inlineStr">
        <is>
          <t>Skogshare</t>
        </is>
      </c>
      <c r="V175">
        <f>HYPERLINK("https://klasma.github.io/Logging_2480/artfynd/A 49850-2021 artfynd.xlsx", "A 49850-2021")</f>
        <v/>
      </c>
      <c r="W175">
        <f>HYPERLINK("https://klasma.github.io/Logging_2480/kartor/A 49850-2021 karta.png", "A 49850-2021")</f>
        <v/>
      </c>
      <c r="X175">
        <f>HYPERLINK("https://klasma.github.io/Logging_2480/kartor_geotiff/A 49850-2021 georefererad karta.tif", "A 49850-2021")</f>
        <v/>
      </c>
      <c r="Z175">
        <f>HYPERLINK("https://klasma.github.io/Logging_2480/klagomål/A 49850-2021 FSC-klagomål.docx", "A 49850-2021")</f>
        <v/>
      </c>
      <c r="AA175">
        <f>HYPERLINK("https://klasma.github.io/Logging_2480/klagomålsmail/A 49850-2021 FSC-klagomål mail.docx", "A 49850-2021")</f>
        <v/>
      </c>
      <c r="AB175">
        <f>HYPERLINK("https://klasma.github.io/Logging_2480/tillsyn/A 49850-2021 tillsynsbegäran.docx", "A 49850-2021")</f>
        <v/>
      </c>
      <c r="AC175">
        <f>HYPERLINK("https://klasma.github.io/Logging_2480/tillsynsmail/A 49850-2021 tillsynsbegäran mail.docx", "A 49850-2021")</f>
        <v/>
      </c>
    </row>
    <row r="176" ht="15" customHeight="1">
      <c r="A176" t="inlineStr">
        <is>
          <t>A 29454-2023</t>
        </is>
      </c>
      <c r="B176" t="inlineStr">
        <is>
          <t>avverkningsanmälan</t>
        </is>
      </c>
      <c r="C176" t="inlineStr">
        <is>
          <t>Föryngringsavverkning</t>
        </is>
      </c>
      <c r="D176" s="1" t="n">
        <v>45098</v>
      </c>
      <c r="E176" s="1" t="n">
        <v>46223</v>
      </c>
      <c r="F176" t="inlineStr">
        <is>
          <t>VÄSTERBOTTENS LÄN</t>
        </is>
      </c>
      <c r="G176" t="inlineStr">
        <is>
          <t>UMEÅ</t>
        </is>
      </c>
      <c r="I176" t="n">
        <v>5.7</v>
      </c>
      <c r="J176" t="n">
        <v>0</v>
      </c>
      <c r="K176" t="n">
        <v>0</v>
      </c>
      <c r="L176" t="n">
        <v>1</v>
      </c>
      <c r="M176" t="n">
        <v>0</v>
      </c>
      <c r="N176" t="n">
        <v>0</v>
      </c>
      <c r="O176" t="n">
        <v>0</v>
      </c>
      <c r="P176" t="n">
        <v>0</v>
      </c>
      <c r="Q176" t="n">
        <v>1</v>
      </c>
      <c r="R176" t="n">
        <v>0</v>
      </c>
      <c r="S176" t="n">
        <v>1</v>
      </c>
      <c r="T176" t="n">
        <v>1</v>
      </c>
      <c r="U176" s="2" t="inlineStr">
        <is>
          <t>Gammelgransskål</t>
        </is>
      </c>
      <c r="V176">
        <f>HYPERLINK("https://klasma.github.io/Logging_2480/artfynd/A 29454-2023 artfynd.xlsx", "A 29454-2023")</f>
        <v/>
      </c>
      <c r="W176">
        <f>HYPERLINK("https://klasma.github.io/Logging_2480/kartor/A 29454-2023 karta.png", "A 29454-2023")</f>
        <v/>
      </c>
      <c r="X176">
        <f>HYPERLINK("https://klasma.github.io/Logging_2480/kartor_geotiff/A 29454-2023 georefererad karta.tif", "A 29454-2023")</f>
        <v/>
      </c>
      <c r="Z176">
        <f>HYPERLINK("https://klasma.github.io/Logging_2480/klagomål/A 29454-2023 FSC-klagomål.docx", "A 29454-2023")</f>
        <v/>
      </c>
      <c r="AA176">
        <f>HYPERLINK("https://klasma.github.io/Logging_2480/klagomålsmail/A 29454-2023 FSC-klagomål mail.docx", "A 29454-2023")</f>
        <v/>
      </c>
      <c r="AB176">
        <f>HYPERLINK("https://klasma.github.io/Logging_2480/tillsyn/A 29454-2023 tillsynsbegäran.docx", "A 29454-2023")</f>
        <v/>
      </c>
      <c r="AC176">
        <f>HYPERLINK("https://klasma.github.io/Logging_2480/tillsynsmail/A 29454-2023 tillsynsbegäran mail.docx", "A 29454-2023")</f>
        <v/>
      </c>
    </row>
    <row r="177" ht="15" customHeight="1">
      <c r="A177" t="inlineStr">
        <is>
          <t>A 37443-2023</t>
        </is>
      </c>
      <c r="B177" t="inlineStr">
        <is>
          <t>avverkningsanmälan</t>
        </is>
      </c>
      <c r="C177" t="inlineStr">
        <is>
          <t>Föryngringsavverkning</t>
        </is>
      </c>
      <c r="D177" s="1" t="n">
        <v>45147</v>
      </c>
      <c r="E177" s="1" t="n">
        <v>46223</v>
      </c>
      <c r="F177" t="inlineStr">
        <is>
          <t>VÄSTERBOTTENS LÄN</t>
        </is>
      </c>
      <c r="G177" t="inlineStr">
        <is>
          <t>UMEÅ</t>
        </is>
      </c>
      <c r="I177" t="n">
        <v>7.3</v>
      </c>
      <c r="J177" t="n">
        <v>1</v>
      </c>
      <c r="K177" t="n">
        <v>0</v>
      </c>
      <c r="L177" t="n">
        <v>0</v>
      </c>
      <c r="M177" t="n">
        <v>0</v>
      </c>
      <c r="N177" t="n">
        <v>0</v>
      </c>
      <c r="O177" t="n">
        <v>0</v>
      </c>
      <c r="P177" t="n">
        <v>0</v>
      </c>
      <c r="Q177" t="n">
        <v>0</v>
      </c>
      <c r="R177" t="n">
        <v>0</v>
      </c>
      <c r="S177" t="n">
        <v>1</v>
      </c>
      <c r="T177" t="n">
        <v>1</v>
      </c>
      <c r="U177" s="2" t="inlineStr">
        <is>
          <t>Utter</t>
        </is>
      </c>
      <c r="V177">
        <f>HYPERLINK("https://klasma.github.io/Logging_2480/artfynd/A 37443-2023 artfynd.xlsx", "A 37443-2023")</f>
        <v/>
      </c>
      <c r="W177">
        <f>HYPERLINK("https://klasma.github.io/Logging_2480/kartor/A 37443-2023 karta.png", "A 37443-2023")</f>
        <v/>
      </c>
      <c r="X177">
        <f>HYPERLINK("https://klasma.github.io/Logging_2480/kartor_geotiff/A 37443-2023 georefererad karta.tif", "A 37443-2023")</f>
        <v/>
      </c>
      <c r="Z177">
        <f>HYPERLINK("https://klasma.github.io/Logging_2480/klagomål/A 37443-2023 FSC-klagomål.docx", "A 37443-2023")</f>
        <v/>
      </c>
      <c r="AA177">
        <f>HYPERLINK("https://klasma.github.io/Logging_2480/klagomålsmail/A 37443-2023 FSC-klagomål mail.docx", "A 37443-2023")</f>
        <v/>
      </c>
      <c r="AB177">
        <f>HYPERLINK("https://klasma.github.io/Logging_2480/tillsyn/A 37443-2023 tillsynsbegäran.docx", "A 37443-2023")</f>
        <v/>
      </c>
      <c r="AC177">
        <f>HYPERLINK("https://klasma.github.io/Logging_2480/tillsynsmail/A 37443-2023 tillsynsbegäran mail.docx", "A 37443-2023")</f>
        <v/>
      </c>
    </row>
    <row r="178" ht="15" customHeight="1">
      <c r="A178" t="inlineStr">
        <is>
          <t>A 40665-2024</t>
        </is>
      </c>
      <c r="B178" t="inlineStr">
        <is>
          <t>avverkningsanmälan</t>
        </is>
      </c>
      <c r="C178" t="inlineStr">
        <is>
          <t>Föryngringsavverkning</t>
        </is>
      </c>
      <c r="D178" s="1" t="n">
        <v>45558</v>
      </c>
      <c r="E178" s="1" t="n">
        <v>46223</v>
      </c>
      <c r="F178" t="inlineStr">
        <is>
          <t>VÄSTERBOTTENS LÄN</t>
        </is>
      </c>
      <c r="G178" t="inlineStr">
        <is>
          <t>UMEÅ</t>
        </is>
      </c>
      <c r="I178" t="n">
        <v>15.3</v>
      </c>
      <c r="J178" t="n">
        <v>0</v>
      </c>
      <c r="K178" t="n">
        <v>0</v>
      </c>
      <c r="L178" t="n">
        <v>0</v>
      </c>
      <c r="M178" t="n">
        <v>1</v>
      </c>
      <c r="N178" t="n">
        <v>0</v>
      </c>
      <c r="O178" t="n">
        <v>0</v>
      </c>
      <c r="P178" t="n">
        <v>0</v>
      </c>
      <c r="Q178" t="n">
        <v>1</v>
      </c>
      <c r="R178" t="n">
        <v>1</v>
      </c>
      <c r="S178" t="n">
        <v>1</v>
      </c>
      <c r="T178" t="n">
        <v>12</v>
      </c>
      <c r="U178" s="2" t="inlineStr">
        <is>
          <t>Garnlav</t>
        </is>
      </c>
      <c r="V178">
        <f>HYPERLINK("https://klasma.github.io/Logging_2480/artfynd/A 40665-2024 artfynd.xlsx", "A 40665-2024")</f>
        <v/>
      </c>
      <c r="W178">
        <f>HYPERLINK("https://klasma.github.io/Logging_2480/kartor/A 40665-2024 karta.png", "A 40665-2024")</f>
        <v/>
      </c>
      <c r="X178">
        <f>HYPERLINK("https://klasma.github.io/Logging_2480/kartor_geotiff/A 40665-2024 georefererad karta.tif", "A 40665-2024")</f>
        <v/>
      </c>
      <c r="Z178">
        <f>HYPERLINK("https://klasma.github.io/Logging_2480/klagomål/A 40665-2024 FSC-klagomål.docx", "A 40665-2024")</f>
        <v/>
      </c>
      <c r="AA178">
        <f>HYPERLINK("https://klasma.github.io/Logging_2480/klagomålsmail/A 40665-2024 FSC-klagomål mail.docx", "A 40665-2024")</f>
        <v/>
      </c>
      <c r="AB178">
        <f>HYPERLINK("https://klasma.github.io/Logging_2480/tillsyn/A 40665-2024 tillsynsbegäran.docx", "A 40665-2024")</f>
        <v/>
      </c>
      <c r="AC178">
        <f>HYPERLINK("https://klasma.github.io/Logging_2480/tillsynsmail/A 40665-2024 tillsynsbegäran mail.docx", "A 40665-2024")</f>
        <v/>
      </c>
    </row>
    <row r="179" ht="15" customHeight="1">
      <c r="A179" t="inlineStr">
        <is>
          <t>A 759-2023</t>
        </is>
      </c>
      <c r="B179" t="inlineStr">
        <is>
          <t>avverkningsanmälan</t>
        </is>
      </c>
      <c r="C179" t="inlineStr">
        <is>
          <t>Avverkning för annat ändamål</t>
        </is>
      </c>
      <c r="D179" s="1" t="n">
        <v>44931</v>
      </c>
      <c r="E179" s="1" t="n">
        <v>46223</v>
      </c>
      <c r="F179" t="inlineStr">
        <is>
          <t>VÄSTERBOTTENS LÄN</t>
        </is>
      </c>
      <c r="G179" t="inlineStr">
        <is>
          <t>UMEÅ</t>
        </is>
      </c>
      <c r="I179" t="n">
        <v>1.8</v>
      </c>
      <c r="J179" t="n">
        <v>1</v>
      </c>
      <c r="K179" t="n">
        <v>0</v>
      </c>
      <c r="L179" t="n">
        <v>0</v>
      </c>
      <c r="M179" t="n">
        <v>0</v>
      </c>
      <c r="N179" t="n">
        <v>0</v>
      </c>
      <c r="O179" t="n">
        <v>0</v>
      </c>
      <c r="P179" t="n">
        <v>0</v>
      </c>
      <c r="Q179" t="n">
        <v>0</v>
      </c>
      <c r="R179" t="n">
        <v>0</v>
      </c>
      <c r="S179" t="n">
        <v>1</v>
      </c>
      <c r="T179" t="n">
        <v>1</v>
      </c>
      <c r="U179" s="2" t="inlineStr">
        <is>
          <t>Orre</t>
        </is>
      </c>
      <c r="V179">
        <f>HYPERLINK("https://klasma.github.io/Logging_2480/artfynd/A 759-2023 artfynd.xlsx", "A 759-2023")</f>
        <v/>
      </c>
      <c r="W179">
        <f>HYPERLINK("https://klasma.github.io/Logging_2480/kartor/A 759-2023 karta.png", "A 759-2023")</f>
        <v/>
      </c>
      <c r="X179">
        <f>HYPERLINK("https://klasma.github.io/Logging_2480/kartor_geotiff/A 759-2023 georefererad karta.tif", "A 759-2023")</f>
        <v/>
      </c>
      <c r="Z179">
        <f>HYPERLINK("https://klasma.github.io/Logging_2480/klagomål/A 759-2023 FSC-klagomål.docx", "A 759-2023")</f>
        <v/>
      </c>
      <c r="AA179">
        <f>HYPERLINK("https://klasma.github.io/Logging_2480/klagomålsmail/A 759-2023 FSC-klagomål mail.docx", "A 759-2023")</f>
        <v/>
      </c>
      <c r="AB179">
        <f>HYPERLINK("https://klasma.github.io/Logging_2480/tillsyn/A 759-2023 tillsynsbegäran.docx", "A 759-2023")</f>
        <v/>
      </c>
      <c r="AC179">
        <f>HYPERLINK("https://klasma.github.io/Logging_2480/tillsynsmail/A 759-2023 tillsynsbegäran mail.docx", "A 759-2023")</f>
        <v/>
      </c>
      <c r="AD179">
        <f>HYPERLINK("https://klasma.github.io/Logging_2480/fåglar/A 759-2023 prioriterade fågelarter.docx", "A 759-2023")</f>
        <v/>
      </c>
    </row>
    <row r="180" ht="15" customHeight="1">
      <c r="A180" t="inlineStr">
        <is>
          <t>A 18703-2024</t>
        </is>
      </c>
      <c r="B180" t="inlineStr">
        <is>
          <t>avverkningsanmälan</t>
        </is>
      </c>
      <c r="C180" t="inlineStr">
        <is>
          <t>Föryngringsavverkning</t>
        </is>
      </c>
      <c r="D180" s="1" t="n">
        <v>45426</v>
      </c>
      <c r="E180" s="1" t="n">
        <v>46223</v>
      </c>
      <c r="F180" t="inlineStr">
        <is>
          <t>VÄSTERBOTTENS LÄN</t>
        </is>
      </c>
      <c r="G180" t="inlineStr">
        <is>
          <t>UMEÅ</t>
        </is>
      </c>
      <c r="H180" t="inlineStr">
        <is>
          <t>Holmen skog AB</t>
        </is>
      </c>
      <c r="I180" t="n">
        <v>2</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HYPERLINK("https://klasma.github.io/Logging_2480/artfynd/A 18703-2024 artfynd.xlsx", "A 18703-2024")</f>
        <v/>
      </c>
      <c r="W180">
        <f>HYPERLINK("https://klasma.github.io/Logging_2480/kartor/A 18703-2024 karta.png", "A 18703-2024")</f>
        <v/>
      </c>
      <c r="X180">
        <f>HYPERLINK("https://klasma.github.io/Logging_2480/kartor_geotiff/A 18703-2024 georefererad karta.tif", "A 18703-2024")</f>
        <v/>
      </c>
      <c r="Z180">
        <f>HYPERLINK("https://klasma.github.io/Logging_2480/klagomål/A 18703-2024 FSC-klagomål.docx", "A 18703-2024")</f>
        <v/>
      </c>
      <c r="AA180">
        <f>HYPERLINK("https://klasma.github.io/Logging_2480/klagomålsmail/A 18703-2024 FSC-klagomål mail.docx", "A 18703-2024")</f>
        <v/>
      </c>
      <c r="AB180">
        <f>HYPERLINK("https://klasma.github.io/Logging_2480/tillsyn/A 18703-2024 tillsynsbegäran.docx", "A 18703-2024")</f>
        <v/>
      </c>
      <c r="AC180">
        <f>HYPERLINK("https://klasma.github.io/Logging_2480/tillsynsmail/A 18703-2024 tillsynsbegäran mail.docx", "A 18703-2024")</f>
        <v/>
      </c>
      <c r="AD180">
        <f>HYPERLINK("https://klasma.github.io/Logging_2480/fåglar/A 18703-2024 prioriterade fågelarter.docx", "A 18703-2024")</f>
        <v/>
      </c>
    </row>
    <row r="181" ht="15" customHeight="1">
      <c r="A181" t="inlineStr">
        <is>
          <t>A 56135-2024</t>
        </is>
      </c>
      <c r="B181" t="inlineStr">
        <is>
          <t>avverkningsanmälan</t>
        </is>
      </c>
      <c r="C181" t="inlineStr">
        <is>
          <t>Föryngringsavverkning</t>
        </is>
      </c>
      <c r="D181" s="1" t="n">
        <v>45624</v>
      </c>
      <c r="E181" s="1" t="n">
        <v>46223</v>
      </c>
      <c r="F181" t="inlineStr">
        <is>
          <t>VÄSTERBOTTENS LÄN</t>
        </is>
      </c>
      <c r="G181" t="inlineStr">
        <is>
          <t>UMEÅ</t>
        </is>
      </c>
      <c r="I181" t="n">
        <v>19.9</v>
      </c>
      <c r="J181" t="n">
        <v>0</v>
      </c>
      <c r="K181" t="n">
        <v>0</v>
      </c>
      <c r="L181" t="n">
        <v>1</v>
      </c>
      <c r="M181" t="n">
        <v>0</v>
      </c>
      <c r="N181" t="n">
        <v>0</v>
      </c>
      <c r="O181" t="n">
        <v>0</v>
      </c>
      <c r="P181" t="n">
        <v>0</v>
      </c>
      <c r="Q181" t="n">
        <v>1</v>
      </c>
      <c r="R181" t="n">
        <v>0</v>
      </c>
      <c r="S181" t="n">
        <v>1</v>
      </c>
      <c r="T181" t="n">
        <v>1</v>
      </c>
      <c r="U181" s="2" t="inlineStr">
        <is>
          <t>Violettgrå tagellav</t>
        </is>
      </c>
      <c r="V181">
        <f>HYPERLINK("https://klasma.github.io/Logging_2480/artfynd/A 56135-2024 artfynd.xlsx", "A 56135-2024")</f>
        <v/>
      </c>
      <c r="W181">
        <f>HYPERLINK("https://klasma.github.io/Logging_2480/kartor/A 56135-2024 karta.png", "A 56135-2024")</f>
        <v/>
      </c>
      <c r="X181">
        <f>HYPERLINK("https://klasma.github.io/Logging_2480/kartor_geotiff/A 56135-2024 georefererad karta.tif", "A 56135-2024")</f>
        <v/>
      </c>
      <c r="Z181">
        <f>HYPERLINK("https://klasma.github.io/Logging_2480/klagomål/A 56135-2024 FSC-klagomål.docx", "A 56135-2024")</f>
        <v/>
      </c>
      <c r="AA181">
        <f>HYPERLINK("https://klasma.github.io/Logging_2480/klagomålsmail/A 56135-2024 FSC-klagomål mail.docx", "A 56135-2024")</f>
        <v/>
      </c>
      <c r="AB181">
        <f>HYPERLINK("https://klasma.github.io/Logging_2480/tillsyn/A 56135-2024 tillsynsbegäran.docx", "A 56135-2024")</f>
        <v/>
      </c>
      <c r="AC181">
        <f>HYPERLINK("https://klasma.github.io/Logging_2480/tillsynsmail/A 56135-2024 tillsynsbegäran mail.docx", "A 56135-2024")</f>
        <v/>
      </c>
    </row>
    <row r="182" ht="15" customHeight="1">
      <c r="A182" t="inlineStr">
        <is>
          <t>A 30050-2024</t>
        </is>
      </c>
      <c r="B182" t="inlineStr">
        <is>
          <t>avverkningsanmälan</t>
        </is>
      </c>
      <c r="C182" t="inlineStr">
        <is>
          <t>Föryngringsavverkning</t>
        </is>
      </c>
      <c r="D182" s="1" t="n">
        <v>45488</v>
      </c>
      <c r="E182" s="1" t="n">
        <v>46223</v>
      </c>
      <c r="F182" t="inlineStr">
        <is>
          <t>VÄSTERBOTTENS LÄN</t>
        </is>
      </c>
      <c r="G182" t="inlineStr">
        <is>
          <t>UMEÅ</t>
        </is>
      </c>
      <c r="I182" t="n">
        <v>2.6</v>
      </c>
      <c r="J182" t="n">
        <v>1</v>
      </c>
      <c r="K182" t="n">
        <v>0</v>
      </c>
      <c r="L182" t="n">
        <v>0</v>
      </c>
      <c r="M182" t="n">
        <v>0</v>
      </c>
      <c r="N182" t="n">
        <v>0</v>
      </c>
      <c r="O182" t="n">
        <v>0</v>
      </c>
      <c r="P182" t="n">
        <v>0</v>
      </c>
      <c r="Q182" t="n">
        <v>0</v>
      </c>
      <c r="R182" t="n">
        <v>0</v>
      </c>
      <c r="S182" t="n">
        <v>1</v>
      </c>
      <c r="T182" t="n">
        <v>1</v>
      </c>
      <c r="U182" s="2" t="inlineStr">
        <is>
          <t>Kungsfågel</t>
        </is>
      </c>
      <c r="V182">
        <f>HYPERLINK("https://klasma.github.io/Logging_2480/artfynd/A 30050-2024 artfynd.xlsx", "A 30050-2024")</f>
        <v/>
      </c>
      <c r="W182">
        <f>HYPERLINK("https://klasma.github.io/Logging_2480/kartor/A 30050-2024 karta.png", "A 30050-2024")</f>
        <v/>
      </c>
      <c r="X182">
        <f>HYPERLINK("https://klasma.github.io/Logging_2480/kartor_geotiff/A 30050-2024 georefererad karta.tif", "A 30050-2024")</f>
        <v/>
      </c>
      <c r="Z182">
        <f>HYPERLINK("https://klasma.github.io/Logging_2480/klagomål/A 30050-2024 FSC-klagomål.docx", "A 30050-2024")</f>
        <v/>
      </c>
      <c r="AA182">
        <f>HYPERLINK("https://klasma.github.io/Logging_2480/klagomålsmail/A 30050-2024 FSC-klagomål mail.docx", "A 30050-2024")</f>
        <v/>
      </c>
      <c r="AB182">
        <f>HYPERLINK("https://klasma.github.io/Logging_2480/tillsyn/A 30050-2024 tillsynsbegäran.docx", "A 30050-2024")</f>
        <v/>
      </c>
      <c r="AC182">
        <f>HYPERLINK("https://klasma.github.io/Logging_2480/tillsynsmail/A 30050-2024 tillsynsbegäran mail.docx", "A 30050-2024")</f>
        <v/>
      </c>
    </row>
    <row r="183" ht="15" customHeight="1">
      <c r="A183" t="inlineStr">
        <is>
          <t>S 1144-2026</t>
        </is>
      </c>
      <c r="B183" t="inlineStr">
        <is>
          <t>samrådsanmälan</t>
        </is>
      </c>
      <c r="C183" t="inlineStr">
        <is>
          <t>Askåterföring</t>
        </is>
      </c>
      <c r="D183" s="1" t="n">
        <v>46135</v>
      </c>
      <c r="E183" s="1" t="n">
        <v>46223</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X183">
        <f>HYPERLINK("https://klasma.github.io/Logging_2480/kartor_geotiff/S 1144-2026 georefererad karta.tif", "S 1144-2026")</f>
        <v/>
      </c>
      <c r="Z183">
        <f>HYPERLINK("https://klasma.github.io/Logging_2480/klagomål/S 1144-2026 FSC-klagomål.docx", "S 1144-2026")</f>
        <v/>
      </c>
      <c r="AA183">
        <f>HYPERLINK("https://klasma.github.io/Logging_2480/klagomålsmail/S 1144-2026 FSC-klagomål mail.docx", "S 1144-2026")</f>
        <v/>
      </c>
      <c r="AB183">
        <f>HYPERLINK("https://klasma.github.io/Logging_2480/tillsyn/S 1144-2026 tillsynsbegäran.docx", "S 1144-2026")</f>
        <v/>
      </c>
      <c r="AC183">
        <f>HYPERLINK("https://klasma.github.io/Logging_2480/tillsynsmail/S 1144-2026 tillsynsbegäran mail.docx", "S 1144-2026")</f>
        <v/>
      </c>
      <c r="AD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46223</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46223</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3940-2022</t>
        </is>
      </c>
      <c r="B186" t="inlineStr">
        <is>
          <t>avverkningsanmälan</t>
        </is>
      </c>
      <c r="C186" t="inlineStr">
        <is>
          <t>Föryngringsavverkning</t>
        </is>
      </c>
      <c r="D186" s="1" t="n">
        <v>44587</v>
      </c>
      <c r="E186" s="1" t="n">
        <v>46223</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40825-2022</t>
        </is>
      </c>
      <c r="B187" t="inlineStr">
        <is>
          <t>avverkningsanmälan</t>
        </is>
      </c>
      <c r="C187" t="inlineStr">
        <is>
          <t>Föryngringsavverkning</t>
        </is>
      </c>
      <c r="D187" s="1" t="n">
        <v>44824</v>
      </c>
      <c r="E187" s="1" t="n">
        <v>46223</v>
      </c>
      <c r="F187" t="inlineStr">
        <is>
          <t>VÄSTERBOTTENS LÄN</t>
        </is>
      </c>
      <c r="G187" t="inlineStr">
        <is>
          <t>UMEÅ</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46223</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38435-2021</t>
        </is>
      </c>
      <c r="B189" t="inlineStr">
        <is>
          <t>avverkningsanmälan</t>
        </is>
      </c>
      <c r="C189" t="inlineStr">
        <is>
          <t>Avverkning för att bevara och utveckla /försöksver</t>
        </is>
      </c>
      <c r="D189" s="1" t="n">
        <v>44406</v>
      </c>
      <c r="E189" s="1" t="n">
        <v>46223</v>
      </c>
      <c r="F189" t="inlineStr">
        <is>
          <t>VÄSTERBOTTENS LÄN</t>
        </is>
      </c>
      <c r="G189" t="inlineStr">
        <is>
          <t>UMEÅ</t>
        </is>
      </c>
      <c r="H189" t="inlineStr">
        <is>
          <t>Övriga statliga verk och myndigheter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32787-2022</t>
        </is>
      </c>
      <c r="B190" t="inlineStr">
        <is>
          <t>avverkningsanmälan</t>
        </is>
      </c>
      <c r="C190" t="inlineStr">
        <is>
          <t>Föryngringsavverkning</t>
        </is>
      </c>
      <c r="D190" s="1" t="n">
        <v>44784</v>
      </c>
      <c r="E190" s="1" t="n">
        <v>46223</v>
      </c>
      <c r="F190" t="inlineStr">
        <is>
          <t>VÄSTERBOTTENS LÄN</t>
        </is>
      </c>
      <c r="G190" t="inlineStr">
        <is>
          <t>UMEÅ</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14431-2022</t>
        </is>
      </c>
      <c r="B191" t="inlineStr">
        <is>
          <t>avverkningsanmälan</t>
        </is>
      </c>
      <c r="C191" t="inlineStr">
        <is>
          <t>Föryngringsavverkning</t>
        </is>
      </c>
      <c r="D191" s="1" t="n">
        <v>44652</v>
      </c>
      <c r="E191" s="1" t="n">
        <v>46223</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33409-2022</t>
        </is>
      </c>
      <c r="B192" t="inlineStr">
        <is>
          <t>avverkningsanmälan</t>
        </is>
      </c>
      <c r="C192" t="inlineStr">
        <is>
          <t>Föryngringsavverkning</t>
        </is>
      </c>
      <c r="D192" s="1" t="n">
        <v>44788</v>
      </c>
      <c r="E192" s="1" t="n">
        <v>46223</v>
      </c>
      <c r="F192" t="inlineStr">
        <is>
          <t>VÄSTERBOTTENS LÄN</t>
        </is>
      </c>
      <c r="G192" t="inlineStr">
        <is>
          <t>UMEÅ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46223</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46223</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46223</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46223</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46223</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46223</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46223</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38406-2021</t>
        </is>
      </c>
      <c r="B200" t="inlineStr">
        <is>
          <t>avverkningsanmälan</t>
        </is>
      </c>
      <c r="C200" t="inlineStr">
        <is>
          <t>Avverkning för att bevara och utveckla /försöksver</t>
        </is>
      </c>
      <c r="D200" s="1" t="n">
        <v>44406</v>
      </c>
      <c r="E200" s="1" t="n">
        <v>46223</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46223</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46223</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46223</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46223</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46223</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18788-2022</t>
        </is>
      </c>
      <c r="B206" t="inlineStr">
        <is>
          <t>avverkningsanmälan</t>
        </is>
      </c>
      <c r="C206" t="inlineStr">
        <is>
          <t>Avverkning för annat ändamål</t>
        </is>
      </c>
      <c r="D206" s="1" t="n">
        <v>44687</v>
      </c>
      <c r="E206" s="1" t="n">
        <v>46223</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46223</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46223</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46223</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49027-2022</t>
        </is>
      </c>
      <c r="B210" t="inlineStr">
        <is>
          <t>avverkningsanmälan</t>
        </is>
      </c>
      <c r="C210" t="inlineStr">
        <is>
          <t>Avverkning för annat ändamål</t>
        </is>
      </c>
      <c r="D210" s="1" t="n">
        <v>44860</v>
      </c>
      <c r="E210" s="1" t="n">
        <v>46223</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s="2" t="inlineStr"/>
    </row>
    <row r="211" ht="15" customHeight="1">
      <c r="A211" t="inlineStr">
        <is>
          <t>A 44830-2022</t>
        </is>
      </c>
      <c r="B211" t="inlineStr">
        <is>
          <t>avverkningsanmälan</t>
        </is>
      </c>
      <c r="C211" t="inlineStr">
        <is>
          <t>Föryngringsavverkning</t>
        </is>
      </c>
      <c r="D211" s="1" t="n">
        <v>44841</v>
      </c>
      <c r="E211" s="1" t="n">
        <v>46223</v>
      </c>
      <c r="F211" t="inlineStr">
        <is>
          <t>VÄSTERBOTTENS LÄN</t>
        </is>
      </c>
      <c r="G211" t="inlineStr">
        <is>
          <t>UMEÅ</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46223</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46223</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46223</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46223</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5969-2022</t>
        </is>
      </c>
      <c r="B216" t="inlineStr">
        <is>
          <t>avverkningsanmälan</t>
        </is>
      </c>
      <c r="C216" t="inlineStr">
        <is>
          <t>Föryngringsavverkning</t>
        </is>
      </c>
      <c r="D216" s="1" t="n">
        <v>44599</v>
      </c>
      <c r="E216" s="1" t="n">
        <v>46223</v>
      </c>
      <c r="F216" t="inlineStr">
        <is>
          <t>VÄSTERBOTTENS LÄN</t>
        </is>
      </c>
      <c r="G216" t="inlineStr">
        <is>
          <t>UMEÅ</t>
        </is>
      </c>
      <c r="I216" t="n">
        <v>9.300000000000001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38920-2021</t>
        </is>
      </c>
      <c r="B217" t="inlineStr">
        <is>
          <t>avverkningsanmälan</t>
        </is>
      </c>
      <c r="C217" t="inlineStr">
        <is>
          <t>Avverkning för att bevara och utveckla /försöksver</t>
        </is>
      </c>
      <c r="D217" s="1" t="n">
        <v>44410</v>
      </c>
      <c r="E217" s="1" t="n">
        <v>46223</v>
      </c>
      <c r="F217" t="inlineStr">
        <is>
          <t>VÄSTERBOTTENS LÄN</t>
        </is>
      </c>
      <c r="G217" t="inlineStr">
        <is>
          <t>UMEÅ</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38924-2021</t>
        </is>
      </c>
      <c r="B218" t="inlineStr">
        <is>
          <t>avverkningsanmälan</t>
        </is>
      </c>
      <c r="C218" t="inlineStr">
        <is>
          <t>Avverkning för att bevara och utveckla /försöksver</t>
        </is>
      </c>
      <c r="D218" s="1" t="n">
        <v>44410</v>
      </c>
      <c r="E218" s="1" t="n">
        <v>46223</v>
      </c>
      <c r="F218" t="inlineStr">
        <is>
          <t>VÄSTERBOTTENS LÄN</t>
        </is>
      </c>
      <c r="G218" t="inlineStr">
        <is>
          <t>UMEÅ</t>
        </is>
      </c>
      <c r="H218" t="inlineStr">
        <is>
          <t>Övriga statliga verk och myndigheter</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46223</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46223</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38517-2021</t>
        </is>
      </c>
      <c r="B221" t="inlineStr">
        <is>
          <t>avverkningsanmälan</t>
        </is>
      </c>
      <c r="C221" t="inlineStr">
        <is>
          <t>Avverkning för att bevara och utveckla /försöksver</t>
        </is>
      </c>
      <c r="D221" s="1" t="n">
        <v>44407</v>
      </c>
      <c r="E221" s="1" t="n">
        <v>46223</v>
      </c>
      <c r="F221" t="inlineStr">
        <is>
          <t>VÄSTERBOTTENS LÄN</t>
        </is>
      </c>
      <c r="G221" t="inlineStr">
        <is>
          <t>UMEÅ</t>
        </is>
      </c>
      <c r="H221" t="inlineStr">
        <is>
          <t>Kommuner</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38524-2021</t>
        </is>
      </c>
      <c r="B222" t="inlineStr">
        <is>
          <t>avverkningsanmälan</t>
        </is>
      </c>
      <c r="C222" t="inlineStr">
        <is>
          <t>Avverkning för att bevara och utveckla /försöksver</t>
        </is>
      </c>
      <c r="D222" s="1" t="n">
        <v>44407</v>
      </c>
      <c r="E222" s="1" t="n">
        <v>46223</v>
      </c>
      <c r="F222" t="inlineStr">
        <is>
          <t>VÄSTERBOTTENS LÄN</t>
        </is>
      </c>
      <c r="G222" t="inlineStr">
        <is>
          <t>UMEÅ</t>
        </is>
      </c>
      <c r="H222" t="inlineStr">
        <is>
          <t>Kommuner</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38537-2021</t>
        </is>
      </c>
      <c r="B223" t="inlineStr">
        <is>
          <t>avverkningsanmälan</t>
        </is>
      </c>
      <c r="C223" t="inlineStr">
        <is>
          <t>Avverkning för att bevara och utveckla /försöksver</t>
        </is>
      </c>
      <c r="D223" s="1" t="n">
        <v>44407</v>
      </c>
      <c r="E223" s="1" t="n">
        <v>46223</v>
      </c>
      <c r="F223" t="inlineStr">
        <is>
          <t>VÄSTERBOTTENS LÄN</t>
        </is>
      </c>
      <c r="G223" t="inlineStr">
        <is>
          <t>UMEÅ</t>
        </is>
      </c>
      <c r="H223" t="inlineStr">
        <is>
          <t>Kommuner</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35878-2022</t>
        </is>
      </c>
      <c r="B224" t="inlineStr">
        <is>
          <t>avverkningsanmälan</t>
        </is>
      </c>
      <c r="C224" t="inlineStr">
        <is>
          <t>Föryngringsavverkning</t>
        </is>
      </c>
      <c r="D224" s="1" t="n">
        <v>44802</v>
      </c>
      <c r="E224" s="1" t="n">
        <v>46223</v>
      </c>
      <c r="F224" t="inlineStr">
        <is>
          <t>VÄSTERBOTTENS LÄN</t>
        </is>
      </c>
      <c r="G224" t="inlineStr">
        <is>
          <t>UMEÅ</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38503-2021</t>
        </is>
      </c>
      <c r="B225" t="inlineStr">
        <is>
          <t>avverkningsanmälan</t>
        </is>
      </c>
      <c r="C225" t="inlineStr">
        <is>
          <t>Avverkning för att bevara och utveckla /försöksver</t>
        </is>
      </c>
      <c r="D225" s="1" t="n">
        <v>44407</v>
      </c>
      <c r="E225" s="1" t="n">
        <v>46223</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38523-2021</t>
        </is>
      </c>
      <c r="B226" t="inlineStr">
        <is>
          <t>avverkningsanmälan</t>
        </is>
      </c>
      <c r="C226" t="inlineStr">
        <is>
          <t>Avverkning för att bevara och utveckla /försöksver</t>
        </is>
      </c>
      <c r="D226" s="1" t="n">
        <v>44407</v>
      </c>
      <c r="E226" s="1" t="n">
        <v>46223</v>
      </c>
      <c r="F226" t="inlineStr">
        <is>
          <t>VÄSTERBOTTENS LÄN</t>
        </is>
      </c>
      <c r="G226" t="inlineStr">
        <is>
          <t>UMEÅ</t>
        </is>
      </c>
      <c r="H226" t="inlineStr">
        <is>
          <t>Kommuner</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46223</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46223</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46223</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46223</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46223</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38399-2021</t>
        </is>
      </c>
      <c r="B232" t="inlineStr">
        <is>
          <t>avverkningsanmälan</t>
        </is>
      </c>
      <c r="C232" t="inlineStr">
        <is>
          <t>Avverkning för att bevara och utveckla /försöksver</t>
        </is>
      </c>
      <c r="D232" s="1" t="n">
        <v>44406</v>
      </c>
      <c r="E232" s="1" t="n">
        <v>46223</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38541-2021</t>
        </is>
      </c>
      <c r="B233" t="inlineStr">
        <is>
          <t>avverkningsanmälan</t>
        </is>
      </c>
      <c r="C233" t="inlineStr">
        <is>
          <t>Avverkning för att bevara och utveckla /försöksver</t>
        </is>
      </c>
      <c r="D233" s="1" t="n">
        <v>44407</v>
      </c>
      <c r="E233" s="1" t="n">
        <v>46223</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46223</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38923-2021</t>
        </is>
      </c>
      <c r="B235" t="inlineStr">
        <is>
          <t>avverkningsanmälan</t>
        </is>
      </c>
      <c r="C235" t="inlineStr">
        <is>
          <t>Avverkning för att bevara och utveckla /försöksver</t>
        </is>
      </c>
      <c r="D235" s="1" t="n">
        <v>44410</v>
      </c>
      <c r="E235" s="1" t="n">
        <v>46223</v>
      </c>
      <c r="F235" t="inlineStr">
        <is>
          <t>VÄSTERBOTTENS LÄN</t>
        </is>
      </c>
      <c r="G235" t="inlineStr">
        <is>
          <t>UMEÅ</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38720-2021</t>
        </is>
      </c>
      <c r="B236" t="inlineStr">
        <is>
          <t>avverkningsanmälan</t>
        </is>
      </c>
      <c r="C236" t="inlineStr">
        <is>
          <t>Avverkning för att bevara och utveckla /försöksver</t>
        </is>
      </c>
      <c r="D236" s="1" t="n">
        <v>44410</v>
      </c>
      <c r="E236" s="1" t="n">
        <v>46223</v>
      </c>
      <c r="F236" t="inlineStr">
        <is>
          <t>VÄSTERBOTTENS LÄN</t>
        </is>
      </c>
      <c r="G236" t="inlineStr">
        <is>
          <t>UMEÅ</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38729-2021</t>
        </is>
      </c>
      <c r="B237" t="inlineStr">
        <is>
          <t>avverkningsanmälan</t>
        </is>
      </c>
      <c r="C237" t="inlineStr">
        <is>
          <t>Avverkning för att bevara och utveckla /försöksver</t>
        </is>
      </c>
      <c r="D237" s="1" t="n">
        <v>44410</v>
      </c>
      <c r="E237" s="1" t="n">
        <v>46223</v>
      </c>
      <c r="F237" t="inlineStr">
        <is>
          <t>VÄSTERBOTTENS LÄN</t>
        </is>
      </c>
      <c r="G237" t="inlineStr">
        <is>
          <t>UMEÅ</t>
        </is>
      </c>
      <c r="H237" t="inlineStr">
        <is>
          <t>Kommuner</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46223</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46223</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46223</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46223</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46223</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46223</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46223</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46223</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46223</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7376-2022</t>
        </is>
      </c>
      <c r="B247" t="inlineStr">
        <is>
          <t>avverkningsanmälan</t>
        </is>
      </c>
      <c r="C247" t="inlineStr">
        <is>
          <t>Föryngringsavverkning</t>
        </is>
      </c>
      <c r="D247" s="1" t="n">
        <v>44606</v>
      </c>
      <c r="E247" s="1" t="n">
        <v>46223</v>
      </c>
      <c r="F247" t="inlineStr">
        <is>
          <t>VÄSTERBOTTENS LÄN</t>
        </is>
      </c>
      <c r="G247" t="inlineStr">
        <is>
          <t>UMEÅ</t>
        </is>
      </c>
      <c r="I247" t="n">
        <v>16.1</v>
      </c>
      <c r="J247" t="n">
        <v>0</v>
      </c>
      <c r="K247" t="n">
        <v>0</v>
      </c>
      <c r="L247" t="n">
        <v>0</v>
      </c>
      <c r="M247" t="n">
        <v>0</v>
      </c>
      <c r="N247" t="n">
        <v>0</v>
      </c>
      <c r="O247" t="n">
        <v>0</v>
      </c>
      <c r="P247" t="n">
        <v>0</v>
      </c>
      <c r="Q247" t="n">
        <v>0</v>
      </c>
      <c r="R247" t="n">
        <v>0</v>
      </c>
      <c r="S247" t="n">
        <v>0</v>
      </c>
      <c r="T247" t="n">
        <v>0</v>
      </c>
      <c r="U247" s="2" t="inlineStr"/>
    </row>
    <row r="248" ht="15" customHeight="1">
      <c r="A248" t="inlineStr">
        <is>
          <t>A 46408-2022</t>
        </is>
      </c>
      <c r="B248" t="inlineStr">
        <is>
          <t>avverkningsanmälan</t>
        </is>
      </c>
      <c r="C248" t="inlineStr">
        <is>
          <t>Föryngringsavverkning</t>
        </is>
      </c>
      <c r="D248" s="1" t="n">
        <v>44846</v>
      </c>
      <c r="E248" s="1" t="n">
        <v>46223</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46223</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7356-2022</t>
        </is>
      </c>
      <c r="B250" t="inlineStr">
        <is>
          <t>avverkningsanmälan</t>
        </is>
      </c>
      <c r="C250" t="inlineStr">
        <is>
          <t>Föryngringsavverkning</t>
        </is>
      </c>
      <c r="D250" s="1" t="n">
        <v>44606</v>
      </c>
      <c r="E250" s="1" t="n">
        <v>46223</v>
      </c>
      <c r="F250" t="inlineStr">
        <is>
          <t>VÄSTERBOTTENS LÄN</t>
        </is>
      </c>
      <c r="G250" t="inlineStr">
        <is>
          <t>UMEÅ</t>
        </is>
      </c>
      <c r="I250" t="n">
        <v>7.3</v>
      </c>
      <c r="J250" t="n">
        <v>0</v>
      </c>
      <c r="K250" t="n">
        <v>0</v>
      </c>
      <c r="L250" t="n">
        <v>0</v>
      </c>
      <c r="M250" t="n">
        <v>0</v>
      </c>
      <c r="N250" t="n">
        <v>0</v>
      </c>
      <c r="O250" t="n">
        <v>0</v>
      </c>
      <c r="P250" t="n">
        <v>0</v>
      </c>
      <c r="Q250" t="n">
        <v>0</v>
      </c>
      <c r="R250" t="n">
        <v>0</v>
      </c>
      <c r="S250" t="n">
        <v>0</v>
      </c>
      <c r="T250" t="n">
        <v>0</v>
      </c>
      <c r="U250" s="2" t="inlineStr"/>
    </row>
    <row r="251" ht="15" customHeight="1">
      <c r="A251" t="inlineStr">
        <is>
          <t>A 38220-2021</t>
        </is>
      </c>
      <c r="B251" t="inlineStr">
        <is>
          <t>avverkningsanmälan</t>
        </is>
      </c>
      <c r="C251" t="inlineStr">
        <is>
          <t>Avverkning för att bevara och utveckla /försöksver</t>
        </is>
      </c>
      <c r="D251" s="1" t="n">
        <v>44407</v>
      </c>
      <c r="E251" s="1" t="n">
        <v>46223</v>
      </c>
      <c r="F251" t="inlineStr">
        <is>
          <t>VÄSTERBOTTENS LÄN</t>
        </is>
      </c>
      <c r="G251" t="inlineStr">
        <is>
          <t>UMEÅ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38912-2021</t>
        </is>
      </c>
      <c r="B252" t="inlineStr">
        <is>
          <t>avverkningsanmälan</t>
        </is>
      </c>
      <c r="C252" t="inlineStr">
        <is>
          <t>Avverkning för att bevara och utveckla /försöksver</t>
        </is>
      </c>
      <c r="D252" s="1" t="n">
        <v>44410</v>
      </c>
      <c r="E252" s="1" t="n">
        <v>46223</v>
      </c>
      <c r="F252" t="inlineStr">
        <is>
          <t>VÄSTERBOTTENS LÄN</t>
        </is>
      </c>
      <c r="G252" t="inlineStr">
        <is>
          <t>UMEÅ</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12942-2022</t>
        </is>
      </c>
      <c r="B253" t="inlineStr">
        <is>
          <t>avverkningsanmälan</t>
        </is>
      </c>
      <c r="C253" t="inlineStr">
        <is>
          <t>Föryngringsavverkning</t>
        </is>
      </c>
      <c r="D253" s="1" t="n">
        <v>44642</v>
      </c>
      <c r="E253" s="1" t="n">
        <v>46223</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38559-2021</t>
        </is>
      </c>
      <c r="B254" t="inlineStr">
        <is>
          <t>avverkningsanmälan</t>
        </is>
      </c>
      <c r="C254" t="inlineStr">
        <is>
          <t>Avverkning för att bevara och utveckla /försöksver</t>
        </is>
      </c>
      <c r="D254" s="1" t="n">
        <v>44407</v>
      </c>
      <c r="E254" s="1" t="n">
        <v>46223</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38560-2021</t>
        </is>
      </c>
      <c r="B255" t="inlineStr">
        <is>
          <t>avverkningsanmälan</t>
        </is>
      </c>
      <c r="C255" t="inlineStr">
        <is>
          <t>Avverkning för att bevara och utveckla /försöksver</t>
        </is>
      </c>
      <c r="D255" s="1" t="n">
        <v>44407</v>
      </c>
      <c r="E255" s="1" t="n">
        <v>46223</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44375-2022</t>
        </is>
      </c>
      <c r="B256" t="inlineStr">
        <is>
          <t>avverkningsanmälan</t>
        </is>
      </c>
      <c r="C256" t="inlineStr">
        <is>
          <t>Föryngringsavverkning</t>
        </is>
      </c>
      <c r="D256" s="1" t="n">
        <v>44838</v>
      </c>
      <c r="E256" s="1" t="n">
        <v>46223</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7210-2022</t>
        </is>
      </c>
      <c r="B257" t="inlineStr">
        <is>
          <t>avverkningsanmälan</t>
        </is>
      </c>
      <c r="C257" t="inlineStr">
        <is>
          <t>Föryngringsavverkning</t>
        </is>
      </c>
      <c r="D257" s="1" t="n">
        <v>44606</v>
      </c>
      <c r="E257" s="1" t="n">
        <v>46223</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s="2" t="inlineStr"/>
    </row>
    <row r="258" ht="15" customHeight="1">
      <c r="A258" t="inlineStr">
        <is>
          <t>A 38684-2021</t>
        </is>
      </c>
      <c r="B258" t="inlineStr">
        <is>
          <t>avverkningsanmälan</t>
        </is>
      </c>
      <c r="C258" t="inlineStr">
        <is>
          <t>Avverkning för att bevara och utveckla /försöksver</t>
        </is>
      </c>
      <c r="D258" s="1" t="n">
        <v>44407</v>
      </c>
      <c r="E258" s="1" t="n">
        <v>46223</v>
      </c>
      <c r="F258" t="inlineStr">
        <is>
          <t>VÄSTERBOTTENS LÄN</t>
        </is>
      </c>
      <c r="G258" t="inlineStr">
        <is>
          <t>UMEÅ</t>
        </is>
      </c>
      <c r="H258" t="inlineStr">
        <is>
          <t>Kommuner</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55590-2021</t>
        </is>
      </c>
      <c r="B259" t="inlineStr">
        <is>
          <t>avverkningsanmälan</t>
        </is>
      </c>
      <c r="C259" t="inlineStr">
        <is>
          <t>Föryngringsavverkning</t>
        </is>
      </c>
      <c r="D259" s="1" t="n">
        <v>44475</v>
      </c>
      <c r="E259" s="1" t="n">
        <v>46223</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46223</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70068-2021</t>
        </is>
      </c>
      <c r="B261" t="inlineStr">
        <is>
          <t>avverkningsanmälan</t>
        </is>
      </c>
      <c r="C261" t="inlineStr">
        <is>
          <t>Föryngringsavverkning</t>
        </is>
      </c>
      <c r="D261" s="1" t="n">
        <v>44533</v>
      </c>
      <c r="E261" s="1" t="n">
        <v>46223</v>
      </c>
      <c r="F261" t="inlineStr">
        <is>
          <t>VÄSTERBOTTENS LÄN</t>
        </is>
      </c>
      <c r="G261" t="inlineStr">
        <is>
          <t>UMEÅ</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38543-2021</t>
        </is>
      </c>
      <c r="B262" t="inlineStr">
        <is>
          <t>avverkningsanmälan</t>
        </is>
      </c>
      <c r="C262" t="inlineStr">
        <is>
          <t>Avverkning för att bevara och utveckla /försöksver</t>
        </is>
      </c>
      <c r="D262" s="1" t="n">
        <v>44407</v>
      </c>
      <c r="E262" s="1" t="n">
        <v>46223</v>
      </c>
      <c r="F262" t="inlineStr">
        <is>
          <t>VÄSTERBOTTENS LÄN</t>
        </is>
      </c>
      <c r="G262" t="inlineStr">
        <is>
          <t>UMEÅ</t>
        </is>
      </c>
      <c r="H262" t="inlineStr">
        <is>
          <t>Kommuner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38547-2021</t>
        </is>
      </c>
      <c r="B263" t="inlineStr">
        <is>
          <t>avverkningsanmälan</t>
        </is>
      </c>
      <c r="C263" t="inlineStr">
        <is>
          <t>Avverkning för att bevara och utveckla /försöksver</t>
        </is>
      </c>
      <c r="D263" s="1" t="n">
        <v>44407</v>
      </c>
      <c r="E263" s="1" t="n">
        <v>46223</v>
      </c>
      <c r="F263" t="inlineStr">
        <is>
          <t>VÄSTERBOTTENS LÄN</t>
        </is>
      </c>
      <c r="G263" t="inlineStr">
        <is>
          <t>UMEÅ</t>
        </is>
      </c>
      <c r="H263" t="inlineStr">
        <is>
          <t>Kommuner</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2857-2022</t>
        </is>
      </c>
      <c r="B264" t="inlineStr">
        <is>
          <t>avverkningsanmälan</t>
        </is>
      </c>
      <c r="C264" t="inlineStr">
        <is>
          <t>Föryngringsavverkning</t>
        </is>
      </c>
      <c r="D264" s="1" t="n">
        <v>44581</v>
      </c>
      <c r="E264" s="1" t="n">
        <v>46223</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19272-2025</t>
        </is>
      </c>
      <c r="B265" t="inlineStr">
        <is>
          <t>avverkningsanmälan</t>
        </is>
      </c>
      <c r="C265" t="inlineStr">
        <is>
          <t>Föryngringsavverkning</t>
        </is>
      </c>
      <c r="D265" s="1" t="n">
        <v>45769</v>
      </c>
      <c r="E265" s="1" t="n">
        <v>46223</v>
      </c>
      <c r="F265" t="inlineStr">
        <is>
          <t>VÄSTERBOTTENS LÄN</t>
        </is>
      </c>
      <c r="G265" t="inlineStr">
        <is>
          <t>UMEÅ</t>
        </is>
      </c>
      <c r="H265" t="inlineStr">
        <is>
          <t>Holmen skog AB</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16003-2024</t>
        </is>
      </c>
      <c r="B266" t="inlineStr">
        <is>
          <t>avverkningsanmälan</t>
        </is>
      </c>
      <c r="C266" t="inlineStr">
        <is>
          <t>Föryngringsavverkning</t>
        </is>
      </c>
      <c r="D266" s="1" t="n">
        <v>45405</v>
      </c>
      <c r="E266" s="1" t="n">
        <v>46223</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9147-2025</t>
        </is>
      </c>
      <c r="B267" t="inlineStr">
        <is>
          <t>avverkningsanmälan</t>
        </is>
      </c>
      <c r="C267" t="inlineStr">
        <is>
          <t>Föryngringsavverkning</t>
        </is>
      </c>
      <c r="D267" s="1" t="n">
        <v>45714</v>
      </c>
      <c r="E267" s="1" t="n">
        <v>46223</v>
      </c>
      <c r="F267" t="inlineStr">
        <is>
          <t>VÄSTERBOTTENS LÄN</t>
        </is>
      </c>
      <c r="G267" t="inlineStr">
        <is>
          <t>UMEÅ</t>
        </is>
      </c>
      <c r="H267" t="inlineStr">
        <is>
          <t>Holmen skog AB</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41213-2022</t>
        </is>
      </c>
      <c r="B268" t="inlineStr">
        <is>
          <t>avverkningsanmälan</t>
        </is>
      </c>
      <c r="C268" t="inlineStr">
        <is>
          <t>Avverkning för annat ändamål</t>
        </is>
      </c>
      <c r="D268" s="1" t="n">
        <v>44825</v>
      </c>
      <c r="E268" s="1" t="n">
        <v>46223</v>
      </c>
      <c r="F268" t="inlineStr">
        <is>
          <t>VÄSTERBOTTENS LÄN</t>
        </is>
      </c>
      <c r="G268" t="inlineStr">
        <is>
          <t>UMEÅ</t>
        </is>
      </c>
      <c r="I268" t="n">
        <v>3.7</v>
      </c>
      <c r="J268" t="n">
        <v>0</v>
      </c>
      <c r="K268" t="n">
        <v>0</v>
      </c>
      <c r="L268" t="n">
        <v>0</v>
      </c>
      <c r="M268" t="n">
        <v>0</v>
      </c>
      <c r="N268" t="n">
        <v>0</v>
      </c>
      <c r="O268" t="n">
        <v>0</v>
      </c>
      <c r="P268" t="n">
        <v>0</v>
      </c>
      <c r="Q268" t="n">
        <v>0</v>
      </c>
      <c r="R268" t="n">
        <v>0</v>
      </c>
      <c r="S268" t="n">
        <v>0</v>
      </c>
      <c r="T268" t="n">
        <v>0</v>
      </c>
      <c r="U268" s="2" t="inlineStr"/>
    </row>
    <row r="269" ht="15" customHeight="1">
      <c r="A269" t="inlineStr">
        <is>
          <t>A 19972-2025</t>
        </is>
      </c>
      <c r="B269" t="inlineStr">
        <is>
          <t>avverkningsanmälan</t>
        </is>
      </c>
      <c r="C269" t="inlineStr">
        <is>
          <t>Föryngringsavverkning</t>
        </is>
      </c>
      <c r="D269" s="1" t="n">
        <v>45771</v>
      </c>
      <c r="E269" s="1" t="n">
        <v>46223</v>
      </c>
      <c r="F269" t="inlineStr">
        <is>
          <t>VÄSTERBOTTENS LÄN</t>
        </is>
      </c>
      <c r="G269" t="inlineStr">
        <is>
          <t>UMEÅ</t>
        </is>
      </c>
      <c r="I269" t="n">
        <v>4.3</v>
      </c>
      <c r="J269" t="n">
        <v>0</v>
      </c>
      <c r="K269" t="n">
        <v>0</v>
      </c>
      <c r="L269" t="n">
        <v>0</v>
      </c>
      <c r="M269" t="n">
        <v>0</v>
      </c>
      <c r="N269" t="n">
        <v>0</v>
      </c>
      <c r="O269" t="n">
        <v>0</v>
      </c>
      <c r="P269" t="n">
        <v>0</v>
      </c>
      <c r="Q269" t="n">
        <v>0</v>
      </c>
      <c r="R269" t="n">
        <v>0</v>
      </c>
      <c r="S269" t="n">
        <v>0</v>
      </c>
      <c r="T269" t="n">
        <v>0</v>
      </c>
      <c r="U269" s="2" t="inlineStr"/>
    </row>
    <row r="270" ht="15" customHeight="1">
      <c r="A270" t="inlineStr">
        <is>
          <t>A 45881-2022</t>
        </is>
      </c>
      <c r="B270" t="inlineStr">
        <is>
          <t>avverkningsanmälan</t>
        </is>
      </c>
      <c r="C270" t="inlineStr">
        <is>
          <t>Föryngringsavverkning</t>
        </is>
      </c>
      <c r="D270" s="1" t="n">
        <v>44846</v>
      </c>
      <c r="E270" s="1" t="n">
        <v>46223</v>
      </c>
      <c r="F270" t="inlineStr">
        <is>
          <t>VÄSTERBOTTENS LÄN</t>
        </is>
      </c>
      <c r="G270" t="inlineStr">
        <is>
          <t>UMEÅ</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48631-2023</t>
        </is>
      </c>
      <c r="B271" t="inlineStr">
        <is>
          <t>avverkningsanmälan</t>
        </is>
      </c>
      <c r="C271" t="inlineStr">
        <is>
          <t>Föryngringsavverkning</t>
        </is>
      </c>
      <c r="D271" s="1" t="n">
        <v>45202</v>
      </c>
      <c r="E271" s="1" t="n">
        <v>46223</v>
      </c>
      <c r="F271" t="inlineStr">
        <is>
          <t>VÄSTERBOTTENS LÄN</t>
        </is>
      </c>
      <c r="G271" t="inlineStr">
        <is>
          <t>UMEÅ</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33952-2022</t>
        </is>
      </c>
      <c r="B272" t="inlineStr">
        <is>
          <t>avverkningsanmälan</t>
        </is>
      </c>
      <c r="C272" t="inlineStr">
        <is>
          <t>Föryngringsavverkning</t>
        </is>
      </c>
      <c r="D272" s="1" t="n">
        <v>44790</v>
      </c>
      <c r="E272" s="1" t="n">
        <v>46223</v>
      </c>
      <c r="F272" t="inlineStr">
        <is>
          <t>VÄSTERBOTTENS LÄN</t>
        </is>
      </c>
      <c r="G272" t="inlineStr">
        <is>
          <t>UMEÅ</t>
        </is>
      </c>
      <c r="I272" t="n">
        <v>3.6</v>
      </c>
      <c r="J272" t="n">
        <v>0</v>
      </c>
      <c r="K272" t="n">
        <v>0</v>
      </c>
      <c r="L272" t="n">
        <v>0</v>
      </c>
      <c r="M272" t="n">
        <v>0</v>
      </c>
      <c r="N272" t="n">
        <v>0</v>
      </c>
      <c r="O272" t="n">
        <v>0</v>
      </c>
      <c r="P272" t="n">
        <v>0</v>
      </c>
      <c r="Q272" t="n">
        <v>0</v>
      </c>
      <c r="R272" t="n">
        <v>0</v>
      </c>
      <c r="S272" t="n">
        <v>0</v>
      </c>
      <c r="T272" t="n">
        <v>0</v>
      </c>
      <c r="U272" s="2" t="inlineStr"/>
    </row>
    <row r="273" ht="15" customHeight="1">
      <c r="A273" t="inlineStr">
        <is>
          <t>A 26137-2023</t>
        </is>
      </c>
      <c r="B273" t="inlineStr">
        <is>
          <t>avverkningsanmälan</t>
        </is>
      </c>
      <c r="C273" t="inlineStr">
        <is>
          <t>Föryngringsavverkning</t>
        </is>
      </c>
      <c r="D273" s="1" t="n">
        <v>45091</v>
      </c>
      <c r="E273" s="1" t="n">
        <v>46223</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26138-2023</t>
        </is>
      </c>
      <c r="B274" t="inlineStr">
        <is>
          <t>avverkningsanmälan</t>
        </is>
      </c>
      <c r="C274" t="inlineStr">
        <is>
          <t>Föryngringsavverkning</t>
        </is>
      </c>
      <c r="D274" s="1" t="n">
        <v>45091</v>
      </c>
      <c r="E274" s="1" t="n">
        <v>46223</v>
      </c>
      <c r="F274" t="inlineStr">
        <is>
          <t>VÄSTERBOTTENS LÄN</t>
        </is>
      </c>
      <c r="G274" t="inlineStr">
        <is>
          <t>UMEÅ</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44983-2022</t>
        </is>
      </c>
      <c r="B275" t="inlineStr">
        <is>
          <t>avverkningsanmälan</t>
        </is>
      </c>
      <c r="C275" t="inlineStr">
        <is>
          <t>Föryngringsavverkning</t>
        </is>
      </c>
      <c r="D275" s="1" t="n">
        <v>44841</v>
      </c>
      <c r="E275" s="1" t="n">
        <v>46223</v>
      </c>
      <c r="F275" t="inlineStr">
        <is>
          <t>VÄSTERBOTTENS LÄN</t>
        </is>
      </c>
      <c r="G275" t="inlineStr">
        <is>
          <t>UMEÅ</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21159-2024</t>
        </is>
      </c>
      <c r="B276" t="inlineStr">
        <is>
          <t>avverkningsanmälan</t>
        </is>
      </c>
      <c r="C276" t="inlineStr">
        <is>
          <t>Föryngringsavverkning</t>
        </is>
      </c>
      <c r="D276" s="1" t="n">
        <v>45440</v>
      </c>
      <c r="E276" s="1" t="n">
        <v>46223</v>
      </c>
      <c r="F276" t="inlineStr">
        <is>
          <t>VÄSTERBOTTENS LÄN</t>
        </is>
      </c>
      <c r="G276" t="inlineStr">
        <is>
          <t>UMEÅ</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17632-2024</t>
        </is>
      </c>
      <c r="B277" t="inlineStr">
        <is>
          <t>avverkningsanmälan</t>
        </is>
      </c>
      <c r="C277" t="inlineStr">
        <is>
          <t>Föryngringsavverkning</t>
        </is>
      </c>
      <c r="D277" s="1" t="n">
        <v>45418</v>
      </c>
      <c r="E277" s="1" t="n">
        <v>46223</v>
      </c>
      <c r="F277" t="inlineStr">
        <is>
          <t>VÄSTERBOTTENS LÄN</t>
        </is>
      </c>
      <c r="G277" t="inlineStr">
        <is>
          <t>UMEÅ</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19061-2024</t>
        </is>
      </c>
      <c r="B278" t="inlineStr">
        <is>
          <t>avverkningsanmälan</t>
        </is>
      </c>
      <c r="C278" t="inlineStr">
        <is>
          <t>Föryngringsavverkning</t>
        </is>
      </c>
      <c r="D278" s="1" t="n">
        <v>45427</v>
      </c>
      <c r="E278" s="1" t="n">
        <v>46223</v>
      </c>
      <c r="F278" t="inlineStr">
        <is>
          <t>VÄSTERBOTTENS LÄN</t>
        </is>
      </c>
      <c r="G278" t="inlineStr">
        <is>
          <t>UMEÅ</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46413-2022</t>
        </is>
      </c>
      <c r="B279" t="inlineStr">
        <is>
          <t>avverkningsanmälan</t>
        </is>
      </c>
      <c r="C279" t="inlineStr">
        <is>
          <t>Föryngringsavverkning</t>
        </is>
      </c>
      <c r="D279" s="1" t="n">
        <v>44846</v>
      </c>
      <c r="E279" s="1" t="n">
        <v>46223</v>
      </c>
      <c r="F279" t="inlineStr">
        <is>
          <t>VÄSTERBOTTENS LÄN</t>
        </is>
      </c>
      <c r="G279" t="inlineStr">
        <is>
          <t>UMEÅ</t>
        </is>
      </c>
      <c r="I279" t="n">
        <v>8.199999999999999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44968-2022</t>
        </is>
      </c>
      <c r="B280" t="inlineStr">
        <is>
          <t>avverkningsanmälan</t>
        </is>
      </c>
      <c r="C280" t="inlineStr">
        <is>
          <t>Föryngringsavverkning</t>
        </is>
      </c>
      <c r="D280" s="1" t="n">
        <v>44840</v>
      </c>
      <c r="E280" s="1" t="n">
        <v>46223</v>
      </c>
      <c r="F280" t="inlineStr">
        <is>
          <t>VÄSTERBOTTENS LÄN</t>
        </is>
      </c>
      <c r="G280" t="inlineStr">
        <is>
          <t>UMEÅ</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59228-2023</t>
        </is>
      </c>
      <c r="B281" t="inlineStr">
        <is>
          <t>avverkningsanmälan</t>
        </is>
      </c>
      <c r="C281" t="inlineStr">
        <is>
          <t>Föryngringsavverkning</t>
        </is>
      </c>
      <c r="D281" s="1" t="n">
        <v>45252</v>
      </c>
      <c r="E281" s="1" t="n">
        <v>46223</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955-2024</t>
        </is>
      </c>
      <c r="B282" t="inlineStr">
        <is>
          <t>avverkningsanmälan</t>
        </is>
      </c>
      <c r="C282" t="inlineStr">
        <is>
          <t>Föryngringsavverkning</t>
        </is>
      </c>
      <c r="D282" s="1" t="n">
        <v>45301</v>
      </c>
      <c r="E282" s="1" t="n">
        <v>46223</v>
      </c>
      <c r="F282" t="inlineStr">
        <is>
          <t>VÄSTERBOTTENS LÄN</t>
        </is>
      </c>
      <c r="G282" t="inlineStr">
        <is>
          <t>UMEÅ</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22755-2024</t>
        </is>
      </c>
      <c r="B283" t="inlineStr">
        <is>
          <t>avverkningsanmälan</t>
        </is>
      </c>
      <c r="C283" t="inlineStr">
        <is>
          <t>Föryngringsavverkning</t>
        </is>
      </c>
      <c r="D283" s="1" t="n">
        <v>45448</v>
      </c>
      <c r="E283" s="1" t="n">
        <v>46223</v>
      </c>
      <c r="F283" t="inlineStr">
        <is>
          <t>VÄSTERBOTTENS LÄN</t>
        </is>
      </c>
      <c r="G283" t="inlineStr">
        <is>
          <t>UMEÅ</t>
        </is>
      </c>
      <c r="H283" t="inlineStr">
        <is>
          <t>Holmen skog AB</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56676-2021</t>
        </is>
      </c>
      <c r="B284" t="inlineStr">
        <is>
          <t>avverkningsanmälan</t>
        </is>
      </c>
      <c r="C284" t="inlineStr">
        <is>
          <t>Föryngringsavverkning</t>
        </is>
      </c>
      <c r="D284" s="1" t="n">
        <v>44481</v>
      </c>
      <c r="E284" s="1" t="n">
        <v>46223</v>
      </c>
      <c r="F284" t="inlineStr">
        <is>
          <t>VÄSTERBOTTENS LÄN</t>
        </is>
      </c>
      <c r="G284" t="inlineStr">
        <is>
          <t>UMEÅ</t>
        </is>
      </c>
      <c r="H284" t="inlineStr">
        <is>
          <t>Sveaskog</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56563-2021</t>
        </is>
      </c>
      <c r="B285" t="inlineStr">
        <is>
          <t>avverkningsanmälan</t>
        </is>
      </c>
      <c r="C285" t="inlineStr">
        <is>
          <t>Avverkning för annat ändamål</t>
        </is>
      </c>
      <c r="D285" s="1" t="n">
        <v>44480</v>
      </c>
      <c r="E285" s="1" t="n">
        <v>46223</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25687-2024</t>
        </is>
      </c>
      <c r="B286" t="inlineStr">
        <is>
          <t>avverkningsanmälan</t>
        </is>
      </c>
      <c r="C286" t="inlineStr">
        <is>
          <t>Avverkning för annat ändamål</t>
        </is>
      </c>
      <c r="D286" s="1" t="n">
        <v>45463</v>
      </c>
      <c r="E286" s="1" t="n">
        <v>46223</v>
      </c>
      <c r="F286" t="inlineStr">
        <is>
          <t>VÄSTERBOTTENS LÄN</t>
        </is>
      </c>
      <c r="G286" t="inlineStr">
        <is>
          <t>UMEÅ</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47141-2021</t>
        </is>
      </c>
      <c r="B287" t="inlineStr">
        <is>
          <t>avverkningsanmälan</t>
        </is>
      </c>
      <c r="C287" t="inlineStr">
        <is>
          <t>Föryngringsavverkning</t>
        </is>
      </c>
      <c r="D287" s="1" t="n">
        <v>44446</v>
      </c>
      <c r="E287" s="1" t="n">
        <v>46223</v>
      </c>
      <c r="F287" t="inlineStr">
        <is>
          <t>VÄSTERBOTTENS LÄN</t>
        </is>
      </c>
      <c r="G287" t="inlineStr">
        <is>
          <t>UMEÅ</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23751-2024</t>
        </is>
      </c>
      <c r="B288" t="inlineStr">
        <is>
          <t>avverkningsanmälan</t>
        </is>
      </c>
      <c r="C288" t="inlineStr">
        <is>
          <t>Föryngringsavverkning</t>
        </is>
      </c>
      <c r="D288" s="1" t="n">
        <v>45455</v>
      </c>
      <c r="E288" s="1" t="n">
        <v>46223</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34550-2023</t>
        </is>
      </c>
      <c r="B289" t="inlineStr">
        <is>
          <t>avverkningsanmälan</t>
        </is>
      </c>
      <c r="C289" t="inlineStr">
        <is>
          <t>Föryngringsavverkning</t>
        </is>
      </c>
      <c r="D289" s="1" t="n">
        <v>45140</v>
      </c>
      <c r="E289" s="1" t="n">
        <v>46223</v>
      </c>
      <c r="F289" t="inlineStr">
        <is>
          <t>VÄSTERBOTTENS LÄN</t>
        </is>
      </c>
      <c r="G289" t="inlineStr">
        <is>
          <t>UMEÅ</t>
        </is>
      </c>
      <c r="H289" t="inlineStr">
        <is>
          <t>Holmen skog AB</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44244-2024</t>
        </is>
      </c>
      <c r="B290" t="inlineStr">
        <is>
          <t>avverkningsanmälan</t>
        </is>
      </c>
      <c r="C290" t="inlineStr">
        <is>
          <t>Föryngringsavverkning</t>
        </is>
      </c>
      <c r="D290" s="1" t="n">
        <v>45573</v>
      </c>
      <c r="E290" s="1" t="n">
        <v>46223</v>
      </c>
      <c r="F290" t="inlineStr">
        <is>
          <t>VÄSTERBOTTENS LÄN</t>
        </is>
      </c>
      <c r="G290" t="inlineStr">
        <is>
          <t>UMEÅ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27154-2024</t>
        </is>
      </c>
      <c r="B291" t="inlineStr">
        <is>
          <t>avverkningsanmälan</t>
        </is>
      </c>
      <c r="C291" t="inlineStr">
        <is>
          <t>Föryngringsavverkning</t>
        </is>
      </c>
      <c r="D291" s="1" t="n">
        <v>45471</v>
      </c>
      <c r="E291" s="1" t="n">
        <v>46223</v>
      </c>
      <c r="F291" t="inlineStr">
        <is>
          <t>VÄSTERBOTTENS LÄN</t>
        </is>
      </c>
      <c r="G291" t="inlineStr">
        <is>
          <t>UMEÅ</t>
        </is>
      </c>
      <c r="H291" t="inlineStr">
        <is>
          <t>Holmen skog AB</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59343-2023</t>
        </is>
      </c>
      <c r="B292" t="inlineStr">
        <is>
          <t>avverkningsanmälan</t>
        </is>
      </c>
      <c r="C292" t="inlineStr">
        <is>
          <t>Föryngringsavverkning</t>
        </is>
      </c>
      <c r="D292" s="1" t="n">
        <v>45253</v>
      </c>
      <c r="E292" s="1" t="n">
        <v>46223</v>
      </c>
      <c r="F292" t="inlineStr">
        <is>
          <t>VÄSTERBOTTENS LÄN</t>
        </is>
      </c>
      <c r="G292" t="inlineStr">
        <is>
          <t>UMEÅ</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22365-2024</t>
        </is>
      </c>
      <c r="B293" t="inlineStr">
        <is>
          <t>avverkningsanmälan</t>
        </is>
      </c>
      <c r="C293" t="inlineStr">
        <is>
          <t>Avverkning för annat ändamål</t>
        </is>
      </c>
      <c r="D293" s="1" t="n">
        <v>45446</v>
      </c>
      <c r="E293" s="1" t="n">
        <v>46223</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17928-2023</t>
        </is>
      </c>
      <c r="B294" t="inlineStr">
        <is>
          <t>avverkningsanmälan</t>
        </is>
      </c>
      <c r="C294" t="inlineStr">
        <is>
          <t>Föryngringsavverkning</t>
        </is>
      </c>
      <c r="D294" s="1" t="n">
        <v>45037</v>
      </c>
      <c r="E294" s="1" t="n">
        <v>46223</v>
      </c>
      <c r="F294" t="inlineStr">
        <is>
          <t>VÄSTERBOTTENS LÄN</t>
        </is>
      </c>
      <c r="G294" t="inlineStr">
        <is>
          <t>UMEÅ</t>
        </is>
      </c>
      <c r="H294" t="inlineStr">
        <is>
          <t>Kommuner</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29656-2024</t>
        </is>
      </c>
      <c r="B295" t="inlineStr">
        <is>
          <t>avverkningsanmälan</t>
        </is>
      </c>
      <c r="C295" t="inlineStr">
        <is>
          <t>Föryngringsavverkning</t>
        </is>
      </c>
      <c r="D295" s="1" t="n">
        <v>45484</v>
      </c>
      <c r="E295" s="1" t="n">
        <v>46223</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52312-2022</t>
        </is>
      </c>
      <c r="B296" t="inlineStr">
        <is>
          <t>avverkningsanmälan</t>
        </is>
      </c>
      <c r="C296" t="inlineStr">
        <is>
          <t>Föryngringsavverkning</t>
        </is>
      </c>
      <c r="D296" s="1" t="n">
        <v>44873</v>
      </c>
      <c r="E296" s="1" t="n">
        <v>46223</v>
      </c>
      <c r="F296" t="inlineStr">
        <is>
          <t>VÄSTERBOTTENS LÄN</t>
        </is>
      </c>
      <c r="G296" t="inlineStr">
        <is>
          <t>UMEÅ</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28855-2024</t>
        </is>
      </c>
      <c r="B297" t="inlineStr">
        <is>
          <t>avverkningsanmälan</t>
        </is>
      </c>
      <c r="C297" t="inlineStr">
        <is>
          <t>Föryngringsavverkning</t>
        </is>
      </c>
      <c r="D297" s="1" t="n">
        <v>45478</v>
      </c>
      <c r="E297" s="1" t="n">
        <v>46223</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28997-2024</t>
        </is>
      </c>
      <c r="B298" t="inlineStr">
        <is>
          <t>avverkningsanmälan</t>
        </is>
      </c>
      <c r="C298" t="inlineStr">
        <is>
          <t>Föryngringsavverkning</t>
        </is>
      </c>
      <c r="D298" s="1" t="n">
        <v>45481</v>
      </c>
      <c r="E298" s="1" t="n">
        <v>46223</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7430-2022</t>
        </is>
      </c>
      <c r="B299" t="inlineStr">
        <is>
          <t>avverkningsanmälan</t>
        </is>
      </c>
      <c r="C299" t="inlineStr">
        <is>
          <t>Föryngringsavverkning</t>
        </is>
      </c>
      <c r="D299" s="1" t="n">
        <v>44606</v>
      </c>
      <c r="E299" s="1" t="n">
        <v>46223</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52679-2022</t>
        </is>
      </c>
      <c r="B300" t="inlineStr">
        <is>
          <t>avverkningsanmälan</t>
        </is>
      </c>
      <c r="C300" t="inlineStr">
        <is>
          <t>Föryngringsavverkning</t>
        </is>
      </c>
      <c r="D300" s="1" t="n">
        <v>44874</v>
      </c>
      <c r="E300" s="1" t="n">
        <v>46223</v>
      </c>
      <c r="F300" t="inlineStr">
        <is>
          <t>VÄSTERBOTTENS LÄN</t>
        </is>
      </c>
      <c r="G300" t="inlineStr">
        <is>
          <t>UMEÅ</t>
        </is>
      </c>
      <c r="H300" t="inlineStr">
        <is>
          <t>Sveaskog</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35631-2024</t>
        </is>
      </c>
      <c r="B301" t="inlineStr">
        <is>
          <t>avverkningsanmälan</t>
        </is>
      </c>
      <c r="C301" t="inlineStr">
        <is>
          <t>Föryngringsavverkning</t>
        </is>
      </c>
      <c r="D301" s="1" t="n">
        <v>45531</v>
      </c>
      <c r="E301" s="1" t="n">
        <v>46223</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19189-2024</t>
        </is>
      </c>
      <c r="B302" t="inlineStr">
        <is>
          <t>avverkningsanmälan</t>
        </is>
      </c>
      <c r="C302" t="inlineStr">
        <is>
          <t>Föryngringsavverkning</t>
        </is>
      </c>
      <c r="D302" s="1" t="n">
        <v>45428</v>
      </c>
      <c r="E302" s="1" t="n">
        <v>46223</v>
      </c>
      <c r="F302" t="inlineStr">
        <is>
          <t>VÄSTERBOTTENS LÄN</t>
        </is>
      </c>
      <c r="G302" t="inlineStr">
        <is>
          <t>UMEÅ</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27052-2024</t>
        </is>
      </c>
      <c r="B303" t="inlineStr">
        <is>
          <t>avverkningsanmälan</t>
        </is>
      </c>
      <c r="C303" t="inlineStr">
        <is>
          <t>Föryngringsavverkning</t>
        </is>
      </c>
      <c r="D303" s="1" t="n">
        <v>45471</v>
      </c>
      <c r="E303" s="1" t="n">
        <v>46223</v>
      </c>
      <c r="F303" t="inlineStr">
        <is>
          <t>VÄSTERBOTTENS LÄN</t>
        </is>
      </c>
      <c r="G303" t="inlineStr">
        <is>
          <t>UMEÅ</t>
        </is>
      </c>
      <c r="H303" t="inlineStr">
        <is>
          <t>Holmen skog AB</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26924-2024</t>
        </is>
      </c>
      <c r="B304" t="inlineStr">
        <is>
          <t>avverkningsanmälan</t>
        </is>
      </c>
      <c r="C304" t="inlineStr">
        <is>
          <t>Föryngringsavverkning</t>
        </is>
      </c>
      <c r="D304" s="1" t="n">
        <v>45470</v>
      </c>
      <c r="E304" s="1" t="n">
        <v>46223</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16999-2023</t>
        </is>
      </c>
      <c r="B305" t="inlineStr">
        <is>
          <t>avverkningsanmälan</t>
        </is>
      </c>
      <c r="C305" t="inlineStr">
        <is>
          <t>Föryngringsavverkning</t>
        </is>
      </c>
      <c r="D305" s="1" t="n">
        <v>45033</v>
      </c>
      <c r="E305" s="1" t="n">
        <v>46223</v>
      </c>
      <c r="F305" t="inlineStr">
        <is>
          <t>VÄSTERBOTTENS LÄN</t>
        </is>
      </c>
      <c r="G305" t="inlineStr">
        <is>
          <t>UMEÅ</t>
        </is>
      </c>
      <c r="I305" t="n">
        <v>20.1</v>
      </c>
      <c r="J305" t="n">
        <v>0</v>
      </c>
      <c r="K305" t="n">
        <v>0</v>
      </c>
      <c r="L305" t="n">
        <v>0</v>
      </c>
      <c r="M305" t="n">
        <v>0</v>
      </c>
      <c r="N305" t="n">
        <v>0</v>
      </c>
      <c r="O305" t="n">
        <v>0</v>
      </c>
      <c r="P305" t="n">
        <v>0</v>
      </c>
      <c r="Q305" t="n">
        <v>0</v>
      </c>
      <c r="R305" t="n">
        <v>0</v>
      </c>
      <c r="S305" t="n">
        <v>0</v>
      </c>
      <c r="T305" t="n">
        <v>0</v>
      </c>
      <c r="U305" s="2" t="inlineStr"/>
    </row>
    <row r="306" ht="15" customHeight="1">
      <c r="A306" t="inlineStr">
        <is>
          <t>A 38135-2024</t>
        </is>
      </c>
      <c r="B306" t="inlineStr">
        <is>
          <t>avverkningsanmälan</t>
        </is>
      </c>
      <c r="C306" t="inlineStr">
        <is>
          <t>Föryngringsavverkning</t>
        </is>
      </c>
      <c r="D306" s="1" t="n">
        <v>45545</v>
      </c>
      <c r="E306" s="1" t="n">
        <v>46223</v>
      </c>
      <c r="F306" t="inlineStr">
        <is>
          <t>VÄSTERBOTTENS LÄN</t>
        </is>
      </c>
      <c r="G306" t="inlineStr">
        <is>
          <t>UMEÅ</t>
        </is>
      </c>
      <c r="I306" t="n">
        <v>8.6</v>
      </c>
      <c r="J306" t="n">
        <v>0</v>
      </c>
      <c r="K306" t="n">
        <v>0</v>
      </c>
      <c r="L306" t="n">
        <v>0</v>
      </c>
      <c r="M306" t="n">
        <v>0</v>
      </c>
      <c r="N306" t="n">
        <v>0</v>
      </c>
      <c r="O306" t="n">
        <v>0</v>
      </c>
      <c r="P306" t="n">
        <v>0</v>
      </c>
      <c r="Q306" t="n">
        <v>0</v>
      </c>
      <c r="R306" t="n">
        <v>0</v>
      </c>
      <c r="S306" t="n">
        <v>0</v>
      </c>
      <c r="T306" t="n">
        <v>0</v>
      </c>
      <c r="U306" s="2" t="inlineStr"/>
    </row>
    <row r="307" ht="15" customHeight="1">
      <c r="A307" t="inlineStr">
        <is>
          <t>A 29652-2024</t>
        </is>
      </c>
      <c r="B307" t="inlineStr">
        <is>
          <t>avverkningsanmälan</t>
        </is>
      </c>
      <c r="C307" t="inlineStr">
        <is>
          <t>Föryngringsavverkning</t>
        </is>
      </c>
      <c r="D307" s="1" t="n">
        <v>45484</v>
      </c>
      <c r="E307" s="1" t="n">
        <v>46223</v>
      </c>
      <c r="F307" t="inlineStr">
        <is>
          <t>VÄSTERBOTTENS LÄN</t>
        </is>
      </c>
      <c r="G307" t="inlineStr">
        <is>
          <t>UMEÅ</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48635-2024</t>
        </is>
      </c>
      <c r="B308" t="inlineStr">
        <is>
          <t>avverkningsanmälan</t>
        </is>
      </c>
      <c r="C308" t="inlineStr">
        <is>
          <t>Föryngringsavverkning</t>
        </is>
      </c>
      <c r="D308" s="1" t="n">
        <v>45593</v>
      </c>
      <c r="E308" s="1" t="n">
        <v>46223</v>
      </c>
      <c r="F308" t="inlineStr">
        <is>
          <t>VÄSTERBOTTENS LÄN</t>
        </is>
      </c>
      <c r="G308" t="inlineStr">
        <is>
          <t>UMEÅ</t>
        </is>
      </c>
      <c r="H308" t="inlineStr">
        <is>
          <t>Holmen skog AB</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31200-2024</t>
        </is>
      </c>
      <c r="B309" t="inlineStr">
        <is>
          <t>avverkningsanmälan</t>
        </is>
      </c>
      <c r="C309" t="inlineStr">
        <is>
          <t>Föryngringsavverkning</t>
        </is>
      </c>
      <c r="D309" s="1" t="n">
        <v>45503</v>
      </c>
      <c r="E309" s="1" t="n">
        <v>46223</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s="2" t="inlineStr"/>
    </row>
    <row r="310" ht="15" customHeight="1">
      <c r="A310" t="inlineStr">
        <is>
          <t>A 53181-2021</t>
        </is>
      </c>
      <c r="B310" t="inlineStr">
        <is>
          <t>avverkningsanmälan</t>
        </is>
      </c>
      <c r="C310" t="inlineStr">
        <is>
          <t>Föryngringsavverkning</t>
        </is>
      </c>
      <c r="D310" s="1" t="n">
        <v>44467</v>
      </c>
      <c r="E310" s="1" t="n">
        <v>46223</v>
      </c>
      <c r="F310" t="inlineStr">
        <is>
          <t>VÄSTERBOTTENS LÄN</t>
        </is>
      </c>
      <c r="G310" t="inlineStr">
        <is>
          <t>UMEÅ</t>
        </is>
      </c>
      <c r="I310" t="n">
        <v>3.1</v>
      </c>
      <c r="J310" t="n">
        <v>0</v>
      </c>
      <c r="K310" t="n">
        <v>0</v>
      </c>
      <c r="L310" t="n">
        <v>0</v>
      </c>
      <c r="M310" t="n">
        <v>0</v>
      </c>
      <c r="N310" t="n">
        <v>0</v>
      </c>
      <c r="O310" t="n">
        <v>0</v>
      </c>
      <c r="P310" t="n">
        <v>0</v>
      </c>
      <c r="Q310" t="n">
        <v>0</v>
      </c>
      <c r="R310" t="n">
        <v>0</v>
      </c>
      <c r="S310" t="n">
        <v>0</v>
      </c>
      <c r="T310" t="n">
        <v>0</v>
      </c>
      <c r="U310" s="2" t="inlineStr"/>
    </row>
    <row r="311" ht="15" customHeight="1">
      <c r="A311" t="inlineStr">
        <is>
          <t>A 37007-2024</t>
        </is>
      </c>
      <c r="B311" t="inlineStr">
        <is>
          <t>avverkningsanmälan</t>
        </is>
      </c>
      <c r="C311" t="inlineStr">
        <is>
          <t>Föryngringsavverkning</t>
        </is>
      </c>
      <c r="D311" s="1" t="n">
        <v>45539</v>
      </c>
      <c r="E311" s="1" t="n">
        <v>46223</v>
      </c>
      <c r="F311" t="inlineStr">
        <is>
          <t>VÄSTERBOTTENS LÄN</t>
        </is>
      </c>
      <c r="G311" t="inlineStr">
        <is>
          <t>UMEÅ</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2048-2023</t>
        </is>
      </c>
      <c r="B312" t="inlineStr">
        <is>
          <t>avverkningsanmälan</t>
        </is>
      </c>
      <c r="C312" t="inlineStr">
        <is>
          <t>Föryngringsavverkning</t>
        </is>
      </c>
      <c r="D312" s="1" t="n">
        <v>44939</v>
      </c>
      <c r="E312" s="1" t="n">
        <v>46223</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1003-2025</t>
        </is>
      </c>
      <c r="B313" t="inlineStr">
        <is>
          <t>avverkningsanmälan</t>
        </is>
      </c>
      <c r="C313" t="inlineStr">
        <is>
          <t>Föryngringsavverkning</t>
        </is>
      </c>
      <c r="D313" s="1" t="n">
        <v>45666</v>
      </c>
      <c r="E313" s="1" t="n">
        <v>46223</v>
      </c>
      <c r="F313" t="inlineStr">
        <is>
          <t>VÄSTERBOTTENS LÄN</t>
        </is>
      </c>
      <c r="G313" t="inlineStr">
        <is>
          <t>UMEÅ</t>
        </is>
      </c>
      <c r="I313" t="n">
        <v>13.5</v>
      </c>
      <c r="J313" t="n">
        <v>0</v>
      </c>
      <c r="K313" t="n">
        <v>0</v>
      </c>
      <c r="L313" t="n">
        <v>0</v>
      </c>
      <c r="M313" t="n">
        <v>0</v>
      </c>
      <c r="N313" t="n">
        <v>0</v>
      </c>
      <c r="O313" t="n">
        <v>0</v>
      </c>
      <c r="P313" t="n">
        <v>0</v>
      </c>
      <c r="Q313" t="n">
        <v>0</v>
      </c>
      <c r="R313" t="n">
        <v>0</v>
      </c>
      <c r="S313" t="n">
        <v>0</v>
      </c>
      <c r="T313" t="n">
        <v>0</v>
      </c>
      <c r="U313" s="2" t="inlineStr"/>
    </row>
    <row r="314" ht="15" customHeight="1">
      <c r="A314" t="inlineStr">
        <is>
          <t>A 3154-2026</t>
        </is>
      </c>
      <c r="B314" t="inlineStr">
        <is>
          <t>avverkningsanmälan</t>
        </is>
      </c>
      <c r="C314" t="inlineStr">
        <is>
          <t>Föryngringsavverkning</t>
        </is>
      </c>
      <c r="D314" s="1" t="n">
        <v>46041</v>
      </c>
      <c r="E314" s="1" t="n">
        <v>46223</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58605-2022</t>
        </is>
      </c>
      <c r="B315" t="inlineStr">
        <is>
          <t>avverkningsanmälan</t>
        </is>
      </c>
      <c r="C315" t="inlineStr">
        <is>
          <t>Föryngringsavverkning</t>
        </is>
      </c>
      <c r="D315" s="1" t="n">
        <v>44902</v>
      </c>
      <c r="E315" s="1" t="n">
        <v>46223</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15979-2024</t>
        </is>
      </c>
      <c r="B316" t="inlineStr">
        <is>
          <t>avverkningsanmälan</t>
        </is>
      </c>
      <c r="C316" t="inlineStr">
        <is>
          <t>Föryngringsavverkning</t>
        </is>
      </c>
      <c r="D316" s="1" t="n">
        <v>45405</v>
      </c>
      <c r="E316" s="1" t="n">
        <v>46223</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38434-2021</t>
        </is>
      </c>
      <c r="B317" t="inlineStr">
        <is>
          <t>avverkningsanmälan</t>
        </is>
      </c>
      <c r="C317" t="inlineStr">
        <is>
          <t>Avverkning för att bevara och utveckla /försöksver</t>
        </is>
      </c>
      <c r="D317" s="1" t="n">
        <v>44406</v>
      </c>
      <c r="E317" s="1" t="n">
        <v>46223</v>
      </c>
      <c r="F317" t="inlineStr">
        <is>
          <t>VÄSTERBOTTENS LÄN</t>
        </is>
      </c>
      <c r="G317" t="inlineStr">
        <is>
          <t>UMEÅ</t>
        </is>
      </c>
      <c r="H317" t="inlineStr">
        <is>
          <t>Kommuner</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40348-2021</t>
        </is>
      </c>
      <c r="B318" t="inlineStr">
        <is>
          <t>avverkningsanmälan</t>
        </is>
      </c>
      <c r="C318" t="inlineStr">
        <is>
          <t>Föryngringsavverkning</t>
        </is>
      </c>
      <c r="D318" s="1" t="n">
        <v>44419</v>
      </c>
      <c r="E318" s="1" t="n">
        <v>46223</v>
      </c>
      <c r="F318" t="inlineStr">
        <is>
          <t>VÄSTERBOTTENS LÄN</t>
        </is>
      </c>
      <c r="G318" t="inlineStr">
        <is>
          <t>UMEÅ</t>
        </is>
      </c>
      <c r="H318" t="inlineStr">
        <is>
          <t>Kommuner</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22538-2024</t>
        </is>
      </c>
      <c r="B319" t="inlineStr">
        <is>
          <t>avverkningsanmälan</t>
        </is>
      </c>
      <c r="C319" t="inlineStr">
        <is>
          <t>Föryngringsavverkning</t>
        </is>
      </c>
      <c r="D319" s="1" t="n">
        <v>45447</v>
      </c>
      <c r="E319" s="1" t="n">
        <v>46223</v>
      </c>
      <c r="F319" t="inlineStr">
        <is>
          <t>VÄSTERBOTTENS LÄN</t>
        </is>
      </c>
      <c r="G319" t="inlineStr">
        <is>
          <t>UMEÅ</t>
        </is>
      </c>
      <c r="H319" t="inlineStr">
        <is>
          <t>Holmen skog AB</t>
        </is>
      </c>
      <c r="I319" t="n">
        <v>7.1</v>
      </c>
      <c r="J319" t="n">
        <v>0</v>
      </c>
      <c r="K319" t="n">
        <v>0</v>
      </c>
      <c r="L319" t="n">
        <v>0</v>
      </c>
      <c r="M319" t="n">
        <v>0</v>
      </c>
      <c r="N319" t="n">
        <v>0</v>
      </c>
      <c r="O319" t="n">
        <v>0</v>
      </c>
      <c r="P319" t="n">
        <v>0</v>
      </c>
      <c r="Q319" t="n">
        <v>0</v>
      </c>
      <c r="R319" t="n">
        <v>0</v>
      </c>
      <c r="S319" t="n">
        <v>0</v>
      </c>
      <c r="T319" t="n">
        <v>0</v>
      </c>
      <c r="U319" s="2" t="inlineStr"/>
    </row>
    <row r="320" ht="15" customHeight="1">
      <c r="A320" t="inlineStr">
        <is>
          <t>A 3215-2026</t>
        </is>
      </c>
      <c r="B320" t="inlineStr">
        <is>
          <t>avverkningsanmälan</t>
        </is>
      </c>
      <c r="C320" t="inlineStr">
        <is>
          <t>Föryngringsavverkning</t>
        </is>
      </c>
      <c r="D320" s="1" t="n">
        <v>46041</v>
      </c>
      <c r="E320" s="1" t="n">
        <v>46223</v>
      </c>
      <c r="F320" t="inlineStr">
        <is>
          <t>VÄSTERBOTTENS LÄN</t>
        </is>
      </c>
      <c r="G320" t="inlineStr">
        <is>
          <t>UMEÅ</t>
        </is>
      </c>
      <c r="H320" t="inlineStr">
        <is>
          <t>Sveaskog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2659-2023</t>
        </is>
      </c>
      <c r="B321" t="inlineStr">
        <is>
          <t>avverkningsanmälan</t>
        </is>
      </c>
      <c r="C321" t="inlineStr">
        <is>
          <t>Föryngringsavverkning</t>
        </is>
      </c>
      <c r="D321" s="1" t="n">
        <v>44944</v>
      </c>
      <c r="E321" s="1" t="n">
        <v>46223</v>
      </c>
      <c r="F321" t="inlineStr">
        <is>
          <t>VÄSTERBOTTENS LÄN</t>
        </is>
      </c>
      <c r="G321" t="inlineStr">
        <is>
          <t>UMEÅ</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3964-2026</t>
        </is>
      </c>
      <c r="B322" t="inlineStr">
        <is>
          <t>avverkningsanmälan</t>
        </is>
      </c>
      <c r="C322" t="inlineStr">
        <is>
          <t>Föryngringsavverkning</t>
        </is>
      </c>
      <c r="D322" s="1" t="n">
        <v>46044</v>
      </c>
      <c r="E322" s="1" t="n">
        <v>46223</v>
      </c>
      <c r="F322" t="inlineStr">
        <is>
          <t>VÄSTERBOTTENS LÄN</t>
        </is>
      </c>
      <c r="G322" t="inlineStr">
        <is>
          <t>UMEÅ</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3966-2026</t>
        </is>
      </c>
      <c r="B323" t="inlineStr">
        <is>
          <t>avverkningsanmälan</t>
        </is>
      </c>
      <c r="C323" t="inlineStr">
        <is>
          <t>Föryngringsavverkning</t>
        </is>
      </c>
      <c r="D323" s="1" t="n">
        <v>46044</v>
      </c>
      <c r="E323" s="1" t="n">
        <v>46223</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34320-2024</t>
        </is>
      </c>
      <c r="B324" t="inlineStr">
        <is>
          <t>avverkningsanmälan</t>
        </is>
      </c>
      <c r="C324" t="inlineStr">
        <is>
          <t>Avverkning för annat ändamål</t>
        </is>
      </c>
      <c r="D324" s="1" t="n">
        <v>45524</v>
      </c>
      <c r="E324" s="1" t="n">
        <v>46223</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3972-2026</t>
        </is>
      </c>
      <c r="B325" t="inlineStr">
        <is>
          <t>avverkningsanmälan</t>
        </is>
      </c>
      <c r="C325" t="inlineStr">
        <is>
          <t>Föryngringsavverkning</t>
        </is>
      </c>
      <c r="D325" s="1" t="n">
        <v>46044</v>
      </c>
      <c r="E325" s="1" t="n">
        <v>46223</v>
      </c>
      <c r="F325" t="inlineStr">
        <is>
          <t>VÄSTERBOTTENS LÄN</t>
        </is>
      </c>
      <c r="G325" t="inlineStr">
        <is>
          <t>UMEÅ</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55053-2023</t>
        </is>
      </c>
      <c r="B326" t="inlineStr">
        <is>
          <t>avverkningsanmälan</t>
        </is>
      </c>
      <c r="C326" t="inlineStr">
        <is>
          <t>Föryngringsavverkning</t>
        </is>
      </c>
      <c r="D326" s="1" t="n">
        <v>45237</v>
      </c>
      <c r="E326" s="1" t="n">
        <v>46223</v>
      </c>
      <c r="F326" t="inlineStr">
        <is>
          <t>VÄSTERBOTTENS LÄN</t>
        </is>
      </c>
      <c r="G326" t="inlineStr">
        <is>
          <t>UMEÅ</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4110-2026</t>
        </is>
      </c>
      <c r="B327" t="inlineStr">
        <is>
          <t>avverkningsanmälan</t>
        </is>
      </c>
      <c r="C327" t="inlineStr">
        <is>
          <t>Föryngringsavverkning</t>
        </is>
      </c>
      <c r="D327" s="1" t="n">
        <v>46043</v>
      </c>
      <c r="E327" s="1" t="n">
        <v>46223</v>
      </c>
      <c r="F327" t="inlineStr">
        <is>
          <t>VÄSTERBOTTENS LÄN</t>
        </is>
      </c>
      <c r="G327" t="inlineStr">
        <is>
          <t>UMEÅ</t>
        </is>
      </c>
      <c r="I327" t="n">
        <v>7.6</v>
      </c>
      <c r="J327" t="n">
        <v>0</v>
      </c>
      <c r="K327" t="n">
        <v>0</v>
      </c>
      <c r="L327" t="n">
        <v>0</v>
      </c>
      <c r="M327" t="n">
        <v>0</v>
      </c>
      <c r="N327" t="n">
        <v>0</v>
      </c>
      <c r="O327" t="n">
        <v>0</v>
      </c>
      <c r="P327" t="n">
        <v>0</v>
      </c>
      <c r="Q327" t="n">
        <v>0</v>
      </c>
      <c r="R327" t="n">
        <v>0</v>
      </c>
      <c r="S327" t="n">
        <v>0</v>
      </c>
      <c r="T327" t="n">
        <v>0</v>
      </c>
      <c r="U327" s="2" t="inlineStr"/>
    </row>
    <row r="328" ht="15" customHeight="1">
      <c r="A328" t="inlineStr">
        <is>
          <t>A 16021-2025</t>
        </is>
      </c>
      <c r="B328" t="inlineStr">
        <is>
          <t>avverkningsanmälan</t>
        </is>
      </c>
      <c r="C328" t="inlineStr">
        <is>
          <t>Föryngringsavverkning</t>
        </is>
      </c>
      <c r="D328" s="1" t="n">
        <v>45749</v>
      </c>
      <c r="E328" s="1" t="n">
        <v>46223</v>
      </c>
      <c r="F328" t="inlineStr">
        <is>
          <t>VÄSTERBOTTENS LÄN</t>
        </is>
      </c>
      <c r="G328" t="inlineStr">
        <is>
          <t>UMEÅ</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26930-2025</t>
        </is>
      </c>
      <c r="B329" t="inlineStr">
        <is>
          <t>avverkningsanmälan</t>
        </is>
      </c>
      <c r="C329" t="inlineStr">
        <is>
          <t>Föryngringsavverkning</t>
        </is>
      </c>
      <c r="D329" s="1" t="n">
        <v>45811</v>
      </c>
      <c r="E329" s="1" t="n">
        <v>46223</v>
      </c>
      <c r="F329" t="inlineStr">
        <is>
          <t>VÄSTERBOTTENS LÄN</t>
        </is>
      </c>
      <c r="G329" t="inlineStr">
        <is>
          <t>UMEÅ</t>
        </is>
      </c>
      <c r="H329" t="inlineStr">
        <is>
          <t>Sveaskog</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42014-2024</t>
        </is>
      </c>
      <c r="B330" t="inlineStr">
        <is>
          <t>avverkningsanmälan</t>
        </is>
      </c>
      <c r="C330" t="inlineStr">
        <is>
          <t>Föryngringsavverkning</t>
        </is>
      </c>
      <c r="D330" s="1" t="n">
        <v>45561</v>
      </c>
      <c r="E330" s="1" t="n">
        <v>46223</v>
      </c>
      <c r="F330" t="inlineStr">
        <is>
          <t>VÄSTERBOTTENS LÄN</t>
        </is>
      </c>
      <c r="G330" t="inlineStr">
        <is>
          <t>UMEÅ</t>
        </is>
      </c>
      <c r="I330" t="n">
        <v>3.5</v>
      </c>
      <c r="J330" t="n">
        <v>0</v>
      </c>
      <c r="K330" t="n">
        <v>0</v>
      </c>
      <c r="L330" t="n">
        <v>0</v>
      </c>
      <c r="M330" t="n">
        <v>0</v>
      </c>
      <c r="N330" t="n">
        <v>0</v>
      </c>
      <c r="O330" t="n">
        <v>0</v>
      </c>
      <c r="P330" t="n">
        <v>0</v>
      </c>
      <c r="Q330" t="n">
        <v>0</v>
      </c>
      <c r="R330" t="n">
        <v>0</v>
      </c>
      <c r="S330" t="n">
        <v>0</v>
      </c>
      <c r="T330" t="n">
        <v>0</v>
      </c>
      <c r="U330" s="2" t="inlineStr"/>
    </row>
    <row r="331" ht="15" customHeight="1">
      <c r="A331" t="inlineStr">
        <is>
          <t>A 56085-2024</t>
        </is>
      </c>
      <c r="B331" t="inlineStr">
        <is>
          <t>avverkningsanmälan</t>
        </is>
      </c>
      <c r="C331" t="inlineStr">
        <is>
          <t>Föryngringsavverkning</t>
        </is>
      </c>
      <c r="D331" s="1" t="n">
        <v>45623</v>
      </c>
      <c r="E331" s="1" t="n">
        <v>46223</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1821-2022</t>
        </is>
      </c>
      <c r="B332" t="inlineStr">
        <is>
          <t>avverkningsanmälan</t>
        </is>
      </c>
      <c r="C332" t="inlineStr">
        <is>
          <t>Föryngringsavverkning</t>
        </is>
      </c>
      <c r="D332" s="1" t="n">
        <v>44574</v>
      </c>
      <c r="E332" s="1" t="n">
        <v>46223</v>
      </c>
      <c r="F332" t="inlineStr">
        <is>
          <t>VÄSTERBOTTENS LÄN</t>
        </is>
      </c>
      <c r="G332" t="inlineStr">
        <is>
          <t>UMEÅ</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14242-2023</t>
        </is>
      </c>
      <c r="B333" t="inlineStr">
        <is>
          <t>avverkningsanmälan</t>
        </is>
      </c>
      <c r="C333" t="inlineStr">
        <is>
          <t>Föryngringsavverkning</t>
        </is>
      </c>
      <c r="D333" s="1" t="n">
        <v>45009</v>
      </c>
      <c r="E333" s="1" t="n">
        <v>46223</v>
      </c>
      <c r="F333" t="inlineStr">
        <is>
          <t>VÄSTERBOTTENS LÄN</t>
        </is>
      </c>
      <c r="G333" t="inlineStr">
        <is>
          <t>UMEÅ</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15656-2023</t>
        </is>
      </c>
      <c r="B334" t="inlineStr">
        <is>
          <t>avverkningsanmälan</t>
        </is>
      </c>
      <c r="C334" t="inlineStr">
        <is>
          <t>Föryngringsavverkning</t>
        </is>
      </c>
      <c r="D334" s="1" t="n">
        <v>45019</v>
      </c>
      <c r="E334" s="1" t="n">
        <v>46223</v>
      </c>
      <c r="F334" t="inlineStr">
        <is>
          <t>VÄSTERBOTTENS LÄN</t>
        </is>
      </c>
      <c r="G334" t="inlineStr">
        <is>
          <t>UMEÅ</t>
        </is>
      </c>
      <c r="H334" t="inlineStr">
        <is>
          <t>Kommuner</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19219-2025</t>
        </is>
      </c>
      <c r="B335" t="inlineStr">
        <is>
          <t>avverkningsanmälan</t>
        </is>
      </c>
      <c r="C335" t="inlineStr">
        <is>
          <t>Föryngringsavverkning</t>
        </is>
      </c>
      <c r="D335" s="1" t="n">
        <v>45769</v>
      </c>
      <c r="E335" s="1" t="n">
        <v>46223</v>
      </c>
      <c r="F335" t="inlineStr">
        <is>
          <t>VÄSTERBOTTENS LÄN</t>
        </is>
      </c>
      <c r="G335" t="inlineStr">
        <is>
          <t>UMEÅ</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52679-2022</t>
        </is>
      </c>
      <c r="B336" t="inlineStr">
        <is>
          <t>avverkningsanmälan</t>
        </is>
      </c>
      <c r="C336" t="inlineStr">
        <is>
          <t>Föryngringsavverkning</t>
        </is>
      </c>
      <c r="D336" s="1" t="n">
        <v>44874</v>
      </c>
      <c r="E336" s="1" t="n">
        <v>46223</v>
      </c>
      <c r="F336" t="inlineStr">
        <is>
          <t>VÄSTERBOTTENS LÄN</t>
        </is>
      </c>
      <c r="G336" t="inlineStr">
        <is>
          <t>UMEÅ</t>
        </is>
      </c>
      <c r="H336" t="inlineStr">
        <is>
          <t>Sveaskog</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21081-2024</t>
        </is>
      </c>
      <c r="B337" t="inlineStr">
        <is>
          <t>avverkningsanmälan</t>
        </is>
      </c>
      <c r="C337" t="inlineStr">
        <is>
          <t>Föryngringsavverkning</t>
        </is>
      </c>
      <c r="D337" s="1" t="n">
        <v>45439</v>
      </c>
      <c r="E337" s="1" t="n">
        <v>46223</v>
      </c>
      <c r="F337" t="inlineStr">
        <is>
          <t>VÄSTERBOTTENS LÄN</t>
        </is>
      </c>
      <c r="G337" t="inlineStr">
        <is>
          <t>UMEÅ</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3957-2026</t>
        </is>
      </c>
      <c r="B338" t="inlineStr">
        <is>
          <t>avverkningsanmälan</t>
        </is>
      </c>
      <c r="C338" t="inlineStr">
        <is>
          <t>Föryngringsavverkning</t>
        </is>
      </c>
      <c r="D338" s="1" t="n">
        <v>46044</v>
      </c>
      <c r="E338" s="1" t="n">
        <v>46223</v>
      </c>
      <c r="F338" t="inlineStr">
        <is>
          <t>VÄSTERBOTTENS LÄN</t>
        </is>
      </c>
      <c r="G338" t="inlineStr">
        <is>
          <t>UMEÅ</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3726-2026</t>
        </is>
      </c>
      <c r="B339" t="inlineStr">
        <is>
          <t>avverkningsanmälan</t>
        </is>
      </c>
      <c r="C339" t="inlineStr">
        <is>
          <t>Föryngringsavverkning</t>
        </is>
      </c>
      <c r="D339" s="1" t="n">
        <v>46043</v>
      </c>
      <c r="E339" s="1" t="n">
        <v>46223</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46232-2024</t>
        </is>
      </c>
      <c r="B340" t="inlineStr">
        <is>
          <t>avverkningsanmälan</t>
        </is>
      </c>
      <c r="C340" t="inlineStr">
        <is>
          <t>Föryngringsavverkning</t>
        </is>
      </c>
      <c r="D340" s="1" t="n">
        <v>45581</v>
      </c>
      <c r="E340" s="1" t="n">
        <v>46223</v>
      </c>
      <c r="F340" t="inlineStr">
        <is>
          <t>VÄSTERBOTTENS LÄN</t>
        </is>
      </c>
      <c r="G340" t="inlineStr">
        <is>
          <t>UMEÅ</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31441-2024</t>
        </is>
      </c>
      <c r="B341" t="inlineStr">
        <is>
          <t>avverkningsanmälan</t>
        </is>
      </c>
      <c r="C341" t="inlineStr">
        <is>
          <t>Föryngringsavverkning</t>
        </is>
      </c>
      <c r="D341" s="1" t="n">
        <v>45505</v>
      </c>
      <c r="E341" s="1" t="n">
        <v>46223</v>
      </c>
      <c r="F341" t="inlineStr">
        <is>
          <t>VÄSTERBOTTENS LÄN</t>
        </is>
      </c>
      <c r="G341" t="inlineStr">
        <is>
          <t>UMEÅ</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43124-2024</t>
        </is>
      </c>
      <c r="B342" t="inlineStr">
        <is>
          <t>avverkningsanmälan</t>
        </is>
      </c>
      <c r="C342" t="inlineStr">
        <is>
          <t>Avverkning för annat ändamål</t>
        </is>
      </c>
      <c r="D342" s="1" t="n">
        <v>45567</v>
      </c>
      <c r="E342" s="1" t="n">
        <v>46223</v>
      </c>
      <c r="F342" t="inlineStr">
        <is>
          <t>VÄSTERBOTTENS LÄN</t>
        </is>
      </c>
      <c r="G342" t="inlineStr">
        <is>
          <t>UMEÅ</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22159-2025</t>
        </is>
      </c>
      <c r="B343" t="inlineStr">
        <is>
          <t>avverkningsanmälan</t>
        </is>
      </c>
      <c r="C343" t="inlineStr">
        <is>
          <t>Föryngringsavverkning</t>
        </is>
      </c>
      <c r="D343" s="1" t="n">
        <v>45785</v>
      </c>
      <c r="E343" s="1" t="n">
        <v>46223</v>
      </c>
      <c r="F343" t="inlineStr">
        <is>
          <t>VÄSTERBOTTENS LÄN</t>
        </is>
      </c>
      <c r="G343" t="inlineStr">
        <is>
          <t>UMEÅ</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58954-2024</t>
        </is>
      </c>
      <c r="B344" t="inlineStr">
        <is>
          <t>avverkningsanmälan</t>
        </is>
      </c>
      <c r="C344" t="inlineStr">
        <is>
          <t>Föryngringsavverkning</t>
        </is>
      </c>
      <c r="D344" s="1" t="n">
        <v>45636</v>
      </c>
      <c r="E344" s="1" t="n">
        <v>46223</v>
      </c>
      <c r="F344" t="inlineStr">
        <is>
          <t>VÄSTERBOTTENS LÄN</t>
        </is>
      </c>
      <c r="G344" t="inlineStr">
        <is>
          <t>UMEÅ</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59029-2024</t>
        </is>
      </c>
      <c r="B345" t="inlineStr">
        <is>
          <t>avverkningsanmälan</t>
        </is>
      </c>
      <c r="C345" t="inlineStr">
        <is>
          <t>Föryngringsavverkning</t>
        </is>
      </c>
      <c r="D345" s="1" t="n">
        <v>45636</v>
      </c>
      <c r="E345" s="1" t="n">
        <v>46223</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19053-2023</t>
        </is>
      </c>
      <c r="B346" t="inlineStr">
        <is>
          <t>avverkningsanmälan</t>
        </is>
      </c>
      <c r="C346" t="inlineStr">
        <is>
          <t>Föryngringsavverkning</t>
        </is>
      </c>
      <c r="D346" s="1" t="n">
        <v>45047</v>
      </c>
      <c r="E346" s="1" t="n">
        <v>46223</v>
      </c>
      <c r="F346" t="inlineStr">
        <is>
          <t>VÄSTERBOTTENS LÄN</t>
        </is>
      </c>
      <c r="G346" t="inlineStr">
        <is>
          <t>UMEÅ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29330-2025</t>
        </is>
      </c>
      <c r="B347" t="inlineStr">
        <is>
          <t>avverkningsanmälan</t>
        </is>
      </c>
      <c r="C347" t="inlineStr">
        <is>
          <t>Föryngringsavverkning</t>
        </is>
      </c>
      <c r="D347" s="1" t="n">
        <v>45824</v>
      </c>
      <c r="E347" s="1" t="n">
        <v>46223</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29344-2025</t>
        </is>
      </c>
      <c r="B348" t="inlineStr">
        <is>
          <t>avverkningsanmälan</t>
        </is>
      </c>
      <c r="C348" t="inlineStr">
        <is>
          <t>Föryngringsavverkning</t>
        </is>
      </c>
      <c r="D348" s="1" t="n">
        <v>45824</v>
      </c>
      <c r="E348" s="1" t="n">
        <v>46223</v>
      </c>
      <c r="F348" t="inlineStr">
        <is>
          <t>VÄSTERBOTTENS LÄN</t>
        </is>
      </c>
      <c r="G348" t="inlineStr">
        <is>
          <t>UMEÅ</t>
        </is>
      </c>
      <c r="I348" t="n">
        <v>8</v>
      </c>
      <c r="J348" t="n">
        <v>0</v>
      </c>
      <c r="K348" t="n">
        <v>0</v>
      </c>
      <c r="L348" t="n">
        <v>0</v>
      </c>
      <c r="M348" t="n">
        <v>0</v>
      </c>
      <c r="N348" t="n">
        <v>0</v>
      </c>
      <c r="O348" t="n">
        <v>0</v>
      </c>
      <c r="P348" t="n">
        <v>0</v>
      </c>
      <c r="Q348" t="n">
        <v>0</v>
      </c>
      <c r="R348" t="n">
        <v>0</v>
      </c>
      <c r="S348" t="n">
        <v>0</v>
      </c>
      <c r="T348" t="n">
        <v>0</v>
      </c>
      <c r="U348" s="2" t="inlineStr"/>
    </row>
    <row r="349" ht="15" customHeight="1">
      <c r="A349" t="inlineStr">
        <is>
          <t>A 29327-2025</t>
        </is>
      </c>
      <c r="B349" t="inlineStr">
        <is>
          <t>avverkningsanmälan</t>
        </is>
      </c>
      <c r="C349" t="inlineStr">
        <is>
          <t>Föryngringsavverkning</t>
        </is>
      </c>
      <c r="D349" s="1" t="n">
        <v>45824</v>
      </c>
      <c r="E349" s="1" t="n">
        <v>46223</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32510-2025</t>
        </is>
      </c>
      <c r="B350" t="inlineStr">
        <is>
          <t>avverkningsanmälan</t>
        </is>
      </c>
      <c r="C350" t="inlineStr">
        <is>
          <t>Föryngringsavverkning</t>
        </is>
      </c>
      <c r="D350" s="1" t="n">
        <v>45838</v>
      </c>
      <c r="E350" s="1" t="n">
        <v>46223</v>
      </c>
      <c r="F350" t="inlineStr">
        <is>
          <t>VÄSTERBOTTENS LÄN</t>
        </is>
      </c>
      <c r="G350" t="inlineStr">
        <is>
          <t>UMEÅ</t>
        </is>
      </c>
      <c r="I350" t="n">
        <v>7.1</v>
      </c>
      <c r="J350" t="n">
        <v>0</v>
      </c>
      <c r="K350" t="n">
        <v>0</v>
      </c>
      <c r="L350" t="n">
        <v>0</v>
      </c>
      <c r="M350" t="n">
        <v>0</v>
      </c>
      <c r="N350" t="n">
        <v>0</v>
      </c>
      <c r="O350" t="n">
        <v>0</v>
      </c>
      <c r="P350" t="n">
        <v>0</v>
      </c>
      <c r="Q350" t="n">
        <v>0</v>
      </c>
      <c r="R350" t="n">
        <v>0</v>
      </c>
      <c r="S350" t="n">
        <v>0</v>
      </c>
      <c r="T350" t="n">
        <v>0</v>
      </c>
      <c r="U350" s="2" t="inlineStr"/>
    </row>
    <row r="351" ht="15" customHeight="1">
      <c r="A351" t="inlineStr">
        <is>
          <t>A 40039-2025</t>
        </is>
      </c>
      <c r="B351" t="inlineStr">
        <is>
          <t>avverkningsanmälan</t>
        </is>
      </c>
      <c r="C351" t="inlineStr">
        <is>
          <t>Föryngringsavverkning</t>
        </is>
      </c>
      <c r="D351" s="1" t="n">
        <v>45894</v>
      </c>
      <c r="E351" s="1" t="n">
        <v>46223</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40040-2025</t>
        </is>
      </c>
      <c r="B352" t="inlineStr">
        <is>
          <t>avverkningsanmälan</t>
        </is>
      </c>
      <c r="C352" t="inlineStr">
        <is>
          <t>Föryngringsavverkning</t>
        </is>
      </c>
      <c r="D352" s="1" t="n">
        <v>45894</v>
      </c>
      <c r="E352" s="1" t="n">
        <v>46223</v>
      </c>
      <c r="F352" t="inlineStr">
        <is>
          <t>VÄSTERBOTTENS LÄN</t>
        </is>
      </c>
      <c r="G352" t="inlineStr">
        <is>
          <t>UMEÅ</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11157-2022</t>
        </is>
      </c>
      <c r="B353" t="inlineStr">
        <is>
          <t>avverkningsanmälan</t>
        </is>
      </c>
      <c r="C353" t="inlineStr">
        <is>
          <t>Föryngringsavverkning</t>
        </is>
      </c>
      <c r="D353" s="1" t="n">
        <v>44629</v>
      </c>
      <c r="E353" s="1" t="n">
        <v>46223</v>
      </c>
      <c r="F353" t="inlineStr">
        <is>
          <t>VÄSTERBOTTENS LÄN</t>
        </is>
      </c>
      <c r="G353" t="inlineStr">
        <is>
          <t>UMEÅ</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7382-2022</t>
        </is>
      </c>
      <c r="B354" t="inlineStr">
        <is>
          <t>avverkningsanmälan</t>
        </is>
      </c>
      <c r="C354" t="inlineStr">
        <is>
          <t>Föryngringsavverkning</t>
        </is>
      </c>
      <c r="D354" s="1" t="n">
        <v>44606</v>
      </c>
      <c r="E354" s="1" t="n">
        <v>46223</v>
      </c>
      <c r="F354" t="inlineStr">
        <is>
          <t>VÄSTERBOTTENS LÄN</t>
        </is>
      </c>
      <c r="G354" t="inlineStr">
        <is>
          <t>UMEÅ</t>
        </is>
      </c>
      <c r="I354" t="n">
        <v>3.8</v>
      </c>
      <c r="J354" t="n">
        <v>0</v>
      </c>
      <c r="K354" t="n">
        <v>0</v>
      </c>
      <c r="L354" t="n">
        <v>0</v>
      </c>
      <c r="M354" t="n">
        <v>0</v>
      </c>
      <c r="N354" t="n">
        <v>0</v>
      </c>
      <c r="O354" t="n">
        <v>0</v>
      </c>
      <c r="P354" t="n">
        <v>0</v>
      </c>
      <c r="Q354" t="n">
        <v>0</v>
      </c>
      <c r="R354" t="n">
        <v>0</v>
      </c>
      <c r="S354" t="n">
        <v>0</v>
      </c>
      <c r="T354" t="n">
        <v>0</v>
      </c>
      <c r="U354" s="2" t="inlineStr"/>
    </row>
    <row r="355" ht="15" customHeight="1">
      <c r="A355" t="inlineStr">
        <is>
          <t>A 29583-2025</t>
        </is>
      </c>
      <c r="B355" t="inlineStr">
        <is>
          <t>avverkningsanmälan</t>
        </is>
      </c>
      <c r="C355" t="inlineStr">
        <is>
          <t>Föryngringsavverkning</t>
        </is>
      </c>
      <c r="D355" s="1" t="n">
        <v>45825</v>
      </c>
      <c r="E355" s="1" t="n">
        <v>46223</v>
      </c>
      <c r="F355" t="inlineStr">
        <is>
          <t>VÄSTERBOTTENS LÄN</t>
        </is>
      </c>
      <c r="G355" t="inlineStr">
        <is>
          <t>UMEÅ</t>
        </is>
      </c>
      <c r="H355" t="inlineStr">
        <is>
          <t>Holmen skog AB</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10898-2025</t>
        </is>
      </c>
      <c r="B356" t="inlineStr">
        <is>
          <t>avverkningsanmälan</t>
        </is>
      </c>
      <c r="C356" t="inlineStr">
        <is>
          <t>Föryngringsavverkning</t>
        </is>
      </c>
      <c r="D356" s="1" t="n">
        <v>45722</v>
      </c>
      <c r="E356" s="1" t="n">
        <v>46223</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4633-2026</t>
        </is>
      </c>
      <c r="B357" t="inlineStr">
        <is>
          <t>avverkningsanmälan</t>
        </is>
      </c>
      <c r="C357" t="inlineStr">
        <is>
          <t>Föryngringsavverkning</t>
        </is>
      </c>
      <c r="D357" s="1" t="n">
        <v>46048</v>
      </c>
      <c r="E357" s="1" t="n">
        <v>46223</v>
      </c>
      <c r="F357" t="inlineStr">
        <is>
          <t>VÄSTERBOTTENS LÄN</t>
        </is>
      </c>
      <c r="G357" t="inlineStr">
        <is>
          <t>UMEÅ</t>
        </is>
      </c>
      <c r="I357" t="n">
        <v>3.3</v>
      </c>
      <c r="J357" t="n">
        <v>0</v>
      </c>
      <c r="K357" t="n">
        <v>0</v>
      </c>
      <c r="L357" t="n">
        <v>0</v>
      </c>
      <c r="M357" t="n">
        <v>0</v>
      </c>
      <c r="N357" t="n">
        <v>0</v>
      </c>
      <c r="O357" t="n">
        <v>0</v>
      </c>
      <c r="P357" t="n">
        <v>0</v>
      </c>
      <c r="Q357" t="n">
        <v>0</v>
      </c>
      <c r="R357" t="n">
        <v>0</v>
      </c>
      <c r="S357" t="n">
        <v>0</v>
      </c>
      <c r="T357" t="n">
        <v>0</v>
      </c>
      <c r="U357" s="2" t="inlineStr"/>
    </row>
    <row r="358" ht="15" customHeight="1">
      <c r="A358" t="inlineStr">
        <is>
          <t>A 29704-2025</t>
        </is>
      </c>
      <c r="B358" t="inlineStr">
        <is>
          <t>avverkningsanmälan</t>
        </is>
      </c>
      <c r="C358" t="inlineStr">
        <is>
          <t>Föryngringsavverkning</t>
        </is>
      </c>
      <c r="D358" s="1" t="n">
        <v>45825</v>
      </c>
      <c r="E358" s="1" t="n">
        <v>46223</v>
      </c>
      <c r="F358" t="inlineStr">
        <is>
          <t>VÄSTERBOTTENS LÄN</t>
        </is>
      </c>
      <c r="G358" t="inlineStr">
        <is>
          <t>UMEÅ</t>
        </is>
      </c>
      <c r="H358" t="inlineStr">
        <is>
          <t>Holmen skog AB</t>
        </is>
      </c>
      <c r="I358" t="n">
        <v>35.1</v>
      </c>
      <c r="J358" t="n">
        <v>0</v>
      </c>
      <c r="K358" t="n">
        <v>0</v>
      </c>
      <c r="L358" t="n">
        <v>0</v>
      </c>
      <c r="M358" t="n">
        <v>0</v>
      </c>
      <c r="N358" t="n">
        <v>0</v>
      </c>
      <c r="O358" t="n">
        <v>0</v>
      </c>
      <c r="P358" t="n">
        <v>0</v>
      </c>
      <c r="Q358" t="n">
        <v>0</v>
      </c>
      <c r="R358" t="n">
        <v>0</v>
      </c>
      <c r="S358" t="n">
        <v>0</v>
      </c>
      <c r="T358" t="n">
        <v>0</v>
      </c>
      <c r="U358" s="2" t="inlineStr"/>
    </row>
    <row r="359" ht="15" customHeight="1">
      <c r="A359" t="inlineStr">
        <is>
          <t>A 29502-2025</t>
        </is>
      </c>
      <c r="B359" t="inlineStr">
        <is>
          <t>avverkningsanmälan</t>
        </is>
      </c>
      <c r="C359" t="inlineStr">
        <is>
          <t>Föryngringsavverkning</t>
        </is>
      </c>
      <c r="D359" s="1" t="n">
        <v>45825</v>
      </c>
      <c r="E359" s="1" t="n">
        <v>46223</v>
      </c>
      <c r="F359" t="inlineStr">
        <is>
          <t>VÄSTERBOTTENS LÄN</t>
        </is>
      </c>
      <c r="G359" t="inlineStr">
        <is>
          <t>UMEÅ</t>
        </is>
      </c>
      <c r="H359" t="inlineStr">
        <is>
          <t>Holmen skog AB</t>
        </is>
      </c>
      <c r="I359" t="n">
        <v>5.8</v>
      </c>
      <c r="J359" t="n">
        <v>0</v>
      </c>
      <c r="K359" t="n">
        <v>0</v>
      </c>
      <c r="L359" t="n">
        <v>0</v>
      </c>
      <c r="M359" t="n">
        <v>0</v>
      </c>
      <c r="N359" t="n">
        <v>0</v>
      </c>
      <c r="O359" t="n">
        <v>0</v>
      </c>
      <c r="P359" t="n">
        <v>0</v>
      </c>
      <c r="Q359" t="n">
        <v>0</v>
      </c>
      <c r="R359" t="n">
        <v>0</v>
      </c>
      <c r="S359" t="n">
        <v>0</v>
      </c>
      <c r="T359" t="n">
        <v>0</v>
      </c>
      <c r="U359" s="2" t="inlineStr"/>
    </row>
    <row r="360" ht="15" customHeight="1">
      <c r="A360" t="inlineStr">
        <is>
          <t>A 40949-2025</t>
        </is>
      </c>
      <c r="B360" t="inlineStr">
        <is>
          <t>avverkningsanmälan</t>
        </is>
      </c>
      <c r="C360" t="inlineStr">
        <is>
          <t>Föryngringsavverkning</t>
        </is>
      </c>
      <c r="D360" s="1" t="n">
        <v>45897</v>
      </c>
      <c r="E360" s="1" t="n">
        <v>46223</v>
      </c>
      <c r="F360" t="inlineStr">
        <is>
          <t>VÄSTERBOTTENS LÄN</t>
        </is>
      </c>
      <c r="G360" t="inlineStr">
        <is>
          <t>UMEÅ</t>
        </is>
      </c>
      <c r="H360" t="inlineStr">
        <is>
          <t>Holmen skog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41163-2025</t>
        </is>
      </c>
      <c r="B361" t="inlineStr">
        <is>
          <t>avverkningsanmälan</t>
        </is>
      </c>
      <c r="C361" t="inlineStr">
        <is>
          <t>Föryngringsavverkning</t>
        </is>
      </c>
      <c r="D361" s="1" t="n">
        <v>45898</v>
      </c>
      <c r="E361" s="1" t="n">
        <v>46223</v>
      </c>
      <c r="F361" t="inlineStr">
        <is>
          <t>VÄSTERBOTTENS LÄN</t>
        </is>
      </c>
      <c r="G361" t="inlineStr">
        <is>
          <t>UMEÅ</t>
        </is>
      </c>
      <c r="H361" t="inlineStr">
        <is>
          <t>Holmen skog AB</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40736-2025</t>
        </is>
      </c>
      <c r="B362" t="inlineStr">
        <is>
          <t>avverkningsanmälan</t>
        </is>
      </c>
      <c r="C362" t="inlineStr">
        <is>
          <t>Föryngringsavverkning</t>
        </is>
      </c>
      <c r="D362" s="1" t="n">
        <v>45897</v>
      </c>
      <c r="E362" s="1" t="n">
        <v>46223</v>
      </c>
      <c r="F362" t="inlineStr">
        <is>
          <t>VÄSTERBOTTENS LÄN</t>
        </is>
      </c>
      <c r="G362" t="inlineStr">
        <is>
          <t>UMEÅ</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1480-2023</t>
        </is>
      </c>
      <c r="B363" t="inlineStr">
        <is>
          <t>avverkningsanmälan</t>
        </is>
      </c>
      <c r="C363" t="inlineStr">
        <is>
          <t>Föryngringsavverkning</t>
        </is>
      </c>
      <c r="D363" s="1" t="n">
        <v>44937</v>
      </c>
      <c r="E363" s="1" t="n">
        <v>46223</v>
      </c>
      <c r="F363" t="inlineStr">
        <is>
          <t>VÄSTERBOTTENS LÄN</t>
        </is>
      </c>
      <c r="G363" t="inlineStr">
        <is>
          <t>UMEÅ</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5291-2026</t>
        </is>
      </c>
      <c r="B364" t="inlineStr">
        <is>
          <t>avverkningsanmälan</t>
        </is>
      </c>
      <c r="C364" t="inlineStr">
        <is>
          <t>Föryngringsavverkning</t>
        </is>
      </c>
      <c r="D364" s="1" t="n">
        <v>46050</v>
      </c>
      <c r="E364" s="1" t="n">
        <v>46223</v>
      </c>
      <c r="F364" t="inlineStr">
        <is>
          <t>VÄSTERBOTTENS LÄN</t>
        </is>
      </c>
      <c r="G364" t="inlineStr">
        <is>
          <t>UMEÅ</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5293-2026</t>
        </is>
      </c>
      <c r="B365" t="inlineStr">
        <is>
          <t>avverkningsanmälan</t>
        </is>
      </c>
      <c r="C365" t="inlineStr">
        <is>
          <t>Föryngringsavverkning</t>
        </is>
      </c>
      <c r="D365" s="1" t="n">
        <v>46050</v>
      </c>
      <c r="E365" s="1" t="n">
        <v>46223</v>
      </c>
      <c r="F365" t="inlineStr">
        <is>
          <t>VÄSTERBOTTENS LÄN</t>
        </is>
      </c>
      <c r="G365" t="inlineStr">
        <is>
          <t>UMEÅ</t>
        </is>
      </c>
      <c r="I365" t="n">
        <v>2.4</v>
      </c>
      <c r="J365" t="n">
        <v>0</v>
      </c>
      <c r="K365" t="n">
        <v>0</v>
      </c>
      <c r="L365" t="n">
        <v>0</v>
      </c>
      <c r="M365" t="n">
        <v>0</v>
      </c>
      <c r="N365" t="n">
        <v>0</v>
      </c>
      <c r="O365" t="n">
        <v>0</v>
      </c>
      <c r="P365" t="n">
        <v>0</v>
      </c>
      <c r="Q365" t="n">
        <v>0</v>
      </c>
      <c r="R365" t="n">
        <v>0</v>
      </c>
      <c r="S365" t="n">
        <v>0</v>
      </c>
      <c r="T365" t="n">
        <v>0</v>
      </c>
      <c r="U365" s="2" t="inlineStr"/>
    </row>
    <row r="366" ht="15" customHeight="1">
      <c r="A366" t="inlineStr">
        <is>
          <t>A 41466-2025</t>
        </is>
      </c>
      <c r="B366" t="inlineStr">
        <is>
          <t>avverkningsanmälan</t>
        </is>
      </c>
      <c r="C366" t="inlineStr">
        <is>
          <t>Föryngringsavverkning</t>
        </is>
      </c>
      <c r="D366" s="1" t="n">
        <v>45901</v>
      </c>
      <c r="E366" s="1" t="n">
        <v>46223</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s="2" t="inlineStr"/>
    </row>
    <row r="367" ht="15" customHeight="1">
      <c r="A367" t="inlineStr">
        <is>
          <t>A 41751-2025</t>
        </is>
      </c>
      <c r="B367" t="inlineStr">
        <is>
          <t>avverkningsanmälan</t>
        </is>
      </c>
      <c r="C367" t="inlineStr">
        <is>
          <t>Föryngringsavverkning</t>
        </is>
      </c>
      <c r="D367" s="1" t="n">
        <v>45902</v>
      </c>
      <c r="E367" s="1" t="n">
        <v>46223</v>
      </c>
      <c r="F367" t="inlineStr">
        <is>
          <t>VÄSTERBOTTENS LÄN</t>
        </is>
      </c>
      <c r="G367" t="inlineStr">
        <is>
          <t>UMEÅ</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41580-2025</t>
        </is>
      </c>
      <c r="B368" t="inlineStr">
        <is>
          <t>avverkningsanmälan</t>
        </is>
      </c>
      <c r="C368" t="inlineStr">
        <is>
          <t>Föryngringsavverkning</t>
        </is>
      </c>
      <c r="D368" s="1" t="n">
        <v>45901</v>
      </c>
      <c r="E368" s="1" t="n">
        <v>46223</v>
      </c>
      <c r="F368" t="inlineStr">
        <is>
          <t>VÄSTERBOTTENS LÄN</t>
        </is>
      </c>
      <c r="G368" t="inlineStr">
        <is>
          <t>UMEÅ</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7205-2025</t>
        </is>
      </c>
      <c r="B369" t="inlineStr">
        <is>
          <t>avverkningsanmälan</t>
        </is>
      </c>
      <c r="C369" t="inlineStr">
        <is>
          <t>Föryngringsavverkning</t>
        </is>
      </c>
      <c r="D369" s="1" t="n">
        <v>45702</v>
      </c>
      <c r="E369" s="1" t="n">
        <v>46223</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30960-2025</t>
        </is>
      </c>
      <c r="B370" t="inlineStr">
        <is>
          <t>avverkningsanmälan</t>
        </is>
      </c>
      <c r="C370" t="inlineStr">
        <is>
          <t>Föryngringsavverkning</t>
        </is>
      </c>
      <c r="D370" s="1" t="n">
        <v>45832</v>
      </c>
      <c r="E370" s="1" t="n">
        <v>46223</v>
      </c>
      <c r="F370" t="inlineStr">
        <is>
          <t>VÄSTERBOTTENS LÄN</t>
        </is>
      </c>
      <c r="G370" t="inlineStr">
        <is>
          <t>UMEÅ</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25689-2025</t>
        </is>
      </c>
      <c r="B371" t="inlineStr">
        <is>
          <t>avverkningsanmälan</t>
        </is>
      </c>
      <c r="C371" t="inlineStr">
        <is>
          <t>Föryngringsavverkning</t>
        </is>
      </c>
      <c r="D371" s="1" t="n">
        <v>45803</v>
      </c>
      <c r="E371" s="1" t="n">
        <v>46223</v>
      </c>
      <c r="F371" t="inlineStr">
        <is>
          <t>VÄSTERBOTTENS LÄN</t>
        </is>
      </c>
      <c r="G371" t="inlineStr">
        <is>
          <t>UMEÅ</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42204-2025</t>
        </is>
      </c>
      <c r="B372" t="inlineStr">
        <is>
          <t>avverkningsanmälan</t>
        </is>
      </c>
      <c r="C372" t="inlineStr">
        <is>
          <t>Föryngringsavverkning</t>
        </is>
      </c>
      <c r="D372" s="1" t="n">
        <v>45904</v>
      </c>
      <c r="E372" s="1" t="n">
        <v>46223</v>
      </c>
      <c r="F372" t="inlineStr">
        <is>
          <t>VÄSTERBOTTENS LÄN</t>
        </is>
      </c>
      <c r="G372" t="inlineStr">
        <is>
          <t>UMEÅ</t>
        </is>
      </c>
      <c r="H372" t="inlineStr">
        <is>
          <t>Holmen skog AB</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9607-2023</t>
        </is>
      </c>
      <c r="B373" t="inlineStr">
        <is>
          <t>avverkningsanmälan</t>
        </is>
      </c>
      <c r="C373" t="inlineStr">
        <is>
          <t>Föryngringsavverkning</t>
        </is>
      </c>
      <c r="D373" s="1" t="n">
        <v>44983</v>
      </c>
      <c r="E373" s="1" t="n">
        <v>46223</v>
      </c>
      <c r="F373" t="inlineStr">
        <is>
          <t>VÄSTERBOTTENS LÄN</t>
        </is>
      </c>
      <c r="G373" t="inlineStr">
        <is>
          <t>UMEÅ</t>
        </is>
      </c>
      <c r="H373" t="inlineStr">
        <is>
          <t>Holmen skog AB</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31599-2025</t>
        </is>
      </c>
      <c r="B374" t="inlineStr">
        <is>
          <t>avverkningsanmälan</t>
        </is>
      </c>
      <c r="C374" t="inlineStr">
        <is>
          <t>Föryngringsavverkning</t>
        </is>
      </c>
      <c r="D374" s="1" t="n">
        <v>45833</v>
      </c>
      <c r="E374" s="1" t="n">
        <v>46223</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56743-2023</t>
        </is>
      </c>
      <c r="B375" t="inlineStr">
        <is>
          <t>avverkningsanmälan</t>
        </is>
      </c>
      <c r="C375" t="inlineStr">
        <is>
          <t>Föryngringsavverkning</t>
        </is>
      </c>
      <c r="D375" s="1" t="n">
        <v>45244</v>
      </c>
      <c r="E375" s="1" t="n">
        <v>46223</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42198-2025</t>
        </is>
      </c>
      <c r="B376" t="inlineStr">
        <is>
          <t>avverkningsanmälan</t>
        </is>
      </c>
      <c r="C376" t="inlineStr">
        <is>
          <t>Föryngringsavverkning</t>
        </is>
      </c>
      <c r="D376" s="1" t="n">
        <v>45904</v>
      </c>
      <c r="E376" s="1" t="n">
        <v>46223</v>
      </c>
      <c r="F376" t="inlineStr">
        <is>
          <t>VÄSTERBOTTENS LÄN</t>
        </is>
      </c>
      <c r="G376" t="inlineStr">
        <is>
          <t>UMEÅ</t>
        </is>
      </c>
      <c r="H376" t="inlineStr">
        <is>
          <t>Holmen skog AB</t>
        </is>
      </c>
      <c r="I376" t="n">
        <v>3.2</v>
      </c>
      <c r="J376" t="n">
        <v>0</v>
      </c>
      <c r="K376" t="n">
        <v>0</v>
      </c>
      <c r="L376" t="n">
        <v>0</v>
      </c>
      <c r="M376" t="n">
        <v>0</v>
      </c>
      <c r="N376" t="n">
        <v>0</v>
      </c>
      <c r="O376" t="n">
        <v>0</v>
      </c>
      <c r="P376" t="n">
        <v>0</v>
      </c>
      <c r="Q376" t="n">
        <v>0</v>
      </c>
      <c r="R376" t="n">
        <v>0</v>
      </c>
      <c r="S376" t="n">
        <v>0</v>
      </c>
      <c r="T376" t="n">
        <v>0</v>
      </c>
      <c r="U376" s="2" t="inlineStr"/>
    </row>
    <row r="377" ht="15" customHeight="1">
      <c r="A377" t="inlineStr">
        <is>
          <t>A 42476-2025</t>
        </is>
      </c>
      <c r="B377" t="inlineStr">
        <is>
          <t>avverkningsanmälan</t>
        </is>
      </c>
      <c r="C377" t="inlineStr">
        <is>
          <t>Föryngringsavverkning</t>
        </is>
      </c>
      <c r="D377" s="1" t="n">
        <v>45904</v>
      </c>
      <c r="E377" s="1" t="n">
        <v>46223</v>
      </c>
      <c r="F377" t="inlineStr">
        <is>
          <t>VÄSTERBOTTENS LÄN</t>
        </is>
      </c>
      <c r="G377" t="inlineStr">
        <is>
          <t>UMEÅ</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42176-2025</t>
        </is>
      </c>
      <c r="B378" t="inlineStr">
        <is>
          <t>avverkningsanmälan</t>
        </is>
      </c>
      <c r="C378" t="inlineStr">
        <is>
          <t>Föryngringsavverkning</t>
        </is>
      </c>
      <c r="D378" s="1" t="n">
        <v>45904</v>
      </c>
      <c r="E378" s="1" t="n">
        <v>46223</v>
      </c>
      <c r="F378" t="inlineStr">
        <is>
          <t>VÄSTERBOTTENS LÄN</t>
        </is>
      </c>
      <c r="G378" t="inlineStr">
        <is>
          <t>UMEÅ</t>
        </is>
      </c>
      <c r="H378" t="inlineStr">
        <is>
          <t>Holmen skog AB</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17344-2025</t>
        </is>
      </c>
      <c r="B379" t="inlineStr">
        <is>
          <t>avverkningsanmälan</t>
        </is>
      </c>
      <c r="C379" t="inlineStr">
        <is>
          <t>Föryngringsavverkning</t>
        </is>
      </c>
      <c r="D379" s="1" t="n">
        <v>45756</v>
      </c>
      <c r="E379" s="1" t="n">
        <v>46223</v>
      </c>
      <c r="F379" t="inlineStr">
        <is>
          <t>VÄSTERBOTTENS LÄN</t>
        </is>
      </c>
      <c r="G379" t="inlineStr">
        <is>
          <t>UMEÅ</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5013-2026</t>
        </is>
      </c>
      <c r="B380" t="inlineStr">
        <is>
          <t>avverkningsanmälan</t>
        </is>
      </c>
      <c r="C380" t="inlineStr">
        <is>
          <t>Föryngringsavverkning</t>
        </is>
      </c>
      <c r="D380" s="1" t="n">
        <v>46049</v>
      </c>
      <c r="E380" s="1" t="n">
        <v>46223</v>
      </c>
      <c r="F380" t="inlineStr">
        <is>
          <t>VÄSTERBOTTENS LÄN</t>
        </is>
      </c>
      <c r="G380" t="inlineStr">
        <is>
          <t>UMEÅ</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5322-2026</t>
        </is>
      </c>
      <c r="B381" t="inlineStr">
        <is>
          <t>avverkningsanmälan</t>
        </is>
      </c>
      <c r="C381" t="inlineStr">
        <is>
          <t>Föryngringsavverkning</t>
        </is>
      </c>
      <c r="D381" s="1" t="n">
        <v>46050</v>
      </c>
      <c r="E381" s="1" t="n">
        <v>46223</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15105-2024</t>
        </is>
      </c>
      <c r="B382" t="inlineStr">
        <is>
          <t>avverkningsanmälan</t>
        </is>
      </c>
      <c r="C382" t="inlineStr">
        <is>
          <t>Föryngringsavverkning</t>
        </is>
      </c>
      <c r="D382" s="1" t="n">
        <v>45399</v>
      </c>
      <c r="E382" s="1" t="n">
        <v>46223</v>
      </c>
      <c r="F382" t="inlineStr">
        <is>
          <t>VÄSTERBOTTENS LÄN</t>
        </is>
      </c>
      <c r="G382" t="inlineStr">
        <is>
          <t>UMEÅ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43016-2025</t>
        </is>
      </c>
      <c r="B383" t="inlineStr">
        <is>
          <t>avverkningsanmälan</t>
        </is>
      </c>
      <c r="C383" t="inlineStr">
        <is>
          <t>Föryngringsavverkning</t>
        </is>
      </c>
      <c r="D383" s="1" t="n">
        <v>45909</v>
      </c>
      <c r="E383" s="1" t="n">
        <v>46223</v>
      </c>
      <c r="F383" t="inlineStr">
        <is>
          <t>VÄSTERBOTTENS LÄN</t>
        </is>
      </c>
      <c r="G383" t="inlineStr">
        <is>
          <t>UMEÅ</t>
        </is>
      </c>
      <c r="H383" t="inlineStr">
        <is>
          <t>Holmen skog AB</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32522-2025</t>
        </is>
      </c>
      <c r="B384" t="inlineStr">
        <is>
          <t>avverkningsanmälan</t>
        </is>
      </c>
      <c r="C384" t="inlineStr">
        <is>
          <t>Föryngringsavverkning</t>
        </is>
      </c>
      <c r="D384" s="1" t="n">
        <v>45838</v>
      </c>
      <c r="E384" s="1" t="n">
        <v>46223</v>
      </c>
      <c r="F384" t="inlineStr">
        <is>
          <t>VÄSTERBOTTENS LÄN</t>
        </is>
      </c>
      <c r="G384" t="inlineStr">
        <is>
          <t>UMEÅ</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43111-2025</t>
        </is>
      </c>
      <c r="B385" t="inlineStr">
        <is>
          <t>avverkningsanmälan</t>
        </is>
      </c>
      <c r="C385" t="inlineStr">
        <is>
          <t>Föryngringsavverkning</t>
        </is>
      </c>
      <c r="D385" s="1" t="n">
        <v>45909</v>
      </c>
      <c r="E385" s="1" t="n">
        <v>46223</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5329-2026</t>
        </is>
      </c>
      <c r="B386" t="inlineStr">
        <is>
          <t>avverkningsanmälan</t>
        </is>
      </c>
      <c r="C386" t="inlineStr">
        <is>
          <t>Föryngringsavverkning</t>
        </is>
      </c>
      <c r="D386" s="1" t="n">
        <v>46050</v>
      </c>
      <c r="E386" s="1" t="n">
        <v>46223</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5011-2026</t>
        </is>
      </c>
      <c r="B387" t="inlineStr">
        <is>
          <t>avverkningsanmälan</t>
        </is>
      </c>
      <c r="C387" t="inlineStr">
        <is>
          <t>Föryngringsavverkning</t>
        </is>
      </c>
      <c r="D387" s="1" t="n">
        <v>46049</v>
      </c>
      <c r="E387" s="1" t="n">
        <v>46223</v>
      </c>
      <c r="F387" t="inlineStr">
        <is>
          <t>VÄSTERBOTTENS LÄN</t>
        </is>
      </c>
      <c r="G387" t="inlineStr">
        <is>
          <t>UMEÅ</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5016-2026</t>
        </is>
      </c>
      <c r="B388" t="inlineStr">
        <is>
          <t>avverkningsanmälan</t>
        </is>
      </c>
      <c r="C388" t="inlineStr">
        <is>
          <t>Föryngringsavverkning</t>
        </is>
      </c>
      <c r="D388" s="1" t="n">
        <v>46049</v>
      </c>
      <c r="E388" s="1" t="n">
        <v>46223</v>
      </c>
      <c r="F388" t="inlineStr">
        <is>
          <t>VÄSTERBOTTENS LÄN</t>
        </is>
      </c>
      <c r="G388" t="inlineStr">
        <is>
          <t>UMEÅ</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50879-2023</t>
        </is>
      </c>
      <c r="B389" t="inlineStr">
        <is>
          <t>avverkningsanmälan</t>
        </is>
      </c>
      <c r="C389" t="inlineStr">
        <is>
          <t>Avverkning för annat ändamål</t>
        </is>
      </c>
      <c r="D389" s="1" t="n">
        <v>45211</v>
      </c>
      <c r="E389" s="1" t="n">
        <v>46223</v>
      </c>
      <c r="F389" t="inlineStr">
        <is>
          <t>VÄSTERBOTTENS LÄN</t>
        </is>
      </c>
      <c r="G389" t="inlineStr">
        <is>
          <t>UMEÅ</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43687-2025</t>
        </is>
      </c>
      <c r="B390" t="inlineStr">
        <is>
          <t>avverkningsanmälan</t>
        </is>
      </c>
      <c r="C390" t="inlineStr">
        <is>
          <t>Föryngringsavverkning</t>
        </is>
      </c>
      <c r="D390" s="1" t="n">
        <v>45912</v>
      </c>
      <c r="E390" s="1" t="n">
        <v>46223</v>
      </c>
      <c r="F390" t="inlineStr">
        <is>
          <t>VÄSTERBOTTENS LÄN</t>
        </is>
      </c>
      <c r="G390" t="inlineStr">
        <is>
          <t>UMEÅ</t>
        </is>
      </c>
      <c r="H390" t="inlineStr">
        <is>
          <t>Holmen skog AB</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43840-2025</t>
        </is>
      </c>
      <c r="B391" t="inlineStr">
        <is>
          <t>avverkningsanmälan</t>
        </is>
      </c>
      <c r="C391" t="inlineStr">
        <is>
          <t>Föryngringsavverkning</t>
        </is>
      </c>
      <c r="D391" s="1" t="n">
        <v>45912</v>
      </c>
      <c r="E391" s="1" t="n">
        <v>46223</v>
      </c>
      <c r="F391" t="inlineStr">
        <is>
          <t>VÄSTERBOTTENS LÄN</t>
        </is>
      </c>
      <c r="G391" t="inlineStr">
        <is>
          <t>UMEÅ</t>
        </is>
      </c>
      <c r="H391" t="inlineStr">
        <is>
          <t>Holmen skog AB</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43889-2025</t>
        </is>
      </c>
      <c r="B392" t="inlineStr">
        <is>
          <t>avverkningsanmälan</t>
        </is>
      </c>
      <c r="C392" t="inlineStr">
        <is>
          <t>Föryngringsavverkning</t>
        </is>
      </c>
      <c r="D392" s="1" t="n">
        <v>45912</v>
      </c>
      <c r="E392" s="1" t="n">
        <v>46223</v>
      </c>
      <c r="F392" t="inlineStr">
        <is>
          <t>VÄSTERBOTTENS LÄN</t>
        </is>
      </c>
      <c r="G392" t="inlineStr">
        <is>
          <t>UMEÅ</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43789-2025</t>
        </is>
      </c>
      <c r="B393" t="inlineStr">
        <is>
          <t>avverkningsanmälan</t>
        </is>
      </c>
      <c r="C393" t="inlineStr">
        <is>
          <t>Föryngringsavverkning</t>
        </is>
      </c>
      <c r="D393" s="1" t="n">
        <v>45912</v>
      </c>
      <c r="E393" s="1" t="n">
        <v>46223</v>
      </c>
      <c r="F393" t="inlineStr">
        <is>
          <t>VÄSTERBOTTENS LÄN</t>
        </is>
      </c>
      <c r="G393" t="inlineStr">
        <is>
          <t>UMEÅ</t>
        </is>
      </c>
      <c r="H393" t="inlineStr">
        <is>
          <t>Holmen skog AB</t>
        </is>
      </c>
      <c r="I393" t="n">
        <v>21.1</v>
      </c>
      <c r="J393" t="n">
        <v>0</v>
      </c>
      <c r="K393" t="n">
        <v>0</v>
      </c>
      <c r="L393" t="n">
        <v>0</v>
      </c>
      <c r="M393" t="n">
        <v>0</v>
      </c>
      <c r="N393" t="n">
        <v>0</v>
      </c>
      <c r="O393" t="n">
        <v>0</v>
      </c>
      <c r="P393" t="n">
        <v>0</v>
      </c>
      <c r="Q393" t="n">
        <v>0</v>
      </c>
      <c r="R393" t="n">
        <v>0</v>
      </c>
      <c r="S393" t="n">
        <v>0</v>
      </c>
      <c r="T393" t="n">
        <v>0</v>
      </c>
      <c r="U393" s="2" t="inlineStr"/>
    </row>
    <row r="394" ht="15" customHeight="1">
      <c r="A394" t="inlineStr">
        <is>
          <t>A 33198-2025</t>
        </is>
      </c>
      <c r="B394" t="inlineStr">
        <is>
          <t>avverkningsanmälan</t>
        </is>
      </c>
      <c r="C394" t="inlineStr">
        <is>
          <t>Föryngringsavverkning</t>
        </is>
      </c>
      <c r="D394" s="1" t="n">
        <v>45840</v>
      </c>
      <c r="E394" s="1" t="n">
        <v>46223</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30021-2024</t>
        </is>
      </c>
      <c r="B395" t="inlineStr">
        <is>
          <t>avverkningsanmälan</t>
        </is>
      </c>
      <c r="C395" t="inlineStr">
        <is>
          <t>Avverkning för annat ändamål</t>
        </is>
      </c>
      <c r="D395" s="1" t="n">
        <v>45488</v>
      </c>
      <c r="E395" s="1" t="n">
        <v>46223</v>
      </c>
      <c r="F395" t="inlineStr">
        <is>
          <t>VÄSTERBOTTENS LÄN</t>
        </is>
      </c>
      <c r="G395" t="inlineStr">
        <is>
          <t>UMEÅ</t>
        </is>
      </c>
      <c r="H395" t="inlineStr">
        <is>
          <t>Holmen skog AB</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44420-2025</t>
        </is>
      </c>
      <c r="B396" t="inlineStr">
        <is>
          <t>avverkningsanmälan</t>
        </is>
      </c>
      <c r="C396" t="inlineStr">
        <is>
          <t>Föryngringsavverkning</t>
        </is>
      </c>
      <c r="D396" s="1" t="n">
        <v>45916</v>
      </c>
      <c r="E396" s="1" t="n">
        <v>46223</v>
      </c>
      <c r="F396" t="inlineStr">
        <is>
          <t>VÄSTERBOTTENS LÄN</t>
        </is>
      </c>
      <c r="G396" t="inlineStr">
        <is>
          <t>UMEÅ</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30053-2025</t>
        </is>
      </c>
      <c r="B397" t="inlineStr">
        <is>
          <t>avverkningsanmälan</t>
        </is>
      </c>
      <c r="C397" t="inlineStr">
        <is>
          <t>Föryngringsavverkning</t>
        </is>
      </c>
      <c r="D397" s="1" t="n">
        <v>45826</v>
      </c>
      <c r="E397" s="1" t="n">
        <v>46223</v>
      </c>
      <c r="F397" t="inlineStr">
        <is>
          <t>VÄSTERBOTTENS LÄN</t>
        </is>
      </c>
      <c r="G397" t="inlineStr">
        <is>
          <t>UMEÅ</t>
        </is>
      </c>
      <c r="I397" t="n">
        <v>5.5</v>
      </c>
      <c r="J397" t="n">
        <v>0</v>
      </c>
      <c r="K397" t="n">
        <v>0</v>
      </c>
      <c r="L397" t="n">
        <v>0</v>
      </c>
      <c r="M397" t="n">
        <v>0</v>
      </c>
      <c r="N397" t="n">
        <v>0</v>
      </c>
      <c r="O397" t="n">
        <v>0</v>
      </c>
      <c r="P397" t="n">
        <v>0</v>
      </c>
      <c r="Q397" t="n">
        <v>0</v>
      </c>
      <c r="R397" t="n">
        <v>0</v>
      </c>
      <c r="S397" t="n">
        <v>0</v>
      </c>
      <c r="T397" t="n">
        <v>0</v>
      </c>
      <c r="U397" s="2" t="inlineStr"/>
    </row>
    <row r="398" ht="15" customHeight="1">
      <c r="A398" t="inlineStr">
        <is>
          <t>A 44064-2025</t>
        </is>
      </c>
      <c r="B398" t="inlineStr">
        <is>
          <t>avverkningsanmälan</t>
        </is>
      </c>
      <c r="C398" t="inlineStr">
        <is>
          <t>Föryngringsavverkning</t>
        </is>
      </c>
      <c r="D398" s="1" t="n">
        <v>45915</v>
      </c>
      <c r="E398" s="1" t="n">
        <v>46223</v>
      </c>
      <c r="F398" t="inlineStr">
        <is>
          <t>VÄSTERBOTTENS LÄN</t>
        </is>
      </c>
      <c r="G398" t="inlineStr">
        <is>
          <t>UMEÅ</t>
        </is>
      </c>
      <c r="H398" t="inlineStr">
        <is>
          <t>Holmen skog AB</t>
        </is>
      </c>
      <c r="I398" t="n">
        <v>6.6</v>
      </c>
      <c r="J398" t="n">
        <v>0</v>
      </c>
      <c r="K398" t="n">
        <v>0</v>
      </c>
      <c r="L398" t="n">
        <v>0</v>
      </c>
      <c r="M398" t="n">
        <v>0</v>
      </c>
      <c r="N398" t="n">
        <v>0</v>
      </c>
      <c r="O398" t="n">
        <v>0</v>
      </c>
      <c r="P398" t="n">
        <v>0</v>
      </c>
      <c r="Q398" t="n">
        <v>0</v>
      </c>
      <c r="R398" t="n">
        <v>0</v>
      </c>
      <c r="S398" t="n">
        <v>0</v>
      </c>
      <c r="T398" t="n">
        <v>0</v>
      </c>
      <c r="U398" s="2" t="inlineStr"/>
    </row>
    <row r="399" ht="15" customHeight="1">
      <c r="A399" t="inlineStr">
        <is>
          <t>A 44168-2025</t>
        </is>
      </c>
      <c r="B399" t="inlineStr">
        <is>
          <t>avverkningsanmälan</t>
        </is>
      </c>
      <c r="C399" t="inlineStr">
        <is>
          <t>Föryngringsavverkning</t>
        </is>
      </c>
      <c r="D399" s="1" t="n">
        <v>45915</v>
      </c>
      <c r="E399" s="1" t="n">
        <v>46223</v>
      </c>
      <c r="F399" t="inlineStr">
        <is>
          <t>VÄSTERBOTTENS LÄN</t>
        </is>
      </c>
      <c r="G399" t="inlineStr">
        <is>
          <t>UMEÅ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6070-2026</t>
        </is>
      </c>
      <c r="B400" t="inlineStr">
        <is>
          <t>avverkningsanmälan</t>
        </is>
      </c>
      <c r="C400" t="inlineStr">
        <is>
          <t>Föryngringsavverkning</t>
        </is>
      </c>
      <c r="D400" s="1" t="n">
        <v>46052</v>
      </c>
      <c r="E400" s="1" t="n">
        <v>46223</v>
      </c>
      <c r="F400" t="inlineStr">
        <is>
          <t>VÄSTERBOTTENS LÄN</t>
        </is>
      </c>
      <c r="G400" t="inlineStr">
        <is>
          <t>UMEÅ</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44730-2025</t>
        </is>
      </c>
      <c r="B401" t="inlineStr">
        <is>
          <t>avverkningsanmälan</t>
        </is>
      </c>
      <c r="C401" t="inlineStr">
        <is>
          <t>Föryngringsavverkning</t>
        </is>
      </c>
      <c r="D401" s="1" t="n">
        <v>45917</v>
      </c>
      <c r="E401" s="1" t="n">
        <v>46223</v>
      </c>
      <c r="F401" t="inlineStr">
        <is>
          <t>VÄSTERBOTTENS LÄN</t>
        </is>
      </c>
      <c r="G401" t="inlineStr">
        <is>
          <t>UMEÅ</t>
        </is>
      </c>
      <c r="H401" t="inlineStr">
        <is>
          <t>Sveaskog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44838-2025</t>
        </is>
      </c>
      <c r="B402" t="inlineStr">
        <is>
          <t>avverkningsanmälan</t>
        </is>
      </c>
      <c r="C402" t="inlineStr">
        <is>
          <t>Föryngringsavverkning</t>
        </is>
      </c>
      <c r="D402" s="1" t="n">
        <v>45918</v>
      </c>
      <c r="E402" s="1" t="n">
        <v>46223</v>
      </c>
      <c r="F402" t="inlineStr">
        <is>
          <t>VÄSTERBOTTENS LÄN</t>
        </is>
      </c>
      <c r="G402" t="inlineStr">
        <is>
          <t>UMEÅ</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44725-2025</t>
        </is>
      </c>
      <c r="B403" t="inlineStr">
        <is>
          <t>avverkningsanmälan</t>
        </is>
      </c>
      <c r="C403" t="inlineStr">
        <is>
          <t>Föryngringsavverkning</t>
        </is>
      </c>
      <c r="D403" s="1" t="n">
        <v>45917</v>
      </c>
      <c r="E403" s="1" t="n">
        <v>46223</v>
      </c>
      <c r="F403" t="inlineStr">
        <is>
          <t>VÄSTERBOTTENS LÄN</t>
        </is>
      </c>
      <c r="G403" t="inlineStr">
        <is>
          <t>UMEÅ</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33795-2025</t>
        </is>
      </c>
      <c r="B404" t="inlineStr">
        <is>
          <t>avverkningsanmälan</t>
        </is>
      </c>
      <c r="C404" t="inlineStr">
        <is>
          <t>Föryngringsavverkning</t>
        </is>
      </c>
      <c r="D404" s="1" t="n">
        <v>45842</v>
      </c>
      <c r="E404" s="1" t="n">
        <v>46223</v>
      </c>
      <c r="F404" t="inlineStr">
        <is>
          <t>VÄSTERBOTTENS LÄN</t>
        </is>
      </c>
      <c r="G404" t="inlineStr">
        <is>
          <t>UMEÅ</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39615-2024</t>
        </is>
      </c>
      <c r="B405" t="inlineStr">
        <is>
          <t>avverkningsanmälan</t>
        </is>
      </c>
      <c r="C405" t="inlineStr">
        <is>
          <t>Föryngringsavverkning</t>
        </is>
      </c>
      <c r="D405" s="1" t="n">
        <v>45552</v>
      </c>
      <c r="E405" s="1" t="n">
        <v>46223</v>
      </c>
      <c r="F405" t="inlineStr">
        <is>
          <t>VÄSTERBOTTENS LÄN</t>
        </is>
      </c>
      <c r="G405" t="inlineStr">
        <is>
          <t>UMEÅ</t>
        </is>
      </c>
      <c r="H405" t="inlineStr">
        <is>
          <t>Holmen skog AB</t>
        </is>
      </c>
      <c r="I405" t="n">
        <v>9.4</v>
      </c>
      <c r="J405" t="n">
        <v>0</v>
      </c>
      <c r="K405" t="n">
        <v>0</v>
      </c>
      <c r="L405" t="n">
        <v>0</v>
      </c>
      <c r="M405" t="n">
        <v>0</v>
      </c>
      <c r="N405" t="n">
        <v>0</v>
      </c>
      <c r="O405" t="n">
        <v>0</v>
      </c>
      <c r="P405" t="n">
        <v>0</v>
      </c>
      <c r="Q405" t="n">
        <v>0</v>
      </c>
      <c r="R405" t="n">
        <v>0</v>
      </c>
      <c r="S405" t="n">
        <v>0</v>
      </c>
      <c r="T405" t="n">
        <v>0</v>
      </c>
      <c r="U405" s="2" t="inlineStr"/>
    </row>
    <row r="406" ht="15" customHeight="1">
      <c r="A406" t="inlineStr">
        <is>
          <t>A 45184-2025</t>
        </is>
      </c>
      <c r="B406" t="inlineStr">
        <is>
          <t>avverkningsanmälan</t>
        </is>
      </c>
      <c r="C406" t="inlineStr">
        <is>
          <t>Föryngringsavverkning</t>
        </is>
      </c>
      <c r="D406" s="1" t="n">
        <v>45919</v>
      </c>
      <c r="E406" s="1" t="n">
        <v>46223</v>
      </c>
      <c r="F406" t="inlineStr">
        <is>
          <t>VÄSTERBOTTENS LÄN</t>
        </is>
      </c>
      <c r="G406" t="inlineStr">
        <is>
          <t>UMEÅ</t>
        </is>
      </c>
      <c r="H406" t="inlineStr">
        <is>
          <t>Holmen skog AB</t>
        </is>
      </c>
      <c r="I406" t="n">
        <v>14.7</v>
      </c>
      <c r="J406" t="n">
        <v>0</v>
      </c>
      <c r="K406" t="n">
        <v>0</v>
      </c>
      <c r="L406" t="n">
        <v>0</v>
      </c>
      <c r="M406" t="n">
        <v>0</v>
      </c>
      <c r="N406" t="n">
        <v>0</v>
      </c>
      <c r="O406" t="n">
        <v>0</v>
      </c>
      <c r="P406" t="n">
        <v>0</v>
      </c>
      <c r="Q406" t="n">
        <v>0</v>
      </c>
      <c r="R406" t="n">
        <v>0</v>
      </c>
      <c r="S406" t="n">
        <v>0</v>
      </c>
      <c r="T406" t="n">
        <v>0</v>
      </c>
      <c r="U406" s="2" t="inlineStr"/>
    </row>
    <row r="407" ht="15" customHeight="1">
      <c r="A407" t="inlineStr">
        <is>
          <t>A 34290-2025</t>
        </is>
      </c>
      <c r="B407" t="inlineStr">
        <is>
          <t>avverkningsanmälan</t>
        </is>
      </c>
      <c r="C407" t="inlineStr">
        <is>
          <t>Föryngringsavverkning</t>
        </is>
      </c>
      <c r="D407" s="1" t="n">
        <v>45846</v>
      </c>
      <c r="E407" s="1" t="n">
        <v>46223</v>
      </c>
      <c r="F407" t="inlineStr">
        <is>
          <t>VÄSTERBOTTENS LÄN</t>
        </is>
      </c>
      <c r="G407" t="inlineStr">
        <is>
          <t>UMEÅ</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45487-2025</t>
        </is>
      </c>
      <c r="B408" t="inlineStr">
        <is>
          <t>avverkningsanmälan</t>
        </is>
      </c>
      <c r="C408" t="inlineStr">
        <is>
          <t>Föryngringsavverkning</t>
        </is>
      </c>
      <c r="D408" s="1" t="n">
        <v>45922</v>
      </c>
      <c r="E408" s="1" t="n">
        <v>46223</v>
      </c>
      <c r="F408" t="inlineStr">
        <is>
          <t>VÄSTERBOTTENS LÄN</t>
        </is>
      </c>
      <c r="G408" t="inlineStr">
        <is>
          <t>UMEÅ</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49055-2024</t>
        </is>
      </c>
      <c r="B409" t="inlineStr">
        <is>
          <t>avverkningsanmälan</t>
        </is>
      </c>
      <c r="C409" t="inlineStr">
        <is>
          <t>Föryngringsavverkning</t>
        </is>
      </c>
      <c r="D409" s="1" t="n">
        <v>45594</v>
      </c>
      <c r="E409" s="1" t="n">
        <v>46223</v>
      </c>
      <c r="F409" t="inlineStr">
        <is>
          <t>VÄSTERBOTTENS LÄN</t>
        </is>
      </c>
      <c r="G409" t="inlineStr">
        <is>
          <t>UMEÅ</t>
        </is>
      </c>
      <c r="I409" t="n">
        <v>11.4</v>
      </c>
      <c r="J409" t="n">
        <v>0</v>
      </c>
      <c r="K409" t="n">
        <v>0</v>
      </c>
      <c r="L409" t="n">
        <v>0</v>
      </c>
      <c r="M409" t="n">
        <v>0</v>
      </c>
      <c r="N409" t="n">
        <v>0</v>
      </c>
      <c r="O409" t="n">
        <v>0</v>
      </c>
      <c r="P409" t="n">
        <v>0</v>
      </c>
      <c r="Q409" t="n">
        <v>0</v>
      </c>
      <c r="R409" t="n">
        <v>0</v>
      </c>
      <c r="S409" t="n">
        <v>0</v>
      </c>
      <c r="T409" t="n">
        <v>0</v>
      </c>
      <c r="U409" s="2" t="inlineStr"/>
    </row>
    <row r="410" ht="15" customHeight="1">
      <c r="A410" t="inlineStr">
        <is>
          <t>A 62721-2023</t>
        </is>
      </c>
      <c r="B410" t="inlineStr">
        <is>
          <t>avverkningsanmälan</t>
        </is>
      </c>
      <c r="C410" t="inlineStr">
        <is>
          <t>Föryngringsavverkning</t>
        </is>
      </c>
      <c r="D410" s="1" t="n">
        <v>45271</v>
      </c>
      <c r="E410" s="1" t="n">
        <v>46223</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45672-2025</t>
        </is>
      </c>
      <c r="B411" t="inlineStr">
        <is>
          <t>avverkningsanmälan</t>
        </is>
      </c>
      <c r="C411" t="inlineStr">
        <is>
          <t>Föryngringsavverkning</t>
        </is>
      </c>
      <c r="D411" s="1" t="n">
        <v>45923</v>
      </c>
      <c r="E411" s="1" t="n">
        <v>46223</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57410-2024</t>
        </is>
      </c>
      <c r="B412" t="inlineStr">
        <is>
          <t>avverkningsanmälan</t>
        </is>
      </c>
      <c r="C412" t="inlineStr">
        <is>
          <t>Föryngringsavverkning</t>
        </is>
      </c>
      <c r="D412" s="1" t="n">
        <v>45629</v>
      </c>
      <c r="E412" s="1" t="n">
        <v>46223</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45670-2025</t>
        </is>
      </c>
      <c r="B413" t="inlineStr">
        <is>
          <t>avverkningsanmälan</t>
        </is>
      </c>
      <c r="C413" t="inlineStr">
        <is>
          <t>Föryngringsavverkning</t>
        </is>
      </c>
      <c r="D413" s="1" t="n">
        <v>45923</v>
      </c>
      <c r="E413" s="1" t="n">
        <v>46223</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46413-2025</t>
        </is>
      </c>
      <c r="B414" t="inlineStr">
        <is>
          <t>avverkningsanmälan</t>
        </is>
      </c>
      <c r="C414" t="inlineStr">
        <is>
          <t>Föryngringsavverkning</t>
        </is>
      </c>
      <c r="D414" s="1" t="n">
        <v>45925</v>
      </c>
      <c r="E414" s="1" t="n">
        <v>46223</v>
      </c>
      <c r="F414" t="inlineStr">
        <is>
          <t>VÄSTERBOTTENS LÄN</t>
        </is>
      </c>
      <c r="G414" t="inlineStr">
        <is>
          <t>UMEÅ</t>
        </is>
      </c>
      <c r="H414" t="inlineStr">
        <is>
          <t>Holmen skog AB</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46682-2025</t>
        </is>
      </c>
      <c r="B415" t="inlineStr">
        <is>
          <t>avverkningsanmälan</t>
        </is>
      </c>
      <c r="C415" t="inlineStr">
        <is>
          <t>Föryngringsavverkning</t>
        </is>
      </c>
      <c r="D415" s="1" t="n">
        <v>45926</v>
      </c>
      <c r="E415" s="1" t="n">
        <v>46223</v>
      </c>
      <c r="F415" t="inlineStr">
        <is>
          <t>VÄSTERBOTTENS LÄN</t>
        </is>
      </c>
      <c r="G415" t="inlineStr">
        <is>
          <t>UMEÅ</t>
        </is>
      </c>
      <c r="H415" t="inlineStr">
        <is>
          <t>Holmen skog AB</t>
        </is>
      </c>
      <c r="I415" t="n">
        <v>5.7</v>
      </c>
      <c r="J415" t="n">
        <v>0</v>
      </c>
      <c r="K415" t="n">
        <v>0</v>
      </c>
      <c r="L415" t="n">
        <v>0</v>
      </c>
      <c r="M415" t="n">
        <v>0</v>
      </c>
      <c r="N415" t="n">
        <v>0</v>
      </c>
      <c r="O415" t="n">
        <v>0</v>
      </c>
      <c r="P415" t="n">
        <v>0</v>
      </c>
      <c r="Q415" t="n">
        <v>0</v>
      </c>
      <c r="R415" t="n">
        <v>0</v>
      </c>
      <c r="S415" t="n">
        <v>0</v>
      </c>
      <c r="T415" t="n">
        <v>0</v>
      </c>
      <c r="U415" s="2" t="inlineStr"/>
    </row>
    <row r="416" ht="15" customHeight="1">
      <c r="A416" t="inlineStr">
        <is>
          <t>A 46592-2025</t>
        </is>
      </c>
      <c r="B416" t="inlineStr">
        <is>
          <t>avverkningsanmälan</t>
        </is>
      </c>
      <c r="C416" t="inlineStr">
        <is>
          <t>Föryngringsavverkning</t>
        </is>
      </c>
      <c r="D416" s="1" t="n">
        <v>45926</v>
      </c>
      <c r="E416" s="1" t="n">
        <v>46223</v>
      </c>
      <c r="F416" t="inlineStr">
        <is>
          <t>VÄSTERBOTTENS LÄN</t>
        </is>
      </c>
      <c r="G416" t="inlineStr">
        <is>
          <t>UMEÅ</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7635-2024</t>
        </is>
      </c>
      <c r="B417" t="inlineStr">
        <is>
          <t>avverkningsanmälan</t>
        </is>
      </c>
      <c r="C417" t="inlineStr">
        <is>
          <t>Föryngringsavverkning</t>
        </is>
      </c>
      <c r="D417" s="1" t="n">
        <v>45348</v>
      </c>
      <c r="E417" s="1" t="n">
        <v>46223</v>
      </c>
      <c r="F417" t="inlineStr">
        <is>
          <t>VÄSTERBOTTENS LÄN</t>
        </is>
      </c>
      <c r="G417" t="inlineStr">
        <is>
          <t>UMEÅ</t>
        </is>
      </c>
      <c r="H417" t="inlineStr">
        <is>
          <t>Holmen skog AB</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46591-2025</t>
        </is>
      </c>
      <c r="B418" t="inlineStr">
        <is>
          <t>avverkningsanmälan</t>
        </is>
      </c>
      <c r="C418" t="inlineStr">
        <is>
          <t>Föryngringsavverkning</t>
        </is>
      </c>
      <c r="D418" s="1" t="n">
        <v>45926</v>
      </c>
      <c r="E418" s="1" t="n">
        <v>46223</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14734-2023</t>
        </is>
      </c>
      <c r="B419" t="inlineStr">
        <is>
          <t>avverkningsanmälan</t>
        </is>
      </c>
      <c r="C419" t="inlineStr">
        <is>
          <t>Föryngringsavverkning</t>
        </is>
      </c>
      <c r="D419" s="1" t="n">
        <v>45013</v>
      </c>
      <c r="E419" s="1" t="n">
        <v>46223</v>
      </c>
      <c r="F419" t="inlineStr">
        <is>
          <t>VÄSTERBOTTENS LÄN</t>
        </is>
      </c>
      <c r="G419" t="inlineStr">
        <is>
          <t>UMEÅ</t>
        </is>
      </c>
      <c r="I419" t="n">
        <v>14.4</v>
      </c>
      <c r="J419" t="n">
        <v>0</v>
      </c>
      <c r="K419" t="n">
        <v>0</v>
      </c>
      <c r="L419" t="n">
        <v>0</v>
      </c>
      <c r="M419" t="n">
        <v>0</v>
      </c>
      <c r="N419" t="n">
        <v>0</v>
      </c>
      <c r="O419" t="n">
        <v>0</v>
      </c>
      <c r="P419" t="n">
        <v>0</v>
      </c>
      <c r="Q419" t="n">
        <v>0</v>
      </c>
      <c r="R419" t="n">
        <v>0</v>
      </c>
      <c r="S419" t="n">
        <v>0</v>
      </c>
      <c r="T419" t="n">
        <v>0</v>
      </c>
      <c r="U419" s="2" t="inlineStr"/>
    </row>
    <row r="420" ht="15" customHeight="1">
      <c r="A420" t="inlineStr">
        <is>
          <t>A 47179-2025</t>
        </is>
      </c>
      <c r="B420" t="inlineStr">
        <is>
          <t>avverkningsanmälan</t>
        </is>
      </c>
      <c r="C420" t="inlineStr">
        <is>
          <t>Föryngringsavverkning</t>
        </is>
      </c>
      <c r="D420" s="1" t="n">
        <v>45930</v>
      </c>
      <c r="E420" s="1" t="n">
        <v>46223</v>
      </c>
      <c r="F420" t="inlineStr">
        <is>
          <t>VÄSTERBOTTENS LÄN</t>
        </is>
      </c>
      <c r="G420" t="inlineStr">
        <is>
          <t>UMEÅ</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47421-2025</t>
        </is>
      </c>
      <c r="B421" t="inlineStr">
        <is>
          <t>avverkningsanmälan</t>
        </is>
      </c>
      <c r="C421" t="inlineStr">
        <is>
          <t>Föryngringsavverkning</t>
        </is>
      </c>
      <c r="D421" s="1" t="n">
        <v>45930</v>
      </c>
      <c r="E421" s="1" t="n">
        <v>46223</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56749-2023</t>
        </is>
      </c>
      <c r="B422" t="inlineStr">
        <is>
          <t>avverkningsanmälan</t>
        </is>
      </c>
      <c r="C422" t="inlineStr">
        <is>
          <t>Föryngringsavverkning</t>
        </is>
      </c>
      <c r="D422" s="1" t="n">
        <v>45244</v>
      </c>
      <c r="E422" s="1" t="n">
        <v>46223</v>
      </c>
      <c r="F422" t="inlineStr">
        <is>
          <t>VÄSTERBOTTENS LÄN</t>
        </is>
      </c>
      <c r="G422" t="inlineStr">
        <is>
          <t>UMEÅ</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46990-2025</t>
        </is>
      </c>
      <c r="B423" t="inlineStr">
        <is>
          <t>avverkningsanmälan</t>
        </is>
      </c>
      <c r="C423" t="inlineStr">
        <is>
          <t>Föryngringsavverkning</t>
        </is>
      </c>
      <c r="D423" s="1" t="n">
        <v>45929</v>
      </c>
      <c r="E423" s="1" t="n">
        <v>46223</v>
      </c>
      <c r="F423" t="inlineStr">
        <is>
          <t>VÄSTERBOTTENS LÄN</t>
        </is>
      </c>
      <c r="G423" t="inlineStr">
        <is>
          <t>UMEÅ</t>
        </is>
      </c>
      <c r="H423" t="inlineStr">
        <is>
          <t>Holmen skog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46028-2024</t>
        </is>
      </c>
      <c r="B424" t="inlineStr">
        <is>
          <t>avverkningsanmälan</t>
        </is>
      </c>
      <c r="C424" t="inlineStr">
        <is>
          <t>Föryngringsavverkning</t>
        </is>
      </c>
      <c r="D424" s="1" t="n">
        <v>45580</v>
      </c>
      <c r="E424" s="1" t="n">
        <v>46223</v>
      </c>
      <c r="F424" t="inlineStr">
        <is>
          <t>VÄSTERBOTTENS LÄN</t>
        </is>
      </c>
      <c r="G424" t="inlineStr">
        <is>
          <t>UMEÅ</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35625-2024</t>
        </is>
      </c>
      <c r="B425" t="inlineStr">
        <is>
          <t>avverkningsanmälan</t>
        </is>
      </c>
      <c r="C425" t="inlineStr">
        <is>
          <t>Föryngringsavverkning</t>
        </is>
      </c>
      <c r="D425" s="1" t="n">
        <v>45531</v>
      </c>
      <c r="E425" s="1" t="n">
        <v>46223</v>
      </c>
      <c r="F425" t="inlineStr">
        <is>
          <t>VÄSTERBOTTENS LÄN</t>
        </is>
      </c>
      <c r="G425" t="inlineStr">
        <is>
          <t>UMEÅ</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25690-2025</t>
        </is>
      </c>
      <c r="B426" t="inlineStr">
        <is>
          <t>avverkningsanmälan</t>
        </is>
      </c>
      <c r="C426" t="inlineStr">
        <is>
          <t>Föryngringsavverkning</t>
        </is>
      </c>
      <c r="D426" s="1" t="n">
        <v>45803</v>
      </c>
      <c r="E426" s="1" t="n">
        <v>46223</v>
      </c>
      <c r="F426" t="inlineStr">
        <is>
          <t>VÄSTERBOTTENS LÄN</t>
        </is>
      </c>
      <c r="G426" t="inlineStr">
        <is>
          <t>UMEÅ</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48028-2025</t>
        </is>
      </c>
      <c r="B427" t="inlineStr">
        <is>
          <t>avverkningsanmälan</t>
        </is>
      </c>
      <c r="C427" t="inlineStr">
        <is>
          <t>Föryngringsavverkning</t>
        </is>
      </c>
      <c r="D427" s="1" t="n">
        <v>45932</v>
      </c>
      <c r="E427" s="1" t="n">
        <v>46223</v>
      </c>
      <c r="F427" t="inlineStr">
        <is>
          <t>VÄSTERBOTTENS LÄN</t>
        </is>
      </c>
      <c r="G427" t="inlineStr">
        <is>
          <t>UMEÅ</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48011-2025</t>
        </is>
      </c>
      <c r="B428" t="inlineStr">
        <is>
          <t>avverkningsanmälan</t>
        </is>
      </c>
      <c r="C428" t="inlineStr">
        <is>
          <t>Föryngringsavverkning</t>
        </is>
      </c>
      <c r="D428" s="1" t="n">
        <v>45932</v>
      </c>
      <c r="E428" s="1" t="n">
        <v>46223</v>
      </c>
      <c r="F428" t="inlineStr">
        <is>
          <t>VÄSTERBOTTENS LÄN</t>
        </is>
      </c>
      <c r="G428" t="inlineStr">
        <is>
          <t>UMEÅ</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14091-2023</t>
        </is>
      </c>
      <c r="B429" t="inlineStr">
        <is>
          <t>avverkningsanmälan</t>
        </is>
      </c>
      <c r="C429" t="inlineStr">
        <is>
          <t>Föryngringsavverkning</t>
        </is>
      </c>
      <c r="D429" s="1" t="n">
        <v>45007</v>
      </c>
      <c r="E429" s="1" t="n">
        <v>46223</v>
      </c>
      <c r="F429" t="inlineStr">
        <is>
          <t>VÄSTERBOTTENS LÄN</t>
        </is>
      </c>
      <c r="G429" t="inlineStr">
        <is>
          <t>UMEÅ</t>
        </is>
      </c>
      <c r="H429" t="inlineStr">
        <is>
          <t>Kommuner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55856-2024</t>
        </is>
      </c>
      <c r="B430" t="inlineStr">
        <is>
          <t>avverkningsanmälan</t>
        </is>
      </c>
      <c r="C430" t="inlineStr">
        <is>
          <t>Föryngringsavverkning</t>
        </is>
      </c>
      <c r="D430" s="1" t="n">
        <v>45623</v>
      </c>
      <c r="E430" s="1" t="n">
        <v>46223</v>
      </c>
      <c r="F430" t="inlineStr">
        <is>
          <t>VÄSTERBOTTENS LÄN</t>
        </is>
      </c>
      <c r="G430" t="inlineStr">
        <is>
          <t>UMEÅ</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60323-2024</t>
        </is>
      </c>
      <c r="B431" t="inlineStr">
        <is>
          <t>avverkningsanmälan</t>
        </is>
      </c>
      <c r="C431" t="inlineStr">
        <is>
          <t>Föryngringsavverkning</t>
        </is>
      </c>
      <c r="D431" s="1" t="n">
        <v>45641</v>
      </c>
      <c r="E431" s="1" t="n">
        <v>46223</v>
      </c>
      <c r="F431" t="inlineStr">
        <is>
          <t>VÄSTERBOTTENS LÄN</t>
        </is>
      </c>
      <c r="G431" t="inlineStr">
        <is>
          <t>UMEÅ</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48264-2025</t>
        </is>
      </c>
      <c r="B432" t="inlineStr">
        <is>
          <t>avverkningsanmälan</t>
        </is>
      </c>
      <c r="C432" t="inlineStr">
        <is>
          <t>Föryngringsavverkning</t>
        </is>
      </c>
      <c r="D432" s="1" t="n">
        <v>45933</v>
      </c>
      <c r="E432" s="1" t="n">
        <v>46223</v>
      </c>
      <c r="F432" t="inlineStr">
        <is>
          <t>VÄSTERBOTTENS LÄN</t>
        </is>
      </c>
      <c r="G432" t="inlineStr">
        <is>
          <t>UMEÅ</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36114-2025</t>
        </is>
      </c>
      <c r="B433" t="inlineStr">
        <is>
          <t>avverkningsanmälan</t>
        </is>
      </c>
      <c r="C433" t="inlineStr">
        <is>
          <t>Föryngringsavverkning</t>
        </is>
      </c>
      <c r="D433" s="1" t="n">
        <v>45866</v>
      </c>
      <c r="E433" s="1" t="n">
        <v>46223</v>
      </c>
      <c r="F433" t="inlineStr">
        <is>
          <t>VÄSTERBOTTENS LÄN</t>
        </is>
      </c>
      <c r="G433" t="inlineStr">
        <is>
          <t>UMEÅ</t>
        </is>
      </c>
      <c r="H433" t="inlineStr">
        <is>
          <t>Holmen skog AB</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58284-2021</t>
        </is>
      </c>
      <c r="B434" t="inlineStr">
        <is>
          <t>avverkningsanmälan</t>
        </is>
      </c>
      <c r="C434" t="inlineStr">
        <is>
          <t>Föryngringsavverkning</t>
        </is>
      </c>
      <c r="D434" s="1" t="n">
        <v>44487</v>
      </c>
      <c r="E434" s="1" t="n">
        <v>46223</v>
      </c>
      <c r="F434" t="inlineStr">
        <is>
          <t>VÄSTERBOTTENS LÄN</t>
        </is>
      </c>
      <c r="G434" t="inlineStr">
        <is>
          <t>UMEÅ</t>
        </is>
      </c>
      <c r="H434" t="inlineStr">
        <is>
          <t>Kommuner</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18520-2023</t>
        </is>
      </c>
      <c r="B435" t="inlineStr">
        <is>
          <t>avverkningsanmälan</t>
        </is>
      </c>
      <c r="C435" t="inlineStr">
        <is>
          <t>Föryngringsavverkning</t>
        </is>
      </c>
      <c r="D435" s="1" t="n">
        <v>45041</v>
      </c>
      <c r="E435" s="1" t="n">
        <v>46223</v>
      </c>
      <c r="F435" t="inlineStr">
        <is>
          <t>VÄSTERBOTTENS LÄN</t>
        </is>
      </c>
      <c r="G435" t="inlineStr">
        <is>
          <t>UMEÅ</t>
        </is>
      </c>
      <c r="H435" t="inlineStr">
        <is>
          <t>Kommuner</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18527-2023</t>
        </is>
      </c>
      <c r="B436" t="inlineStr">
        <is>
          <t>avverkningsanmälan</t>
        </is>
      </c>
      <c r="C436" t="inlineStr">
        <is>
          <t>Föryngringsavverkning</t>
        </is>
      </c>
      <c r="D436" s="1" t="n">
        <v>45041</v>
      </c>
      <c r="E436" s="1" t="n">
        <v>46223</v>
      </c>
      <c r="F436" t="inlineStr">
        <is>
          <t>VÄSTERBOTTENS LÄN</t>
        </is>
      </c>
      <c r="G436" t="inlineStr">
        <is>
          <t>UMEÅ</t>
        </is>
      </c>
      <c r="H436" t="inlineStr">
        <is>
          <t>Kommuner</t>
        </is>
      </c>
      <c r="I436" t="n">
        <v>3.2</v>
      </c>
      <c r="J436" t="n">
        <v>0</v>
      </c>
      <c r="K436" t="n">
        <v>0</v>
      </c>
      <c r="L436" t="n">
        <v>0</v>
      </c>
      <c r="M436" t="n">
        <v>0</v>
      </c>
      <c r="N436" t="n">
        <v>0</v>
      </c>
      <c r="O436" t="n">
        <v>0</v>
      </c>
      <c r="P436" t="n">
        <v>0</v>
      </c>
      <c r="Q436" t="n">
        <v>0</v>
      </c>
      <c r="R436" t="n">
        <v>0</v>
      </c>
      <c r="S436" t="n">
        <v>0</v>
      </c>
      <c r="T436" t="n">
        <v>0</v>
      </c>
      <c r="U436" s="2" t="inlineStr"/>
    </row>
    <row r="437" ht="15" customHeight="1">
      <c r="A437" t="inlineStr">
        <is>
          <t>A 7285-2026</t>
        </is>
      </c>
      <c r="B437" t="inlineStr">
        <is>
          <t>avverkningsanmälan</t>
        </is>
      </c>
      <c r="C437" t="inlineStr">
        <is>
          <t>Föryngringsavverkning</t>
        </is>
      </c>
      <c r="D437" s="1" t="n">
        <v>46058</v>
      </c>
      <c r="E437" s="1" t="n">
        <v>46223</v>
      </c>
      <c r="F437" t="inlineStr">
        <is>
          <t>VÄSTERBOTTENS LÄN</t>
        </is>
      </c>
      <c r="G437" t="inlineStr">
        <is>
          <t>UMEÅ</t>
        </is>
      </c>
      <c r="I437" t="n">
        <v>7.7</v>
      </c>
      <c r="J437" t="n">
        <v>0</v>
      </c>
      <c r="K437" t="n">
        <v>0</v>
      </c>
      <c r="L437" t="n">
        <v>0</v>
      </c>
      <c r="M437" t="n">
        <v>0</v>
      </c>
      <c r="N437" t="n">
        <v>0</v>
      </c>
      <c r="O437" t="n">
        <v>0</v>
      </c>
      <c r="P437" t="n">
        <v>0</v>
      </c>
      <c r="Q437" t="n">
        <v>0</v>
      </c>
      <c r="R437" t="n">
        <v>0</v>
      </c>
      <c r="S437" t="n">
        <v>0</v>
      </c>
      <c r="T437" t="n">
        <v>0</v>
      </c>
      <c r="U437" s="2" t="inlineStr"/>
    </row>
    <row r="438" ht="15" customHeight="1">
      <c r="A438" t="inlineStr">
        <is>
          <t>A 36334-2025</t>
        </is>
      </c>
      <c r="B438" t="inlineStr">
        <is>
          <t>avverkningsanmälan</t>
        </is>
      </c>
      <c r="C438" t="inlineStr">
        <is>
          <t>Föryngringsavverkning</t>
        </is>
      </c>
      <c r="D438" s="1" t="n">
        <v>45868</v>
      </c>
      <c r="E438" s="1" t="n">
        <v>46223</v>
      </c>
      <c r="F438" t="inlineStr">
        <is>
          <t>VÄSTERBOTTENS LÄN</t>
        </is>
      </c>
      <c r="G438" t="inlineStr">
        <is>
          <t>UMEÅ</t>
        </is>
      </c>
      <c r="H438" t="inlineStr">
        <is>
          <t>Holmen skog AB</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36217-2025</t>
        </is>
      </c>
      <c r="B439" t="inlineStr">
        <is>
          <t>avverkningsanmälan</t>
        </is>
      </c>
      <c r="C439" t="inlineStr">
        <is>
          <t>Föryngringsavverkning</t>
        </is>
      </c>
      <c r="D439" s="1" t="n">
        <v>45867</v>
      </c>
      <c r="E439" s="1" t="n">
        <v>46223</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7774-2025</t>
        </is>
      </c>
      <c r="B440" t="inlineStr">
        <is>
          <t>avverkningsanmälan</t>
        </is>
      </c>
      <c r="C440" t="inlineStr">
        <is>
          <t>Föryngringsavverkning</t>
        </is>
      </c>
      <c r="D440" s="1" t="n">
        <v>45706</v>
      </c>
      <c r="E440" s="1" t="n">
        <v>46223</v>
      </c>
      <c r="F440" t="inlineStr">
        <is>
          <t>VÄSTERBOTTENS LÄN</t>
        </is>
      </c>
      <c r="G440" t="inlineStr">
        <is>
          <t>UMEÅ</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59735-2024</t>
        </is>
      </c>
      <c r="B441" t="inlineStr">
        <is>
          <t>avverkningsanmälan</t>
        </is>
      </c>
      <c r="C441" t="inlineStr">
        <is>
          <t>Föryngringsavverkning</t>
        </is>
      </c>
      <c r="D441" s="1" t="n">
        <v>45639</v>
      </c>
      <c r="E441" s="1" t="n">
        <v>46223</v>
      </c>
      <c r="F441" t="inlineStr">
        <is>
          <t>VÄSTERBOTTENS LÄN</t>
        </is>
      </c>
      <c r="G441" t="inlineStr">
        <is>
          <t>UMEÅ</t>
        </is>
      </c>
      <c r="I441" t="n">
        <v>10.7</v>
      </c>
      <c r="J441" t="n">
        <v>0</v>
      </c>
      <c r="K441" t="n">
        <v>0</v>
      </c>
      <c r="L441" t="n">
        <v>0</v>
      </c>
      <c r="M441" t="n">
        <v>0</v>
      </c>
      <c r="N441" t="n">
        <v>0</v>
      </c>
      <c r="O441" t="n">
        <v>0</v>
      </c>
      <c r="P441" t="n">
        <v>0</v>
      </c>
      <c r="Q441" t="n">
        <v>0</v>
      </c>
      <c r="R441" t="n">
        <v>0</v>
      </c>
      <c r="S441" t="n">
        <v>0</v>
      </c>
      <c r="T441" t="n">
        <v>0</v>
      </c>
      <c r="U441" s="2" t="inlineStr"/>
    </row>
    <row r="442" ht="15" customHeight="1">
      <c r="A442" t="inlineStr">
        <is>
          <t>A 49185-2025</t>
        </is>
      </c>
      <c r="B442" t="inlineStr">
        <is>
          <t>avverkningsanmälan</t>
        </is>
      </c>
      <c r="C442" t="inlineStr">
        <is>
          <t>Föryngringsavverkning</t>
        </is>
      </c>
      <c r="D442" s="1" t="n">
        <v>45938</v>
      </c>
      <c r="E442" s="1" t="n">
        <v>46223</v>
      </c>
      <c r="F442" t="inlineStr">
        <is>
          <t>VÄSTERBOTTENS LÄN</t>
        </is>
      </c>
      <c r="G442" t="inlineStr">
        <is>
          <t>UMEÅ</t>
        </is>
      </c>
      <c r="H442" t="inlineStr">
        <is>
          <t>Holmen skog AB</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49182-2025</t>
        </is>
      </c>
      <c r="B443" t="inlineStr">
        <is>
          <t>avverkningsanmälan</t>
        </is>
      </c>
      <c r="C443" t="inlineStr">
        <is>
          <t>Föryngringsavverkning</t>
        </is>
      </c>
      <c r="D443" s="1" t="n">
        <v>45938</v>
      </c>
      <c r="E443" s="1" t="n">
        <v>46223</v>
      </c>
      <c r="F443" t="inlineStr">
        <is>
          <t>VÄSTERBOTTENS LÄN</t>
        </is>
      </c>
      <c r="G443" t="inlineStr">
        <is>
          <t>UMEÅ</t>
        </is>
      </c>
      <c r="H443" t="inlineStr">
        <is>
          <t>Holmen skog AB</t>
        </is>
      </c>
      <c r="I443" t="n">
        <v>7.2</v>
      </c>
      <c r="J443" t="n">
        <v>0</v>
      </c>
      <c r="K443" t="n">
        <v>0</v>
      </c>
      <c r="L443" t="n">
        <v>0</v>
      </c>
      <c r="M443" t="n">
        <v>0</v>
      </c>
      <c r="N443" t="n">
        <v>0</v>
      </c>
      <c r="O443" t="n">
        <v>0</v>
      </c>
      <c r="P443" t="n">
        <v>0</v>
      </c>
      <c r="Q443" t="n">
        <v>0</v>
      </c>
      <c r="R443" t="n">
        <v>0</v>
      </c>
      <c r="S443" t="n">
        <v>0</v>
      </c>
      <c r="T443" t="n">
        <v>0</v>
      </c>
      <c r="U443" s="2" t="inlineStr"/>
    </row>
    <row r="444" ht="15" customHeight="1">
      <c r="A444" t="inlineStr">
        <is>
          <t>A 36739-2025</t>
        </is>
      </c>
      <c r="B444" t="inlineStr">
        <is>
          <t>avverkningsanmälan</t>
        </is>
      </c>
      <c r="C444" t="inlineStr">
        <is>
          <t>Föryngringsavverkning</t>
        </is>
      </c>
      <c r="D444" s="1" t="n">
        <v>45873</v>
      </c>
      <c r="E444" s="1" t="n">
        <v>46223</v>
      </c>
      <c r="F444" t="inlineStr">
        <is>
          <t>VÄSTERBOTTENS LÄN</t>
        </is>
      </c>
      <c r="G444" t="inlineStr">
        <is>
          <t>UMEÅ</t>
        </is>
      </c>
      <c r="H444" t="inlineStr">
        <is>
          <t>Kommuner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36854-2022</t>
        </is>
      </c>
      <c r="B445" t="inlineStr">
        <is>
          <t>avverkningsanmälan</t>
        </is>
      </c>
      <c r="C445" t="inlineStr">
        <is>
          <t>Föryngringsavverkning</t>
        </is>
      </c>
      <c r="D445" s="1" t="n">
        <v>44805</v>
      </c>
      <c r="E445" s="1" t="n">
        <v>46223</v>
      </c>
      <c r="F445" t="inlineStr">
        <is>
          <t>VÄSTERBOTTENS LÄN</t>
        </is>
      </c>
      <c r="G445" t="inlineStr">
        <is>
          <t>UMEÅ</t>
        </is>
      </c>
      <c r="H445" t="inlineStr">
        <is>
          <t>Holmen skog AB</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49279-2025</t>
        </is>
      </c>
      <c r="B446" t="inlineStr">
        <is>
          <t>avverkningsanmälan</t>
        </is>
      </c>
      <c r="C446" t="inlineStr">
        <is>
          <t>Föryngringsavverkning</t>
        </is>
      </c>
      <c r="D446" s="1" t="n">
        <v>45938</v>
      </c>
      <c r="E446" s="1" t="n">
        <v>46223</v>
      </c>
      <c r="F446" t="inlineStr">
        <is>
          <t>VÄSTERBOTTENS LÄN</t>
        </is>
      </c>
      <c r="G446" t="inlineStr">
        <is>
          <t>UMEÅ</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36902-2025</t>
        </is>
      </c>
      <c r="B447" t="inlineStr">
        <is>
          <t>avverkningsanmälan</t>
        </is>
      </c>
      <c r="C447" t="inlineStr">
        <is>
          <t>Föryngringsavverkning</t>
        </is>
      </c>
      <c r="D447" s="1" t="n">
        <v>45874</v>
      </c>
      <c r="E447" s="1" t="n">
        <v>46223</v>
      </c>
      <c r="F447" t="inlineStr">
        <is>
          <t>VÄSTERBOTTENS LÄN</t>
        </is>
      </c>
      <c r="G447" t="inlineStr">
        <is>
          <t>UMEÅ</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18322-2023</t>
        </is>
      </c>
      <c r="B448" t="inlineStr">
        <is>
          <t>avverkningsanmälan</t>
        </is>
      </c>
      <c r="C448" t="inlineStr">
        <is>
          <t>Föryngringsavverkning</t>
        </is>
      </c>
      <c r="D448" s="1" t="n">
        <v>45041</v>
      </c>
      <c r="E448" s="1" t="n">
        <v>46223</v>
      </c>
      <c r="F448" t="inlineStr">
        <is>
          <t>VÄSTERBOTTENS LÄN</t>
        </is>
      </c>
      <c r="G448" t="inlineStr">
        <is>
          <t>UMEÅ</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49799-2025</t>
        </is>
      </c>
      <c r="B449" t="inlineStr">
        <is>
          <t>avverkningsanmälan</t>
        </is>
      </c>
      <c r="C449" t="inlineStr">
        <is>
          <t>Föryngringsavverkning</t>
        </is>
      </c>
      <c r="D449" s="1" t="n">
        <v>45940</v>
      </c>
      <c r="E449" s="1" t="n">
        <v>46223</v>
      </c>
      <c r="F449" t="inlineStr">
        <is>
          <t>VÄSTERBOTTENS LÄN</t>
        </is>
      </c>
      <c r="G449" t="inlineStr">
        <is>
          <t>UMEÅ</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49898-2025</t>
        </is>
      </c>
      <c r="B450" t="inlineStr">
        <is>
          <t>avverkningsanmälan</t>
        </is>
      </c>
      <c r="C450" t="inlineStr">
        <is>
          <t>Föryngringsavverkning</t>
        </is>
      </c>
      <c r="D450" s="1" t="n">
        <v>45940</v>
      </c>
      <c r="E450" s="1" t="n">
        <v>46223</v>
      </c>
      <c r="F450" t="inlineStr">
        <is>
          <t>VÄSTERBOTTENS LÄN</t>
        </is>
      </c>
      <c r="G450" t="inlineStr">
        <is>
          <t>UMEÅ</t>
        </is>
      </c>
      <c r="I450" t="n">
        <v>5.8</v>
      </c>
      <c r="J450" t="n">
        <v>0</v>
      </c>
      <c r="K450" t="n">
        <v>0</v>
      </c>
      <c r="L450" t="n">
        <v>0</v>
      </c>
      <c r="M450" t="n">
        <v>0</v>
      </c>
      <c r="N450" t="n">
        <v>0</v>
      </c>
      <c r="O450" t="n">
        <v>0</v>
      </c>
      <c r="P450" t="n">
        <v>0</v>
      </c>
      <c r="Q450" t="n">
        <v>0</v>
      </c>
      <c r="R450" t="n">
        <v>0</v>
      </c>
      <c r="S450" t="n">
        <v>0</v>
      </c>
      <c r="T450" t="n">
        <v>0</v>
      </c>
      <c r="U450" s="2" t="inlineStr"/>
    </row>
    <row r="451" ht="15" customHeight="1">
      <c r="A451" t="inlineStr">
        <is>
          <t>A 36746-2025</t>
        </is>
      </c>
      <c r="B451" t="inlineStr">
        <is>
          <t>avverkningsanmälan</t>
        </is>
      </c>
      <c r="C451" t="inlineStr">
        <is>
          <t>Föryngringsavverkning</t>
        </is>
      </c>
      <c r="D451" s="1" t="n">
        <v>45873</v>
      </c>
      <c r="E451" s="1" t="n">
        <v>46223</v>
      </c>
      <c r="F451" t="inlineStr">
        <is>
          <t>VÄSTERBOTTENS LÄN</t>
        </is>
      </c>
      <c r="G451" t="inlineStr">
        <is>
          <t>UMEÅ</t>
        </is>
      </c>
      <c r="H451" t="inlineStr">
        <is>
          <t>Kommuner</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49492-2025</t>
        </is>
      </c>
      <c r="B452" t="inlineStr">
        <is>
          <t>avverkningsanmälan</t>
        </is>
      </c>
      <c r="C452" t="inlineStr">
        <is>
          <t>Föryngringsavverkning</t>
        </is>
      </c>
      <c r="D452" s="1" t="n">
        <v>45939</v>
      </c>
      <c r="E452" s="1" t="n">
        <v>46223</v>
      </c>
      <c r="F452" t="inlineStr">
        <is>
          <t>VÄSTERBOTTENS LÄN</t>
        </is>
      </c>
      <c r="G452" t="inlineStr">
        <is>
          <t>UMEÅ</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49496-2025</t>
        </is>
      </c>
      <c r="B453" t="inlineStr">
        <is>
          <t>avverkningsanmälan</t>
        </is>
      </c>
      <c r="C453" t="inlineStr">
        <is>
          <t>Föryngringsavverkning</t>
        </is>
      </c>
      <c r="D453" s="1" t="n">
        <v>45939</v>
      </c>
      <c r="E453" s="1" t="n">
        <v>46223</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s="2" t="inlineStr"/>
    </row>
    <row r="454" ht="15" customHeight="1">
      <c r="A454" t="inlineStr">
        <is>
          <t>A 37309-2025</t>
        </is>
      </c>
      <c r="B454" t="inlineStr">
        <is>
          <t>avverkningsanmälan</t>
        </is>
      </c>
      <c r="C454" t="inlineStr">
        <is>
          <t>Föryngringsavverkning</t>
        </is>
      </c>
      <c r="D454" s="1" t="n">
        <v>45876</v>
      </c>
      <c r="E454" s="1" t="n">
        <v>46223</v>
      </c>
      <c r="F454" t="inlineStr">
        <is>
          <t>VÄSTERBOTTENS LÄN</t>
        </is>
      </c>
      <c r="G454" t="inlineStr">
        <is>
          <t>UMEÅ</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37039-2025</t>
        </is>
      </c>
      <c r="B455" t="inlineStr">
        <is>
          <t>avverkningsanmälan</t>
        </is>
      </c>
      <c r="C455" t="inlineStr">
        <is>
          <t>Föryngringsavverkning</t>
        </is>
      </c>
      <c r="D455" s="1" t="n">
        <v>45875</v>
      </c>
      <c r="E455" s="1" t="n">
        <v>46223</v>
      </c>
      <c r="F455" t="inlineStr">
        <is>
          <t>VÄSTERBOTTENS LÄN</t>
        </is>
      </c>
      <c r="G455" t="inlineStr">
        <is>
          <t>UMEÅ</t>
        </is>
      </c>
      <c r="H455" t="inlineStr">
        <is>
          <t>Holmen skog AB</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50365-2025</t>
        </is>
      </c>
      <c r="B456" t="inlineStr">
        <is>
          <t>avverkningsanmälan</t>
        </is>
      </c>
      <c r="C456" t="inlineStr">
        <is>
          <t>Föryngringsavverkning</t>
        </is>
      </c>
      <c r="D456" s="1" t="n">
        <v>45944</v>
      </c>
      <c r="E456" s="1" t="n">
        <v>46223</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s="2" t="inlineStr"/>
    </row>
    <row r="457" ht="15" customHeight="1">
      <c r="A457" t="inlineStr">
        <is>
          <t>A 50379-2025</t>
        </is>
      </c>
      <c r="B457" t="inlineStr">
        <is>
          <t>avverkningsanmälan</t>
        </is>
      </c>
      <c r="C457" t="inlineStr">
        <is>
          <t>Föryngringsavverkning</t>
        </is>
      </c>
      <c r="D457" s="1" t="n">
        <v>45944</v>
      </c>
      <c r="E457" s="1" t="n">
        <v>46223</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50159-2025</t>
        </is>
      </c>
      <c r="B458" t="inlineStr">
        <is>
          <t>avverkningsanmälan</t>
        </is>
      </c>
      <c r="C458" t="inlineStr">
        <is>
          <t>Föryngringsavverkning</t>
        </is>
      </c>
      <c r="D458" s="1" t="n">
        <v>45943</v>
      </c>
      <c r="E458" s="1" t="n">
        <v>46223</v>
      </c>
      <c r="F458" t="inlineStr">
        <is>
          <t>VÄSTERBOTTENS LÄN</t>
        </is>
      </c>
      <c r="G458" t="inlineStr">
        <is>
          <t>UMEÅ</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37038-2025</t>
        </is>
      </c>
      <c r="B459" t="inlineStr">
        <is>
          <t>avverkningsanmälan</t>
        </is>
      </c>
      <c r="C459" t="inlineStr">
        <is>
          <t>Föryngringsavverkning</t>
        </is>
      </c>
      <c r="D459" s="1" t="n">
        <v>45875</v>
      </c>
      <c r="E459" s="1" t="n">
        <v>46223</v>
      </c>
      <c r="F459" t="inlineStr">
        <is>
          <t>VÄSTERBOTTENS LÄN</t>
        </is>
      </c>
      <c r="G459" t="inlineStr">
        <is>
          <t>UMEÅ</t>
        </is>
      </c>
      <c r="H459" t="inlineStr">
        <is>
          <t>Holmen skog AB</t>
        </is>
      </c>
      <c r="I459" t="n">
        <v>3.4</v>
      </c>
      <c r="J459" t="n">
        <v>0</v>
      </c>
      <c r="K459" t="n">
        <v>0</v>
      </c>
      <c r="L459" t="n">
        <v>0</v>
      </c>
      <c r="M459" t="n">
        <v>0</v>
      </c>
      <c r="N459" t="n">
        <v>0</v>
      </c>
      <c r="O459" t="n">
        <v>0</v>
      </c>
      <c r="P459" t="n">
        <v>0</v>
      </c>
      <c r="Q459" t="n">
        <v>0</v>
      </c>
      <c r="R459" t="n">
        <v>0</v>
      </c>
      <c r="S459" t="n">
        <v>0</v>
      </c>
      <c r="T459" t="n">
        <v>0</v>
      </c>
      <c r="U459" s="2" t="inlineStr"/>
    </row>
    <row r="460" ht="15" customHeight="1">
      <c r="A460" t="inlineStr">
        <is>
          <t>A 37308-2025</t>
        </is>
      </c>
      <c r="B460" t="inlineStr">
        <is>
          <t>avverkningsanmälan</t>
        </is>
      </c>
      <c r="C460" t="inlineStr">
        <is>
          <t>Föryngringsavverkning</t>
        </is>
      </c>
      <c r="D460" s="1" t="n">
        <v>45876</v>
      </c>
      <c r="E460" s="1" t="n">
        <v>46223</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50284-2025</t>
        </is>
      </c>
      <c r="B461" t="inlineStr">
        <is>
          <t>avverkningsanmälan</t>
        </is>
      </c>
      <c r="C461" t="inlineStr">
        <is>
          <t>Föryngringsavverkning</t>
        </is>
      </c>
      <c r="D461" s="1" t="n">
        <v>45944</v>
      </c>
      <c r="E461" s="1" t="n">
        <v>46223</v>
      </c>
      <c r="F461" t="inlineStr">
        <is>
          <t>VÄSTERBOTTENS LÄN</t>
        </is>
      </c>
      <c r="G461" t="inlineStr">
        <is>
          <t>UMEÅ</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37482-2025</t>
        </is>
      </c>
      <c r="B462" t="inlineStr">
        <is>
          <t>avverkningsanmälan</t>
        </is>
      </c>
      <c r="C462" t="inlineStr">
        <is>
          <t>Föryngringsavverkning</t>
        </is>
      </c>
      <c r="D462" s="1" t="n">
        <v>45877</v>
      </c>
      <c r="E462" s="1" t="n">
        <v>46223</v>
      </c>
      <c r="F462" t="inlineStr">
        <is>
          <t>VÄSTERBOTTENS LÄN</t>
        </is>
      </c>
      <c r="G462" t="inlineStr">
        <is>
          <t>UMEÅ</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7371-2026</t>
        </is>
      </c>
      <c r="B463" t="inlineStr">
        <is>
          <t>avverkningsanmälan</t>
        </is>
      </c>
      <c r="C463" t="inlineStr">
        <is>
          <t>Föryngringsavverkning</t>
        </is>
      </c>
      <c r="D463" s="1" t="n">
        <v>46059</v>
      </c>
      <c r="E463" s="1" t="n">
        <v>46223</v>
      </c>
      <c r="F463" t="inlineStr">
        <is>
          <t>VÄSTERBOTTENS LÄN</t>
        </is>
      </c>
      <c r="G463" t="inlineStr">
        <is>
          <t>UMEÅ</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7389-2026</t>
        </is>
      </c>
      <c r="B464" t="inlineStr">
        <is>
          <t>avverkningsanmälan</t>
        </is>
      </c>
      <c r="C464" t="inlineStr">
        <is>
          <t>Föryngringsavverkning</t>
        </is>
      </c>
      <c r="D464" s="1" t="n">
        <v>46059</v>
      </c>
      <c r="E464" s="1" t="n">
        <v>46223</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54439-2021</t>
        </is>
      </c>
      <c r="B465" t="inlineStr">
        <is>
          <t>avverkningsanmälan</t>
        </is>
      </c>
      <c r="C465" t="inlineStr">
        <is>
          <t>Föryngringsavverkning</t>
        </is>
      </c>
      <c r="D465" s="1" t="n">
        <v>44473</v>
      </c>
      <c r="E465" s="1" t="n">
        <v>46223</v>
      </c>
      <c r="F465" t="inlineStr">
        <is>
          <t>VÄSTERBOTTENS LÄN</t>
        </is>
      </c>
      <c r="G465" t="inlineStr">
        <is>
          <t>UMEÅ</t>
        </is>
      </c>
      <c r="H465" t="inlineStr">
        <is>
          <t>Holmen skog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50923-2025</t>
        </is>
      </c>
      <c r="B466" t="inlineStr">
        <is>
          <t>avverkningsanmälan</t>
        </is>
      </c>
      <c r="C466" t="inlineStr">
        <is>
          <t>Föryngringsavverkning</t>
        </is>
      </c>
      <c r="D466" s="1" t="n">
        <v>45946</v>
      </c>
      <c r="E466" s="1" t="n">
        <v>46223</v>
      </c>
      <c r="F466" t="inlineStr">
        <is>
          <t>VÄSTERBOTTENS LÄN</t>
        </is>
      </c>
      <c r="G466" t="inlineStr">
        <is>
          <t>UMEÅ</t>
        </is>
      </c>
      <c r="I466" t="n">
        <v>5.6</v>
      </c>
      <c r="J466" t="n">
        <v>0</v>
      </c>
      <c r="K466" t="n">
        <v>0</v>
      </c>
      <c r="L466" t="n">
        <v>0</v>
      </c>
      <c r="M466" t="n">
        <v>0</v>
      </c>
      <c r="N466" t="n">
        <v>0</v>
      </c>
      <c r="O466" t="n">
        <v>0</v>
      </c>
      <c r="P466" t="n">
        <v>0</v>
      </c>
      <c r="Q466" t="n">
        <v>0</v>
      </c>
      <c r="R466" t="n">
        <v>0</v>
      </c>
      <c r="S466" t="n">
        <v>0</v>
      </c>
      <c r="T466" t="n">
        <v>0</v>
      </c>
      <c r="U466" s="2" t="inlineStr"/>
    </row>
    <row r="467" ht="15" customHeight="1">
      <c r="A467" t="inlineStr">
        <is>
          <t>A 22795-2022</t>
        </is>
      </c>
      <c r="B467" t="inlineStr">
        <is>
          <t>avverkningsanmälan</t>
        </is>
      </c>
      <c r="C467" t="inlineStr">
        <is>
          <t>Föryngringsavverkning</t>
        </is>
      </c>
      <c r="D467" s="1" t="n">
        <v>44715</v>
      </c>
      <c r="E467" s="1" t="n">
        <v>46223</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19025-2024</t>
        </is>
      </c>
      <c r="B468" t="inlineStr">
        <is>
          <t>avverkningsanmälan</t>
        </is>
      </c>
      <c r="C468" t="inlineStr">
        <is>
          <t>Avverkning för annat ändamål</t>
        </is>
      </c>
      <c r="D468" s="1" t="n">
        <v>45427</v>
      </c>
      <c r="E468" s="1" t="n">
        <v>46223</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37814-2025</t>
        </is>
      </c>
      <c r="B469" t="inlineStr">
        <is>
          <t>avverkningsanmälan</t>
        </is>
      </c>
      <c r="C469" t="inlineStr">
        <is>
          <t>Föryngringsavverkning</t>
        </is>
      </c>
      <c r="D469" s="1" t="n">
        <v>45881</v>
      </c>
      <c r="E469" s="1" t="n">
        <v>46223</v>
      </c>
      <c r="F469" t="inlineStr">
        <is>
          <t>VÄSTERBOTTENS LÄN</t>
        </is>
      </c>
      <c r="G469" t="inlineStr">
        <is>
          <t>UMEÅ</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54354-2021</t>
        </is>
      </c>
      <c r="B470" t="inlineStr">
        <is>
          <t>avverkningsanmälan</t>
        </is>
      </c>
      <c r="C470" t="inlineStr">
        <is>
          <t>Föryngringsavverkning</t>
        </is>
      </c>
      <c r="D470" s="1" t="n">
        <v>44473</v>
      </c>
      <c r="E470" s="1" t="n">
        <v>46223</v>
      </c>
      <c r="F470" t="inlineStr">
        <is>
          <t>VÄSTERBOTTENS LÄN</t>
        </is>
      </c>
      <c r="G470" t="inlineStr">
        <is>
          <t>UMEÅ</t>
        </is>
      </c>
      <c r="H470" t="inlineStr">
        <is>
          <t>Holmen skog AB</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7381-2026</t>
        </is>
      </c>
      <c r="B471" t="inlineStr">
        <is>
          <t>avverkningsanmälan</t>
        </is>
      </c>
      <c r="C471" t="inlineStr">
        <is>
          <t>Föryngringsavverkning</t>
        </is>
      </c>
      <c r="D471" s="1" t="n">
        <v>46059</v>
      </c>
      <c r="E471" s="1" t="n">
        <v>46223</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58132-2022</t>
        </is>
      </c>
      <c r="B472" t="inlineStr">
        <is>
          <t>avverkningsanmälan</t>
        </is>
      </c>
      <c r="C472" t="inlineStr">
        <is>
          <t>Föryngringsavverkning</t>
        </is>
      </c>
      <c r="D472" s="1" t="n">
        <v>44900</v>
      </c>
      <c r="E472" s="1" t="n">
        <v>46223</v>
      </c>
      <c r="F472" t="inlineStr">
        <is>
          <t>VÄSTERBOTTENS LÄN</t>
        </is>
      </c>
      <c r="G472" t="inlineStr">
        <is>
          <t>UMEÅ</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51445-2025</t>
        </is>
      </c>
      <c r="B473" t="inlineStr">
        <is>
          <t>avverkningsanmälan</t>
        </is>
      </c>
      <c r="C473" t="inlineStr">
        <is>
          <t>Föryngringsavverkning</t>
        </is>
      </c>
      <c r="D473" s="1" t="n">
        <v>45950</v>
      </c>
      <c r="E473" s="1" t="n">
        <v>46223</v>
      </c>
      <c r="F473" t="inlineStr">
        <is>
          <t>VÄSTERBOTTENS LÄN</t>
        </is>
      </c>
      <c r="G473" t="inlineStr">
        <is>
          <t>UMEÅ</t>
        </is>
      </c>
      <c r="H473" t="inlineStr">
        <is>
          <t>Sveaskog</t>
        </is>
      </c>
      <c r="I473" t="n">
        <v>3.4</v>
      </c>
      <c r="J473" t="n">
        <v>0</v>
      </c>
      <c r="K473" t="n">
        <v>0</v>
      </c>
      <c r="L473" t="n">
        <v>0</v>
      </c>
      <c r="M473" t="n">
        <v>0</v>
      </c>
      <c r="N473" t="n">
        <v>0</v>
      </c>
      <c r="O473" t="n">
        <v>0</v>
      </c>
      <c r="P473" t="n">
        <v>0</v>
      </c>
      <c r="Q473" t="n">
        <v>0</v>
      </c>
      <c r="R473" t="n">
        <v>0</v>
      </c>
      <c r="S473" t="n">
        <v>0</v>
      </c>
      <c r="T473" t="n">
        <v>0</v>
      </c>
      <c r="U473" s="2" t="inlineStr"/>
    </row>
    <row r="474" ht="15" customHeight="1">
      <c r="A474" t="inlineStr">
        <is>
          <t>A 34331-2024</t>
        </is>
      </c>
      <c r="B474" t="inlineStr">
        <is>
          <t>avverkningsanmälan</t>
        </is>
      </c>
      <c r="C474" t="inlineStr">
        <is>
          <t>Föryngringsavverkning</t>
        </is>
      </c>
      <c r="D474" s="1" t="n">
        <v>45524</v>
      </c>
      <c r="E474" s="1" t="n">
        <v>46223</v>
      </c>
      <c r="F474" t="inlineStr">
        <is>
          <t>VÄSTERBOTTENS LÄN</t>
        </is>
      </c>
      <c r="G474" t="inlineStr">
        <is>
          <t>UMEÅ</t>
        </is>
      </c>
      <c r="H474" t="inlineStr">
        <is>
          <t>Holmen skog AB</t>
        </is>
      </c>
      <c r="I474" t="n">
        <v>3.4</v>
      </c>
      <c r="J474" t="n">
        <v>0</v>
      </c>
      <c r="K474" t="n">
        <v>0</v>
      </c>
      <c r="L474" t="n">
        <v>0</v>
      </c>
      <c r="M474" t="n">
        <v>0</v>
      </c>
      <c r="N474" t="n">
        <v>0</v>
      </c>
      <c r="O474" t="n">
        <v>0</v>
      </c>
      <c r="P474" t="n">
        <v>0</v>
      </c>
      <c r="Q474" t="n">
        <v>0</v>
      </c>
      <c r="R474" t="n">
        <v>0</v>
      </c>
      <c r="S474" t="n">
        <v>0</v>
      </c>
      <c r="T474" t="n">
        <v>0</v>
      </c>
      <c r="U474" s="2" t="inlineStr"/>
    </row>
    <row r="475" ht="15" customHeight="1">
      <c r="A475" t="inlineStr">
        <is>
          <t>A 31337-2022</t>
        </is>
      </c>
      <c r="B475" t="inlineStr">
        <is>
          <t>avverkningsanmälan</t>
        </is>
      </c>
      <c r="C475" t="inlineStr">
        <is>
          <t>Avverkning för annat ändamål</t>
        </is>
      </c>
      <c r="D475" s="1" t="n">
        <v>44774</v>
      </c>
      <c r="E475" s="1" t="n">
        <v>46223</v>
      </c>
      <c r="F475" t="inlineStr">
        <is>
          <t>VÄSTERBOTTENS LÄN</t>
        </is>
      </c>
      <c r="G475" t="inlineStr">
        <is>
          <t>UMEÅ</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51455-2025</t>
        </is>
      </c>
      <c r="B476" t="inlineStr">
        <is>
          <t>avverkningsanmälan</t>
        </is>
      </c>
      <c r="C476" t="inlineStr">
        <is>
          <t>Föryngringsavverkning</t>
        </is>
      </c>
      <c r="D476" s="1" t="n">
        <v>45950</v>
      </c>
      <c r="E476" s="1" t="n">
        <v>46223</v>
      </c>
      <c r="F476" t="inlineStr">
        <is>
          <t>VÄSTERBOTTENS LÄN</t>
        </is>
      </c>
      <c r="G476" t="inlineStr">
        <is>
          <t>UMEÅ</t>
        </is>
      </c>
      <c r="H476" t="inlineStr">
        <is>
          <t>Holmen skog AB</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51930-2025</t>
        </is>
      </c>
      <c r="B477" t="inlineStr">
        <is>
          <t>avverkningsanmälan</t>
        </is>
      </c>
      <c r="C477" t="inlineStr">
        <is>
          <t>Föryngringsavverkning</t>
        </is>
      </c>
      <c r="D477" s="1" t="n">
        <v>45952</v>
      </c>
      <c r="E477" s="1" t="n">
        <v>46223</v>
      </c>
      <c r="F477" t="inlineStr">
        <is>
          <t>VÄSTERBOTTENS LÄN</t>
        </is>
      </c>
      <c r="G477" t="inlineStr">
        <is>
          <t>UMEÅ</t>
        </is>
      </c>
      <c r="H477" t="inlineStr">
        <is>
          <t>Holmen skog AB</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51689-2025</t>
        </is>
      </c>
      <c r="B478" t="inlineStr">
        <is>
          <t>avverkningsanmälan</t>
        </is>
      </c>
      <c r="C478" t="inlineStr">
        <is>
          <t>Föryngringsavverkning</t>
        </is>
      </c>
      <c r="D478" s="1" t="n">
        <v>45951</v>
      </c>
      <c r="E478" s="1" t="n">
        <v>46223</v>
      </c>
      <c r="F478" t="inlineStr">
        <is>
          <t>VÄSTERBOTTENS LÄN</t>
        </is>
      </c>
      <c r="G478" t="inlineStr">
        <is>
          <t>UMEÅ</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51547-2025</t>
        </is>
      </c>
      <c r="B479" t="inlineStr">
        <is>
          <t>avverkningsanmälan</t>
        </is>
      </c>
      <c r="C479" t="inlineStr">
        <is>
          <t>Föryngringsavverkning</t>
        </is>
      </c>
      <c r="D479" s="1" t="n">
        <v>45950</v>
      </c>
      <c r="E479" s="1" t="n">
        <v>46223</v>
      </c>
      <c r="F479" t="inlineStr">
        <is>
          <t>VÄSTERBOTTENS LÄN</t>
        </is>
      </c>
      <c r="G479" t="inlineStr">
        <is>
          <t>UMEÅ</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52076-2025</t>
        </is>
      </c>
      <c r="B480" t="inlineStr">
        <is>
          <t>avverkningsanmälan</t>
        </is>
      </c>
      <c r="C480" t="inlineStr">
        <is>
          <t>Föryngringsavverkning</t>
        </is>
      </c>
      <c r="D480" s="1" t="n">
        <v>45952</v>
      </c>
      <c r="E480" s="1" t="n">
        <v>46223</v>
      </c>
      <c r="F480" t="inlineStr">
        <is>
          <t>VÄSTERBOTTENS LÄN</t>
        </is>
      </c>
      <c r="G480" t="inlineStr">
        <is>
          <t>UMEÅ</t>
        </is>
      </c>
      <c r="H480" t="inlineStr">
        <is>
          <t>Holmen skog AB</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51629-2025</t>
        </is>
      </c>
      <c r="B481" t="inlineStr">
        <is>
          <t>avverkningsanmälan</t>
        </is>
      </c>
      <c r="C481" t="inlineStr">
        <is>
          <t>Föryngringsavverkning</t>
        </is>
      </c>
      <c r="D481" s="1" t="n">
        <v>45951</v>
      </c>
      <c r="E481" s="1" t="n">
        <v>46223</v>
      </c>
      <c r="F481" t="inlineStr">
        <is>
          <t>VÄSTERBOTTENS LÄN</t>
        </is>
      </c>
      <c r="G481" t="inlineStr">
        <is>
          <t>UMEÅ</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51621-2025</t>
        </is>
      </c>
      <c r="B482" t="inlineStr">
        <is>
          <t>avverkningsanmälan</t>
        </is>
      </c>
      <c r="C482" t="inlineStr">
        <is>
          <t>Föryngringsavverkning</t>
        </is>
      </c>
      <c r="D482" s="1" t="n">
        <v>45951</v>
      </c>
      <c r="E482" s="1" t="n">
        <v>46223</v>
      </c>
      <c r="F482" t="inlineStr">
        <is>
          <t>VÄSTERBOTTENS LÄN</t>
        </is>
      </c>
      <c r="G482" t="inlineStr">
        <is>
          <t>UMEÅ</t>
        </is>
      </c>
      <c r="I482" t="n">
        <v>8.199999999999999</v>
      </c>
      <c r="J482" t="n">
        <v>0</v>
      </c>
      <c r="K482" t="n">
        <v>0</v>
      </c>
      <c r="L482" t="n">
        <v>0</v>
      </c>
      <c r="M482" t="n">
        <v>0</v>
      </c>
      <c r="N482" t="n">
        <v>0</v>
      </c>
      <c r="O482" t="n">
        <v>0</v>
      </c>
      <c r="P482" t="n">
        <v>0</v>
      </c>
      <c r="Q482" t="n">
        <v>0</v>
      </c>
      <c r="R482" t="n">
        <v>0</v>
      </c>
      <c r="S482" t="n">
        <v>0</v>
      </c>
      <c r="T482" t="n">
        <v>0</v>
      </c>
      <c r="U482" s="2" t="inlineStr"/>
    </row>
    <row r="483" ht="15" customHeight="1">
      <c r="A483" t="inlineStr">
        <is>
          <t>A 8208-2026</t>
        </is>
      </c>
      <c r="B483" t="inlineStr">
        <is>
          <t>avverkningsanmälan</t>
        </is>
      </c>
      <c r="C483" t="inlineStr">
        <is>
          <t>Föryngringsavverkning</t>
        </is>
      </c>
      <c r="D483" s="1" t="n">
        <v>46064</v>
      </c>
      <c r="E483" s="1" t="n">
        <v>46223</v>
      </c>
      <c r="F483" t="inlineStr">
        <is>
          <t>VÄSTERBOTTENS LÄN</t>
        </is>
      </c>
      <c r="G483" t="inlineStr">
        <is>
          <t>UMEÅ</t>
        </is>
      </c>
      <c r="I483" t="n">
        <v>19.9</v>
      </c>
      <c r="J483" t="n">
        <v>0</v>
      </c>
      <c r="K483" t="n">
        <v>0</v>
      </c>
      <c r="L483" t="n">
        <v>0</v>
      </c>
      <c r="M483" t="n">
        <v>0</v>
      </c>
      <c r="N483" t="n">
        <v>0</v>
      </c>
      <c r="O483" t="n">
        <v>0</v>
      </c>
      <c r="P483" t="n">
        <v>0</v>
      </c>
      <c r="Q483" t="n">
        <v>0</v>
      </c>
      <c r="R483" t="n">
        <v>0</v>
      </c>
      <c r="S483" t="n">
        <v>0</v>
      </c>
      <c r="T483" t="n">
        <v>0</v>
      </c>
      <c r="U483" s="2" t="inlineStr"/>
    </row>
    <row r="484" ht="15" customHeight="1">
      <c r="A484" t="inlineStr">
        <is>
          <t>A 51970-2025</t>
        </is>
      </c>
      <c r="B484" t="inlineStr">
        <is>
          <t>avverkningsanmälan</t>
        </is>
      </c>
      <c r="C484" t="inlineStr">
        <is>
          <t>Föryngringsavverkning</t>
        </is>
      </c>
      <c r="D484" s="1" t="n">
        <v>45952</v>
      </c>
      <c r="E484" s="1" t="n">
        <v>46223</v>
      </c>
      <c r="F484" t="inlineStr">
        <is>
          <t>VÄSTERBOTTENS LÄN</t>
        </is>
      </c>
      <c r="G484" t="inlineStr">
        <is>
          <t>UMEÅ</t>
        </is>
      </c>
      <c r="H484" t="inlineStr">
        <is>
          <t>Holmen skog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51961-2025</t>
        </is>
      </c>
      <c r="B485" t="inlineStr">
        <is>
          <t>avverkningsanmälan</t>
        </is>
      </c>
      <c r="C485" t="inlineStr">
        <is>
          <t>Föryngringsavverkning</t>
        </is>
      </c>
      <c r="D485" s="1" t="n">
        <v>45952</v>
      </c>
      <c r="E485" s="1" t="n">
        <v>46223</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52056-2025</t>
        </is>
      </c>
      <c r="B486" t="inlineStr">
        <is>
          <t>avverkningsanmälan</t>
        </is>
      </c>
      <c r="C486" t="inlineStr">
        <is>
          <t>Föryngringsavverkning</t>
        </is>
      </c>
      <c r="D486" s="1" t="n">
        <v>45952</v>
      </c>
      <c r="E486" s="1" t="n">
        <v>46223</v>
      </c>
      <c r="F486" t="inlineStr">
        <is>
          <t>VÄSTERBOTTENS LÄN</t>
        </is>
      </c>
      <c r="G486" t="inlineStr">
        <is>
          <t>UMEÅ</t>
        </is>
      </c>
      <c r="H486" t="inlineStr">
        <is>
          <t>Holmen skog AB</t>
        </is>
      </c>
      <c r="I486" t="n">
        <v>9.4</v>
      </c>
      <c r="J486" t="n">
        <v>0</v>
      </c>
      <c r="K486" t="n">
        <v>0</v>
      </c>
      <c r="L486" t="n">
        <v>0</v>
      </c>
      <c r="M486" t="n">
        <v>0</v>
      </c>
      <c r="N486" t="n">
        <v>0</v>
      </c>
      <c r="O486" t="n">
        <v>0</v>
      </c>
      <c r="P486" t="n">
        <v>0</v>
      </c>
      <c r="Q486" t="n">
        <v>0</v>
      </c>
      <c r="R486" t="n">
        <v>0</v>
      </c>
      <c r="S486" t="n">
        <v>0</v>
      </c>
      <c r="T486" t="n">
        <v>0</v>
      </c>
      <c r="U486" s="2" t="inlineStr"/>
    </row>
    <row r="487" ht="15" customHeight="1">
      <c r="A487" t="inlineStr">
        <is>
          <t>A 51889-2025</t>
        </is>
      </c>
      <c r="B487" t="inlineStr">
        <is>
          <t>avverkningsanmälan</t>
        </is>
      </c>
      <c r="C487" t="inlineStr">
        <is>
          <t>Föryngringsavverkning</t>
        </is>
      </c>
      <c r="D487" s="1" t="n">
        <v>45952</v>
      </c>
      <c r="E487" s="1" t="n">
        <v>46223</v>
      </c>
      <c r="F487" t="inlineStr">
        <is>
          <t>VÄSTERBOTTENS LÄN</t>
        </is>
      </c>
      <c r="G487" t="inlineStr">
        <is>
          <t>UMEÅ</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51901-2025</t>
        </is>
      </c>
      <c r="B488" t="inlineStr">
        <is>
          <t>avverkningsanmälan</t>
        </is>
      </c>
      <c r="C488" t="inlineStr">
        <is>
          <t>Föryngringsavverkning</t>
        </is>
      </c>
      <c r="D488" s="1" t="n">
        <v>45952</v>
      </c>
      <c r="E488" s="1" t="n">
        <v>46223</v>
      </c>
      <c r="F488" t="inlineStr">
        <is>
          <t>VÄSTERBOTTENS LÄN</t>
        </is>
      </c>
      <c r="G488" t="inlineStr">
        <is>
          <t>UMEÅ</t>
        </is>
      </c>
      <c r="H488" t="inlineStr">
        <is>
          <t>Holmen skog AB</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26919-2022</t>
        </is>
      </c>
      <c r="B489" t="inlineStr">
        <is>
          <t>avverkningsanmälan</t>
        </is>
      </c>
      <c r="C489" t="inlineStr">
        <is>
          <t>Föryngringsavverkning</t>
        </is>
      </c>
      <c r="D489" s="1" t="n">
        <v>44740</v>
      </c>
      <c r="E489" s="1" t="n">
        <v>46223</v>
      </c>
      <c r="F489" t="inlineStr">
        <is>
          <t>VÄSTERBOTTENS LÄN</t>
        </is>
      </c>
      <c r="G489" t="inlineStr">
        <is>
          <t>UMEÅ</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8194-2026</t>
        </is>
      </c>
      <c r="B490" t="inlineStr">
        <is>
          <t>avverkningsanmälan</t>
        </is>
      </c>
      <c r="C490" t="inlineStr">
        <is>
          <t>Föryngringsavverkning</t>
        </is>
      </c>
      <c r="D490" s="1" t="n">
        <v>46064</v>
      </c>
      <c r="E490" s="1" t="n">
        <v>46223</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52210-2025</t>
        </is>
      </c>
      <c r="B491" t="inlineStr">
        <is>
          <t>avverkningsanmälan</t>
        </is>
      </c>
      <c r="C491" t="inlineStr">
        <is>
          <t>Föryngringsavverkning</t>
        </is>
      </c>
      <c r="D491" s="1" t="n">
        <v>45953</v>
      </c>
      <c r="E491" s="1" t="n">
        <v>46223</v>
      </c>
      <c r="F491" t="inlineStr">
        <is>
          <t>VÄSTERBOTTENS LÄN</t>
        </is>
      </c>
      <c r="G491" t="inlineStr">
        <is>
          <t>UMEÅ</t>
        </is>
      </c>
      <c r="H491" t="inlineStr">
        <is>
          <t>Holmen skog AB</t>
        </is>
      </c>
      <c r="I491" t="n">
        <v>8.1</v>
      </c>
      <c r="J491" t="n">
        <v>0</v>
      </c>
      <c r="K491" t="n">
        <v>0</v>
      </c>
      <c r="L491" t="n">
        <v>0</v>
      </c>
      <c r="M491" t="n">
        <v>0</v>
      </c>
      <c r="N491" t="n">
        <v>0</v>
      </c>
      <c r="O491" t="n">
        <v>0</v>
      </c>
      <c r="P491" t="n">
        <v>0</v>
      </c>
      <c r="Q491" t="n">
        <v>0</v>
      </c>
      <c r="R491" t="n">
        <v>0</v>
      </c>
      <c r="S491" t="n">
        <v>0</v>
      </c>
      <c r="T491" t="n">
        <v>0</v>
      </c>
      <c r="U491" s="2" t="inlineStr"/>
    </row>
    <row r="492" ht="15" customHeight="1">
      <c r="A492" t="inlineStr">
        <is>
          <t>A 7975-2026</t>
        </is>
      </c>
      <c r="B492" t="inlineStr">
        <is>
          <t>avverkningsanmälan</t>
        </is>
      </c>
      <c r="C492" t="inlineStr">
        <is>
          <t>Föryngringsavverkning</t>
        </is>
      </c>
      <c r="D492" s="1" t="n">
        <v>46063</v>
      </c>
      <c r="E492" s="1" t="n">
        <v>46223</v>
      </c>
      <c r="F492" t="inlineStr">
        <is>
          <t>VÄSTERBOTTENS LÄN</t>
        </is>
      </c>
      <c r="G492" t="inlineStr">
        <is>
          <t>UMEÅ</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52163-2025</t>
        </is>
      </c>
      <c r="B493" t="inlineStr">
        <is>
          <t>avverkningsanmälan</t>
        </is>
      </c>
      <c r="C493" t="inlineStr">
        <is>
          <t>Föryngringsavverkning</t>
        </is>
      </c>
      <c r="D493" s="1" t="n">
        <v>45953</v>
      </c>
      <c r="E493" s="1" t="n">
        <v>46223</v>
      </c>
      <c r="F493" t="inlineStr">
        <is>
          <t>VÄSTERBOTTENS LÄN</t>
        </is>
      </c>
      <c r="G493" t="inlineStr">
        <is>
          <t>UMEÅ</t>
        </is>
      </c>
      <c r="H493" t="inlineStr">
        <is>
          <t>Holmen skog AB</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7929-2026</t>
        </is>
      </c>
      <c r="B494" t="inlineStr">
        <is>
          <t>avverkningsanmälan</t>
        </is>
      </c>
      <c r="C494" t="inlineStr">
        <is>
          <t>Föryngringsavverkning</t>
        </is>
      </c>
      <c r="D494" s="1" t="n">
        <v>46063</v>
      </c>
      <c r="E494" s="1" t="n">
        <v>46223</v>
      </c>
      <c r="F494" t="inlineStr">
        <is>
          <t>VÄSTERBOTTENS LÄN</t>
        </is>
      </c>
      <c r="G494" t="inlineStr">
        <is>
          <t>UMEÅ</t>
        </is>
      </c>
      <c r="I494" t="n">
        <v>4.6</v>
      </c>
      <c r="J494" t="n">
        <v>0</v>
      </c>
      <c r="K494" t="n">
        <v>0</v>
      </c>
      <c r="L494" t="n">
        <v>0</v>
      </c>
      <c r="M494" t="n">
        <v>0</v>
      </c>
      <c r="N494" t="n">
        <v>0</v>
      </c>
      <c r="O494" t="n">
        <v>0</v>
      </c>
      <c r="P494" t="n">
        <v>0</v>
      </c>
      <c r="Q494" t="n">
        <v>0</v>
      </c>
      <c r="R494" t="n">
        <v>0</v>
      </c>
      <c r="S494" t="n">
        <v>0</v>
      </c>
      <c r="T494" t="n">
        <v>0</v>
      </c>
      <c r="U494" s="2" t="inlineStr"/>
    </row>
    <row r="495" ht="15" customHeight="1">
      <c r="A495" t="inlineStr">
        <is>
          <t>A 52155-2025</t>
        </is>
      </c>
      <c r="B495" t="inlineStr">
        <is>
          <t>avverkningsanmälan</t>
        </is>
      </c>
      <c r="C495" t="inlineStr">
        <is>
          <t>Föryngringsavverkning</t>
        </is>
      </c>
      <c r="D495" s="1" t="n">
        <v>45953</v>
      </c>
      <c r="E495" s="1" t="n">
        <v>46223</v>
      </c>
      <c r="F495" t="inlineStr">
        <is>
          <t>VÄSTERBOTTENS LÄN</t>
        </is>
      </c>
      <c r="G495" t="inlineStr">
        <is>
          <t>UMEÅ</t>
        </is>
      </c>
      <c r="H495" t="inlineStr">
        <is>
          <t>Holmen skog AB</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10729-2025</t>
        </is>
      </c>
      <c r="B496" t="inlineStr">
        <is>
          <t>avverkningsanmälan</t>
        </is>
      </c>
      <c r="C496" t="inlineStr">
        <is>
          <t>Föryngringsavverkning</t>
        </is>
      </c>
      <c r="D496" s="1" t="n">
        <v>45722</v>
      </c>
      <c r="E496" s="1" t="n">
        <v>46223</v>
      </c>
      <c r="F496" t="inlineStr">
        <is>
          <t>VÄSTERBOTTENS LÄN</t>
        </is>
      </c>
      <c r="G496" t="inlineStr">
        <is>
          <t>UMEÅ</t>
        </is>
      </c>
      <c r="I496" t="n">
        <v>6.4</v>
      </c>
      <c r="J496" t="n">
        <v>0</v>
      </c>
      <c r="K496" t="n">
        <v>0</v>
      </c>
      <c r="L496" t="n">
        <v>0</v>
      </c>
      <c r="M496" t="n">
        <v>0</v>
      </c>
      <c r="N496" t="n">
        <v>0</v>
      </c>
      <c r="O496" t="n">
        <v>0</v>
      </c>
      <c r="P496" t="n">
        <v>0</v>
      </c>
      <c r="Q496" t="n">
        <v>0</v>
      </c>
      <c r="R496" t="n">
        <v>0</v>
      </c>
      <c r="S496" t="n">
        <v>0</v>
      </c>
      <c r="T496" t="n">
        <v>0</v>
      </c>
      <c r="U496" s="2" t="inlineStr"/>
    </row>
    <row r="497" ht="15" customHeight="1">
      <c r="A497" t="inlineStr">
        <is>
          <t>A 8192-2026</t>
        </is>
      </c>
      <c r="B497" t="inlineStr">
        <is>
          <t>avverkningsanmälan</t>
        </is>
      </c>
      <c r="C497" t="inlineStr">
        <is>
          <t>Föryngringsavverkning</t>
        </is>
      </c>
      <c r="D497" s="1" t="n">
        <v>46064</v>
      </c>
      <c r="E497" s="1" t="n">
        <v>46223</v>
      </c>
      <c r="F497" t="inlineStr">
        <is>
          <t>VÄSTERBOTTENS LÄN</t>
        </is>
      </c>
      <c r="G497" t="inlineStr">
        <is>
          <t>UMEÅ</t>
        </is>
      </c>
      <c r="I497" t="n">
        <v>12.9</v>
      </c>
      <c r="J497" t="n">
        <v>0</v>
      </c>
      <c r="K497" t="n">
        <v>0</v>
      </c>
      <c r="L497" t="n">
        <v>0</v>
      </c>
      <c r="M497" t="n">
        <v>0</v>
      </c>
      <c r="N497" t="n">
        <v>0</v>
      </c>
      <c r="O497" t="n">
        <v>0</v>
      </c>
      <c r="P497" t="n">
        <v>0</v>
      </c>
      <c r="Q497" t="n">
        <v>0</v>
      </c>
      <c r="R497" t="n">
        <v>0</v>
      </c>
      <c r="S497" t="n">
        <v>0</v>
      </c>
      <c r="T497" t="n">
        <v>0</v>
      </c>
      <c r="U497" s="2" t="inlineStr"/>
    </row>
    <row r="498" ht="15" customHeight="1">
      <c r="A498" t="inlineStr">
        <is>
          <t>A 41218-2023</t>
        </is>
      </c>
      <c r="B498" t="inlineStr">
        <is>
          <t>avverkningsanmälan</t>
        </is>
      </c>
      <c r="C498" t="inlineStr">
        <is>
          <t>Föryngringsavverkning</t>
        </is>
      </c>
      <c r="D498" s="1" t="n">
        <v>45174</v>
      </c>
      <c r="E498" s="1" t="n">
        <v>46223</v>
      </c>
      <c r="F498" t="inlineStr">
        <is>
          <t>VÄSTERBOTTENS LÄN</t>
        </is>
      </c>
      <c r="G498" t="inlineStr">
        <is>
          <t>UMEÅ</t>
        </is>
      </c>
      <c r="H498" t="inlineStr">
        <is>
          <t>Holmen skog AB</t>
        </is>
      </c>
      <c r="I498" t="n">
        <v>3.1</v>
      </c>
      <c r="J498" t="n">
        <v>0</v>
      </c>
      <c r="K498" t="n">
        <v>0</v>
      </c>
      <c r="L498" t="n">
        <v>0</v>
      </c>
      <c r="M498" t="n">
        <v>0</v>
      </c>
      <c r="N498" t="n">
        <v>0</v>
      </c>
      <c r="O498" t="n">
        <v>0</v>
      </c>
      <c r="P498" t="n">
        <v>0</v>
      </c>
      <c r="Q498" t="n">
        <v>0</v>
      </c>
      <c r="R498" t="n">
        <v>0</v>
      </c>
      <c r="S498" t="n">
        <v>0</v>
      </c>
      <c r="T498" t="n">
        <v>0</v>
      </c>
      <c r="U498" s="2" t="inlineStr"/>
    </row>
    <row r="499" ht="15" customHeight="1">
      <c r="A499" t="inlineStr">
        <is>
          <t>A 52232-2025</t>
        </is>
      </c>
      <c r="B499" t="inlineStr">
        <is>
          <t>avverkningsanmälan</t>
        </is>
      </c>
      <c r="C499" t="inlineStr">
        <is>
          <t>Föryngringsavverkning</t>
        </is>
      </c>
      <c r="D499" s="1" t="n">
        <v>45953</v>
      </c>
      <c r="E499" s="1" t="n">
        <v>46223</v>
      </c>
      <c r="F499" t="inlineStr">
        <is>
          <t>VÄSTERBOTTENS LÄN</t>
        </is>
      </c>
      <c r="G499" t="inlineStr">
        <is>
          <t>UMEÅ</t>
        </is>
      </c>
      <c r="H499" t="inlineStr">
        <is>
          <t>Holmen skog AB</t>
        </is>
      </c>
      <c r="I499" t="n">
        <v>7.7</v>
      </c>
      <c r="J499" t="n">
        <v>0</v>
      </c>
      <c r="K499" t="n">
        <v>0</v>
      </c>
      <c r="L499" t="n">
        <v>0</v>
      </c>
      <c r="M499" t="n">
        <v>0</v>
      </c>
      <c r="N499" t="n">
        <v>0</v>
      </c>
      <c r="O499" t="n">
        <v>0</v>
      </c>
      <c r="P499" t="n">
        <v>0</v>
      </c>
      <c r="Q499" t="n">
        <v>0</v>
      </c>
      <c r="R499" t="n">
        <v>0</v>
      </c>
      <c r="S499" t="n">
        <v>0</v>
      </c>
      <c r="T499" t="n">
        <v>0</v>
      </c>
      <c r="U499" s="2" t="inlineStr"/>
    </row>
    <row r="500" ht="15" customHeight="1">
      <c r="A500" t="inlineStr">
        <is>
          <t>A 8193-2026</t>
        </is>
      </c>
      <c r="B500" t="inlineStr">
        <is>
          <t>avverkningsanmälan</t>
        </is>
      </c>
      <c r="C500" t="inlineStr">
        <is>
          <t>Föryngringsavverkning</t>
        </is>
      </c>
      <c r="D500" s="1" t="n">
        <v>46064</v>
      </c>
      <c r="E500" s="1" t="n">
        <v>46223</v>
      </c>
      <c r="F500" t="inlineStr">
        <is>
          <t>VÄSTERBOTTENS LÄN</t>
        </is>
      </c>
      <c r="G500" t="inlineStr">
        <is>
          <t>UMEÅ</t>
        </is>
      </c>
      <c r="I500" t="n">
        <v>10.5</v>
      </c>
      <c r="J500" t="n">
        <v>0</v>
      </c>
      <c r="K500" t="n">
        <v>0</v>
      </c>
      <c r="L500" t="n">
        <v>0</v>
      </c>
      <c r="M500" t="n">
        <v>0</v>
      </c>
      <c r="N500" t="n">
        <v>0</v>
      </c>
      <c r="O500" t="n">
        <v>0</v>
      </c>
      <c r="P500" t="n">
        <v>0</v>
      </c>
      <c r="Q500" t="n">
        <v>0</v>
      </c>
      <c r="R500" t="n">
        <v>0</v>
      </c>
      <c r="S500" t="n">
        <v>0</v>
      </c>
      <c r="T500" t="n">
        <v>0</v>
      </c>
      <c r="U500" s="2" t="inlineStr"/>
    </row>
    <row r="501" ht="15" customHeight="1">
      <c r="A501" t="inlineStr">
        <is>
          <t>A 52238-2025</t>
        </is>
      </c>
      <c r="B501" t="inlineStr">
        <is>
          <t>avverkningsanmälan</t>
        </is>
      </c>
      <c r="C501" t="inlineStr">
        <is>
          <t>Föryngringsavverkning</t>
        </is>
      </c>
      <c r="D501" s="1" t="n">
        <v>45953</v>
      </c>
      <c r="E501" s="1" t="n">
        <v>46223</v>
      </c>
      <c r="F501" t="inlineStr">
        <is>
          <t>VÄSTERBOTTENS LÄN</t>
        </is>
      </c>
      <c r="G501" t="inlineStr">
        <is>
          <t>UMEÅ</t>
        </is>
      </c>
      <c r="H501" t="inlineStr">
        <is>
          <t>Holmen skog AB</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52710-2025</t>
        </is>
      </c>
      <c r="B502" t="inlineStr">
        <is>
          <t>avverkningsanmälan</t>
        </is>
      </c>
      <c r="C502" t="inlineStr">
        <is>
          <t>Föryngringsavverkning</t>
        </is>
      </c>
      <c r="D502" s="1" t="n">
        <v>45957</v>
      </c>
      <c r="E502" s="1" t="n">
        <v>46223</v>
      </c>
      <c r="F502" t="inlineStr">
        <is>
          <t>VÄSTERBOTTENS LÄN</t>
        </is>
      </c>
      <c r="G502" t="inlineStr">
        <is>
          <t>UMEÅ</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52919-2025</t>
        </is>
      </c>
      <c r="B503" t="inlineStr">
        <is>
          <t>avverkningsanmälan</t>
        </is>
      </c>
      <c r="C503" t="inlineStr">
        <is>
          <t>Föryngringsavverkning</t>
        </is>
      </c>
      <c r="D503" s="1" t="n">
        <v>45957</v>
      </c>
      <c r="E503" s="1" t="n">
        <v>46223</v>
      </c>
      <c r="F503" t="inlineStr">
        <is>
          <t>VÄSTERBOTTENS LÄN</t>
        </is>
      </c>
      <c r="G503" t="inlineStr">
        <is>
          <t>UMEÅ</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52926-2025</t>
        </is>
      </c>
      <c r="B504" t="inlineStr">
        <is>
          <t>avverkningsanmälan</t>
        </is>
      </c>
      <c r="C504" t="inlineStr">
        <is>
          <t>Föryngringsavverkning</t>
        </is>
      </c>
      <c r="D504" s="1" t="n">
        <v>45957</v>
      </c>
      <c r="E504" s="1" t="n">
        <v>46223</v>
      </c>
      <c r="F504" t="inlineStr">
        <is>
          <t>VÄSTERBOTTENS LÄN</t>
        </is>
      </c>
      <c r="G504" t="inlineStr">
        <is>
          <t>UMEÅ</t>
        </is>
      </c>
      <c r="I504" t="n">
        <v>7.1</v>
      </c>
      <c r="J504" t="n">
        <v>0</v>
      </c>
      <c r="K504" t="n">
        <v>0</v>
      </c>
      <c r="L504" t="n">
        <v>0</v>
      </c>
      <c r="M504" t="n">
        <v>0</v>
      </c>
      <c r="N504" t="n">
        <v>0</v>
      </c>
      <c r="O504" t="n">
        <v>0</v>
      </c>
      <c r="P504" t="n">
        <v>0</v>
      </c>
      <c r="Q504" t="n">
        <v>0</v>
      </c>
      <c r="R504" t="n">
        <v>0</v>
      </c>
      <c r="S504" t="n">
        <v>0</v>
      </c>
      <c r="T504" t="n">
        <v>0</v>
      </c>
      <c r="U504" s="2" t="inlineStr"/>
    </row>
    <row r="505" ht="15" customHeight="1">
      <c r="A505" t="inlineStr">
        <is>
          <t>A 8668-2026</t>
        </is>
      </c>
      <c r="B505" t="inlineStr">
        <is>
          <t>avverkningsanmälan</t>
        </is>
      </c>
      <c r="C505" t="inlineStr">
        <is>
          <t>Föryngringsavverkning</t>
        </is>
      </c>
      <c r="D505" s="1" t="n">
        <v>46066</v>
      </c>
      <c r="E505" s="1" t="n">
        <v>46223</v>
      </c>
      <c r="F505" t="inlineStr">
        <is>
          <t>VÄSTERBOTTENS LÄN</t>
        </is>
      </c>
      <c r="G505" t="inlineStr">
        <is>
          <t>UMEÅ</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52882-2025</t>
        </is>
      </c>
      <c r="B506" t="inlineStr">
        <is>
          <t>avverkningsanmälan</t>
        </is>
      </c>
      <c r="C506" t="inlineStr">
        <is>
          <t>Föryngringsavverkning</t>
        </is>
      </c>
      <c r="D506" s="1" t="n">
        <v>45957</v>
      </c>
      <c r="E506" s="1" t="n">
        <v>46223</v>
      </c>
      <c r="F506" t="inlineStr">
        <is>
          <t>VÄSTERBOTTENS LÄN</t>
        </is>
      </c>
      <c r="G506" t="inlineStr">
        <is>
          <t>UMEÅ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52925-2025</t>
        </is>
      </c>
      <c r="B507" t="inlineStr">
        <is>
          <t>avverkningsanmälan</t>
        </is>
      </c>
      <c r="C507" t="inlineStr">
        <is>
          <t>Föryngringsavverkning</t>
        </is>
      </c>
      <c r="D507" s="1" t="n">
        <v>45957</v>
      </c>
      <c r="E507" s="1" t="n">
        <v>46223</v>
      </c>
      <c r="F507" t="inlineStr">
        <is>
          <t>VÄSTERBOTTENS LÄN</t>
        </is>
      </c>
      <c r="G507" t="inlineStr">
        <is>
          <t>UMEÅ</t>
        </is>
      </c>
      <c r="I507" t="n">
        <v>5.6</v>
      </c>
      <c r="J507" t="n">
        <v>0</v>
      </c>
      <c r="K507" t="n">
        <v>0</v>
      </c>
      <c r="L507" t="n">
        <v>0</v>
      </c>
      <c r="M507" t="n">
        <v>0</v>
      </c>
      <c r="N507" t="n">
        <v>0</v>
      </c>
      <c r="O507" t="n">
        <v>0</v>
      </c>
      <c r="P507" t="n">
        <v>0</v>
      </c>
      <c r="Q507" t="n">
        <v>0</v>
      </c>
      <c r="R507" t="n">
        <v>0</v>
      </c>
      <c r="S507" t="n">
        <v>0</v>
      </c>
      <c r="T507" t="n">
        <v>0</v>
      </c>
      <c r="U507" s="2" t="inlineStr"/>
    </row>
    <row r="508" ht="15" customHeight="1">
      <c r="A508" t="inlineStr">
        <is>
          <t>A 52990-2025</t>
        </is>
      </c>
      <c r="B508" t="inlineStr">
        <is>
          <t>avverkningsanmälan</t>
        </is>
      </c>
      <c r="C508" t="inlineStr">
        <is>
          <t>Föryngringsavverkning</t>
        </is>
      </c>
      <c r="D508" s="1" t="n">
        <v>45957</v>
      </c>
      <c r="E508" s="1" t="n">
        <v>46223</v>
      </c>
      <c r="F508" t="inlineStr">
        <is>
          <t>VÄSTERBOTTENS LÄN</t>
        </is>
      </c>
      <c r="G508" t="inlineStr">
        <is>
          <t>UMEÅ</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52706-2025</t>
        </is>
      </c>
      <c r="B509" t="inlineStr">
        <is>
          <t>avverkningsanmälan</t>
        </is>
      </c>
      <c r="C509" t="inlineStr">
        <is>
          <t>Föryngringsavverkning</t>
        </is>
      </c>
      <c r="D509" s="1" t="n">
        <v>45957</v>
      </c>
      <c r="E509" s="1" t="n">
        <v>46223</v>
      </c>
      <c r="F509" t="inlineStr">
        <is>
          <t>VÄSTERBOTTENS LÄN</t>
        </is>
      </c>
      <c r="G509" t="inlineStr">
        <is>
          <t>UMEÅ</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52992-2025</t>
        </is>
      </c>
      <c r="B510" t="inlineStr">
        <is>
          <t>avverkningsanmälan</t>
        </is>
      </c>
      <c r="C510" t="inlineStr">
        <is>
          <t>Föryngringsavverkning</t>
        </is>
      </c>
      <c r="D510" s="1" t="n">
        <v>45957</v>
      </c>
      <c r="E510" s="1" t="n">
        <v>46223</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9030-2026</t>
        </is>
      </c>
      <c r="B511" t="inlineStr">
        <is>
          <t>avverkningsanmälan</t>
        </is>
      </c>
      <c r="C511" t="inlineStr">
        <is>
          <t>Föryngringsavverkning</t>
        </is>
      </c>
      <c r="D511" s="1" t="n">
        <v>46069</v>
      </c>
      <c r="E511" s="1" t="n">
        <v>46223</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53247-2025</t>
        </is>
      </c>
      <c r="B512" t="inlineStr">
        <is>
          <t>avverkningsanmälan</t>
        </is>
      </c>
      <c r="C512" t="inlineStr">
        <is>
          <t>Föryngringsavverkning</t>
        </is>
      </c>
      <c r="D512" s="1" t="n">
        <v>45958</v>
      </c>
      <c r="E512" s="1" t="n">
        <v>46223</v>
      </c>
      <c r="F512" t="inlineStr">
        <is>
          <t>VÄSTERBOTTENS LÄN</t>
        </is>
      </c>
      <c r="G512" t="inlineStr">
        <is>
          <t>UMEÅ</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52966-2025</t>
        </is>
      </c>
      <c r="B513" t="inlineStr">
        <is>
          <t>avverkningsanmälan</t>
        </is>
      </c>
      <c r="C513" t="inlineStr">
        <is>
          <t>Föryngringsavverkning</t>
        </is>
      </c>
      <c r="D513" s="1" t="n">
        <v>45957</v>
      </c>
      <c r="E513" s="1" t="n">
        <v>46223</v>
      </c>
      <c r="F513" t="inlineStr">
        <is>
          <t>VÄSTERBOTTENS LÄN</t>
        </is>
      </c>
      <c r="G513" t="inlineStr">
        <is>
          <t>UMEÅ</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52996-2025</t>
        </is>
      </c>
      <c r="B514" t="inlineStr">
        <is>
          <t>avverkningsanmälan</t>
        </is>
      </c>
      <c r="C514" t="inlineStr">
        <is>
          <t>Föryngringsavverkning</t>
        </is>
      </c>
      <c r="D514" s="1" t="n">
        <v>45957</v>
      </c>
      <c r="E514" s="1" t="n">
        <v>46223</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39561-2022</t>
        </is>
      </c>
      <c r="B515" t="inlineStr">
        <is>
          <t>avverkningsanmälan</t>
        </is>
      </c>
      <c r="C515" t="inlineStr">
        <is>
          <t>Föryngringsavverkning</t>
        </is>
      </c>
      <c r="D515" s="1" t="n">
        <v>44818</v>
      </c>
      <c r="E515" s="1" t="n">
        <v>46223</v>
      </c>
      <c r="F515" t="inlineStr">
        <is>
          <t>VÄSTERBOTTENS LÄN</t>
        </is>
      </c>
      <c r="G515" t="inlineStr">
        <is>
          <t>UMEÅ</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53336-2025</t>
        </is>
      </c>
      <c r="B516" t="inlineStr">
        <is>
          <t>avverkningsanmälan</t>
        </is>
      </c>
      <c r="C516" t="inlineStr">
        <is>
          <t>Föryngringsavverkning</t>
        </is>
      </c>
      <c r="D516" s="1" t="n">
        <v>45959</v>
      </c>
      <c r="E516" s="1" t="n">
        <v>46223</v>
      </c>
      <c r="F516" t="inlineStr">
        <is>
          <t>VÄSTERBOTTENS LÄN</t>
        </is>
      </c>
      <c r="G516" t="inlineStr">
        <is>
          <t>UMEÅ</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62540-2022</t>
        </is>
      </c>
      <c r="B517" t="inlineStr">
        <is>
          <t>avverkningsanmälan</t>
        </is>
      </c>
      <c r="C517" t="inlineStr">
        <is>
          <t>Föryngringsavverkning</t>
        </is>
      </c>
      <c r="D517" s="1" t="n">
        <v>44917</v>
      </c>
      <c r="E517" s="1" t="n">
        <v>46223</v>
      </c>
      <c r="F517" t="inlineStr">
        <is>
          <t>VÄSTERBOTTENS LÄN</t>
        </is>
      </c>
      <c r="G517" t="inlineStr">
        <is>
          <t>UMEÅ</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9454-2026</t>
        </is>
      </c>
      <c r="B518" t="inlineStr">
        <is>
          <t>avverkningsanmälan</t>
        </is>
      </c>
      <c r="C518" t="inlineStr">
        <is>
          <t>Föryngringsavverkning</t>
        </is>
      </c>
      <c r="D518" s="1" t="n">
        <v>46071</v>
      </c>
      <c r="E518" s="1" t="n">
        <v>46223</v>
      </c>
      <c r="F518" t="inlineStr">
        <is>
          <t>VÄSTERBOTTENS LÄN</t>
        </is>
      </c>
      <c r="G518" t="inlineStr">
        <is>
          <t>UMEÅ</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35226-2024</t>
        </is>
      </c>
      <c r="B519" t="inlineStr">
        <is>
          <t>avverkningsanmälan</t>
        </is>
      </c>
      <c r="C519" t="inlineStr">
        <is>
          <t>Föryngringsavverkning</t>
        </is>
      </c>
      <c r="D519" s="1" t="n">
        <v>45530</v>
      </c>
      <c r="E519" s="1" t="n">
        <v>46223</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37870-2024</t>
        </is>
      </c>
      <c r="B520" t="inlineStr">
        <is>
          <t>avverkningsanmälan</t>
        </is>
      </c>
      <c r="C520" t="inlineStr">
        <is>
          <t>Föryngringsavverkning</t>
        </is>
      </c>
      <c r="D520" s="1" t="n">
        <v>45544</v>
      </c>
      <c r="E520" s="1" t="n">
        <v>46223</v>
      </c>
      <c r="F520" t="inlineStr">
        <is>
          <t>VÄSTERBOTTENS LÄN</t>
        </is>
      </c>
      <c r="G520" t="inlineStr">
        <is>
          <t>UMEÅ</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61621-2024</t>
        </is>
      </c>
      <c r="B521" t="inlineStr">
        <is>
          <t>avverkningsanmälan</t>
        </is>
      </c>
      <c r="C521" t="inlineStr">
        <is>
          <t>Föryngringsavverkning</t>
        </is>
      </c>
      <c r="D521" s="1" t="n">
        <v>45646</v>
      </c>
      <c r="E521" s="1" t="n">
        <v>46223</v>
      </c>
      <c r="F521" t="inlineStr">
        <is>
          <t>VÄSTERBOTTENS LÄN</t>
        </is>
      </c>
      <c r="G521" t="inlineStr">
        <is>
          <t>UMEÅ</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9457-2026</t>
        </is>
      </c>
      <c r="B522" t="inlineStr">
        <is>
          <t>avverkningsanmälan</t>
        </is>
      </c>
      <c r="C522" t="inlineStr">
        <is>
          <t>Föryngringsavverkning</t>
        </is>
      </c>
      <c r="D522" s="1" t="n">
        <v>46071</v>
      </c>
      <c r="E522" s="1" t="n">
        <v>46223</v>
      </c>
      <c r="F522" t="inlineStr">
        <is>
          <t>VÄSTERBOTTENS LÄN</t>
        </is>
      </c>
      <c r="G522" t="inlineStr">
        <is>
          <t>UMEÅ</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49875-2025</t>
        </is>
      </c>
      <c r="B523" t="inlineStr">
        <is>
          <t>avverkningsanmälan</t>
        </is>
      </c>
      <c r="C523" t="inlineStr">
        <is>
          <t>Föryngringsavverkning</t>
        </is>
      </c>
      <c r="D523" s="1" t="n">
        <v>45940</v>
      </c>
      <c r="E523" s="1" t="n">
        <v>46223</v>
      </c>
      <c r="F523" t="inlineStr">
        <is>
          <t>VÄSTERBOTTENS LÄN</t>
        </is>
      </c>
      <c r="G523" t="inlineStr">
        <is>
          <t>UMEÅ</t>
        </is>
      </c>
      <c r="H523" t="inlineStr">
        <is>
          <t>Kommuner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10014-2026</t>
        </is>
      </c>
      <c r="B524" t="inlineStr">
        <is>
          <t>avverkningsanmälan</t>
        </is>
      </c>
      <c r="C524" t="inlineStr">
        <is>
          <t>Föryngringsavverkning</t>
        </is>
      </c>
      <c r="D524" s="1" t="n">
        <v>46073</v>
      </c>
      <c r="E524" s="1" t="n">
        <v>46223</v>
      </c>
      <c r="F524" t="inlineStr">
        <is>
          <t>VÄSTERBOTTENS LÄN</t>
        </is>
      </c>
      <c r="G524" t="inlineStr">
        <is>
          <t>UMEÅ</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54796-2025</t>
        </is>
      </c>
      <c r="B525" t="inlineStr">
        <is>
          <t>avverkningsanmälan</t>
        </is>
      </c>
      <c r="C525" t="inlineStr">
        <is>
          <t>Föryngringsavverkning</t>
        </is>
      </c>
      <c r="D525" s="1" t="n">
        <v>45966</v>
      </c>
      <c r="E525" s="1" t="n">
        <v>46223</v>
      </c>
      <c r="F525" t="inlineStr">
        <is>
          <t>VÄSTERBOTTENS LÄN</t>
        </is>
      </c>
      <c r="G525" t="inlineStr">
        <is>
          <t>UMEÅ</t>
        </is>
      </c>
      <c r="I525" t="n">
        <v>7.2</v>
      </c>
      <c r="J525" t="n">
        <v>0</v>
      </c>
      <c r="K525" t="n">
        <v>0</v>
      </c>
      <c r="L525" t="n">
        <v>0</v>
      </c>
      <c r="M525" t="n">
        <v>0</v>
      </c>
      <c r="N525" t="n">
        <v>0</v>
      </c>
      <c r="O525" t="n">
        <v>0</v>
      </c>
      <c r="P525" t="n">
        <v>0</v>
      </c>
      <c r="Q525" t="n">
        <v>0</v>
      </c>
      <c r="R525" t="n">
        <v>0</v>
      </c>
      <c r="S525" t="n">
        <v>0</v>
      </c>
      <c r="T525" t="n">
        <v>0</v>
      </c>
      <c r="U525" s="2" t="inlineStr"/>
    </row>
    <row r="526" ht="15" customHeight="1">
      <c r="A526" t="inlineStr">
        <is>
          <t>A 54797-2025</t>
        </is>
      </c>
      <c r="B526" t="inlineStr">
        <is>
          <t>avverkningsanmälan</t>
        </is>
      </c>
      <c r="C526" t="inlineStr">
        <is>
          <t>Föryngringsavverkning</t>
        </is>
      </c>
      <c r="D526" s="1" t="n">
        <v>45966</v>
      </c>
      <c r="E526" s="1" t="n">
        <v>46223</v>
      </c>
      <c r="F526" t="inlineStr">
        <is>
          <t>VÄSTERBOTTENS LÄN</t>
        </is>
      </c>
      <c r="G526" t="inlineStr">
        <is>
          <t>UMEÅ</t>
        </is>
      </c>
      <c r="I526" t="n">
        <v>7</v>
      </c>
      <c r="J526" t="n">
        <v>0</v>
      </c>
      <c r="K526" t="n">
        <v>0</v>
      </c>
      <c r="L526" t="n">
        <v>0</v>
      </c>
      <c r="M526" t="n">
        <v>0</v>
      </c>
      <c r="N526" t="n">
        <v>0</v>
      </c>
      <c r="O526" t="n">
        <v>0</v>
      </c>
      <c r="P526" t="n">
        <v>0</v>
      </c>
      <c r="Q526" t="n">
        <v>0</v>
      </c>
      <c r="R526" t="n">
        <v>0</v>
      </c>
      <c r="S526" t="n">
        <v>0</v>
      </c>
      <c r="T526" t="n">
        <v>0</v>
      </c>
      <c r="U526" s="2" t="inlineStr"/>
    </row>
    <row r="527" ht="15" customHeight="1">
      <c r="A527" t="inlineStr">
        <is>
          <t>A 9961-2026</t>
        </is>
      </c>
      <c r="B527" t="inlineStr">
        <is>
          <t>avverkningsanmälan</t>
        </is>
      </c>
      <c r="C527" t="inlineStr">
        <is>
          <t>Föryngringsavverkning</t>
        </is>
      </c>
      <c r="D527" s="1" t="n">
        <v>46073</v>
      </c>
      <c r="E527" s="1" t="n">
        <v>46223</v>
      </c>
      <c r="F527" t="inlineStr">
        <is>
          <t>VÄSTERBOTTENS LÄN</t>
        </is>
      </c>
      <c r="G527" t="inlineStr">
        <is>
          <t>UMEÅ</t>
        </is>
      </c>
      <c r="I527" t="n">
        <v>4.1</v>
      </c>
      <c r="J527" t="n">
        <v>0</v>
      </c>
      <c r="K527" t="n">
        <v>0</v>
      </c>
      <c r="L527" t="n">
        <v>0</v>
      </c>
      <c r="M527" t="n">
        <v>0</v>
      </c>
      <c r="N527" t="n">
        <v>0</v>
      </c>
      <c r="O527" t="n">
        <v>0</v>
      </c>
      <c r="P527" t="n">
        <v>0</v>
      </c>
      <c r="Q527" t="n">
        <v>0</v>
      </c>
      <c r="R527" t="n">
        <v>0</v>
      </c>
      <c r="S527" t="n">
        <v>0</v>
      </c>
      <c r="T527" t="n">
        <v>0</v>
      </c>
      <c r="U527" s="2" t="inlineStr"/>
    </row>
    <row r="528" ht="15" customHeight="1">
      <c r="A528" t="inlineStr">
        <is>
          <t>A 41177-2024</t>
        </is>
      </c>
      <c r="B528" t="inlineStr">
        <is>
          <t>avverkningsanmälan</t>
        </is>
      </c>
      <c r="C528" t="inlineStr">
        <is>
          <t>Föryngringsavverkning</t>
        </is>
      </c>
      <c r="D528" s="1" t="n">
        <v>45559</v>
      </c>
      <c r="E528" s="1" t="n">
        <v>46223</v>
      </c>
      <c r="F528" t="inlineStr">
        <is>
          <t>VÄSTERBOTTENS LÄN</t>
        </is>
      </c>
      <c r="G528" t="inlineStr">
        <is>
          <t>UMEÅ</t>
        </is>
      </c>
      <c r="I528" t="n">
        <v>9.6</v>
      </c>
      <c r="J528" t="n">
        <v>0</v>
      </c>
      <c r="K528" t="n">
        <v>0</v>
      </c>
      <c r="L528" t="n">
        <v>0</v>
      </c>
      <c r="M528" t="n">
        <v>0</v>
      </c>
      <c r="N528" t="n">
        <v>0</v>
      </c>
      <c r="O528" t="n">
        <v>0</v>
      </c>
      <c r="P528" t="n">
        <v>0</v>
      </c>
      <c r="Q528" t="n">
        <v>0</v>
      </c>
      <c r="R528" t="n">
        <v>0</v>
      </c>
      <c r="S528" t="n">
        <v>0</v>
      </c>
      <c r="T528" t="n">
        <v>0</v>
      </c>
      <c r="U528" s="2" t="inlineStr"/>
    </row>
    <row r="529" ht="15" customHeight="1">
      <c r="A529" t="inlineStr">
        <is>
          <t>A 55752-2025</t>
        </is>
      </c>
      <c r="B529" t="inlineStr">
        <is>
          <t>avverkningsanmälan</t>
        </is>
      </c>
      <c r="C529" t="inlineStr">
        <is>
          <t>Föryngringsavverkning</t>
        </is>
      </c>
      <c r="D529" s="1" t="n">
        <v>45972</v>
      </c>
      <c r="E529" s="1" t="n">
        <v>46223</v>
      </c>
      <c r="F529" t="inlineStr">
        <is>
          <t>VÄSTERBOTTENS LÄN</t>
        </is>
      </c>
      <c r="G529" t="inlineStr">
        <is>
          <t>UMEÅ</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15161-2025</t>
        </is>
      </c>
      <c r="B530" t="inlineStr">
        <is>
          <t>avverkningsanmälan</t>
        </is>
      </c>
      <c r="C530" t="inlineStr">
        <is>
          <t>Avverkning för annat ändamål</t>
        </is>
      </c>
      <c r="D530" s="1" t="n">
        <v>45744</v>
      </c>
      <c r="E530" s="1" t="n">
        <v>46223</v>
      </c>
      <c r="F530" t="inlineStr">
        <is>
          <t>VÄSTERBOTTENS LÄN</t>
        </is>
      </c>
      <c r="G530" t="inlineStr">
        <is>
          <t>UMEÅ</t>
        </is>
      </c>
      <c r="H530" t="inlineStr">
        <is>
          <t>Kommuner</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58538-2021</t>
        </is>
      </c>
      <c r="B531" t="inlineStr">
        <is>
          <t>avverkningsanmälan</t>
        </is>
      </c>
      <c r="C531" t="inlineStr">
        <is>
          <t>Föryngringsavverkning</t>
        </is>
      </c>
      <c r="D531" s="1" t="n">
        <v>44488</v>
      </c>
      <c r="E531" s="1" t="n">
        <v>46223</v>
      </c>
      <c r="F531" t="inlineStr">
        <is>
          <t>VÄSTERBOTTENS LÄN</t>
        </is>
      </c>
      <c r="G531" t="inlineStr">
        <is>
          <t>UMEÅ</t>
        </is>
      </c>
      <c r="H531" t="inlineStr">
        <is>
          <t>Sveaskog</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10746-2026</t>
        </is>
      </c>
      <c r="B532" t="inlineStr">
        <is>
          <t>avverkningsanmälan</t>
        </is>
      </c>
      <c r="C532" t="inlineStr">
        <is>
          <t>Föryngringsavverkning</t>
        </is>
      </c>
      <c r="D532" s="1" t="n">
        <v>46078</v>
      </c>
      <c r="E532" s="1" t="n">
        <v>46223</v>
      </c>
      <c r="F532" t="inlineStr">
        <is>
          <t>VÄSTERBOTTENS LÄN</t>
        </is>
      </c>
      <c r="G532" t="inlineStr">
        <is>
          <t>UMEÅ</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17924-2023</t>
        </is>
      </c>
      <c r="B533" t="inlineStr">
        <is>
          <t>avverkningsanmälan</t>
        </is>
      </c>
      <c r="C533" t="inlineStr">
        <is>
          <t>Föryngringsavverkning</t>
        </is>
      </c>
      <c r="D533" s="1" t="n">
        <v>45037</v>
      </c>
      <c r="E533" s="1" t="n">
        <v>46223</v>
      </c>
      <c r="F533" t="inlineStr">
        <is>
          <t>VÄSTERBOTTENS LÄN</t>
        </is>
      </c>
      <c r="G533" t="inlineStr">
        <is>
          <t>UMEÅ</t>
        </is>
      </c>
      <c r="H533" t="inlineStr">
        <is>
          <t>Kommuner</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17949-2023</t>
        </is>
      </c>
      <c r="B534" t="inlineStr">
        <is>
          <t>avverkningsanmälan</t>
        </is>
      </c>
      <c r="C534" t="inlineStr">
        <is>
          <t>Föryngringsavverkning</t>
        </is>
      </c>
      <c r="D534" s="1" t="n">
        <v>45037</v>
      </c>
      <c r="E534" s="1" t="n">
        <v>46223</v>
      </c>
      <c r="F534" t="inlineStr">
        <is>
          <t>VÄSTERBOTTENS LÄN</t>
        </is>
      </c>
      <c r="G534" t="inlineStr">
        <is>
          <t>UMEÅ</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31442-2024</t>
        </is>
      </c>
      <c r="B535" t="inlineStr">
        <is>
          <t>avverkningsanmälan</t>
        </is>
      </c>
      <c r="C535" t="inlineStr">
        <is>
          <t>Föryngringsavverkning</t>
        </is>
      </c>
      <c r="D535" s="1" t="n">
        <v>45505</v>
      </c>
      <c r="E535" s="1" t="n">
        <v>46223</v>
      </c>
      <c r="F535" t="inlineStr">
        <is>
          <t>VÄSTERBOTTENS LÄN</t>
        </is>
      </c>
      <c r="G535" t="inlineStr">
        <is>
          <t>UMEÅ</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6279-2025</t>
        </is>
      </c>
      <c r="B536" t="inlineStr">
        <is>
          <t>avverkningsanmälan</t>
        </is>
      </c>
      <c r="C536" t="inlineStr">
        <is>
          <t>Föryngringsavverkning</t>
        </is>
      </c>
      <c r="D536" s="1" t="n">
        <v>45698</v>
      </c>
      <c r="E536" s="1" t="n">
        <v>46223</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1508-2025</t>
        </is>
      </c>
      <c r="B537" t="inlineStr">
        <is>
          <t>avverkningsanmälan</t>
        </is>
      </c>
      <c r="C537" t="inlineStr">
        <is>
          <t>Föryngringsavverkning</t>
        </is>
      </c>
      <c r="D537" s="1" t="n">
        <v>45670</v>
      </c>
      <c r="E537" s="1" t="n">
        <v>46223</v>
      </c>
      <c r="F537" t="inlineStr">
        <is>
          <t>VÄSTERBOTTENS LÄN</t>
        </is>
      </c>
      <c r="G537" t="inlineStr">
        <is>
          <t>UMEÅ</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56617-2025</t>
        </is>
      </c>
      <c r="B538" t="inlineStr">
        <is>
          <t>avverkningsanmälan</t>
        </is>
      </c>
      <c r="C538" t="inlineStr">
        <is>
          <t>Föryngringsavverkning</t>
        </is>
      </c>
      <c r="D538" s="1" t="n">
        <v>45975</v>
      </c>
      <c r="E538" s="1" t="n">
        <v>46223</v>
      </c>
      <c r="F538" t="inlineStr">
        <is>
          <t>VÄSTERBOTTENS LÄN</t>
        </is>
      </c>
      <c r="G538" t="inlineStr">
        <is>
          <t>UMEÅ</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7373-2024</t>
        </is>
      </c>
      <c r="B539" t="inlineStr">
        <is>
          <t>avverkningsanmälan</t>
        </is>
      </c>
      <c r="C539" t="inlineStr">
        <is>
          <t>Föryngringsavverkning</t>
        </is>
      </c>
      <c r="D539" s="1" t="n">
        <v>45345</v>
      </c>
      <c r="E539" s="1" t="n">
        <v>46223</v>
      </c>
      <c r="F539" t="inlineStr">
        <is>
          <t>VÄSTERBOTTENS LÄN</t>
        </is>
      </c>
      <c r="G539" t="inlineStr">
        <is>
          <t>UMEÅ</t>
        </is>
      </c>
      <c r="I539" t="n">
        <v>4.1</v>
      </c>
      <c r="J539" t="n">
        <v>0</v>
      </c>
      <c r="K539" t="n">
        <v>0</v>
      </c>
      <c r="L539" t="n">
        <v>0</v>
      </c>
      <c r="M539" t="n">
        <v>0</v>
      </c>
      <c r="N539" t="n">
        <v>0</v>
      </c>
      <c r="O539" t="n">
        <v>0</v>
      </c>
      <c r="P539" t="n">
        <v>0</v>
      </c>
      <c r="Q539" t="n">
        <v>0</v>
      </c>
      <c r="R539" t="n">
        <v>0</v>
      </c>
      <c r="S539" t="n">
        <v>0</v>
      </c>
      <c r="T539" t="n">
        <v>0</v>
      </c>
      <c r="U539" s="2" t="inlineStr"/>
    </row>
    <row r="540" ht="15" customHeight="1">
      <c r="A540" t="inlineStr">
        <is>
          <t>A 56542-2025</t>
        </is>
      </c>
      <c r="B540" t="inlineStr">
        <is>
          <t>avverkningsanmälan</t>
        </is>
      </c>
      <c r="C540" t="inlineStr">
        <is>
          <t>Föryngringsavverkning</t>
        </is>
      </c>
      <c r="D540" s="1" t="n">
        <v>45975</v>
      </c>
      <c r="E540" s="1" t="n">
        <v>46223</v>
      </c>
      <c r="F540" t="inlineStr">
        <is>
          <t>VÄSTERBOTTENS LÄN</t>
        </is>
      </c>
      <c r="G540" t="inlineStr">
        <is>
          <t>UMEÅ</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15886-2023</t>
        </is>
      </c>
      <c r="B541" t="inlineStr">
        <is>
          <t>avverkningsanmälan</t>
        </is>
      </c>
      <c r="C541" t="inlineStr">
        <is>
          <t>Avverkning för annat ändamål</t>
        </is>
      </c>
      <c r="D541" s="1" t="n">
        <v>45022</v>
      </c>
      <c r="E541" s="1" t="n">
        <v>46223</v>
      </c>
      <c r="F541" t="inlineStr">
        <is>
          <t>VÄSTERBOTTENS LÄN</t>
        </is>
      </c>
      <c r="G541" t="inlineStr">
        <is>
          <t>UMEÅ</t>
        </is>
      </c>
      <c r="H541" t="inlineStr">
        <is>
          <t>Holmen skog AB</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56547-2025</t>
        </is>
      </c>
      <c r="B542" t="inlineStr">
        <is>
          <t>avverkningsanmälan</t>
        </is>
      </c>
      <c r="C542" t="inlineStr">
        <is>
          <t>Föryngringsavverkning</t>
        </is>
      </c>
      <c r="D542" s="1" t="n">
        <v>45975</v>
      </c>
      <c r="E542" s="1" t="n">
        <v>46223</v>
      </c>
      <c r="F542" t="inlineStr">
        <is>
          <t>VÄSTERBOTTENS LÄN</t>
        </is>
      </c>
      <c r="G542" t="inlineStr">
        <is>
          <t>UMEÅ</t>
        </is>
      </c>
      <c r="I542" t="n">
        <v>6.1</v>
      </c>
      <c r="J542" t="n">
        <v>0</v>
      </c>
      <c r="K542" t="n">
        <v>0</v>
      </c>
      <c r="L542" t="n">
        <v>0</v>
      </c>
      <c r="M542" t="n">
        <v>0</v>
      </c>
      <c r="N542" t="n">
        <v>0</v>
      </c>
      <c r="O542" t="n">
        <v>0</v>
      </c>
      <c r="P542" t="n">
        <v>0</v>
      </c>
      <c r="Q542" t="n">
        <v>0</v>
      </c>
      <c r="R542" t="n">
        <v>0</v>
      </c>
      <c r="S542" t="n">
        <v>0</v>
      </c>
      <c r="T542" t="n">
        <v>0</v>
      </c>
      <c r="U542" s="2" t="inlineStr"/>
    </row>
    <row r="543" ht="15" customHeight="1">
      <c r="A543" t="inlineStr">
        <is>
          <t>A 56642-2025</t>
        </is>
      </c>
      <c r="B543" t="inlineStr">
        <is>
          <t>avverkningsanmälan</t>
        </is>
      </c>
      <c r="C543" t="inlineStr">
        <is>
          <t>Avverkning för annat ändamål</t>
        </is>
      </c>
      <c r="D543" s="1" t="n">
        <v>45975</v>
      </c>
      <c r="E543" s="1" t="n">
        <v>46223</v>
      </c>
      <c r="F543" t="inlineStr">
        <is>
          <t>VÄSTERBOTTENS LÄN</t>
        </is>
      </c>
      <c r="G543" t="inlineStr">
        <is>
          <t>UMEÅ</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44481-2022</t>
        </is>
      </c>
      <c r="B544" t="inlineStr">
        <is>
          <t>avverkningsanmälan</t>
        </is>
      </c>
      <c r="C544" t="inlineStr">
        <is>
          <t>Avverkning för annat ändamål</t>
        </is>
      </c>
      <c r="D544" s="1" t="n">
        <v>44840</v>
      </c>
      <c r="E544" s="1" t="n">
        <v>46223</v>
      </c>
      <c r="F544" t="inlineStr">
        <is>
          <t>VÄSTERBOTTENS LÄN</t>
        </is>
      </c>
      <c r="G544" t="inlineStr">
        <is>
          <t>UMEÅ</t>
        </is>
      </c>
      <c r="H544" t="inlineStr">
        <is>
          <t>Holmen skog AB</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57374-2025</t>
        </is>
      </c>
      <c r="B545" t="inlineStr">
        <is>
          <t>avverkningsanmälan</t>
        </is>
      </c>
      <c r="C545" t="inlineStr">
        <is>
          <t>Föryngringsavverkning</t>
        </is>
      </c>
      <c r="D545" s="1" t="n">
        <v>45980</v>
      </c>
      <c r="E545" s="1" t="n">
        <v>46223</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58080-2025</t>
        </is>
      </c>
      <c r="B546" t="inlineStr">
        <is>
          <t>avverkningsanmälan</t>
        </is>
      </c>
      <c r="C546" t="inlineStr">
        <is>
          <t>Föryngringsavverkning</t>
        </is>
      </c>
      <c r="D546" s="1" t="n">
        <v>45982</v>
      </c>
      <c r="E546" s="1" t="n">
        <v>46223</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58028-2025</t>
        </is>
      </c>
      <c r="B547" t="inlineStr">
        <is>
          <t>avverkningsanmälan</t>
        </is>
      </c>
      <c r="C547" t="inlineStr">
        <is>
          <t>Föryngringsavverkning</t>
        </is>
      </c>
      <c r="D547" s="1" t="n">
        <v>45982</v>
      </c>
      <c r="E547" s="1" t="n">
        <v>46223</v>
      </c>
      <c r="F547" t="inlineStr">
        <is>
          <t>VÄSTERBOTTENS LÄN</t>
        </is>
      </c>
      <c r="G547" t="inlineStr">
        <is>
          <t>UMEÅ</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57779-2025</t>
        </is>
      </c>
      <c r="B548" t="inlineStr">
        <is>
          <t>avverkningsanmälan</t>
        </is>
      </c>
      <c r="C548" t="inlineStr">
        <is>
          <t>Föryngringsavverkning</t>
        </is>
      </c>
      <c r="D548" s="1" t="n">
        <v>45981</v>
      </c>
      <c r="E548" s="1" t="n">
        <v>46223</v>
      </c>
      <c r="F548" t="inlineStr">
        <is>
          <t>VÄSTERBOTTENS LÄN</t>
        </is>
      </c>
      <c r="G548" t="inlineStr">
        <is>
          <t>UMEÅ</t>
        </is>
      </c>
      <c r="H548" t="inlineStr">
        <is>
          <t>Holmen skog AB</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57998-2025</t>
        </is>
      </c>
      <c r="B549" t="inlineStr">
        <is>
          <t>avverkningsanmälan</t>
        </is>
      </c>
      <c r="C549" t="inlineStr">
        <is>
          <t>Föryngringsavverkning</t>
        </is>
      </c>
      <c r="D549" s="1" t="n">
        <v>45982</v>
      </c>
      <c r="E549" s="1" t="n">
        <v>46223</v>
      </c>
      <c r="F549" t="inlineStr">
        <is>
          <t>VÄSTERBOTTENS LÄN</t>
        </is>
      </c>
      <c r="G549" t="inlineStr">
        <is>
          <t>UMEÅ</t>
        </is>
      </c>
      <c r="H549" t="inlineStr">
        <is>
          <t>Holmen skog AB</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58102-2025</t>
        </is>
      </c>
      <c r="B550" t="inlineStr">
        <is>
          <t>avverkningsanmälan</t>
        </is>
      </c>
      <c r="C550" t="inlineStr">
        <is>
          <t>Föryngringsavverkning</t>
        </is>
      </c>
      <c r="D550" s="1" t="n">
        <v>45982</v>
      </c>
      <c r="E550" s="1" t="n">
        <v>46223</v>
      </c>
      <c r="F550" t="inlineStr">
        <is>
          <t>VÄSTERBOTTENS LÄN</t>
        </is>
      </c>
      <c r="G550" t="inlineStr">
        <is>
          <t>UMEÅ</t>
        </is>
      </c>
      <c r="H550" t="inlineStr">
        <is>
          <t>Holmen skog AB</t>
        </is>
      </c>
      <c r="I550" t="n">
        <v>20.8</v>
      </c>
      <c r="J550" t="n">
        <v>0</v>
      </c>
      <c r="K550" t="n">
        <v>0</v>
      </c>
      <c r="L550" t="n">
        <v>0</v>
      </c>
      <c r="M550" t="n">
        <v>0</v>
      </c>
      <c r="N550" t="n">
        <v>0</v>
      </c>
      <c r="O550" t="n">
        <v>0</v>
      </c>
      <c r="P550" t="n">
        <v>0</v>
      </c>
      <c r="Q550" t="n">
        <v>0</v>
      </c>
      <c r="R550" t="n">
        <v>0</v>
      </c>
      <c r="S550" t="n">
        <v>0</v>
      </c>
      <c r="T550" t="n">
        <v>0</v>
      </c>
      <c r="U550" s="2" t="inlineStr"/>
    </row>
    <row r="551" ht="15" customHeight="1">
      <c r="A551" t="inlineStr">
        <is>
          <t>A 58088-2025</t>
        </is>
      </c>
      <c r="B551" t="inlineStr">
        <is>
          <t>avverkningsanmälan</t>
        </is>
      </c>
      <c r="C551" t="inlineStr">
        <is>
          <t>Föryngringsavverkning</t>
        </is>
      </c>
      <c r="D551" s="1" t="n">
        <v>45982</v>
      </c>
      <c r="E551" s="1" t="n">
        <v>46223</v>
      </c>
      <c r="F551" t="inlineStr">
        <is>
          <t>VÄSTERBOTTENS LÄN</t>
        </is>
      </c>
      <c r="G551" t="inlineStr">
        <is>
          <t>UMEÅ</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10265-2025</t>
        </is>
      </c>
      <c r="B552" t="inlineStr">
        <is>
          <t>avverkningsanmälan</t>
        </is>
      </c>
      <c r="C552" t="inlineStr">
        <is>
          <t>Föryngringsavverkning</t>
        </is>
      </c>
      <c r="D552" s="1" t="n">
        <v>45720</v>
      </c>
      <c r="E552" s="1" t="n">
        <v>46223</v>
      </c>
      <c r="F552" t="inlineStr">
        <is>
          <t>VÄSTERBOTTENS LÄN</t>
        </is>
      </c>
      <c r="G552" t="inlineStr">
        <is>
          <t>UMEÅ</t>
        </is>
      </c>
      <c r="I552" t="n">
        <v>10.6</v>
      </c>
      <c r="J552" t="n">
        <v>0</v>
      </c>
      <c r="K552" t="n">
        <v>0</v>
      </c>
      <c r="L552" t="n">
        <v>0</v>
      </c>
      <c r="M552" t="n">
        <v>0</v>
      </c>
      <c r="N552" t="n">
        <v>0</v>
      </c>
      <c r="O552" t="n">
        <v>0</v>
      </c>
      <c r="P552" t="n">
        <v>0</v>
      </c>
      <c r="Q552" t="n">
        <v>0</v>
      </c>
      <c r="R552" t="n">
        <v>0</v>
      </c>
      <c r="S552" t="n">
        <v>0</v>
      </c>
      <c r="T552" t="n">
        <v>0</v>
      </c>
      <c r="U552" s="2" t="inlineStr"/>
    </row>
    <row r="553" ht="15" customHeight="1">
      <c r="A553" t="inlineStr">
        <is>
          <t>A 12299-2026</t>
        </is>
      </c>
      <c r="B553" t="inlineStr">
        <is>
          <t>avverkningsanmälan</t>
        </is>
      </c>
      <c r="C553" t="inlineStr">
        <is>
          <t>Föryngringsavverkning</t>
        </is>
      </c>
      <c r="D553" s="1" t="n">
        <v>46087</v>
      </c>
      <c r="E553" s="1" t="n">
        <v>46223</v>
      </c>
      <c r="F553" t="inlineStr">
        <is>
          <t>VÄSTERBOTTENS LÄN</t>
        </is>
      </c>
      <c r="G553" t="inlineStr">
        <is>
          <t>UMEÅ</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58699-2025</t>
        </is>
      </c>
      <c r="B554" t="inlineStr">
        <is>
          <t>avverkningsanmälan</t>
        </is>
      </c>
      <c r="C554" t="inlineStr">
        <is>
          <t>Föryngringsavverkning</t>
        </is>
      </c>
      <c r="D554" s="1" t="n">
        <v>45986</v>
      </c>
      <c r="E554" s="1" t="n">
        <v>46223</v>
      </c>
      <c r="F554" t="inlineStr">
        <is>
          <t>VÄSTERBOTTENS LÄN</t>
        </is>
      </c>
      <c r="G554" t="inlineStr">
        <is>
          <t>UMEÅ</t>
        </is>
      </c>
      <c r="H554" t="inlineStr">
        <is>
          <t>Sveaskog</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58608-2025</t>
        </is>
      </c>
      <c r="B555" t="inlineStr">
        <is>
          <t>avverkningsanmälan</t>
        </is>
      </c>
      <c r="C555" t="inlineStr">
        <is>
          <t>Föryngringsavverkning</t>
        </is>
      </c>
      <c r="D555" s="1" t="n">
        <v>45986</v>
      </c>
      <c r="E555" s="1" t="n">
        <v>46223</v>
      </c>
      <c r="F555" t="inlineStr">
        <is>
          <t>VÄSTERBOTTENS LÄN</t>
        </is>
      </c>
      <c r="G555" t="inlineStr">
        <is>
          <t>UMEÅ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58309-2025</t>
        </is>
      </c>
      <c r="B556" t="inlineStr">
        <is>
          <t>avverkningsanmälan</t>
        </is>
      </c>
      <c r="C556" t="inlineStr">
        <is>
          <t>Föryngringsavverkning</t>
        </is>
      </c>
      <c r="D556" s="1" t="n">
        <v>45985</v>
      </c>
      <c r="E556" s="1" t="n">
        <v>46223</v>
      </c>
      <c r="F556" t="inlineStr">
        <is>
          <t>VÄSTERBOTTENS LÄN</t>
        </is>
      </c>
      <c r="G556" t="inlineStr">
        <is>
          <t>UMEÅ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57603-2021</t>
        </is>
      </c>
      <c r="B557" t="inlineStr">
        <is>
          <t>avverkningsanmälan</t>
        </is>
      </c>
      <c r="C557" t="inlineStr">
        <is>
          <t>Föryngringsavverkning</t>
        </is>
      </c>
      <c r="D557" s="1" t="n">
        <v>44483</v>
      </c>
      <c r="E557" s="1" t="n">
        <v>46223</v>
      </c>
      <c r="F557" t="inlineStr">
        <is>
          <t>VÄSTERBOTTENS LÄN</t>
        </is>
      </c>
      <c r="G557" t="inlineStr">
        <is>
          <t>UMEÅ</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30553-2023</t>
        </is>
      </c>
      <c r="B558" t="inlineStr">
        <is>
          <t>avverkningsanmälan</t>
        </is>
      </c>
      <c r="C558" t="inlineStr">
        <is>
          <t>Föryngringsavverkning</t>
        </is>
      </c>
      <c r="D558" s="1" t="n">
        <v>45111</v>
      </c>
      <c r="E558" s="1" t="n">
        <v>46223</v>
      </c>
      <c r="F558" t="inlineStr">
        <is>
          <t>VÄSTERBOTTENS LÄN</t>
        </is>
      </c>
      <c r="G558" t="inlineStr">
        <is>
          <t>UMEÅ</t>
        </is>
      </c>
      <c r="I558" t="n">
        <v>5.1</v>
      </c>
      <c r="J558" t="n">
        <v>0</v>
      </c>
      <c r="K558" t="n">
        <v>0</v>
      </c>
      <c r="L558" t="n">
        <v>0</v>
      </c>
      <c r="M558" t="n">
        <v>0</v>
      </c>
      <c r="N558" t="n">
        <v>0</v>
      </c>
      <c r="O558" t="n">
        <v>0</v>
      </c>
      <c r="P558" t="n">
        <v>0</v>
      </c>
      <c r="Q558" t="n">
        <v>0</v>
      </c>
      <c r="R558" t="n">
        <v>0</v>
      </c>
      <c r="S558" t="n">
        <v>0</v>
      </c>
      <c r="T558" t="n">
        <v>0</v>
      </c>
      <c r="U558" s="2" t="inlineStr"/>
    </row>
    <row r="559" ht="15" customHeight="1">
      <c r="A559" t="inlineStr">
        <is>
          <t>A 12648-2026</t>
        </is>
      </c>
      <c r="B559" t="inlineStr">
        <is>
          <t>avverkningsanmälan</t>
        </is>
      </c>
      <c r="C559" t="inlineStr">
        <is>
          <t>Föryngringsavverkning</t>
        </is>
      </c>
      <c r="D559" s="1" t="n">
        <v>46091</v>
      </c>
      <c r="E559" s="1" t="n">
        <v>46223</v>
      </c>
      <c r="F559" t="inlineStr">
        <is>
          <t>VÄSTERBOTTENS LÄN</t>
        </is>
      </c>
      <c r="G559" t="inlineStr">
        <is>
          <t>UMEÅ</t>
        </is>
      </c>
      <c r="H559" t="inlineStr">
        <is>
          <t>Kommuner</t>
        </is>
      </c>
      <c r="I559" t="n">
        <v>5.6</v>
      </c>
      <c r="J559" t="n">
        <v>0</v>
      </c>
      <c r="K559" t="n">
        <v>0</v>
      </c>
      <c r="L559" t="n">
        <v>0</v>
      </c>
      <c r="M559" t="n">
        <v>0</v>
      </c>
      <c r="N559" t="n">
        <v>0</v>
      </c>
      <c r="O559" t="n">
        <v>0</v>
      </c>
      <c r="P559" t="n">
        <v>0</v>
      </c>
      <c r="Q559" t="n">
        <v>0</v>
      </c>
      <c r="R559" t="n">
        <v>0</v>
      </c>
      <c r="S559" t="n">
        <v>0</v>
      </c>
      <c r="T559" t="n">
        <v>0</v>
      </c>
      <c r="U559" s="2" t="inlineStr"/>
    </row>
    <row r="560" ht="15" customHeight="1">
      <c r="A560" t="inlineStr">
        <is>
          <t>A 20425-2025</t>
        </is>
      </c>
      <c r="B560" t="inlineStr">
        <is>
          <t>avverkningsanmälan</t>
        </is>
      </c>
      <c r="C560" t="inlineStr">
        <is>
          <t>Föryngringsavverkning</t>
        </is>
      </c>
      <c r="D560" s="1" t="n">
        <v>45775</v>
      </c>
      <c r="E560" s="1" t="n">
        <v>46223</v>
      </c>
      <c r="F560" t="inlineStr">
        <is>
          <t>VÄSTERBOTTENS LÄN</t>
        </is>
      </c>
      <c r="G560" t="inlineStr">
        <is>
          <t>UMEÅ</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9272-2025</t>
        </is>
      </c>
      <c r="B561" t="inlineStr">
        <is>
          <t>avverkningsanmälan</t>
        </is>
      </c>
      <c r="C561" t="inlineStr">
        <is>
          <t>Föryngringsavverkning</t>
        </is>
      </c>
      <c r="D561" s="1" t="n">
        <v>45714</v>
      </c>
      <c r="E561" s="1" t="n">
        <v>46223</v>
      </c>
      <c r="F561" t="inlineStr">
        <is>
          <t>VÄSTERBOTTENS LÄN</t>
        </is>
      </c>
      <c r="G561" t="inlineStr">
        <is>
          <t>UMEÅ</t>
        </is>
      </c>
      <c r="H561" t="inlineStr">
        <is>
          <t>Holmen skog AB</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18026-2025</t>
        </is>
      </c>
      <c r="B562" t="inlineStr">
        <is>
          <t>avverkningsanmälan</t>
        </is>
      </c>
      <c r="C562" t="inlineStr">
        <is>
          <t>Föryngringsavverkning</t>
        </is>
      </c>
      <c r="D562" s="1" t="n">
        <v>45761</v>
      </c>
      <c r="E562" s="1" t="n">
        <v>46223</v>
      </c>
      <c r="F562" t="inlineStr">
        <is>
          <t>VÄSTERBOTTENS LÄN</t>
        </is>
      </c>
      <c r="G562" t="inlineStr">
        <is>
          <t>UMEÅ</t>
        </is>
      </c>
      <c r="I562" t="n">
        <v>6.3</v>
      </c>
      <c r="J562" t="n">
        <v>0</v>
      </c>
      <c r="K562" t="n">
        <v>0</v>
      </c>
      <c r="L562" t="n">
        <v>0</v>
      </c>
      <c r="M562" t="n">
        <v>0</v>
      </c>
      <c r="N562" t="n">
        <v>0</v>
      </c>
      <c r="O562" t="n">
        <v>0</v>
      </c>
      <c r="P562" t="n">
        <v>0</v>
      </c>
      <c r="Q562" t="n">
        <v>0</v>
      </c>
      <c r="R562" t="n">
        <v>0</v>
      </c>
      <c r="S562" t="n">
        <v>0</v>
      </c>
      <c r="T562" t="n">
        <v>0</v>
      </c>
      <c r="U562" s="2" t="inlineStr"/>
    </row>
    <row r="563" ht="15" customHeight="1">
      <c r="A563" t="inlineStr">
        <is>
          <t>A 12617-2026</t>
        </is>
      </c>
      <c r="B563" t="inlineStr">
        <is>
          <t>avverkningsanmälan</t>
        </is>
      </c>
      <c r="C563" t="inlineStr">
        <is>
          <t>Föryngringsavverkning</t>
        </is>
      </c>
      <c r="D563" s="1" t="n">
        <v>46091</v>
      </c>
      <c r="E563" s="1" t="n">
        <v>46223</v>
      </c>
      <c r="F563" t="inlineStr">
        <is>
          <t>VÄSTERBOTTENS LÄN</t>
        </is>
      </c>
      <c r="G563" t="inlineStr">
        <is>
          <t>UMEÅ</t>
        </is>
      </c>
      <c r="H563" t="inlineStr">
        <is>
          <t>Kommuner</t>
        </is>
      </c>
      <c r="I563" t="n">
        <v>14.8</v>
      </c>
      <c r="J563" t="n">
        <v>0</v>
      </c>
      <c r="K563" t="n">
        <v>0</v>
      </c>
      <c r="L563" t="n">
        <v>0</v>
      </c>
      <c r="M563" t="n">
        <v>0</v>
      </c>
      <c r="N563" t="n">
        <v>0</v>
      </c>
      <c r="O563" t="n">
        <v>0</v>
      </c>
      <c r="P563" t="n">
        <v>0</v>
      </c>
      <c r="Q563" t="n">
        <v>0</v>
      </c>
      <c r="R563" t="n">
        <v>0</v>
      </c>
      <c r="S563" t="n">
        <v>0</v>
      </c>
      <c r="T563" t="n">
        <v>0</v>
      </c>
      <c r="U563" s="2" t="inlineStr"/>
    </row>
    <row r="564" ht="15" customHeight="1">
      <c r="A564" t="inlineStr">
        <is>
          <t>A 21917-2023</t>
        </is>
      </c>
      <c r="B564" t="inlineStr">
        <is>
          <t>avverkningsanmälan</t>
        </is>
      </c>
      <c r="C564" t="inlineStr">
        <is>
          <t>Föryngringsavverkning</t>
        </is>
      </c>
      <c r="D564" s="1" t="n">
        <v>45065</v>
      </c>
      <c r="E564" s="1" t="n">
        <v>46223</v>
      </c>
      <c r="F564" t="inlineStr">
        <is>
          <t>VÄSTERBOTTENS LÄN</t>
        </is>
      </c>
      <c r="G564" t="inlineStr">
        <is>
          <t>UMEÅ</t>
        </is>
      </c>
      <c r="I564" t="n">
        <v>2.9</v>
      </c>
      <c r="J564" t="n">
        <v>0</v>
      </c>
      <c r="K564" t="n">
        <v>0</v>
      </c>
      <c r="L564" t="n">
        <v>0</v>
      </c>
      <c r="M564" t="n">
        <v>0</v>
      </c>
      <c r="N564" t="n">
        <v>0</v>
      </c>
      <c r="O564" t="n">
        <v>0</v>
      </c>
      <c r="P564" t="n">
        <v>0</v>
      </c>
      <c r="Q564" t="n">
        <v>0</v>
      </c>
      <c r="R564" t="n">
        <v>0</v>
      </c>
      <c r="S564" t="n">
        <v>0</v>
      </c>
      <c r="T564" t="n">
        <v>0</v>
      </c>
      <c r="U564" s="2" t="inlineStr"/>
    </row>
    <row r="565" ht="15" customHeight="1">
      <c r="A565" t="inlineStr">
        <is>
          <t>A 47171-2024</t>
        </is>
      </c>
      <c r="B565" t="inlineStr">
        <is>
          <t>avverkningsanmälan</t>
        </is>
      </c>
      <c r="C565" t="inlineStr">
        <is>
          <t>Föryngringsavverkning</t>
        </is>
      </c>
      <c r="D565" s="1" t="n">
        <v>45586</v>
      </c>
      <c r="E565" s="1" t="n">
        <v>46223</v>
      </c>
      <c r="F565" t="inlineStr">
        <is>
          <t>VÄSTERBOTTENS LÄN</t>
        </is>
      </c>
      <c r="G565" t="inlineStr">
        <is>
          <t>UMEÅ</t>
        </is>
      </c>
      <c r="H565" t="inlineStr">
        <is>
          <t>Holmen skog AB</t>
        </is>
      </c>
      <c r="I565" t="n">
        <v>5.2</v>
      </c>
      <c r="J565" t="n">
        <v>0</v>
      </c>
      <c r="K565" t="n">
        <v>0</v>
      </c>
      <c r="L565" t="n">
        <v>0</v>
      </c>
      <c r="M565" t="n">
        <v>0</v>
      </c>
      <c r="N565" t="n">
        <v>0</v>
      </c>
      <c r="O565" t="n">
        <v>0</v>
      </c>
      <c r="P565" t="n">
        <v>0</v>
      </c>
      <c r="Q565" t="n">
        <v>0</v>
      </c>
      <c r="R565" t="n">
        <v>0</v>
      </c>
      <c r="S565" t="n">
        <v>0</v>
      </c>
      <c r="T565" t="n">
        <v>0</v>
      </c>
      <c r="U565" s="2" t="inlineStr"/>
    </row>
    <row r="566" ht="15" customHeight="1">
      <c r="A566" t="inlineStr">
        <is>
          <t>A 44042-2024</t>
        </is>
      </c>
      <c r="B566" t="inlineStr">
        <is>
          <t>avverkningsanmälan</t>
        </is>
      </c>
      <c r="C566" t="inlineStr">
        <is>
          <t>Föryngringsavverkning</t>
        </is>
      </c>
      <c r="D566" s="1" t="n">
        <v>45572</v>
      </c>
      <c r="E566" s="1" t="n">
        <v>46223</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59168-2025</t>
        </is>
      </c>
      <c r="B567" t="inlineStr">
        <is>
          <t>avverkningsanmälan</t>
        </is>
      </c>
      <c r="C567" t="inlineStr">
        <is>
          <t>Föryngringsavverkning</t>
        </is>
      </c>
      <c r="D567" s="1" t="n">
        <v>45988</v>
      </c>
      <c r="E567" s="1" t="n">
        <v>46223</v>
      </c>
      <c r="F567" t="inlineStr">
        <is>
          <t>VÄSTERBOTTENS LÄN</t>
        </is>
      </c>
      <c r="G567" t="inlineStr">
        <is>
          <t>UMEÅ</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49192-2023</t>
        </is>
      </c>
      <c r="B568" t="inlineStr">
        <is>
          <t>avverkningsanmälan</t>
        </is>
      </c>
      <c r="C568" t="inlineStr">
        <is>
          <t>Föryngringsavverkning</t>
        </is>
      </c>
      <c r="D568" s="1" t="n">
        <v>45210</v>
      </c>
      <c r="E568" s="1" t="n">
        <v>46223</v>
      </c>
      <c r="F568" t="inlineStr">
        <is>
          <t>VÄSTERBOTTENS LÄN</t>
        </is>
      </c>
      <c r="G568" t="inlineStr">
        <is>
          <t>UMEÅ</t>
        </is>
      </c>
      <c r="H568" t="inlineStr">
        <is>
          <t>Holmen skog AB</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59344-2025</t>
        </is>
      </c>
      <c r="B569" t="inlineStr">
        <is>
          <t>avverkningsanmälan</t>
        </is>
      </c>
      <c r="C569" t="inlineStr">
        <is>
          <t>Föryngringsavverkning</t>
        </is>
      </c>
      <c r="D569" s="1" t="n">
        <v>45989</v>
      </c>
      <c r="E569" s="1" t="n">
        <v>46223</v>
      </c>
      <c r="F569" t="inlineStr">
        <is>
          <t>VÄSTERBOTTENS LÄN</t>
        </is>
      </c>
      <c r="G569" t="inlineStr">
        <is>
          <t>UMEÅ</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59734-2025</t>
        </is>
      </c>
      <c r="B570" t="inlineStr">
        <is>
          <t>avverkningsanmälan</t>
        </is>
      </c>
      <c r="C570" t="inlineStr">
        <is>
          <t>Föryngringsavverkning</t>
        </is>
      </c>
      <c r="D570" s="1" t="n">
        <v>45992</v>
      </c>
      <c r="E570" s="1" t="n">
        <v>46223</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59753-2025</t>
        </is>
      </c>
      <c r="B571" t="inlineStr">
        <is>
          <t>avverkningsanmälan</t>
        </is>
      </c>
      <c r="C571" t="inlineStr">
        <is>
          <t>Föryngringsavverkning</t>
        </is>
      </c>
      <c r="D571" s="1" t="n">
        <v>45992</v>
      </c>
      <c r="E571" s="1" t="n">
        <v>46223</v>
      </c>
      <c r="F571" t="inlineStr">
        <is>
          <t>VÄSTERBOTTENS LÄN</t>
        </is>
      </c>
      <c r="G571" t="inlineStr">
        <is>
          <t>UMEÅ</t>
        </is>
      </c>
      <c r="H571" t="inlineStr">
        <is>
          <t>Holmen skog AB</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59760-2025</t>
        </is>
      </c>
      <c r="B572" t="inlineStr">
        <is>
          <t>avverkningsanmälan</t>
        </is>
      </c>
      <c r="C572" t="inlineStr">
        <is>
          <t>Föryngringsavverkning</t>
        </is>
      </c>
      <c r="D572" s="1" t="n">
        <v>45992</v>
      </c>
      <c r="E572" s="1" t="n">
        <v>46223</v>
      </c>
      <c r="F572" t="inlineStr">
        <is>
          <t>VÄSTERBOTTENS LÄN</t>
        </is>
      </c>
      <c r="G572" t="inlineStr">
        <is>
          <t>UMEÅ</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13049-2026</t>
        </is>
      </c>
      <c r="B573" t="inlineStr">
        <is>
          <t>avverkningsanmälan</t>
        </is>
      </c>
      <c r="C573" t="inlineStr">
        <is>
          <t>Föryngringsavverkning</t>
        </is>
      </c>
      <c r="D573" s="1" t="n">
        <v>46093</v>
      </c>
      <c r="E573" s="1" t="n">
        <v>46223</v>
      </c>
      <c r="F573" t="inlineStr">
        <is>
          <t>VÄSTERBOTTENS LÄN</t>
        </is>
      </c>
      <c r="G573" t="inlineStr">
        <is>
          <t>UMEÅ</t>
        </is>
      </c>
      <c r="I573" t="n">
        <v>7.6</v>
      </c>
      <c r="J573" t="n">
        <v>0</v>
      </c>
      <c r="K573" t="n">
        <v>0</v>
      </c>
      <c r="L573" t="n">
        <v>0</v>
      </c>
      <c r="M573" t="n">
        <v>0</v>
      </c>
      <c r="N573" t="n">
        <v>0</v>
      </c>
      <c r="O573" t="n">
        <v>0</v>
      </c>
      <c r="P573" t="n">
        <v>0</v>
      </c>
      <c r="Q573" t="n">
        <v>0</v>
      </c>
      <c r="R573" t="n">
        <v>0</v>
      </c>
      <c r="S573" t="n">
        <v>0</v>
      </c>
      <c r="T573" t="n">
        <v>0</v>
      </c>
      <c r="U573" s="2" t="inlineStr"/>
    </row>
    <row r="574" ht="15" customHeight="1">
      <c r="A574" t="inlineStr">
        <is>
          <t>A 60811-2022</t>
        </is>
      </c>
      <c r="B574" t="inlineStr">
        <is>
          <t>avverkningsanmälan</t>
        </is>
      </c>
      <c r="C574" t="inlineStr">
        <is>
          <t>Föryngringsavverkning</t>
        </is>
      </c>
      <c r="D574" s="1" t="n">
        <v>44914</v>
      </c>
      <c r="E574" s="1" t="n">
        <v>46223</v>
      </c>
      <c r="F574" t="inlineStr">
        <is>
          <t>VÄSTERBOTTENS LÄN</t>
        </is>
      </c>
      <c r="G574" t="inlineStr">
        <is>
          <t>UMEÅ</t>
        </is>
      </c>
      <c r="H574" t="inlineStr">
        <is>
          <t>Holmen skog AB</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59982-2025</t>
        </is>
      </c>
      <c r="B575" t="inlineStr">
        <is>
          <t>avverkningsanmälan</t>
        </is>
      </c>
      <c r="C575" t="inlineStr">
        <is>
          <t>Föryngringsavverkning</t>
        </is>
      </c>
      <c r="D575" s="1" t="n">
        <v>45993</v>
      </c>
      <c r="E575" s="1" t="n">
        <v>46223</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60074-2025</t>
        </is>
      </c>
      <c r="B576" t="inlineStr">
        <is>
          <t>avverkningsanmälan</t>
        </is>
      </c>
      <c r="C576" t="inlineStr">
        <is>
          <t>Föryngringsavverkning</t>
        </is>
      </c>
      <c r="D576" s="1" t="n">
        <v>45993</v>
      </c>
      <c r="E576" s="1" t="n">
        <v>46223</v>
      </c>
      <c r="F576" t="inlineStr">
        <is>
          <t>VÄSTERBOTTENS LÄN</t>
        </is>
      </c>
      <c r="G576" t="inlineStr">
        <is>
          <t>UMEÅ</t>
        </is>
      </c>
      <c r="I576" t="n">
        <v>9.9</v>
      </c>
      <c r="J576" t="n">
        <v>0</v>
      </c>
      <c r="K576" t="n">
        <v>0</v>
      </c>
      <c r="L576" t="n">
        <v>0</v>
      </c>
      <c r="M576" t="n">
        <v>0</v>
      </c>
      <c r="N576" t="n">
        <v>0</v>
      </c>
      <c r="O576" t="n">
        <v>0</v>
      </c>
      <c r="P576" t="n">
        <v>0</v>
      </c>
      <c r="Q576" t="n">
        <v>0</v>
      </c>
      <c r="R576" t="n">
        <v>0</v>
      </c>
      <c r="S576" t="n">
        <v>0</v>
      </c>
      <c r="T576" t="n">
        <v>0</v>
      </c>
      <c r="U576" s="2" t="inlineStr"/>
    </row>
    <row r="577" ht="15" customHeight="1">
      <c r="A577" t="inlineStr">
        <is>
          <t>A 60088-2025</t>
        </is>
      </c>
      <c r="B577" t="inlineStr">
        <is>
          <t>avverkningsanmälan</t>
        </is>
      </c>
      <c r="C577" t="inlineStr">
        <is>
          <t>Föryngringsavverkning</t>
        </is>
      </c>
      <c r="D577" s="1" t="n">
        <v>45993</v>
      </c>
      <c r="E577" s="1" t="n">
        <v>46223</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16907-2025</t>
        </is>
      </c>
      <c r="B578" t="inlineStr">
        <is>
          <t>avverkningsanmälan</t>
        </is>
      </c>
      <c r="C578" t="inlineStr">
        <is>
          <t>Föryngringsavverkning</t>
        </is>
      </c>
      <c r="D578" s="1" t="n">
        <v>45755</v>
      </c>
      <c r="E578" s="1" t="n">
        <v>46223</v>
      </c>
      <c r="F578" t="inlineStr">
        <is>
          <t>VÄSTERBOTTENS LÄN</t>
        </is>
      </c>
      <c r="G578" t="inlineStr">
        <is>
          <t>UMEÅ</t>
        </is>
      </c>
      <c r="I578" t="n">
        <v>6.4</v>
      </c>
      <c r="J578" t="n">
        <v>0</v>
      </c>
      <c r="K578" t="n">
        <v>0</v>
      </c>
      <c r="L578" t="n">
        <v>0</v>
      </c>
      <c r="M578" t="n">
        <v>0</v>
      </c>
      <c r="N578" t="n">
        <v>0</v>
      </c>
      <c r="O578" t="n">
        <v>0</v>
      </c>
      <c r="P578" t="n">
        <v>0</v>
      </c>
      <c r="Q578" t="n">
        <v>0</v>
      </c>
      <c r="R578" t="n">
        <v>0</v>
      </c>
      <c r="S578" t="n">
        <v>0</v>
      </c>
      <c r="T578" t="n">
        <v>0</v>
      </c>
      <c r="U578" s="2" t="inlineStr"/>
    </row>
    <row r="579" ht="15" customHeight="1">
      <c r="A579" t="inlineStr">
        <is>
          <t>A 26351-2024</t>
        </is>
      </c>
      <c r="B579" t="inlineStr">
        <is>
          <t>avverkningsanmälan</t>
        </is>
      </c>
      <c r="C579" t="inlineStr">
        <is>
          <t>Föryngringsavverkning</t>
        </is>
      </c>
      <c r="D579" s="1" t="n">
        <v>45469</v>
      </c>
      <c r="E579" s="1" t="n">
        <v>46223</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13281-2026</t>
        </is>
      </c>
      <c r="B580" t="inlineStr">
        <is>
          <t>avverkningsanmälan</t>
        </is>
      </c>
      <c r="C580" t="inlineStr">
        <is>
          <t>Föryngringsavverkning</t>
        </is>
      </c>
      <c r="D580" s="1" t="n">
        <v>46093</v>
      </c>
      <c r="E580" s="1" t="n">
        <v>46223</v>
      </c>
      <c r="F580" t="inlineStr">
        <is>
          <t>VÄSTERBOTTENS LÄN</t>
        </is>
      </c>
      <c r="G580" t="inlineStr">
        <is>
          <t>UMEÅ</t>
        </is>
      </c>
      <c r="H580" t="inlineStr">
        <is>
          <t>Kommuner</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61218-2025</t>
        </is>
      </c>
      <c r="B581" t="inlineStr">
        <is>
          <t>avverkningsanmälan</t>
        </is>
      </c>
      <c r="C581" t="inlineStr">
        <is>
          <t>Föryngringsavverkning</t>
        </is>
      </c>
      <c r="D581" s="1" t="n">
        <v>46000</v>
      </c>
      <c r="E581" s="1" t="n">
        <v>46223</v>
      </c>
      <c r="F581" t="inlineStr">
        <is>
          <t>VÄSTERBOTTENS LÄN</t>
        </is>
      </c>
      <c r="G581" t="inlineStr">
        <is>
          <t>UMEÅ</t>
        </is>
      </c>
      <c r="H581" t="inlineStr">
        <is>
          <t>Sveaskog</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24532-2023</t>
        </is>
      </c>
      <c r="B582" t="inlineStr">
        <is>
          <t>avverkningsanmälan</t>
        </is>
      </c>
      <c r="C582" t="inlineStr">
        <is>
          <t>Föryngringsavverkning</t>
        </is>
      </c>
      <c r="D582" s="1" t="n">
        <v>45082</v>
      </c>
      <c r="E582" s="1" t="n">
        <v>46223</v>
      </c>
      <c r="F582" t="inlineStr">
        <is>
          <t>VÄSTERBOTTENS LÄN</t>
        </is>
      </c>
      <c r="G582" t="inlineStr">
        <is>
          <t>UMEÅ</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61214-2025</t>
        </is>
      </c>
      <c r="B583" t="inlineStr">
        <is>
          <t>avverkningsanmälan</t>
        </is>
      </c>
      <c r="C583" t="inlineStr">
        <is>
          <t>Föryngringsavverkning</t>
        </is>
      </c>
      <c r="D583" s="1" t="n">
        <v>46000</v>
      </c>
      <c r="E583" s="1" t="n">
        <v>46223</v>
      </c>
      <c r="F583" t="inlineStr">
        <is>
          <t>VÄSTERBOTTENS LÄN</t>
        </is>
      </c>
      <c r="G583" t="inlineStr">
        <is>
          <t>UMEÅ</t>
        </is>
      </c>
      <c r="I583" t="n">
        <v>5.9</v>
      </c>
      <c r="J583" t="n">
        <v>0</v>
      </c>
      <c r="K583" t="n">
        <v>0</v>
      </c>
      <c r="L583" t="n">
        <v>0</v>
      </c>
      <c r="M583" t="n">
        <v>0</v>
      </c>
      <c r="N583" t="n">
        <v>0</v>
      </c>
      <c r="O583" t="n">
        <v>0</v>
      </c>
      <c r="P583" t="n">
        <v>0</v>
      </c>
      <c r="Q583" t="n">
        <v>0</v>
      </c>
      <c r="R583" t="n">
        <v>0</v>
      </c>
      <c r="S583" t="n">
        <v>0</v>
      </c>
      <c r="T583" t="n">
        <v>0</v>
      </c>
      <c r="U583" s="2" t="inlineStr"/>
    </row>
    <row r="584" ht="15" customHeight="1">
      <c r="A584" t="inlineStr">
        <is>
          <t>A 59860-2022</t>
        </is>
      </c>
      <c r="B584" t="inlineStr">
        <is>
          <t>avverkningsanmälan</t>
        </is>
      </c>
      <c r="C584" t="inlineStr">
        <is>
          <t>Föryngringsavverkning</t>
        </is>
      </c>
      <c r="D584" s="1" t="n">
        <v>44908</v>
      </c>
      <c r="E584" s="1" t="n">
        <v>46223</v>
      </c>
      <c r="F584" t="inlineStr">
        <is>
          <t>VÄSTERBOTTENS LÄN</t>
        </is>
      </c>
      <c r="G584" t="inlineStr">
        <is>
          <t>UMEÅ</t>
        </is>
      </c>
      <c r="I584" t="n">
        <v>8.1</v>
      </c>
      <c r="J584" t="n">
        <v>0</v>
      </c>
      <c r="K584" t="n">
        <v>0</v>
      </c>
      <c r="L584" t="n">
        <v>0</v>
      </c>
      <c r="M584" t="n">
        <v>0</v>
      </c>
      <c r="N584" t="n">
        <v>0</v>
      </c>
      <c r="O584" t="n">
        <v>0</v>
      </c>
      <c r="P584" t="n">
        <v>0</v>
      </c>
      <c r="Q584" t="n">
        <v>0</v>
      </c>
      <c r="R584" t="n">
        <v>0</v>
      </c>
      <c r="S584" t="n">
        <v>0</v>
      </c>
      <c r="T584" t="n">
        <v>0</v>
      </c>
      <c r="U584" s="2" t="inlineStr"/>
    </row>
    <row r="585" ht="15" customHeight="1">
      <c r="A585" t="inlineStr">
        <is>
          <t>A 61241-2025</t>
        </is>
      </c>
      <c r="B585" t="inlineStr">
        <is>
          <t>avverkningsanmälan</t>
        </is>
      </c>
      <c r="C585" t="inlineStr">
        <is>
          <t>Föryngringsavverkning</t>
        </is>
      </c>
      <c r="D585" s="1" t="n">
        <v>46000</v>
      </c>
      <c r="E585" s="1" t="n">
        <v>46223</v>
      </c>
      <c r="F585" t="inlineStr">
        <is>
          <t>VÄSTERBOTTENS LÄN</t>
        </is>
      </c>
      <c r="G585" t="inlineStr">
        <is>
          <t>UMEÅ</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61243-2025</t>
        </is>
      </c>
      <c r="B586" t="inlineStr">
        <is>
          <t>avverkningsanmälan</t>
        </is>
      </c>
      <c r="C586" t="inlineStr">
        <is>
          <t>Föryngringsavverkning</t>
        </is>
      </c>
      <c r="D586" s="1" t="n">
        <v>46000</v>
      </c>
      <c r="E586" s="1" t="n">
        <v>46223</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61448-2025</t>
        </is>
      </c>
      <c r="B587" t="inlineStr">
        <is>
          <t>avverkningsanmälan</t>
        </is>
      </c>
      <c r="C587" t="inlineStr">
        <is>
          <t>Föryngringsavverkning</t>
        </is>
      </c>
      <c r="D587" s="1" t="n">
        <v>46001</v>
      </c>
      <c r="E587" s="1" t="n">
        <v>46223</v>
      </c>
      <c r="F587" t="inlineStr">
        <is>
          <t>VÄSTERBOTTENS LÄN</t>
        </is>
      </c>
      <c r="G587" t="inlineStr">
        <is>
          <t>UMEÅ</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20795-2023</t>
        </is>
      </c>
      <c r="B588" t="inlineStr">
        <is>
          <t>avverkningsanmälan</t>
        </is>
      </c>
      <c r="C588" t="inlineStr">
        <is>
          <t>Föryngringsavverkning</t>
        </is>
      </c>
      <c r="D588" s="1" t="n">
        <v>45055</v>
      </c>
      <c r="E588" s="1" t="n">
        <v>46223</v>
      </c>
      <c r="F588" t="inlineStr">
        <is>
          <t>VÄSTERBOTTENS LÄN</t>
        </is>
      </c>
      <c r="G588" t="inlineStr">
        <is>
          <t>UMEÅ</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61458-2025</t>
        </is>
      </c>
      <c r="B589" t="inlineStr">
        <is>
          <t>avverkningsanmälan</t>
        </is>
      </c>
      <c r="C589" t="inlineStr">
        <is>
          <t>Föryngringsavverkning</t>
        </is>
      </c>
      <c r="D589" s="1" t="n">
        <v>46001</v>
      </c>
      <c r="E589" s="1" t="n">
        <v>46223</v>
      </c>
      <c r="F589" t="inlineStr">
        <is>
          <t>VÄSTERBOTTENS LÄN</t>
        </is>
      </c>
      <c r="G589" t="inlineStr">
        <is>
          <t>UMEÅ</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13985-2026</t>
        </is>
      </c>
      <c r="B590" t="inlineStr">
        <is>
          <t>avverkningsanmälan</t>
        </is>
      </c>
      <c r="C590" t="inlineStr">
        <is>
          <t>Föryngringsavverkning</t>
        </is>
      </c>
      <c r="D590" s="1" t="n">
        <v>46098</v>
      </c>
      <c r="E590" s="1" t="n">
        <v>46223</v>
      </c>
      <c r="F590" t="inlineStr">
        <is>
          <t>VÄSTERBOTTENS LÄN</t>
        </is>
      </c>
      <c r="G590" t="inlineStr">
        <is>
          <t>UMEÅ</t>
        </is>
      </c>
      <c r="H590" t="inlineStr">
        <is>
          <t>Holmen skog AB</t>
        </is>
      </c>
      <c r="I590" t="n">
        <v>12.4</v>
      </c>
      <c r="J590" t="n">
        <v>0</v>
      </c>
      <c r="K590" t="n">
        <v>0</v>
      </c>
      <c r="L590" t="n">
        <v>0</v>
      </c>
      <c r="M590" t="n">
        <v>0</v>
      </c>
      <c r="N590" t="n">
        <v>0</v>
      </c>
      <c r="O590" t="n">
        <v>0</v>
      </c>
      <c r="P590" t="n">
        <v>0</v>
      </c>
      <c r="Q590" t="n">
        <v>0</v>
      </c>
      <c r="R590" t="n">
        <v>0</v>
      </c>
      <c r="S590" t="n">
        <v>0</v>
      </c>
      <c r="T590" t="n">
        <v>0</v>
      </c>
      <c r="U590" s="2" t="inlineStr"/>
    </row>
    <row r="591" ht="15" customHeight="1">
      <c r="A591" t="inlineStr">
        <is>
          <t>A 62089-2025</t>
        </is>
      </c>
      <c r="B591" t="inlineStr">
        <is>
          <t>avverkningsanmälan</t>
        </is>
      </c>
      <c r="C591" t="inlineStr">
        <is>
          <t>Föryngringsavverkning</t>
        </is>
      </c>
      <c r="D591" s="1" t="n">
        <v>46006</v>
      </c>
      <c r="E591" s="1" t="n">
        <v>46223</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62130-2025</t>
        </is>
      </c>
      <c r="B592" t="inlineStr">
        <is>
          <t>avverkningsanmälan</t>
        </is>
      </c>
      <c r="C592" t="inlineStr">
        <is>
          <t>Föryngringsavverkning</t>
        </is>
      </c>
      <c r="D592" s="1" t="n">
        <v>46006</v>
      </c>
      <c r="E592" s="1" t="n">
        <v>46223</v>
      </c>
      <c r="F592" t="inlineStr">
        <is>
          <t>VÄSTERBOTTENS LÄN</t>
        </is>
      </c>
      <c r="G592" t="inlineStr">
        <is>
          <t>UMEÅ</t>
        </is>
      </c>
      <c r="H592" t="inlineStr">
        <is>
          <t>Holmen skog AB</t>
        </is>
      </c>
      <c r="I592" t="n">
        <v>6.1</v>
      </c>
      <c r="J592" t="n">
        <v>0</v>
      </c>
      <c r="K592" t="n">
        <v>0</v>
      </c>
      <c r="L592" t="n">
        <v>0</v>
      </c>
      <c r="M592" t="n">
        <v>0</v>
      </c>
      <c r="N592" t="n">
        <v>0</v>
      </c>
      <c r="O592" t="n">
        <v>0</v>
      </c>
      <c r="P592" t="n">
        <v>0</v>
      </c>
      <c r="Q592" t="n">
        <v>0</v>
      </c>
      <c r="R592" t="n">
        <v>0</v>
      </c>
      <c r="S592" t="n">
        <v>0</v>
      </c>
      <c r="T592" t="n">
        <v>0</v>
      </c>
      <c r="U592" s="2" t="inlineStr"/>
    </row>
    <row r="593" ht="15" customHeight="1">
      <c r="A593" t="inlineStr">
        <is>
          <t>A 62224-2025</t>
        </is>
      </c>
      <c r="B593" t="inlineStr">
        <is>
          <t>avverkningsanmälan</t>
        </is>
      </c>
      <c r="C593" t="inlineStr">
        <is>
          <t>Föryngringsavverkning</t>
        </is>
      </c>
      <c r="D593" s="1" t="n">
        <v>46006</v>
      </c>
      <c r="E593" s="1" t="n">
        <v>46223</v>
      </c>
      <c r="F593" t="inlineStr">
        <is>
          <t>VÄSTERBOTTENS LÄN</t>
        </is>
      </c>
      <c r="G593" t="inlineStr">
        <is>
          <t>UMEÅ</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14414-2026</t>
        </is>
      </c>
      <c r="B594" t="inlineStr">
        <is>
          <t>avverkningsanmälan</t>
        </is>
      </c>
      <c r="C594" t="inlineStr">
        <is>
          <t>Föryngringsavverkning</t>
        </is>
      </c>
      <c r="D594" s="1" t="n">
        <v>46100</v>
      </c>
      <c r="E594" s="1" t="n">
        <v>46223</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489-2024</t>
        </is>
      </c>
      <c r="B595" t="inlineStr">
        <is>
          <t>avverkningsanmälan</t>
        </is>
      </c>
      <c r="C595" t="inlineStr">
        <is>
          <t>Föryngringsavverkning</t>
        </is>
      </c>
      <c r="D595" s="1" t="n">
        <v>45298</v>
      </c>
      <c r="E595" s="1" t="n">
        <v>46223</v>
      </c>
      <c r="F595" t="inlineStr">
        <is>
          <t>VÄSTERBOTTENS LÄN</t>
        </is>
      </c>
      <c r="G595" t="inlineStr">
        <is>
          <t>UMEÅ</t>
        </is>
      </c>
      <c r="I595" t="n">
        <v>8.1</v>
      </c>
      <c r="J595" t="n">
        <v>0</v>
      </c>
      <c r="K595" t="n">
        <v>0</v>
      </c>
      <c r="L595" t="n">
        <v>0</v>
      </c>
      <c r="M595" t="n">
        <v>0</v>
      </c>
      <c r="N595" t="n">
        <v>0</v>
      </c>
      <c r="O595" t="n">
        <v>0</v>
      </c>
      <c r="P595" t="n">
        <v>0</v>
      </c>
      <c r="Q595" t="n">
        <v>0</v>
      </c>
      <c r="R595" t="n">
        <v>0</v>
      </c>
      <c r="S595" t="n">
        <v>0</v>
      </c>
      <c r="T595" t="n">
        <v>0</v>
      </c>
      <c r="U595" s="2" t="inlineStr"/>
    </row>
    <row r="596" ht="15" customHeight="1">
      <c r="A596" t="inlineStr">
        <is>
          <t>A 62104-2025</t>
        </is>
      </c>
      <c r="B596" t="inlineStr">
        <is>
          <t>avverkningsanmälan</t>
        </is>
      </c>
      <c r="C596" t="inlineStr">
        <is>
          <t>Föryngringsavverkning</t>
        </is>
      </c>
      <c r="D596" s="1" t="n">
        <v>46006</v>
      </c>
      <c r="E596" s="1" t="n">
        <v>46223</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62231-2025</t>
        </is>
      </c>
      <c r="B597" t="inlineStr">
        <is>
          <t>avverkningsanmälan</t>
        </is>
      </c>
      <c r="C597" t="inlineStr">
        <is>
          <t>Föryngringsavverkning</t>
        </is>
      </c>
      <c r="D597" s="1" t="n">
        <v>46006</v>
      </c>
      <c r="E597" s="1" t="n">
        <v>46223</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62269-2025</t>
        </is>
      </c>
      <c r="B598" t="inlineStr">
        <is>
          <t>avverkningsanmälan</t>
        </is>
      </c>
      <c r="C598" t="inlineStr">
        <is>
          <t>Föryngringsavverkning</t>
        </is>
      </c>
      <c r="D598" s="1" t="n">
        <v>46006</v>
      </c>
      <c r="E598" s="1" t="n">
        <v>46223</v>
      </c>
      <c r="F598" t="inlineStr">
        <is>
          <t>VÄSTERBOTTENS LÄN</t>
        </is>
      </c>
      <c r="G598" t="inlineStr">
        <is>
          <t>UMEÅ</t>
        </is>
      </c>
      <c r="H598" t="inlineStr">
        <is>
          <t>Holmen skog AB</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14550-2026</t>
        </is>
      </c>
      <c r="B599" t="inlineStr">
        <is>
          <t>avverkningsanmälan</t>
        </is>
      </c>
      <c r="C599" t="inlineStr">
        <is>
          <t>Föryngringsavverkning</t>
        </is>
      </c>
      <c r="D599" s="1" t="n">
        <v>46100</v>
      </c>
      <c r="E599" s="1" t="n">
        <v>46223</v>
      </c>
      <c r="F599" t="inlineStr">
        <is>
          <t>VÄSTERBOTTENS LÄN</t>
        </is>
      </c>
      <c r="G599" t="inlineStr">
        <is>
          <t>UMEÅ</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14312-2026</t>
        </is>
      </c>
      <c r="B600" t="inlineStr">
        <is>
          <t>avverkningsanmälan</t>
        </is>
      </c>
      <c r="C600" t="inlineStr">
        <is>
          <t>Föryngringsavverkning</t>
        </is>
      </c>
      <c r="D600" s="1" t="n">
        <v>46099</v>
      </c>
      <c r="E600" s="1" t="n">
        <v>46223</v>
      </c>
      <c r="F600" t="inlineStr">
        <is>
          <t>VÄSTERBOTTENS LÄN</t>
        </is>
      </c>
      <c r="G600" t="inlineStr">
        <is>
          <t>UMEÅ</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62663-2025</t>
        </is>
      </c>
      <c r="B601" t="inlineStr">
        <is>
          <t>avverkningsanmälan</t>
        </is>
      </c>
      <c r="C601" t="inlineStr">
        <is>
          <t>Föryngringsavverkning</t>
        </is>
      </c>
      <c r="D601" s="1" t="n">
        <v>46008</v>
      </c>
      <c r="E601" s="1" t="n">
        <v>46223</v>
      </c>
      <c r="F601" t="inlineStr">
        <is>
          <t>VÄSTERBOTTENS LÄN</t>
        </is>
      </c>
      <c r="G601" t="inlineStr">
        <is>
          <t>UMEÅ</t>
        </is>
      </c>
      <c r="H601" t="inlineStr">
        <is>
          <t>Holmen skog AB</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41267-2022</t>
        </is>
      </c>
      <c r="B602" t="inlineStr">
        <is>
          <t>avverkningsanmälan</t>
        </is>
      </c>
      <c r="C602" t="inlineStr">
        <is>
          <t>Föryngringsavverkning</t>
        </is>
      </c>
      <c r="D602" s="1" t="n">
        <v>44825</v>
      </c>
      <c r="E602" s="1" t="n">
        <v>46223</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44817-2021</t>
        </is>
      </c>
      <c r="B603" t="inlineStr">
        <is>
          <t>avverkningsanmälan</t>
        </is>
      </c>
      <c r="C603" t="inlineStr">
        <is>
          <t>Föryngringsavverkning</t>
        </is>
      </c>
      <c r="D603" s="1" t="n">
        <v>44438</v>
      </c>
      <c r="E603" s="1" t="n">
        <v>46223</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11954-2024</t>
        </is>
      </c>
      <c r="B604" t="inlineStr">
        <is>
          <t>avverkningsanmälan</t>
        </is>
      </c>
      <c r="C604" t="inlineStr">
        <is>
          <t>Föryngringsavverkning</t>
        </is>
      </c>
      <c r="D604" s="1" t="n">
        <v>45376</v>
      </c>
      <c r="E604" s="1" t="n">
        <v>46223</v>
      </c>
      <c r="F604" t="inlineStr">
        <is>
          <t>VÄSTERBOTTENS LÄN</t>
        </is>
      </c>
      <c r="G604" t="inlineStr">
        <is>
          <t>UMEÅ</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34411-2024</t>
        </is>
      </c>
      <c r="B605" t="inlineStr">
        <is>
          <t>avverkningsanmälan</t>
        </is>
      </c>
      <c r="C605" t="inlineStr">
        <is>
          <t>Föryngringsavverkning</t>
        </is>
      </c>
      <c r="D605" s="1" t="n">
        <v>45525</v>
      </c>
      <c r="E605" s="1" t="n">
        <v>46223</v>
      </c>
      <c r="F605" t="inlineStr">
        <is>
          <t>VÄSTERBOTTENS LÄN</t>
        </is>
      </c>
      <c r="G605" t="inlineStr">
        <is>
          <t>UMEÅ</t>
        </is>
      </c>
      <c r="H605" t="inlineStr">
        <is>
          <t>Holmen skog AB</t>
        </is>
      </c>
      <c r="I605" t="n">
        <v>2.9</v>
      </c>
      <c r="J605" t="n">
        <v>0</v>
      </c>
      <c r="K605" t="n">
        <v>0</v>
      </c>
      <c r="L605" t="n">
        <v>0</v>
      </c>
      <c r="M605" t="n">
        <v>0</v>
      </c>
      <c r="N605" t="n">
        <v>0</v>
      </c>
      <c r="O605" t="n">
        <v>0</v>
      </c>
      <c r="P605" t="n">
        <v>0</v>
      </c>
      <c r="Q605" t="n">
        <v>0</v>
      </c>
      <c r="R605" t="n">
        <v>0</v>
      </c>
      <c r="S605" t="n">
        <v>0</v>
      </c>
      <c r="T605" t="n">
        <v>0</v>
      </c>
      <c r="U605" s="2" t="inlineStr"/>
    </row>
    <row r="606" ht="15" customHeight="1">
      <c r="A606" t="inlineStr">
        <is>
          <t>A 52126-2022</t>
        </is>
      </c>
      <c r="B606" t="inlineStr">
        <is>
          <t>avverkningsanmälan</t>
        </is>
      </c>
      <c r="C606" t="inlineStr">
        <is>
          <t>Föryngringsavverkning</t>
        </is>
      </c>
      <c r="D606" s="1" t="n">
        <v>44873</v>
      </c>
      <c r="E606" s="1" t="n">
        <v>46223</v>
      </c>
      <c r="F606" t="inlineStr">
        <is>
          <t>VÄSTERBOTTENS LÄN</t>
        </is>
      </c>
      <c r="G606" t="inlineStr">
        <is>
          <t>UMEÅ</t>
        </is>
      </c>
      <c r="I606" t="n">
        <v>3.3</v>
      </c>
      <c r="J606" t="n">
        <v>0</v>
      </c>
      <c r="K606" t="n">
        <v>0</v>
      </c>
      <c r="L606" t="n">
        <v>0</v>
      </c>
      <c r="M606" t="n">
        <v>0</v>
      </c>
      <c r="N606" t="n">
        <v>0</v>
      </c>
      <c r="O606" t="n">
        <v>0</v>
      </c>
      <c r="P606" t="n">
        <v>0</v>
      </c>
      <c r="Q606" t="n">
        <v>0</v>
      </c>
      <c r="R606" t="n">
        <v>0</v>
      </c>
      <c r="S606" t="n">
        <v>0</v>
      </c>
      <c r="T606" t="n">
        <v>0</v>
      </c>
      <c r="U606" s="2" t="inlineStr"/>
    </row>
    <row r="607" ht="15" customHeight="1">
      <c r="A607" t="inlineStr">
        <is>
          <t>A 28628-2023</t>
        </is>
      </c>
      <c r="B607" t="inlineStr">
        <is>
          <t>avverkningsanmälan</t>
        </is>
      </c>
      <c r="C607" t="inlineStr">
        <is>
          <t>Föryngringsavverkning</t>
        </is>
      </c>
      <c r="D607" s="1" t="n">
        <v>45103</v>
      </c>
      <c r="E607" s="1" t="n">
        <v>46223</v>
      </c>
      <c r="F607" t="inlineStr">
        <is>
          <t>VÄSTERBOTTENS LÄN</t>
        </is>
      </c>
      <c r="G607" t="inlineStr">
        <is>
          <t>UMEÅ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25505-2023</t>
        </is>
      </c>
      <c r="B608" t="inlineStr">
        <is>
          <t>avverkningsanmälan</t>
        </is>
      </c>
      <c r="C608" t="inlineStr">
        <is>
          <t>Föryngringsavverkning</t>
        </is>
      </c>
      <c r="D608" s="1" t="n">
        <v>45089</v>
      </c>
      <c r="E608" s="1" t="n">
        <v>46223</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62813-2025</t>
        </is>
      </c>
      <c r="B609" t="inlineStr">
        <is>
          <t>avverkningsanmälan</t>
        </is>
      </c>
      <c r="C609" t="inlineStr">
        <is>
          <t>Föryngringsavverkning</t>
        </is>
      </c>
      <c r="D609" s="1" t="n">
        <v>46008</v>
      </c>
      <c r="E609" s="1" t="n">
        <v>46223</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29640-2023</t>
        </is>
      </c>
      <c r="B610" t="inlineStr">
        <is>
          <t>avverkningsanmälan</t>
        </is>
      </c>
      <c r="C610" t="inlineStr">
        <is>
          <t>Föryngringsavverkning</t>
        </is>
      </c>
      <c r="D610" s="1" t="n">
        <v>45106</v>
      </c>
      <c r="E610" s="1" t="n">
        <v>46223</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63218-2025</t>
        </is>
      </c>
      <c r="B611" t="inlineStr">
        <is>
          <t>avverkningsanmälan</t>
        </is>
      </c>
      <c r="C611" t="inlineStr">
        <is>
          <t>Föryngringsavverkning</t>
        </is>
      </c>
      <c r="D611" s="1" t="n">
        <v>46010</v>
      </c>
      <c r="E611" s="1" t="n">
        <v>46223</v>
      </c>
      <c r="F611" t="inlineStr">
        <is>
          <t>VÄSTERBOTTENS LÄN</t>
        </is>
      </c>
      <c r="G611" t="inlineStr">
        <is>
          <t>UMEÅ</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63219-2025</t>
        </is>
      </c>
      <c r="B612" t="inlineStr">
        <is>
          <t>avverkningsanmälan</t>
        </is>
      </c>
      <c r="C612" t="inlineStr">
        <is>
          <t>Föryngringsavverkning</t>
        </is>
      </c>
      <c r="D612" s="1" t="n">
        <v>46010</v>
      </c>
      <c r="E612" s="1" t="n">
        <v>46223</v>
      </c>
      <c r="F612" t="inlineStr">
        <is>
          <t>VÄSTERBOTTENS LÄN</t>
        </is>
      </c>
      <c r="G612" t="inlineStr">
        <is>
          <t>UMEÅ</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64157-2025</t>
        </is>
      </c>
      <c r="B613" t="inlineStr">
        <is>
          <t>avverkningsanmälan</t>
        </is>
      </c>
      <c r="C613" t="inlineStr">
        <is>
          <t>Avverkning för annat ändamål</t>
        </is>
      </c>
      <c r="D613" s="1" t="n">
        <v>46013</v>
      </c>
      <c r="E613" s="1" t="n">
        <v>46223</v>
      </c>
      <c r="F613" t="inlineStr">
        <is>
          <t>VÄSTERBOTTENS LÄN</t>
        </is>
      </c>
      <c r="G613" t="inlineStr">
        <is>
          <t>UMEÅ</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15221-2026</t>
        </is>
      </c>
      <c r="B614" t="inlineStr">
        <is>
          <t>avverkningsanmälan</t>
        </is>
      </c>
      <c r="C614" t="inlineStr">
        <is>
          <t>Föryngringsavverkning</t>
        </is>
      </c>
      <c r="D614" s="1" t="n">
        <v>46105</v>
      </c>
      <c r="E614" s="1" t="n">
        <v>46223</v>
      </c>
      <c r="F614" t="inlineStr">
        <is>
          <t>VÄSTERBOTTENS LÄN</t>
        </is>
      </c>
      <c r="G614" t="inlineStr">
        <is>
          <t>UMEÅ</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15179-2026</t>
        </is>
      </c>
      <c r="B615" t="inlineStr">
        <is>
          <t>avverkningsanmälan</t>
        </is>
      </c>
      <c r="C615" t="inlineStr">
        <is>
          <t>Föryngringsavverkning</t>
        </is>
      </c>
      <c r="D615" s="1" t="n">
        <v>46105</v>
      </c>
      <c r="E615" s="1" t="n">
        <v>46223</v>
      </c>
      <c r="F615" t="inlineStr">
        <is>
          <t>VÄSTERBOTTENS LÄN</t>
        </is>
      </c>
      <c r="G615" t="inlineStr">
        <is>
          <t>UMEÅ</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63600-2025</t>
        </is>
      </c>
      <c r="B616" t="inlineStr">
        <is>
          <t>avverkningsanmälan</t>
        </is>
      </c>
      <c r="C616" t="inlineStr">
        <is>
          <t>Föryngringsavverkning</t>
        </is>
      </c>
      <c r="D616" s="1" t="n">
        <v>46014</v>
      </c>
      <c r="E616" s="1" t="n">
        <v>46223</v>
      </c>
      <c r="F616" t="inlineStr">
        <is>
          <t>VÄSTERBOTTENS LÄN</t>
        </is>
      </c>
      <c r="G616" t="inlineStr">
        <is>
          <t>UMEÅ</t>
        </is>
      </c>
      <c r="I616" t="n">
        <v>2.1</v>
      </c>
      <c r="J616" t="n">
        <v>0</v>
      </c>
      <c r="K616" t="n">
        <v>0</v>
      </c>
      <c r="L616" t="n">
        <v>0</v>
      </c>
      <c r="M616" t="n">
        <v>0</v>
      </c>
      <c r="N616" t="n">
        <v>0</v>
      </c>
      <c r="O616" t="n">
        <v>0</v>
      </c>
      <c r="P616" t="n">
        <v>0</v>
      </c>
      <c r="Q616" t="n">
        <v>0</v>
      </c>
      <c r="R616" t="n">
        <v>0</v>
      </c>
      <c r="S616" t="n">
        <v>0</v>
      </c>
      <c r="T616" t="n">
        <v>0</v>
      </c>
      <c r="U616" s="2" t="inlineStr"/>
    </row>
    <row r="617" ht="15" customHeight="1">
      <c r="A617" t="inlineStr">
        <is>
          <t>A 63810-2025</t>
        </is>
      </c>
      <c r="B617" t="inlineStr">
        <is>
          <t>avverkningsanmälan</t>
        </is>
      </c>
      <c r="C617" t="inlineStr">
        <is>
          <t>Föryngringsavverkning</t>
        </is>
      </c>
      <c r="D617" s="1" t="n">
        <v>46020</v>
      </c>
      <c r="E617" s="1" t="n">
        <v>46223</v>
      </c>
      <c r="F617" t="inlineStr">
        <is>
          <t>VÄSTERBOTTENS LÄN</t>
        </is>
      </c>
      <c r="G617" t="inlineStr">
        <is>
          <t>UMEÅ</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15235-2026</t>
        </is>
      </c>
      <c r="B618" t="inlineStr">
        <is>
          <t>avverkningsanmälan</t>
        </is>
      </c>
      <c r="C618" t="inlineStr">
        <is>
          <t>Föryngringsavverkning</t>
        </is>
      </c>
      <c r="D618" s="1" t="n">
        <v>46105</v>
      </c>
      <c r="E618" s="1" t="n">
        <v>46223</v>
      </c>
      <c r="F618" t="inlineStr">
        <is>
          <t>VÄSTERBOTTENS LÄN</t>
        </is>
      </c>
      <c r="G618" t="inlineStr">
        <is>
          <t>UMEÅ</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32628-2023</t>
        </is>
      </c>
      <c r="B619" t="inlineStr">
        <is>
          <t>avverkningsanmälan</t>
        </is>
      </c>
      <c r="C619" t="inlineStr">
        <is>
          <t>Föryngringsavverkning</t>
        </is>
      </c>
      <c r="D619" s="1" t="n">
        <v>45112</v>
      </c>
      <c r="E619" s="1" t="n">
        <v>46223</v>
      </c>
      <c r="F619" t="inlineStr">
        <is>
          <t>VÄSTERBOTTENS LÄN</t>
        </is>
      </c>
      <c r="G619" t="inlineStr">
        <is>
          <t>UMEÅ</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7437-2024</t>
        </is>
      </c>
      <c r="B620" t="inlineStr">
        <is>
          <t>avverkningsanmälan</t>
        </is>
      </c>
      <c r="C620" t="inlineStr">
        <is>
          <t>Föryngringsavverkning</t>
        </is>
      </c>
      <c r="D620" s="1" t="n">
        <v>45345</v>
      </c>
      <c r="E620" s="1" t="n">
        <v>46223</v>
      </c>
      <c r="F620" t="inlineStr">
        <is>
          <t>VÄSTERBOTTENS LÄN</t>
        </is>
      </c>
      <c r="G620" t="inlineStr">
        <is>
          <t>UMEÅ</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64053-2025</t>
        </is>
      </c>
      <c r="B621" t="inlineStr">
        <is>
          <t>avverkningsanmälan</t>
        </is>
      </c>
      <c r="C621" t="inlineStr">
        <is>
          <t>Föryngringsavverkning</t>
        </is>
      </c>
      <c r="D621" s="1" t="n">
        <v>46021</v>
      </c>
      <c r="E621" s="1" t="n">
        <v>46223</v>
      </c>
      <c r="F621" t="inlineStr">
        <is>
          <t>VÄSTERBOTTENS LÄN</t>
        </is>
      </c>
      <c r="G621" t="inlineStr">
        <is>
          <t>UMEÅ</t>
        </is>
      </c>
      <c r="I621" t="n">
        <v>5.1</v>
      </c>
      <c r="J621" t="n">
        <v>0</v>
      </c>
      <c r="K621" t="n">
        <v>0</v>
      </c>
      <c r="L621" t="n">
        <v>0</v>
      </c>
      <c r="M621" t="n">
        <v>0</v>
      </c>
      <c r="N621" t="n">
        <v>0</v>
      </c>
      <c r="O621" t="n">
        <v>0</v>
      </c>
      <c r="P621" t="n">
        <v>0</v>
      </c>
      <c r="Q621" t="n">
        <v>0</v>
      </c>
      <c r="R621" t="n">
        <v>0</v>
      </c>
      <c r="S621" t="n">
        <v>0</v>
      </c>
      <c r="T621" t="n">
        <v>0</v>
      </c>
      <c r="U621" s="2" t="inlineStr"/>
    </row>
    <row r="622" ht="15" customHeight="1">
      <c r="A622" t="inlineStr">
        <is>
          <t>A 64089-2025</t>
        </is>
      </c>
      <c r="B622" t="inlineStr">
        <is>
          <t>avverkningsanmälan</t>
        </is>
      </c>
      <c r="C622" t="inlineStr">
        <is>
          <t>Avverkning för att bevara och utveckla /försöksver</t>
        </is>
      </c>
      <c r="D622" s="1" t="n">
        <v>46021</v>
      </c>
      <c r="E622" s="1" t="n">
        <v>46223</v>
      </c>
      <c r="F622" t="inlineStr">
        <is>
          <t>VÄSTERBOTTENS LÄN</t>
        </is>
      </c>
      <c r="G622" t="inlineStr">
        <is>
          <t>UMEÅ</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15219-2026</t>
        </is>
      </c>
      <c r="B623" t="inlineStr">
        <is>
          <t>avverkningsanmälan</t>
        </is>
      </c>
      <c r="C623" t="inlineStr">
        <is>
          <t>Föryngringsavverkning</t>
        </is>
      </c>
      <c r="D623" s="1" t="n">
        <v>46105</v>
      </c>
      <c r="E623" s="1" t="n">
        <v>46223</v>
      </c>
      <c r="F623" t="inlineStr">
        <is>
          <t>VÄSTERBOTTENS LÄN</t>
        </is>
      </c>
      <c r="G623" t="inlineStr">
        <is>
          <t>UMEÅ</t>
        </is>
      </c>
      <c r="I623" t="n">
        <v>4.7</v>
      </c>
      <c r="J623" t="n">
        <v>0</v>
      </c>
      <c r="K623" t="n">
        <v>0</v>
      </c>
      <c r="L623" t="n">
        <v>0</v>
      </c>
      <c r="M623" t="n">
        <v>0</v>
      </c>
      <c r="N623" t="n">
        <v>0</v>
      </c>
      <c r="O623" t="n">
        <v>0</v>
      </c>
      <c r="P623" t="n">
        <v>0</v>
      </c>
      <c r="Q623" t="n">
        <v>0</v>
      </c>
      <c r="R623" t="n">
        <v>0</v>
      </c>
      <c r="S623" t="n">
        <v>0</v>
      </c>
      <c r="T623" t="n">
        <v>0</v>
      </c>
      <c r="U623" s="2" t="inlineStr"/>
    </row>
    <row r="624" ht="15" customHeight="1">
      <c r="A624" t="inlineStr">
        <is>
          <t>A 256-2026</t>
        </is>
      </c>
      <c r="B624" t="inlineStr">
        <is>
          <t>avverkningsanmälan</t>
        </is>
      </c>
      <c r="C624" t="inlineStr">
        <is>
          <t>Föryngringsavverkning</t>
        </is>
      </c>
      <c r="D624" s="1" t="n">
        <v>46027</v>
      </c>
      <c r="E624" s="1" t="n">
        <v>46223</v>
      </c>
      <c r="F624" t="inlineStr">
        <is>
          <t>VÄSTERBOTTENS LÄN</t>
        </is>
      </c>
      <c r="G624" t="inlineStr">
        <is>
          <t>UMEÅ</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15231-2026</t>
        </is>
      </c>
      <c r="B625" t="inlineStr">
        <is>
          <t>avverkningsanmälan</t>
        </is>
      </c>
      <c r="C625" t="inlineStr">
        <is>
          <t>Föryngringsavverkning</t>
        </is>
      </c>
      <c r="D625" s="1" t="n">
        <v>46105</v>
      </c>
      <c r="E625" s="1" t="n">
        <v>46223</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527-2026</t>
        </is>
      </c>
      <c r="B626" t="inlineStr">
        <is>
          <t>avverkningsanmälan</t>
        </is>
      </c>
      <c r="C626" t="inlineStr">
        <is>
          <t>Föryngringsavverkning</t>
        </is>
      </c>
      <c r="D626" s="1" t="n">
        <v>46029</v>
      </c>
      <c r="E626" s="1" t="n">
        <v>46223</v>
      </c>
      <c r="F626" t="inlineStr">
        <is>
          <t>VÄSTERBOTTENS LÄN</t>
        </is>
      </c>
      <c r="G626" t="inlineStr">
        <is>
          <t>UMEÅ</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46287-2022</t>
        </is>
      </c>
      <c r="B627" t="inlineStr">
        <is>
          <t>avverkningsanmälan</t>
        </is>
      </c>
      <c r="C627" t="inlineStr">
        <is>
          <t>Avverkning för annat ändamål</t>
        </is>
      </c>
      <c r="D627" s="1" t="n">
        <v>44847</v>
      </c>
      <c r="E627" s="1" t="n">
        <v>46223</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13090-2024</t>
        </is>
      </c>
      <c r="B628" t="inlineStr">
        <is>
          <t>avverkningsanmälan</t>
        </is>
      </c>
      <c r="C628" t="inlineStr">
        <is>
          <t>Föryngringsavverkning</t>
        </is>
      </c>
      <c r="D628" s="1" t="n">
        <v>45385</v>
      </c>
      <c r="E628" s="1" t="n">
        <v>46223</v>
      </c>
      <c r="F628" t="inlineStr">
        <is>
          <t>VÄSTERBOTTENS LÄN</t>
        </is>
      </c>
      <c r="G628" t="inlineStr">
        <is>
          <t>UMEÅ</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526-2026</t>
        </is>
      </c>
      <c r="B629" t="inlineStr">
        <is>
          <t>avverkningsanmälan</t>
        </is>
      </c>
      <c r="C629" t="inlineStr">
        <is>
          <t>Föryngringsavverkning</t>
        </is>
      </c>
      <c r="D629" s="1" t="n">
        <v>46029</v>
      </c>
      <c r="E629" s="1" t="n">
        <v>46223</v>
      </c>
      <c r="F629" t="inlineStr">
        <is>
          <t>VÄSTERBOTTENS LÄN</t>
        </is>
      </c>
      <c r="G629" t="inlineStr">
        <is>
          <t>UMEÅ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667-2026</t>
        </is>
      </c>
      <c r="B630" t="inlineStr">
        <is>
          <t>avverkningsanmälan</t>
        </is>
      </c>
      <c r="C630" t="inlineStr">
        <is>
          <t>Föryngringsavverkning</t>
        </is>
      </c>
      <c r="D630" s="1" t="n">
        <v>46029</v>
      </c>
      <c r="E630" s="1" t="n">
        <v>46223</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15803-2026</t>
        </is>
      </c>
      <c r="B631" t="inlineStr">
        <is>
          <t>avverkningsanmälan</t>
        </is>
      </c>
      <c r="C631" t="inlineStr">
        <is>
          <t>Föryngringsavverkning</t>
        </is>
      </c>
      <c r="D631" s="1" t="n">
        <v>46107</v>
      </c>
      <c r="E631" s="1" t="n">
        <v>46223</v>
      </c>
      <c r="F631" t="inlineStr">
        <is>
          <t>VÄSTERBOTTENS LÄN</t>
        </is>
      </c>
      <c r="G631" t="inlineStr">
        <is>
          <t>UMEÅ</t>
        </is>
      </c>
      <c r="H631" t="inlineStr">
        <is>
          <t>Holmen skog AB</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524-2026</t>
        </is>
      </c>
      <c r="B632" t="inlineStr">
        <is>
          <t>avverkningsanmälan</t>
        </is>
      </c>
      <c r="C632" t="inlineStr">
        <is>
          <t>Föryngringsavverkning</t>
        </is>
      </c>
      <c r="D632" s="1" t="n">
        <v>46029</v>
      </c>
      <c r="E632" s="1" t="n">
        <v>46223</v>
      </c>
      <c r="F632" t="inlineStr">
        <is>
          <t>VÄSTERBOTTENS LÄN</t>
        </is>
      </c>
      <c r="G632" t="inlineStr">
        <is>
          <t>UMEÅ</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11184-2024</t>
        </is>
      </c>
      <c r="B633" t="inlineStr">
        <is>
          <t>avverkningsanmälan</t>
        </is>
      </c>
      <c r="C633" t="inlineStr">
        <is>
          <t>Föryngringsavverkning</t>
        </is>
      </c>
      <c r="D633" s="1" t="n">
        <v>45371</v>
      </c>
      <c r="E633" s="1" t="n">
        <v>46223</v>
      </c>
      <c r="F633" t="inlineStr">
        <is>
          <t>VÄSTERBOTTENS LÄN</t>
        </is>
      </c>
      <c r="G633" t="inlineStr">
        <is>
          <t>UMEÅ</t>
        </is>
      </c>
      <c r="H633" t="inlineStr">
        <is>
          <t>Övriga statliga verk och myndigheter</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A 1142-2026</t>
        </is>
      </c>
      <c r="B634" t="inlineStr">
        <is>
          <t>avverkningsanmälan</t>
        </is>
      </c>
      <c r="C634" t="inlineStr">
        <is>
          <t>Föryngringsavverkning</t>
        </is>
      </c>
      <c r="D634" s="1" t="n">
        <v>46030</v>
      </c>
      <c r="E634" s="1" t="n">
        <v>46223</v>
      </c>
      <c r="F634" t="inlineStr">
        <is>
          <t>VÄSTERBOTTENS LÄN</t>
        </is>
      </c>
      <c r="G634" t="inlineStr">
        <is>
          <t>UMEÅ</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2252-2026</t>
        </is>
      </c>
      <c r="B635" t="inlineStr">
        <is>
          <t>avverkningsanmälan</t>
        </is>
      </c>
      <c r="C635" t="inlineStr">
        <is>
          <t>Avverkning för annat ändamål</t>
        </is>
      </c>
      <c r="D635" s="1" t="n">
        <v>46034</v>
      </c>
      <c r="E635" s="1" t="n">
        <v>46223</v>
      </c>
      <c r="F635" t="inlineStr">
        <is>
          <t>VÄSTERBOTTENS LÄN</t>
        </is>
      </c>
      <c r="G635" t="inlineStr">
        <is>
          <t>UMEÅ</t>
        </is>
      </c>
      <c r="I635" t="n">
        <v>10.7</v>
      </c>
      <c r="J635" t="n">
        <v>0</v>
      </c>
      <c r="K635" t="n">
        <v>0</v>
      </c>
      <c r="L635" t="n">
        <v>0</v>
      </c>
      <c r="M635" t="n">
        <v>0</v>
      </c>
      <c r="N635" t="n">
        <v>0</v>
      </c>
      <c r="O635" t="n">
        <v>0</v>
      </c>
      <c r="P635" t="n">
        <v>0</v>
      </c>
      <c r="Q635" t="n">
        <v>0</v>
      </c>
      <c r="R635" t="n">
        <v>0</v>
      </c>
      <c r="S635" t="n">
        <v>0</v>
      </c>
      <c r="T635" t="n">
        <v>0</v>
      </c>
      <c r="U635" s="2" t="inlineStr"/>
    </row>
    <row r="636" ht="15" customHeight="1">
      <c r="A636" t="inlineStr">
        <is>
          <t>A 31068-2023</t>
        </is>
      </c>
      <c r="B636" t="inlineStr">
        <is>
          <t>avverkningsanmälan</t>
        </is>
      </c>
      <c r="C636" t="inlineStr">
        <is>
          <t>Avverkning för annat ändamål</t>
        </is>
      </c>
      <c r="D636" s="1" t="n">
        <v>45113</v>
      </c>
      <c r="E636" s="1" t="n">
        <v>46223</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14043-2024</t>
        </is>
      </c>
      <c r="B637" t="inlineStr">
        <is>
          <t>avverkningsanmälan</t>
        </is>
      </c>
      <c r="C637" t="inlineStr">
        <is>
          <t>Föryngringsavverkning</t>
        </is>
      </c>
      <c r="D637" s="1" t="n">
        <v>45392</v>
      </c>
      <c r="E637" s="1" t="n">
        <v>46223</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15690-2026</t>
        </is>
      </c>
      <c r="B638" t="inlineStr">
        <is>
          <t>avverkningsanmälan</t>
        </is>
      </c>
      <c r="C638" t="inlineStr">
        <is>
          <t>Föryngringsavverkning</t>
        </is>
      </c>
      <c r="D638" s="1" t="n">
        <v>46107</v>
      </c>
      <c r="E638" s="1" t="n">
        <v>46223</v>
      </c>
      <c r="F638" t="inlineStr">
        <is>
          <t>VÄSTERBOTTENS LÄN</t>
        </is>
      </c>
      <c r="G638" t="inlineStr">
        <is>
          <t>UMEÅ</t>
        </is>
      </c>
      <c r="H638" t="inlineStr">
        <is>
          <t>Holmen skog AB</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1388-2026</t>
        </is>
      </c>
      <c r="B639" t="inlineStr">
        <is>
          <t>avverkningsanmälan</t>
        </is>
      </c>
      <c r="C639" t="inlineStr">
        <is>
          <t>Föryngringsavverkning</t>
        </is>
      </c>
      <c r="D639" s="1" t="n">
        <v>46031</v>
      </c>
      <c r="E639" s="1" t="n">
        <v>46223</v>
      </c>
      <c r="F639" t="inlineStr">
        <is>
          <t>VÄSTERBOTTENS LÄN</t>
        </is>
      </c>
      <c r="G639" t="inlineStr">
        <is>
          <t>UMEÅ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751-2023</t>
        </is>
      </c>
      <c r="B640" t="inlineStr">
        <is>
          <t>avverkningsanmälan</t>
        </is>
      </c>
      <c r="C640" t="inlineStr">
        <is>
          <t>Föryngringsavverkning</t>
        </is>
      </c>
      <c r="D640" s="1" t="n">
        <v>44931</v>
      </c>
      <c r="E640" s="1" t="n">
        <v>46223</v>
      </c>
      <c r="F640" t="inlineStr">
        <is>
          <t>VÄSTERBOTTENS LÄN</t>
        </is>
      </c>
      <c r="G640" t="inlineStr">
        <is>
          <t>UMEÅ</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23842-2024</t>
        </is>
      </c>
      <c r="B641" t="inlineStr">
        <is>
          <t>avverkningsanmälan</t>
        </is>
      </c>
      <c r="C641" t="inlineStr">
        <is>
          <t>Föryngringsavverkning</t>
        </is>
      </c>
      <c r="D641" s="1" t="n">
        <v>45455</v>
      </c>
      <c r="E641" s="1" t="n">
        <v>46223</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65242-2021</t>
        </is>
      </c>
      <c r="B642" t="inlineStr">
        <is>
          <t>avverkningsanmälan</t>
        </is>
      </c>
      <c r="C642" t="inlineStr">
        <is>
          <t>Föryngringsavverkning</t>
        </is>
      </c>
      <c r="D642" s="1" t="n">
        <v>44515</v>
      </c>
      <c r="E642" s="1" t="n">
        <v>46223</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2857-2026</t>
        </is>
      </c>
      <c r="B643" t="inlineStr">
        <is>
          <t>avverkningsanmälan</t>
        </is>
      </c>
      <c r="C643" t="inlineStr">
        <is>
          <t>Föryngringsavverkning</t>
        </is>
      </c>
      <c r="D643" s="1" t="n">
        <v>46038</v>
      </c>
      <c r="E643" s="1" t="n">
        <v>46223</v>
      </c>
      <c r="F643" t="inlineStr">
        <is>
          <t>VÄSTERBOTTENS LÄN</t>
        </is>
      </c>
      <c r="G643" t="inlineStr">
        <is>
          <t>UMEÅ</t>
        </is>
      </c>
      <c r="I643" t="n">
        <v>4.5</v>
      </c>
      <c r="J643" t="n">
        <v>0</v>
      </c>
      <c r="K643" t="n">
        <v>0</v>
      </c>
      <c r="L643" t="n">
        <v>0</v>
      </c>
      <c r="M643" t="n">
        <v>0</v>
      </c>
      <c r="N643" t="n">
        <v>0</v>
      </c>
      <c r="O643" t="n">
        <v>0</v>
      </c>
      <c r="P643" t="n">
        <v>0</v>
      </c>
      <c r="Q643" t="n">
        <v>0</v>
      </c>
      <c r="R643" t="n">
        <v>0</v>
      </c>
      <c r="S643" t="n">
        <v>0</v>
      </c>
      <c r="T643" t="n">
        <v>0</v>
      </c>
      <c r="U643" s="2" t="inlineStr"/>
    </row>
    <row r="644" ht="15" customHeight="1">
      <c r="A644" t="inlineStr">
        <is>
          <t>A 16855-2026</t>
        </is>
      </c>
      <c r="B644" t="inlineStr">
        <is>
          <t>avverkningsanmälan</t>
        </is>
      </c>
      <c r="C644" t="inlineStr">
        <is>
          <t>Föryngringsavverkning</t>
        </is>
      </c>
      <c r="D644" s="1" t="n">
        <v>46113</v>
      </c>
      <c r="E644" s="1" t="n">
        <v>46223</v>
      </c>
      <c r="F644" t="inlineStr">
        <is>
          <t>VÄSTERBOTTENS LÄN</t>
        </is>
      </c>
      <c r="G644" t="inlineStr">
        <is>
          <t>UMEÅ</t>
        </is>
      </c>
      <c r="H644" t="inlineStr">
        <is>
          <t>Kommuner</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61034-2022</t>
        </is>
      </c>
      <c r="B645" t="inlineStr">
        <is>
          <t>avverkningsanmälan</t>
        </is>
      </c>
      <c r="C645" t="inlineStr">
        <is>
          <t>Föryngringsavverkning</t>
        </is>
      </c>
      <c r="D645" s="1" t="n">
        <v>44914</v>
      </c>
      <c r="E645" s="1" t="n">
        <v>46223</v>
      </c>
      <c r="F645" t="inlineStr">
        <is>
          <t>VÄSTERBOTTENS LÄN</t>
        </is>
      </c>
      <c r="G645" t="inlineStr">
        <is>
          <t>UMEÅ</t>
        </is>
      </c>
      <c r="I645" t="n">
        <v>16.7</v>
      </c>
      <c r="J645" t="n">
        <v>0</v>
      </c>
      <c r="K645" t="n">
        <v>0</v>
      </c>
      <c r="L645" t="n">
        <v>0</v>
      </c>
      <c r="M645" t="n">
        <v>0</v>
      </c>
      <c r="N645" t="n">
        <v>0</v>
      </c>
      <c r="O645" t="n">
        <v>0</v>
      </c>
      <c r="P645" t="n">
        <v>0</v>
      </c>
      <c r="Q645" t="n">
        <v>0</v>
      </c>
      <c r="R645" t="n">
        <v>0</v>
      </c>
      <c r="S645" t="n">
        <v>0</v>
      </c>
      <c r="T645" t="n">
        <v>0</v>
      </c>
      <c r="U645" s="2" t="inlineStr"/>
    </row>
    <row r="646" ht="15" customHeight="1">
      <c r="A646" t="inlineStr">
        <is>
          <t>A 16725-2026</t>
        </is>
      </c>
      <c r="B646" t="inlineStr">
        <is>
          <t>avverkningsanmälan</t>
        </is>
      </c>
      <c r="C646" t="inlineStr">
        <is>
          <t>Föryngringsavverkning</t>
        </is>
      </c>
      <c r="D646" s="1" t="n">
        <v>46113</v>
      </c>
      <c r="E646" s="1" t="n">
        <v>46223</v>
      </c>
      <c r="F646" t="inlineStr">
        <is>
          <t>VÄSTERBOTTENS LÄN</t>
        </is>
      </c>
      <c r="G646" t="inlineStr">
        <is>
          <t>UMEÅ</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17457-2026</t>
        </is>
      </c>
      <c r="B647" t="inlineStr">
        <is>
          <t>avverkningsanmälan</t>
        </is>
      </c>
      <c r="C647" t="inlineStr">
        <is>
          <t>Föryngringsavverkning</t>
        </is>
      </c>
      <c r="D647" s="1" t="n">
        <v>46119</v>
      </c>
      <c r="E647" s="1" t="n">
        <v>46223</v>
      </c>
      <c r="F647" t="inlineStr">
        <is>
          <t>VÄSTERBOTTENS LÄN</t>
        </is>
      </c>
      <c r="G647" t="inlineStr">
        <is>
          <t>UMEÅ</t>
        </is>
      </c>
      <c r="I647" t="n">
        <v>10</v>
      </c>
      <c r="J647" t="n">
        <v>0</v>
      </c>
      <c r="K647" t="n">
        <v>0</v>
      </c>
      <c r="L647" t="n">
        <v>0</v>
      </c>
      <c r="M647" t="n">
        <v>0</v>
      </c>
      <c r="N647" t="n">
        <v>0</v>
      </c>
      <c r="O647" t="n">
        <v>0</v>
      </c>
      <c r="P647" t="n">
        <v>0</v>
      </c>
      <c r="Q647" t="n">
        <v>0</v>
      </c>
      <c r="R647" t="n">
        <v>0</v>
      </c>
      <c r="S647" t="n">
        <v>0</v>
      </c>
      <c r="T647" t="n">
        <v>0</v>
      </c>
      <c r="U647" s="2" t="inlineStr"/>
    </row>
    <row r="648" ht="15" customHeight="1">
      <c r="A648" t="inlineStr">
        <is>
          <t>A 35630-2024</t>
        </is>
      </c>
      <c r="B648" t="inlineStr">
        <is>
          <t>avverkningsanmälan</t>
        </is>
      </c>
      <c r="C648" t="inlineStr">
        <is>
          <t>Föryngringsavverkning</t>
        </is>
      </c>
      <c r="D648" s="1" t="n">
        <v>45531</v>
      </c>
      <c r="E648" s="1" t="n">
        <v>46223</v>
      </c>
      <c r="F648" t="inlineStr">
        <is>
          <t>VÄSTERBOTTENS LÄN</t>
        </is>
      </c>
      <c r="G648" t="inlineStr">
        <is>
          <t>UMEÅ</t>
        </is>
      </c>
      <c r="I648" t="n">
        <v>4.7</v>
      </c>
      <c r="J648" t="n">
        <v>0</v>
      </c>
      <c r="K648" t="n">
        <v>0</v>
      </c>
      <c r="L648" t="n">
        <v>0</v>
      </c>
      <c r="M648" t="n">
        <v>0</v>
      </c>
      <c r="N648" t="n">
        <v>0</v>
      </c>
      <c r="O648" t="n">
        <v>0</v>
      </c>
      <c r="P648" t="n">
        <v>0</v>
      </c>
      <c r="Q648" t="n">
        <v>0</v>
      </c>
      <c r="R648" t="n">
        <v>0</v>
      </c>
      <c r="S648" t="n">
        <v>0</v>
      </c>
      <c r="T648" t="n">
        <v>0</v>
      </c>
      <c r="U648" s="2" t="inlineStr"/>
    </row>
    <row r="649" ht="15" customHeight="1">
      <c r="A649" t="inlineStr">
        <is>
          <t>A 45770-2024</t>
        </is>
      </c>
      <c r="B649" t="inlineStr">
        <is>
          <t>avverkningsanmälan</t>
        </is>
      </c>
      <c r="C649" t="inlineStr">
        <is>
          <t>Föryngringsavverkning</t>
        </is>
      </c>
      <c r="D649" s="1" t="n">
        <v>45579</v>
      </c>
      <c r="E649" s="1" t="n">
        <v>46223</v>
      </c>
      <c r="F649" t="inlineStr">
        <is>
          <t>VÄSTERBOTTENS LÄN</t>
        </is>
      </c>
      <c r="G649" t="inlineStr">
        <is>
          <t>UMEÅ</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17231-2026</t>
        </is>
      </c>
      <c r="B650" t="inlineStr">
        <is>
          <t>avverkningsanmälan</t>
        </is>
      </c>
      <c r="C650" t="inlineStr">
        <is>
          <t>Föryngringsavverkning</t>
        </is>
      </c>
      <c r="D650" s="1" t="n">
        <v>46119</v>
      </c>
      <c r="E650" s="1" t="n">
        <v>46223</v>
      </c>
      <c r="F650" t="inlineStr">
        <is>
          <t>VÄSTERBOTTENS LÄN</t>
        </is>
      </c>
      <c r="G650" t="inlineStr">
        <is>
          <t>UMEÅ</t>
        </is>
      </c>
      <c r="I650" t="n">
        <v>4.4</v>
      </c>
      <c r="J650" t="n">
        <v>0</v>
      </c>
      <c r="K650" t="n">
        <v>0</v>
      </c>
      <c r="L650" t="n">
        <v>0</v>
      </c>
      <c r="M650" t="n">
        <v>0</v>
      </c>
      <c r="N650" t="n">
        <v>0</v>
      </c>
      <c r="O650" t="n">
        <v>0</v>
      </c>
      <c r="P650" t="n">
        <v>0</v>
      </c>
      <c r="Q650" t="n">
        <v>0</v>
      </c>
      <c r="R650" t="n">
        <v>0</v>
      </c>
      <c r="S650" t="n">
        <v>0</v>
      </c>
      <c r="T650" t="n">
        <v>0</v>
      </c>
      <c r="U650" s="2" t="inlineStr"/>
    </row>
    <row r="651" ht="15" customHeight="1">
      <c r="A651" t="inlineStr">
        <is>
          <t>A 17507-2026</t>
        </is>
      </c>
      <c r="B651" t="inlineStr">
        <is>
          <t>avverkningsanmälan</t>
        </is>
      </c>
      <c r="C651" t="inlineStr">
        <is>
          <t>Föryngringsavverkning</t>
        </is>
      </c>
      <c r="D651" s="1" t="n">
        <v>46120</v>
      </c>
      <c r="E651" s="1" t="n">
        <v>46223</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54150-2024</t>
        </is>
      </c>
      <c r="B652" t="inlineStr">
        <is>
          <t>avverkningsanmälan</t>
        </is>
      </c>
      <c r="C652" t="inlineStr">
        <is>
          <t>Föryngringsavverkning</t>
        </is>
      </c>
      <c r="D652" s="1" t="n">
        <v>45616</v>
      </c>
      <c r="E652" s="1" t="n">
        <v>46223</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14407-2023</t>
        </is>
      </c>
      <c r="B653" t="inlineStr">
        <is>
          <t>avverkningsanmälan</t>
        </is>
      </c>
      <c r="C653" t="inlineStr">
        <is>
          <t>Föryngringsavverkning</t>
        </is>
      </c>
      <c r="D653" s="1" t="n">
        <v>45012</v>
      </c>
      <c r="E653" s="1" t="n">
        <v>46223</v>
      </c>
      <c r="F653" t="inlineStr">
        <is>
          <t>VÄSTERBOTTENS LÄN</t>
        </is>
      </c>
      <c r="G653" t="inlineStr">
        <is>
          <t>UMEÅ</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19831-2025</t>
        </is>
      </c>
      <c r="B654" t="inlineStr">
        <is>
          <t>avverkningsanmälan</t>
        </is>
      </c>
      <c r="C654" t="inlineStr">
        <is>
          <t>Föryngringsavverkning</t>
        </is>
      </c>
      <c r="D654" s="1" t="n">
        <v>45771</v>
      </c>
      <c r="E654" s="1" t="n">
        <v>46223</v>
      </c>
      <c r="F654" t="inlineStr">
        <is>
          <t>VÄSTERBOTTENS LÄN</t>
        </is>
      </c>
      <c r="G654" t="inlineStr">
        <is>
          <t>UMEÅ</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5280-2025</t>
        </is>
      </c>
      <c r="B655" t="inlineStr">
        <is>
          <t>avverkningsanmälan</t>
        </is>
      </c>
      <c r="C655" t="inlineStr">
        <is>
          <t>Föryngringsavverkning</t>
        </is>
      </c>
      <c r="D655" s="1" t="n">
        <v>45692</v>
      </c>
      <c r="E655" s="1" t="n">
        <v>46223</v>
      </c>
      <c r="F655" t="inlineStr">
        <is>
          <t>VÄSTERBOTTENS LÄN</t>
        </is>
      </c>
      <c r="G655" t="inlineStr">
        <is>
          <t>UMEÅ</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17816-2026</t>
        </is>
      </c>
      <c r="B656" t="inlineStr">
        <is>
          <t>avverkningsanmälan</t>
        </is>
      </c>
      <c r="C656" t="inlineStr">
        <is>
          <t>Föryngringsavverkning</t>
        </is>
      </c>
      <c r="D656" s="1" t="n">
        <v>46122</v>
      </c>
      <c r="E656" s="1" t="n">
        <v>46223</v>
      </c>
      <c r="F656" t="inlineStr">
        <is>
          <t>VÄSTERBOTTENS LÄN</t>
        </is>
      </c>
      <c r="G656" t="inlineStr">
        <is>
          <t>UMEÅ</t>
        </is>
      </c>
      <c r="I656" t="n">
        <v>4.6</v>
      </c>
      <c r="J656" t="n">
        <v>0</v>
      </c>
      <c r="K656" t="n">
        <v>0</v>
      </c>
      <c r="L656" t="n">
        <v>0</v>
      </c>
      <c r="M656" t="n">
        <v>0</v>
      </c>
      <c r="N656" t="n">
        <v>0</v>
      </c>
      <c r="O656" t="n">
        <v>0</v>
      </c>
      <c r="P656" t="n">
        <v>0</v>
      </c>
      <c r="Q656" t="n">
        <v>0</v>
      </c>
      <c r="R656" t="n">
        <v>0</v>
      </c>
      <c r="S656" t="n">
        <v>0</v>
      </c>
      <c r="T656" t="n">
        <v>0</v>
      </c>
      <c r="U656" s="2" t="inlineStr"/>
    </row>
    <row r="657" ht="15" customHeight="1">
      <c r="A657" t="inlineStr">
        <is>
          <t>A 10587-2023</t>
        </is>
      </c>
      <c r="B657" t="inlineStr">
        <is>
          <t>avverkningsanmälan</t>
        </is>
      </c>
      <c r="C657" t="inlineStr">
        <is>
          <t>Föryngringsavverkning</t>
        </is>
      </c>
      <c r="D657" s="1" t="n">
        <v>44984</v>
      </c>
      <c r="E657" s="1" t="n">
        <v>46223</v>
      </c>
      <c r="F657" t="inlineStr">
        <is>
          <t>VÄSTERBOTTENS LÄN</t>
        </is>
      </c>
      <c r="G657" t="inlineStr">
        <is>
          <t>UMEÅ</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17807-2026</t>
        </is>
      </c>
      <c r="B658" t="inlineStr">
        <is>
          <t>avverkningsanmälan</t>
        </is>
      </c>
      <c r="C658" t="inlineStr">
        <is>
          <t>Föryngringsavverkning</t>
        </is>
      </c>
      <c r="D658" s="1" t="n">
        <v>46122</v>
      </c>
      <c r="E658" s="1" t="n">
        <v>46223</v>
      </c>
      <c r="F658" t="inlineStr">
        <is>
          <t>VÄSTERBOTTENS LÄN</t>
        </is>
      </c>
      <c r="G658" t="inlineStr">
        <is>
          <t>UMEÅ</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16903-2025</t>
        </is>
      </c>
      <c r="B659" t="inlineStr">
        <is>
          <t>avverkningsanmälan</t>
        </is>
      </c>
      <c r="C659" t="inlineStr">
        <is>
          <t>Föryngringsavverkning</t>
        </is>
      </c>
      <c r="D659" s="1" t="n">
        <v>45755</v>
      </c>
      <c r="E659" s="1" t="n">
        <v>46223</v>
      </c>
      <c r="F659" t="inlineStr">
        <is>
          <t>VÄSTERBOTTENS LÄN</t>
        </is>
      </c>
      <c r="G659" t="inlineStr">
        <is>
          <t>UMEÅ</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17945-2023</t>
        </is>
      </c>
      <c r="B660" t="inlineStr">
        <is>
          <t>avverkningsanmälan</t>
        </is>
      </c>
      <c r="C660" t="inlineStr">
        <is>
          <t>Föryngringsavverkning</t>
        </is>
      </c>
      <c r="D660" s="1" t="n">
        <v>45037</v>
      </c>
      <c r="E660" s="1" t="n">
        <v>46223</v>
      </c>
      <c r="F660" t="inlineStr">
        <is>
          <t>VÄSTERBOTTENS LÄN</t>
        </is>
      </c>
      <c r="G660" t="inlineStr">
        <is>
          <t>UMEÅ</t>
        </is>
      </c>
      <c r="H660" t="inlineStr">
        <is>
          <t>Kommuner</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18861-2024</t>
        </is>
      </c>
      <c r="B661" t="inlineStr">
        <is>
          <t>avverkningsanmälan</t>
        </is>
      </c>
      <c r="C661" t="inlineStr">
        <is>
          <t>Avverkning för annat ändamål</t>
        </is>
      </c>
      <c r="D661" s="1" t="n">
        <v>45426</v>
      </c>
      <c r="E661" s="1" t="n">
        <v>46223</v>
      </c>
      <c r="F661" t="inlineStr">
        <is>
          <t>VÄSTERBOTTENS LÄN</t>
        </is>
      </c>
      <c r="G661" t="inlineStr">
        <is>
          <t>UMEÅ</t>
        </is>
      </c>
      <c r="I661" t="n">
        <v>7.4</v>
      </c>
      <c r="J661" t="n">
        <v>0</v>
      </c>
      <c r="K661" t="n">
        <v>0</v>
      </c>
      <c r="L661" t="n">
        <v>0</v>
      </c>
      <c r="M661" t="n">
        <v>0</v>
      </c>
      <c r="N661" t="n">
        <v>0</v>
      </c>
      <c r="O661" t="n">
        <v>0</v>
      </c>
      <c r="P661" t="n">
        <v>0</v>
      </c>
      <c r="Q661" t="n">
        <v>0</v>
      </c>
      <c r="R661" t="n">
        <v>0</v>
      </c>
      <c r="S661" t="n">
        <v>0</v>
      </c>
      <c r="T661" t="n">
        <v>0</v>
      </c>
      <c r="U661" s="2" t="inlineStr"/>
    </row>
    <row r="662" ht="15" customHeight="1">
      <c r="A662" t="inlineStr">
        <is>
          <t>A 56083-2024</t>
        </is>
      </c>
      <c r="B662" t="inlineStr">
        <is>
          <t>avverkningsanmälan</t>
        </is>
      </c>
      <c r="C662" t="inlineStr">
        <is>
          <t>Föryngringsavverkning</t>
        </is>
      </c>
      <c r="D662" s="1" t="n">
        <v>45623</v>
      </c>
      <c r="E662" s="1" t="n">
        <v>46223</v>
      </c>
      <c r="F662" t="inlineStr">
        <is>
          <t>VÄSTERBOTTENS LÄN</t>
        </is>
      </c>
      <c r="G662" t="inlineStr">
        <is>
          <t>UMEÅ</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34991-2023</t>
        </is>
      </c>
      <c r="B663" t="inlineStr">
        <is>
          <t>avverkningsanmälan</t>
        </is>
      </c>
      <c r="C663" t="inlineStr">
        <is>
          <t>Föryngringsavverkning</t>
        </is>
      </c>
      <c r="D663" s="1" t="n">
        <v>45142</v>
      </c>
      <c r="E663" s="1" t="n">
        <v>46223</v>
      </c>
      <c r="F663" t="inlineStr">
        <is>
          <t>VÄSTERBOTTENS LÄN</t>
        </is>
      </c>
      <c r="G663" t="inlineStr">
        <is>
          <t>UMEÅ</t>
        </is>
      </c>
      <c r="I663" t="n">
        <v>6.9</v>
      </c>
      <c r="J663" t="n">
        <v>0</v>
      </c>
      <c r="K663" t="n">
        <v>0</v>
      </c>
      <c r="L663" t="n">
        <v>0</v>
      </c>
      <c r="M663" t="n">
        <v>0</v>
      </c>
      <c r="N663" t="n">
        <v>0</v>
      </c>
      <c r="O663" t="n">
        <v>0</v>
      </c>
      <c r="P663" t="n">
        <v>0</v>
      </c>
      <c r="Q663" t="n">
        <v>0</v>
      </c>
      <c r="R663" t="n">
        <v>0</v>
      </c>
      <c r="S663" t="n">
        <v>0</v>
      </c>
      <c r="T663" t="n">
        <v>0</v>
      </c>
      <c r="U663" s="2" t="inlineStr"/>
    </row>
    <row r="664" ht="15" customHeight="1">
      <c r="A664" t="inlineStr">
        <is>
          <t>A 28860-2024</t>
        </is>
      </c>
      <c r="B664" t="inlineStr">
        <is>
          <t>avverkningsanmälan</t>
        </is>
      </c>
      <c r="C664" t="inlineStr">
        <is>
          <t>Föryngringsavverkning</t>
        </is>
      </c>
      <c r="D664" s="1" t="n">
        <v>45478</v>
      </c>
      <c r="E664" s="1" t="n">
        <v>46223</v>
      </c>
      <c r="F664" t="inlineStr">
        <is>
          <t>VÄSTERBOTTENS LÄN</t>
        </is>
      </c>
      <c r="G664" t="inlineStr">
        <is>
          <t>UMEÅ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18371-2026</t>
        </is>
      </c>
      <c r="B665" t="inlineStr">
        <is>
          <t>avverkningsanmälan</t>
        </is>
      </c>
      <c r="C665" t="inlineStr">
        <is>
          <t>Föryngringsavverkning</t>
        </is>
      </c>
      <c r="D665" s="1" t="n">
        <v>46126</v>
      </c>
      <c r="E665" s="1" t="n">
        <v>46223</v>
      </c>
      <c r="F665" t="inlineStr">
        <is>
          <t>VÄSTERBOTTENS LÄN</t>
        </is>
      </c>
      <c r="G665" t="inlineStr">
        <is>
          <t>UMEÅ</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43976-2024</t>
        </is>
      </c>
      <c r="B666" t="inlineStr">
        <is>
          <t>avverkningsanmälan</t>
        </is>
      </c>
      <c r="C666" t="inlineStr">
        <is>
          <t>Föryngringsavverkning</t>
        </is>
      </c>
      <c r="D666" s="1" t="n">
        <v>45572</v>
      </c>
      <c r="E666" s="1" t="n">
        <v>46223</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43977-2024</t>
        </is>
      </c>
      <c r="B667" t="inlineStr">
        <is>
          <t>avverkningsanmälan</t>
        </is>
      </c>
      <c r="C667" t="inlineStr">
        <is>
          <t>Föryngringsavverkning</t>
        </is>
      </c>
      <c r="D667" s="1" t="n">
        <v>45572</v>
      </c>
      <c r="E667" s="1" t="n">
        <v>46223</v>
      </c>
      <c r="F667" t="inlineStr">
        <is>
          <t>VÄSTERBOTTENS LÄN</t>
        </is>
      </c>
      <c r="G667" t="inlineStr">
        <is>
          <t>UMEÅ</t>
        </is>
      </c>
      <c r="I667" t="n">
        <v>3.3</v>
      </c>
      <c r="J667" t="n">
        <v>0</v>
      </c>
      <c r="K667" t="n">
        <v>0</v>
      </c>
      <c r="L667" t="n">
        <v>0</v>
      </c>
      <c r="M667" t="n">
        <v>0</v>
      </c>
      <c r="N667" t="n">
        <v>0</v>
      </c>
      <c r="O667" t="n">
        <v>0</v>
      </c>
      <c r="P667" t="n">
        <v>0</v>
      </c>
      <c r="Q667" t="n">
        <v>0</v>
      </c>
      <c r="R667" t="n">
        <v>0</v>
      </c>
      <c r="S667" t="n">
        <v>0</v>
      </c>
      <c r="T667" t="n">
        <v>0</v>
      </c>
      <c r="U667" s="2" t="inlineStr"/>
    </row>
    <row r="668" ht="15" customHeight="1">
      <c r="A668" t="inlineStr">
        <is>
          <t>A 17989-2023</t>
        </is>
      </c>
      <c r="B668" t="inlineStr">
        <is>
          <t>avverkningsanmälan</t>
        </is>
      </c>
      <c r="C668" t="inlineStr">
        <is>
          <t>Föryngringsavverkning</t>
        </is>
      </c>
      <c r="D668" s="1" t="n">
        <v>45040</v>
      </c>
      <c r="E668" s="1" t="n">
        <v>46223</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64355-2021</t>
        </is>
      </c>
      <c r="B669" t="inlineStr">
        <is>
          <t>avverkningsanmälan</t>
        </is>
      </c>
      <c r="C669" t="inlineStr">
        <is>
          <t>Föryngringsavverkning</t>
        </is>
      </c>
      <c r="D669" s="1" t="n">
        <v>44511</v>
      </c>
      <c r="E669" s="1" t="n">
        <v>46223</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54152-2024</t>
        </is>
      </c>
      <c r="B670" t="inlineStr">
        <is>
          <t>avverkningsanmälan</t>
        </is>
      </c>
      <c r="C670" t="inlineStr">
        <is>
          <t>Föryngringsavverkning</t>
        </is>
      </c>
      <c r="D670" s="1" t="n">
        <v>45616</v>
      </c>
      <c r="E670" s="1" t="n">
        <v>46223</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s="2" t="inlineStr"/>
    </row>
    <row r="671" ht="15" customHeight="1">
      <c r="A671" t="inlineStr">
        <is>
          <t>A 31311-2023</t>
        </is>
      </c>
      <c r="B671" t="inlineStr">
        <is>
          <t>avverkningsanmälan</t>
        </is>
      </c>
      <c r="C671" t="inlineStr">
        <is>
          <t>Föryngringsavverkning</t>
        </is>
      </c>
      <c r="D671" s="1" t="n">
        <v>45104</v>
      </c>
      <c r="E671" s="1" t="n">
        <v>46223</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48448-2024</t>
        </is>
      </c>
      <c r="B672" t="inlineStr">
        <is>
          <t>avverkningsanmälan</t>
        </is>
      </c>
      <c r="C672" t="inlineStr">
        <is>
          <t>Föryngringsavverkning</t>
        </is>
      </c>
      <c r="D672" s="1" t="n">
        <v>45590</v>
      </c>
      <c r="E672" s="1" t="n">
        <v>46223</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1502-2025</t>
        </is>
      </c>
      <c r="B673" t="inlineStr">
        <is>
          <t>avverkningsanmälan</t>
        </is>
      </c>
      <c r="C673" t="inlineStr">
        <is>
          <t>Föryngringsavverkning</t>
        </is>
      </c>
      <c r="D673" s="1" t="n">
        <v>45670</v>
      </c>
      <c r="E673" s="1" t="n">
        <v>46223</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s="2" t="inlineStr"/>
    </row>
    <row r="674" ht="15" customHeight="1">
      <c r="A674" t="inlineStr">
        <is>
          <t>A 58256-2023</t>
        </is>
      </c>
      <c r="B674" t="inlineStr">
        <is>
          <t>avverkningsanmälan</t>
        </is>
      </c>
      <c r="C674" t="inlineStr">
        <is>
          <t>Föryngringsavverkning</t>
        </is>
      </c>
      <c r="D674" s="1" t="n">
        <v>45250</v>
      </c>
      <c r="E674" s="1" t="n">
        <v>46223</v>
      </c>
      <c r="F674" t="inlineStr">
        <is>
          <t>VÄSTERBOTTENS LÄN</t>
        </is>
      </c>
      <c r="G674" t="inlineStr">
        <is>
          <t>UMEÅ</t>
        </is>
      </c>
      <c r="I674" t="n">
        <v>0.3</v>
      </c>
      <c r="J674" t="n">
        <v>0</v>
      </c>
      <c r="K674" t="n">
        <v>0</v>
      </c>
      <c r="L674" t="n">
        <v>0</v>
      </c>
      <c r="M674" t="n">
        <v>0</v>
      </c>
      <c r="N674" t="n">
        <v>0</v>
      </c>
      <c r="O674" t="n">
        <v>0</v>
      </c>
      <c r="P674" t="n">
        <v>0</v>
      </c>
      <c r="Q674" t="n">
        <v>0</v>
      </c>
      <c r="R674" t="n">
        <v>0</v>
      </c>
      <c r="S674" t="n">
        <v>0</v>
      </c>
      <c r="T674" t="n">
        <v>0</v>
      </c>
      <c r="U674" s="2" t="inlineStr"/>
    </row>
    <row r="675" ht="15" customHeight="1">
      <c r="A675" t="inlineStr">
        <is>
          <t>A 18010-2025</t>
        </is>
      </c>
      <c r="B675" t="inlineStr">
        <is>
          <t>avverkningsanmälan</t>
        </is>
      </c>
      <c r="C675" t="inlineStr">
        <is>
          <t>Föryngringsavverkning</t>
        </is>
      </c>
      <c r="D675" s="1" t="n">
        <v>45761</v>
      </c>
      <c r="E675" s="1" t="n">
        <v>46223</v>
      </c>
      <c r="F675" t="inlineStr">
        <is>
          <t>VÄSTERBOTTENS LÄN</t>
        </is>
      </c>
      <c r="G675" t="inlineStr">
        <is>
          <t>UMEÅ</t>
        </is>
      </c>
      <c r="H675" t="inlineStr">
        <is>
          <t>Holmen skog AB</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38237-2025</t>
        </is>
      </c>
      <c r="B676" t="inlineStr">
        <is>
          <t>avverkningsanmälan</t>
        </is>
      </c>
      <c r="C676" t="inlineStr">
        <is>
          <t>Föryngringsavverkning</t>
        </is>
      </c>
      <c r="D676" s="1" t="n">
        <v>45883</v>
      </c>
      <c r="E676" s="1" t="n">
        <v>46223</v>
      </c>
      <c r="F676" t="inlineStr">
        <is>
          <t>VÄSTERBOTTENS LÄN</t>
        </is>
      </c>
      <c r="G676" t="inlineStr">
        <is>
          <t>UMEÅ</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5374-2022</t>
        </is>
      </c>
      <c r="B677" t="inlineStr">
        <is>
          <t>avverkningsanmälan</t>
        </is>
      </c>
      <c r="C677" t="inlineStr">
        <is>
          <t>Föryngringsavverkning</t>
        </is>
      </c>
      <c r="D677" s="1" t="n">
        <v>44594</v>
      </c>
      <c r="E677" s="1" t="n">
        <v>46223</v>
      </c>
      <c r="F677" t="inlineStr">
        <is>
          <t>VÄSTERBOTTENS LÄN</t>
        </is>
      </c>
      <c r="G677" t="inlineStr">
        <is>
          <t>UMEÅ</t>
        </is>
      </c>
      <c r="I677" t="n">
        <v>4.6</v>
      </c>
      <c r="J677" t="n">
        <v>0</v>
      </c>
      <c r="K677" t="n">
        <v>0</v>
      </c>
      <c r="L677" t="n">
        <v>0</v>
      </c>
      <c r="M677" t="n">
        <v>0</v>
      </c>
      <c r="N677" t="n">
        <v>0</v>
      </c>
      <c r="O677" t="n">
        <v>0</v>
      </c>
      <c r="P677" t="n">
        <v>0</v>
      </c>
      <c r="Q677" t="n">
        <v>0</v>
      </c>
      <c r="R677" t="n">
        <v>0</v>
      </c>
      <c r="S677" t="n">
        <v>0</v>
      </c>
      <c r="T677" t="n">
        <v>0</v>
      </c>
      <c r="U677" s="2" t="inlineStr"/>
    </row>
    <row r="678" ht="15" customHeight="1">
      <c r="A678" t="inlineStr">
        <is>
          <t>A 11109-2022</t>
        </is>
      </c>
      <c r="B678" t="inlineStr">
        <is>
          <t>avverkningsanmälan</t>
        </is>
      </c>
      <c r="C678" t="inlineStr">
        <is>
          <t>Föryngringsavverkning</t>
        </is>
      </c>
      <c r="D678" s="1" t="n">
        <v>44628</v>
      </c>
      <c r="E678" s="1" t="n">
        <v>46223</v>
      </c>
      <c r="F678" t="inlineStr">
        <is>
          <t>VÄSTERBOTTENS LÄN</t>
        </is>
      </c>
      <c r="G678" t="inlineStr">
        <is>
          <t>UMEÅ</t>
        </is>
      </c>
      <c r="I678" t="n">
        <v>3.8</v>
      </c>
      <c r="J678" t="n">
        <v>0</v>
      </c>
      <c r="K678" t="n">
        <v>0</v>
      </c>
      <c r="L678" t="n">
        <v>0</v>
      </c>
      <c r="M678" t="n">
        <v>0</v>
      </c>
      <c r="N678" t="n">
        <v>0</v>
      </c>
      <c r="O678" t="n">
        <v>0</v>
      </c>
      <c r="P678" t="n">
        <v>0</v>
      </c>
      <c r="Q678" t="n">
        <v>0</v>
      </c>
      <c r="R678" t="n">
        <v>0</v>
      </c>
      <c r="S678" t="n">
        <v>0</v>
      </c>
      <c r="T678" t="n">
        <v>0</v>
      </c>
      <c r="U678" s="2" t="inlineStr"/>
    </row>
    <row r="679" ht="15" customHeight="1">
      <c r="A679" t="inlineStr">
        <is>
          <t>A 60179-2024</t>
        </is>
      </c>
      <c r="B679" t="inlineStr">
        <is>
          <t>avverkningsanmälan</t>
        </is>
      </c>
      <c r="C679" t="inlineStr">
        <is>
          <t>Föryngringsavverkning</t>
        </is>
      </c>
      <c r="D679" s="1" t="n">
        <v>45642</v>
      </c>
      <c r="E679" s="1" t="n">
        <v>46223</v>
      </c>
      <c r="F679" t="inlineStr">
        <is>
          <t>VÄSTERBOTTENS LÄN</t>
        </is>
      </c>
      <c r="G679" t="inlineStr">
        <is>
          <t>UMEÅ</t>
        </is>
      </c>
      <c r="I679" t="n">
        <v>3.4</v>
      </c>
      <c r="J679" t="n">
        <v>0</v>
      </c>
      <c r="K679" t="n">
        <v>0</v>
      </c>
      <c r="L679" t="n">
        <v>0</v>
      </c>
      <c r="M679" t="n">
        <v>0</v>
      </c>
      <c r="N679" t="n">
        <v>0</v>
      </c>
      <c r="O679" t="n">
        <v>0</v>
      </c>
      <c r="P679" t="n">
        <v>0</v>
      </c>
      <c r="Q679" t="n">
        <v>0</v>
      </c>
      <c r="R679" t="n">
        <v>0</v>
      </c>
      <c r="S679" t="n">
        <v>0</v>
      </c>
      <c r="T679" t="n">
        <v>0</v>
      </c>
      <c r="U679" s="2" t="inlineStr"/>
    </row>
    <row r="680" ht="15" customHeight="1">
      <c r="A680" t="inlineStr">
        <is>
          <t>A 16330-2023</t>
        </is>
      </c>
      <c r="B680" t="inlineStr">
        <is>
          <t>avverkningsanmälan</t>
        </is>
      </c>
      <c r="C680" t="inlineStr">
        <is>
          <t>Avverkning för annat ändamål</t>
        </is>
      </c>
      <c r="D680" s="1" t="n">
        <v>45028</v>
      </c>
      <c r="E680" s="1" t="n">
        <v>46223</v>
      </c>
      <c r="F680" t="inlineStr">
        <is>
          <t>VÄSTERBOTTENS LÄN</t>
        </is>
      </c>
      <c r="G680" t="inlineStr">
        <is>
          <t>UMEÅ</t>
        </is>
      </c>
      <c r="H680" t="inlineStr">
        <is>
          <t>Holmen skog AB</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46849-2023</t>
        </is>
      </c>
      <c r="B681" t="inlineStr">
        <is>
          <t>avverkningsanmälan</t>
        </is>
      </c>
      <c r="C681" t="inlineStr">
        <is>
          <t>Föryngringsavverkning</t>
        </is>
      </c>
      <c r="D681" s="1" t="n">
        <v>45199</v>
      </c>
      <c r="E681" s="1" t="n">
        <v>46223</v>
      </c>
      <c r="F681" t="inlineStr">
        <is>
          <t>VÄSTERBOTTENS LÄN</t>
        </is>
      </c>
      <c r="G681" t="inlineStr">
        <is>
          <t>UMEÅ</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49142-2025</t>
        </is>
      </c>
      <c r="B682" t="inlineStr">
        <is>
          <t>avverkningsanmälan</t>
        </is>
      </c>
      <c r="C682" t="inlineStr">
        <is>
          <t>Föryngringsavverkning</t>
        </is>
      </c>
      <c r="D682" s="1" t="n">
        <v>45938</v>
      </c>
      <c r="E682" s="1" t="n">
        <v>46223</v>
      </c>
      <c r="F682" t="inlineStr">
        <is>
          <t>VÄSTERBOTTENS LÄN</t>
        </is>
      </c>
      <c r="G682" t="inlineStr">
        <is>
          <t>UMEÅ</t>
        </is>
      </c>
      <c r="H682" t="inlineStr">
        <is>
          <t>Holmen skog AB</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22000-2023</t>
        </is>
      </c>
      <c r="B683" t="inlineStr">
        <is>
          <t>avverkningsanmälan</t>
        </is>
      </c>
      <c r="C683" t="inlineStr">
        <is>
          <t>Föryngringsavverkning</t>
        </is>
      </c>
      <c r="D683" s="1" t="n">
        <v>45068</v>
      </c>
      <c r="E683" s="1" t="n">
        <v>46223</v>
      </c>
      <c r="F683" t="inlineStr">
        <is>
          <t>VÄSTERBOTTENS LÄN</t>
        </is>
      </c>
      <c r="G683" t="inlineStr">
        <is>
          <t>UMEÅ</t>
        </is>
      </c>
      <c r="I683" t="n">
        <v>4.4</v>
      </c>
      <c r="J683" t="n">
        <v>0</v>
      </c>
      <c r="K683" t="n">
        <v>0</v>
      </c>
      <c r="L683" t="n">
        <v>0</v>
      </c>
      <c r="M683" t="n">
        <v>0</v>
      </c>
      <c r="N683" t="n">
        <v>0</v>
      </c>
      <c r="O683" t="n">
        <v>0</v>
      </c>
      <c r="P683" t="n">
        <v>0</v>
      </c>
      <c r="Q683" t="n">
        <v>0</v>
      </c>
      <c r="R683" t="n">
        <v>0</v>
      </c>
      <c r="S683" t="n">
        <v>0</v>
      </c>
      <c r="T683" t="n">
        <v>0</v>
      </c>
      <c r="U683" s="2" t="inlineStr"/>
    </row>
    <row r="684" ht="15" customHeight="1">
      <c r="A684" t="inlineStr">
        <is>
          <t>A 2148-2024</t>
        </is>
      </c>
      <c r="B684" t="inlineStr">
        <is>
          <t>avverkningsanmälan</t>
        </is>
      </c>
      <c r="C684" t="inlineStr">
        <is>
          <t>Föryngringsavverkning</t>
        </is>
      </c>
      <c r="D684" s="1" t="n">
        <v>45309</v>
      </c>
      <c r="E684" s="1" t="n">
        <v>46223</v>
      </c>
      <c r="F684" t="inlineStr">
        <is>
          <t>VÄSTERBOTTENS LÄN</t>
        </is>
      </c>
      <c r="G684" t="inlineStr">
        <is>
          <t>UMEÅ</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73537-2021</t>
        </is>
      </c>
      <c r="B685" t="inlineStr">
        <is>
          <t>avverkningsanmälan</t>
        </is>
      </c>
      <c r="C685" t="inlineStr">
        <is>
          <t>Föryngringsavverkning</t>
        </is>
      </c>
      <c r="D685" s="1" t="n">
        <v>44550</v>
      </c>
      <c r="E685" s="1" t="n">
        <v>46223</v>
      </c>
      <c r="F685" t="inlineStr">
        <is>
          <t>VÄSTERBOTTENS LÄN</t>
        </is>
      </c>
      <c r="G685" t="inlineStr">
        <is>
          <t>UMEÅ</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A 10718-2025</t>
        </is>
      </c>
      <c r="B686" t="inlineStr">
        <is>
          <t>avverkningsanmälan</t>
        </is>
      </c>
      <c r="C686" t="inlineStr">
        <is>
          <t>Föryngringsavverkning</t>
        </is>
      </c>
      <c r="D686" s="1" t="n">
        <v>45722</v>
      </c>
      <c r="E686" s="1" t="n">
        <v>46223</v>
      </c>
      <c r="F686" t="inlineStr">
        <is>
          <t>VÄSTERBOTTENS LÄN</t>
        </is>
      </c>
      <c r="G686" t="inlineStr">
        <is>
          <t>UMEÅ</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19200-2023</t>
        </is>
      </c>
      <c r="B687" t="inlineStr">
        <is>
          <t>avverkningsanmälan</t>
        </is>
      </c>
      <c r="C687" t="inlineStr">
        <is>
          <t>Föryngringsavverkning</t>
        </is>
      </c>
      <c r="D687" s="1" t="n">
        <v>45048</v>
      </c>
      <c r="E687" s="1" t="n">
        <v>46223</v>
      </c>
      <c r="F687" t="inlineStr">
        <is>
          <t>VÄSTERBOTTENS LÄN</t>
        </is>
      </c>
      <c r="G687" t="inlineStr">
        <is>
          <t>UMEÅ</t>
        </is>
      </c>
      <c r="I687" t="n">
        <v>0.2</v>
      </c>
      <c r="J687" t="n">
        <v>0</v>
      </c>
      <c r="K687" t="n">
        <v>0</v>
      </c>
      <c r="L687" t="n">
        <v>0</v>
      </c>
      <c r="M687" t="n">
        <v>0</v>
      </c>
      <c r="N687" t="n">
        <v>0</v>
      </c>
      <c r="O687" t="n">
        <v>0</v>
      </c>
      <c r="P687" t="n">
        <v>0</v>
      </c>
      <c r="Q687" t="n">
        <v>0</v>
      </c>
      <c r="R687" t="n">
        <v>0</v>
      </c>
      <c r="S687" t="n">
        <v>0</v>
      </c>
      <c r="T687" t="n">
        <v>0</v>
      </c>
      <c r="U687" s="2" t="inlineStr"/>
    </row>
    <row r="688" ht="15" customHeight="1">
      <c r="A688" t="inlineStr">
        <is>
          <t>A 38669-2025</t>
        </is>
      </c>
      <c r="B688" t="inlineStr">
        <is>
          <t>avverkningsanmälan</t>
        </is>
      </c>
      <c r="C688" t="inlineStr">
        <is>
          <t>Föryngringsavverkning</t>
        </is>
      </c>
      <c r="D688" s="1" t="n">
        <v>45884</v>
      </c>
      <c r="E688" s="1" t="n">
        <v>46223</v>
      </c>
      <c r="F688" t="inlineStr">
        <is>
          <t>VÄSTERBOTTENS LÄN</t>
        </is>
      </c>
      <c r="G688" t="inlineStr">
        <is>
          <t>UMEÅ</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13822-2025</t>
        </is>
      </c>
      <c r="B689" t="inlineStr">
        <is>
          <t>avverkningsanmälan</t>
        </is>
      </c>
      <c r="C689" t="inlineStr">
        <is>
          <t>Föryngringsavverkning</t>
        </is>
      </c>
      <c r="D689" s="1" t="n">
        <v>45737</v>
      </c>
      <c r="E689" s="1" t="n">
        <v>46223</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s="2" t="inlineStr"/>
    </row>
    <row r="690" ht="15" customHeight="1">
      <c r="A690" t="inlineStr">
        <is>
          <t>A 49030-2025</t>
        </is>
      </c>
      <c r="B690" t="inlineStr">
        <is>
          <t>avverkningsanmälan</t>
        </is>
      </c>
      <c r="C690" t="inlineStr">
        <is>
          <t>Föryngringsavverkning</t>
        </is>
      </c>
      <c r="D690" s="1" t="n">
        <v>45937</v>
      </c>
      <c r="E690" s="1" t="n">
        <v>46223</v>
      </c>
      <c r="F690" t="inlineStr">
        <is>
          <t>VÄSTERBOTTENS LÄN</t>
        </is>
      </c>
      <c r="G690" t="inlineStr">
        <is>
          <t>UMEÅ</t>
        </is>
      </c>
      <c r="I690" t="n">
        <v>3.6</v>
      </c>
      <c r="J690" t="n">
        <v>0</v>
      </c>
      <c r="K690" t="n">
        <v>0</v>
      </c>
      <c r="L690" t="n">
        <v>0</v>
      </c>
      <c r="M690" t="n">
        <v>0</v>
      </c>
      <c r="N690" t="n">
        <v>0</v>
      </c>
      <c r="O690" t="n">
        <v>0</v>
      </c>
      <c r="P690" t="n">
        <v>0</v>
      </c>
      <c r="Q690" t="n">
        <v>0</v>
      </c>
      <c r="R690" t="n">
        <v>0</v>
      </c>
      <c r="S690" t="n">
        <v>0</v>
      </c>
      <c r="T690" t="n">
        <v>0</v>
      </c>
      <c r="U690" s="2" t="inlineStr"/>
    </row>
    <row r="691" ht="15" customHeight="1">
      <c r="A691" t="inlineStr">
        <is>
          <t>A 61604-2024</t>
        </is>
      </c>
      <c r="B691" t="inlineStr">
        <is>
          <t>avverkningsanmälan</t>
        </is>
      </c>
      <c r="C691" t="inlineStr">
        <is>
          <t>Föryngringsavverkning</t>
        </is>
      </c>
      <c r="D691" s="1" t="n">
        <v>45646</v>
      </c>
      <c r="E691" s="1" t="n">
        <v>46223</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8716-2024</t>
        </is>
      </c>
      <c r="B692" t="inlineStr">
        <is>
          <t>avverkningsanmälan</t>
        </is>
      </c>
      <c r="C692" t="inlineStr">
        <is>
          <t>Föryngringsavverkning</t>
        </is>
      </c>
      <c r="D692" s="1" t="n">
        <v>45356</v>
      </c>
      <c r="E692" s="1" t="n">
        <v>46223</v>
      </c>
      <c r="F692" t="inlineStr">
        <is>
          <t>VÄSTERBOTTENS LÄN</t>
        </is>
      </c>
      <c r="G692" t="inlineStr">
        <is>
          <t>UMEÅ</t>
        </is>
      </c>
      <c r="I692" t="n">
        <v>9.800000000000001</v>
      </c>
      <c r="J692" t="n">
        <v>0</v>
      </c>
      <c r="K692" t="n">
        <v>0</v>
      </c>
      <c r="L692" t="n">
        <v>0</v>
      </c>
      <c r="M692" t="n">
        <v>0</v>
      </c>
      <c r="N692" t="n">
        <v>0</v>
      </c>
      <c r="O692" t="n">
        <v>0</v>
      </c>
      <c r="P692" t="n">
        <v>0</v>
      </c>
      <c r="Q692" t="n">
        <v>0</v>
      </c>
      <c r="R692" t="n">
        <v>0</v>
      </c>
      <c r="S692" t="n">
        <v>0</v>
      </c>
      <c r="T692" t="n">
        <v>0</v>
      </c>
      <c r="U692" s="2" t="inlineStr"/>
    </row>
    <row r="693" ht="15" customHeight="1">
      <c r="A693" t="inlineStr">
        <is>
          <t>A 2767-2025</t>
        </is>
      </c>
      <c r="B693" t="inlineStr">
        <is>
          <t>avverkningsanmälan</t>
        </is>
      </c>
      <c r="C693" t="inlineStr">
        <is>
          <t>Föryngringsavverkning</t>
        </is>
      </c>
      <c r="D693" s="1" t="n">
        <v>45677</v>
      </c>
      <c r="E693" s="1" t="n">
        <v>46223</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43649-2024</t>
        </is>
      </c>
      <c r="B694" t="inlineStr">
        <is>
          <t>avverkningsanmälan</t>
        </is>
      </c>
      <c r="C694" t="inlineStr">
        <is>
          <t>Föryngringsavverkning</t>
        </is>
      </c>
      <c r="D694" s="1" t="n">
        <v>45569</v>
      </c>
      <c r="E694" s="1" t="n">
        <v>46223</v>
      </c>
      <c r="F694" t="inlineStr">
        <is>
          <t>VÄSTERBOTTENS LÄN</t>
        </is>
      </c>
      <c r="G694" t="inlineStr">
        <is>
          <t>UMEÅ</t>
        </is>
      </c>
      <c r="H694" t="inlineStr">
        <is>
          <t>Kommuner</t>
        </is>
      </c>
      <c r="I694" t="n">
        <v>4.3</v>
      </c>
      <c r="J694" t="n">
        <v>0</v>
      </c>
      <c r="K694" t="n">
        <v>0</v>
      </c>
      <c r="L694" t="n">
        <v>0</v>
      </c>
      <c r="M694" t="n">
        <v>0</v>
      </c>
      <c r="N694" t="n">
        <v>0</v>
      </c>
      <c r="O694" t="n">
        <v>0</v>
      </c>
      <c r="P694" t="n">
        <v>0</v>
      </c>
      <c r="Q694" t="n">
        <v>0</v>
      </c>
      <c r="R694" t="n">
        <v>0</v>
      </c>
      <c r="S694" t="n">
        <v>0</v>
      </c>
      <c r="T694" t="n">
        <v>0</v>
      </c>
      <c r="U694" s="2" t="inlineStr"/>
    </row>
    <row r="695" ht="15" customHeight="1">
      <c r="A695" t="inlineStr">
        <is>
          <t>A 32282-2024</t>
        </is>
      </c>
      <c r="B695" t="inlineStr">
        <is>
          <t>avverkningsanmälan</t>
        </is>
      </c>
      <c r="C695" t="inlineStr">
        <is>
          <t>Avverkning för annat ändamål</t>
        </is>
      </c>
      <c r="D695" s="1" t="n">
        <v>45512</v>
      </c>
      <c r="E695" s="1" t="n">
        <v>46223</v>
      </c>
      <c r="F695" t="inlineStr">
        <is>
          <t>VÄSTERBOTTENS LÄN</t>
        </is>
      </c>
      <c r="G695" t="inlineStr">
        <is>
          <t>UMEÅ</t>
        </is>
      </c>
      <c r="I695" t="n">
        <v>9.5</v>
      </c>
      <c r="J695" t="n">
        <v>0</v>
      </c>
      <c r="K695" t="n">
        <v>0</v>
      </c>
      <c r="L695" t="n">
        <v>0</v>
      </c>
      <c r="M695" t="n">
        <v>0</v>
      </c>
      <c r="N695" t="n">
        <v>0</v>
      </c>
      <c r="O695" t="n">
        <v>0</v>
      </c>
      <c r="P695" t="n">
        <v>0</v>
      </c>
      <c r="Q695" t="n">
        <v>0</v>
      </c>
      <c r="R695" t="n">
        <v>0</v>
      </c>
      <c r="S695" t="n">
        <v>0</v>
      </c>
      <c r="T695" t="n">
        <v>0</v>
      </c>
      <c r="U695" s="2" t="inlineStr"/>
    </row>
    <row r="696" ht="15" customHeight="1">
      <c r="A696" t="inlineStr">
        <is>
          <t>A 26967-2023</t>
        </is>
      </c>
      <c r="B696" t="inlineStr">
        <is>
          <t>avverkningsanmälan</t>
        </is>
      </c>
      <c r="C696" t="inlineStr">
        <is>
          <t>Föryngringsavverkning</t>
        </is>
      </c>
      <c r="D696" s="1" t="n">
        <v>45091</v>
      </c>
      <c r="E696" s="1" t="n">
        <v>46223</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42617-2025</t>
        </is>
      </c>
      <c r="B697" t="inlineStr">
        <is>
          <t>avverkningsanmälan</t>
        </is>
      </c>
      <c r="C697" t="inlineStr">
        <is>
          <t>Föryngringsavverkning</t>
        </is>
      </c>
      <c r="D697" s="1" t="n">
        <v>45905</v>
      </c>
      <c r="E697" s="1" t="n">
        <v>46223</v>
      </c>
      <c r="F697" t="inlineStr">
        <is>
          <t>VÄSTERBOTTENS LÄN</t>
        </is>
      </c>
      <c r="G697" t="inlineStr">
        <is>
          <t>UMEÅ</t>
        </is>
      </c>
      <c r="I697" t="n">
        <v>9.800000000000001</v>
      </c>
      <c r="J697" t="n">
        <v>0</v>
      </c>
      <c r="K697" t="n">
        <v>0</v>
      </c>
      <c r="L697" t="n">
        <v>0</v>
      </c>
      <c r="M697" t="n">
        <v>0</v>
      </c>
      <c r="N697" t="n">
        <v>0</v>
      </c>
      <c r="O697" t="n">
        <v>0</v>
      </c>
      <c r="P697" t="n">
        <v>0</v>
      </c>
      <c r="Q697" t="n">
        <v>0</v>
      </c>
      <c r="R697" t="n">
        <v>0</v>
      </c>
      <c r="S697" t="n">
        <v>0</v>
      </c>
      <c r="T697" t="n">
        <v>0</v>
      </c>
      <c r="U697" s="2" t="inlineStr"/>
    </row>
    <row r="698" ht="15" customHeight="1">
      <c r="A698" t="inlineStr">
        <is>
          <t>A 32462-2023</t>
        </is>
      </c>
      <c r="B698" t="inlineStr">
        <is>
          <t>avverkningsanmälan</t>
        </is>
      </c>
      <c r="C698" t="inlineStr">
        <is>
          <t>Föryngringsavverkning</t>
        </is>
      </c>
      <c r="D698" s="1" t="n">
        <v>45120</v>
      </c>
      <c r="E698" s="1" t="n">
        <v>46223</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26319-2026</t>
        </is>
      </c>
      <c r="B699" t="inlineStr">
        <is>
          <t>avverkningsanmälan</t>
        </is>
      </c>
      <c r="C699" t="inlineStr">
        <is>
          <t>Föryngringsavverkning</t>
        </is>
      </c>
      <c r="D699" s="1" t="n">
        <v>46182</v>
      </c>
      <c r="E699" s="1" t="n">
        <v>46223</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22632-2024</t>
        </is>
      </c>
      <c r="B700" t="inlineStr">
        <is>
          <t>avverkningsanmälan</t>
        </is>
      </c>
      <c r="C700" t="inlineStr">
        <is>
          <t>Föryngringsavverkning</t>
        </is>
      </c>
      <c r="D700" s="1" t="n">
        <v>45447</v>
      </c>
      <c r="E700" s="1" t="n">
        <v>46223</v>
      </c>
      <c r="F700" t="inlineStr">
        <is>
          <t>VÄSTERBOTTENS LÄN</t>
        </is>
      </c>
      <c r="G700" t="inlineStr">
        <is>
          <t>UMEÅ</t>
        </is>
      </c>
      <c r="H700" t="inlineStr">
        <is>
          <t>Holmen skog AB</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25932-2026</t>
        </is>
      </c>
      <c r="B701" t="inlineStr">
        <is>
          <t>avverkningsanmälan</t>
        </is>
      </c>
      <c r="C701" t="inlineStr">
        <is>
          <t>Föryngringsavverkning</t>
        </is>
      </c>
      <c r="D701" s="1" t="n">
        <v>46180</v>
      </c>
      <c r="E701" s="1" t="n">
        <v>46223</v>
      </c>
      <c r="F701" t="inlineStr">
        <is>
          <t>VÄSTERBOTTENS LÄN</t>
        </is>
      </c>
      <c r="G701" t="inlineStr">
        <is>
          <t>UMEÅ</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13190-2025</t>
        </is>
      </c>
      <c r="B702" t="inlineStr">
        <is>
          <t>avverkningsanmälan</t>
        </is>
      </c>
      <c r="C702" t="inlineStr">
        <is>
          <t>Föryngringsavverkning</t>
        </is>
      </c>
      <c r="D702" s="1" t="n">
        <v>45735</v>
      </c>
      <c r="E702" s="1" t="n">
        <v>46223</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13197-2025</t>
        </is>
      </c>
      <c r="B703" t="inlineStr">
        <is>
          <t>avverkningsanmälan</t>
        </is>
      </c>
      <c r="C703" t="inlineStr">
        <is>
          <t>Föryngringsavverkning</t>
        </is>
      </c>
      <c r="D703" s="1" t="n">
        <v>45735</v>
      </c>
      <c r="E703" s="1" t="n">
        <v>46223</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45603-2023</t>
        </is>
      </c>
      <c r="B704" t="inlineStr">
        <is>
          <t>avverkningsanmälan</t>
        </is>
      </c>
      <c r="C704" t="inlineStr">
        <is>
          <t>Föryngringsavverkning</t>
        </is>
      </c>
      <c r="D704" s="1" t="n">
        <v>45194</v>
      </c>
      <c r="E704" s="1" t="n">
        <v>46223</v>
      </c>
      <c r="F704" t="inlineStr">
        <is>
          <t>VÄSTERBOTTENS LÄN</t>
        </is>
      </c>
      <c r="G704" t="inlineStr">
        <is>
          <t>UMEÅ</t>
        </is>
      </c>
      <c r="H704" t="inlineStr">
        <is>
          <t>Holmen skog AB</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20597-2026</t>
        </is>
      </c>
      <c r="B705" t="inlineStr">
        <is>
          <t>avverkningsanmälan</t>
        </is>
      </c>
      <c r="C705" t="inlineStr">
        <is>
          <t>Föryngringsavverkning</t>
        </is>
      </c>
      <c r="D705" s="1" t="n">
        <v>46140</v>
      </c>
      <c r="E705" s="1" t="n">
        <v>46223</v>
      </c>
      <c r="F705" t="inlineStr">
        <is>
          <t>VÄSTERBOTTENS LÄN</t>
        </is>
      </c>
      <c r="G705" t="inlineStr">
        <is>
          <t>UMEÅ</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5078-2025</t>
        </is>
      </c>
      <c r="B706" t="inlineStr">
        <is>
          <t>avverkningsanmälan</t>
        </is>
      </c>
      <c r="C706" t="inlineStr">
        <is>
          <t>Föryngringsavverkning</t>
        </is>
      </c>
      <c r="D706" s="1" t="n">
        <v>45691</v>
      </c>
      <c r="E706" s="1" t="n">
        <v>46223</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43945-2024</t>
        </is>
      </c>
      <c r="B707" t="inlineStr">
        <is>
          <t>avverkningsanmälan</t>
        </is>
      </c>
      <c r="C707" t="inlineStr">
        <is>
          <t>Föryngringsavverkning</t>
        </is>
      </c>
      <c r="D707" s="1" t="n">
        <v>45572</v>
      </c>
      <c r="E707" s="1" t="n">
        <v>46223</v>
      </c>
      <c r="F707" t="inlineStr">
        <is>
          <t>VÄSTERBOTTENS LÄN</t>
        </is>
      </c>
      <c r="G707" t="inlineStr">
        <is>
          <t>UMEÅ</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16453-2024</t>
        </is>
      </c>
      <c r="B708" t="inlineStr">
        <is>
          <t>avverkningsanmälan</t>
        </is>
      </c>
      <c r="C708" t="inlineStr">
        <is>
          <t>Föryngringsavverkning</t>
        </is>
      </c>
      <c r="D708" s="1" t="n">
        <v>45407</v>
      </c>
      <c r="E708" s="1" t="n">
        <v>46223</v>
      </c>
      <c r="F708" t="inlineStr">
        <is>
          <t>VÄSTERBOTTENS LÄN</t>
        </is>
      </c>
      <c r="G708" t="inlineStr">
        <is>
          <t>UMEÅ</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53731-2024</t>
        </is>
      </c>
      <c r="B709" t="inlineStr">
        <is>
          <t>avverkningsanmälan</t>
        </is>
      </c>
      <c r="C709" t="inlineStr">
        <is>
          <t>Föryngringsavverkning</t>
        </is>
      </c>
      <c r="D709" s="1" t="n">
        <v>45615</v>
      </c>
      <c r="E709" s="1" t="n">
        <v>46223</v>
      </c>
      <c r="F709" t="inlineStr">
        <is>
          <t>VÄSTERBOTTENS LÄN</t>
        </is>
      </c>
      <c r="G709" t="inlineStr">
        <is>
          <t>UMEÅ</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26181-2026</t>
        </is>
      </c>
      <c r="B710" t="inlineStr">
        <is>
          <t>avverkningsanmälan</t>
        </is>
      </c>
      <c r="C710" t="inlineStr">
        <is>
          <t>Föryngringsavverkning</t>
        </is>
      </c>
      <c r="D710" s="1" t="n">
        <v>46182</v>
      </c>
      <c r="E710" s="1" t="n">
        <v>46223</v>
      </c>
      <c r="F710" t="inlineStr">
        <is>
          <t>VÄSTERBOTTENS LÄN</t>
        </is>
      </c>
      <c r="G710" t="inlineStr">
        <is>
          <t>UMEÅ</t>
        </is>
      </c>
      <c r="I710" t="n">
        <v>12.4</v>
      </c>
      <c r="J710" t="n">
        <v>0</v>
      </c>
      <c r="K710" t="n">
        <v>0</v>
      </c>
      <c r="L710" t="n">
        <v>0</v>
      </c>
      <c r="M710" t="n">
        <v>0</v>
      </c>
      <c r="N710" t="n">
        <v>0</v>
      </c>
      <c r="O710" t="n">
        <v>0</v>
      </c>
      <c r="P710" t="n">
        <v>0</v>
      </c>
      <c r="Q710" t="n">
        <v>0</v>
      </c>
      <c r="R710" t="n">
        <v>0</v>
      </c>
      <c r="S710" t="n">
        <v>0</v>
      </c>
      <c r="T710" t="n">
        <v>0</v>
      </c>
      <c r="U710" s="2" t="inlineStr"/>
    </row>
    <row r="711" ht="15" customHeight="1">
      <c r="A711" t="inlineStr">
        <is>
          <t>A 39445-2023</t>
        </is>
      </c>
      <c r="B711" t="inlineStr">
        <is>
          <t>avverkningsanmälan</t>
        </is>
      </c>
      <c r="C711" t="inlineStr">
        <is>
          <t>Föryngringsavverkning</t>
        </is>
      </c>
      <c r="D711" s="1" t="n">
        <v>45166</v>
      </c>
      <c r="E711" s="1" t="n">
        <v>46223</v>
      </c>
      <c r="F711" t="inlineStr">
        <is>
          <t>VÄSTERBOTTENS LÄN</t>
        </is>
      </c>
      <c r="G711" t="inlineStr">
        <is>
          <t>UMEÅ</t>
        </is>
      </c>
      <c r="I711" t="n">
        <v>33.4</v>
      </c>
      <c r="J711" t="n">
        <v>0</v>
      </c>
      <c r="K711" t="n">
        <v>0</v>
      </c>
      <c r="L711" t="n">
        <v>0</v>
      </c>
      <c r="M711" t="n">
        <v>0</v>
      </c>
      <c r="N711" t="n">
        <v>0</v>
      </c>
      <c r="O711" t="n">
        <v>0</v>
      </c>
      <c r="P711" t="n">
        <v>0</v>
      </c>
      <c r="Q711" t="n">
        <v>0</v>
      </c>
      <c r="R711" t="n">
        <v>0</v>
      </c>
      <c r="S711" t="n">
        <v>0</v>
      </c>
      <c r="T711" t="n">
        <v>0</v>
      </c>
      <c r="U711" s="2" t="inlineStr"/>
    </row>
    <row r="712" ht="15" customHeight="1">
      <c r="A712" t="inlineStr">
        <is>
          <t>A 8184-2025</t>
        </is>
      </c>
      <c r="B712" t="inlineStr">
        <is>
          <t>avverkningsanmälan</t>
        </is>
      </c>
      <c r="C712" t="inlineStr">
        <is>
          <t>Föryngringsavverkning</t>
        </is>
      </c>
      <c r="D712" s="1" t="n">
        <v>45708</v>
      </c>
      <c r="E712" s="1" t="n">
        <v>46223</v>
      </c>
      <c r="F712" t="inlineStr">
        <is>
          <t>VÄSTERBOTTENS LÄN</t>
        </is>
      </c>
      <c r="G712" t="inlineStr">
        <is>
          <t>UMEÅ</t>
        </is>
      </c>
      <c r="H712" t="inlineStr">
        <is>
          <t>Holmen skog AB</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8584-2025</t>
        </is>
      </c>
      <c r="B713" t="inlineStr">
        <is>
          <t>avverkningsanmälan</t>
        </is>
      </c>
      <c r="C713" t="inlineStr">
        <is>
          <t>Föryngringsavverkning</t>
        </is>
      </c>
      <c r="D713" s="1" t="n">
        <v>45709</v>
      </c>
      <c r="E713" s="1" t="n">
        <v>46223</v>
      </c>
      <c r="F713" t="inlineStr">
        <is>
          <t>VÄSTERBOTTENS LÄN</t>
        </is>
      </c>
      <c r="G713" t="inlineStr">
        <is>
          <t>UMEÅ</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8586-2025</t>
        </is>
      </c>
      <c r="B714" t="inlineStr">
        <is>
          <t>avverkningsanmälan</t>
        </is>
      </c>
      <c r="C714" t="inlineStr">
        <is>
          <t>Föryngringsavverkning</t>
        </is>
      </c>
      <c r="D714" s="1" t="n">
        <v>45709</v>
      </c>
      <c r="E714" s="1" t="n">
        <v>46223</v>
      </c>
      <c r="F714" t="inlineStr">
        <is>
          <t>VÄSTERBOTTENS LÄN</t>
        </is>
      </c>
      <c r="G714" t="inlineStr">
        <is>
          <t>UMEÅ</t>
        </is>
      </c>
      <c r="I714" t="n">
        <v>0.3</v>
      </c>
      <c r="J714" t="n">
        <v>0</v>
      </c>
      <c r="K714" t="n">
        <v>0</v>
      </c>
      <c r="L714" t="n">
        <v>0</v>
      </c>
      <c r="M714" t="n">
        <v>0</v>
      </c>
      <c r="N714" t="n">
        <v>0</v>
      </c>
      <c r="O714" t="n">
        <v>0</v>
      </c>
      <c r="P714" t="n">
        <v>0</v>
      </c>
      <c r="Q714" t="n">
        <v>0</v>
      </c>
      <c r="R714" t="n">
        <v>0</v>
      </c>
      <c r="S714" t="n">
        <v>0</v>
      </c>
      <c r="T714" t="n">
        <v>0</v>
      </c>
      <c r="U714" s="2" t="inlineStr"/>
    </row>
    <row r="715" ht="15" customHeight="1">
      <c r="A715" t="inlineStr">
        <is>
          <t>A 8618-2025</t>
        </is>
      </c>
      <c r="B715" t="inlineStr">
        <is>
          <t>avverkningsanmälan</t>
        </is>
      </c>
      <c r="C715" t="inlineStr">
        <is>
          <t>Avverkning för annat ändamål</t>
        </is>
      </c>
      <c r="D715" s="1" t="n">
        <v>45711</v>
      </c>
      <c r="E715" s="1" t="n">
        <v>46223</v>
      </c>
      <c r="F715" t="inlineStr">
        <is>
          <t>VÄSTERBOTTENS LÄN</t>
        </is>
      </c>
      <c r="G715" t="inlineStr">
        <is>
          <t>UMEÅ</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14039-2024</t>
        </is>
      </c>
      <c r="B716" t="inlineStr">
        <is>
          <t>avverkningsanmälan</t>
        </is>
      </c>
      <c r="C716" t="inlineStr">
        <is>
          <t>Föryngringsavverkning</t>
        </is>
      </c>
      <c r="D716" s="1" t="n">
        <v>45392</v>
      </c>
      <c r="E716" s="1" t="n">
        <v>46223</v>
      </c>
      <c r="F716" t="inlineStr">
        <is>
          <t>VÄSTERBOTTENS LÄN</t>
        </is>
      </c>
      <c r="G716" t="inlineStr">
        <is>
          <t>UMEÅ</t>
        </is>
      </c>
      <c r="I716" t="n">
        <v>6.1</v>
      </c>
      <c r="J716" t="n">
        <v>0</v>
      </c>
      <c r="K716" t="n">
        <v>0</v>
      </c>
      <c r="L716" t="n">
        <v>0</v>
      </c>
      <c r="M716" t="n">
        <v>0</v>
      </c>
      <c r="N716" t="n">
        <v>0</v>
      </c>
      <c r="O716" t="n">
        <v>0</v>
      </c>
      <c r="P716" t="n">
        <v>0</v>
      </c>
      <c r="Q716" t="n">
        <v>0</v>
      </c>
      <c r="R716" t="n">
        <v>0</v>
      </c>
      <c r="S716" t="n">
        <v>0</v>
      </c>
      <c r="T716" t="n">
        <v>0</v>
      </c>
      <c r="U716" s="2" t="inlineStr"/>
    </row>
    <row r="717" ht="15" customHeight="1">
      <c r="A717" t="inlineStr">
        <is>
          <t>A 20209-2026</t>
        </is>
      </c>
      <c r="B717" t="inlineStr">
        <is>
          <t>avverkningsanmälan</t>
        </is>
      </c>
      <c r="C717" t="inlineStr">
        <is>
          <t>Föryngringsavverkning</t>
        </is>
      </c>
      <c r="D717" s="1" t="n">
        <v>46139</v>
      </c>
      <c r="E717" s="1" t="n">
        <v>46223</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3254-2024</t>
        </is>
      </c>
      <c r="B718" t="inlineStr">
        <is>
          <t>avverkningsanmälan</t>
        </is>
      </c>
      <c r="C718" t="inlineStr">
        <is>
          <t>Föryngringsavverkning</t>
        </is>
      </c>
      <c r="D718" s="1" t="n">
        <v>45316</v>
      </c>
      <c r="E718" s="1" t="n">
        <v>46223</v>
      </c>
      <c r="F718" t="inlineStr">
        <is>
          <t>VÄSTERBOTTENS LÄN</t>
        </is>
      </c>
      <c r="G718" t="inlineStr">
        <is>
          <t>UMEÅ</t>
        </is>
      </c>
      <c r="I718" t="n">
        <v>4.1</v>
      </c>
      <c r="J718" t="n">
        <v>0</v>
      </c>
      <c r="K718" t="n">
        <v>0</v>
      </c>
      <c r="L718" t="n">
        <v>0</v>
      </c>
      <c r="M718" t="n">
        <v>0</v>
      </c>
      <c r="N718" t="n">
        <v>0</v>
      </c>
      <c r="O718" t="n">
        <v>0</v>
      </c>
      <c r="P718" t="n">
        <v>0</v>
      </c>
      <c r="Q718" t="n">
        <v>0</v>
      </c>
      <c r="R718" t="n">
        <v>0</v>
      </c>
      <c r="S718" t="n">
        <v>0</v>
      </c>
      <c r="T718" t="n">
        <v>0</v>
      </c>
      <c r="U718" s="2" t="inlineStr"/>
    </row>
    <row r="719" ht="15" customHeight="1">
      <c r="A719" t="inlineStr">
        <is>
          <t>A 28099-2023</t>
        </is>
      </c>
      <c r="B719" t="inlineStr">
        <is>
          <t>avverkningsanmälan</t>
        </is>
      </c>
      <c r="C719" t="inlineStr">
        <is>
          <t>Föryngringsavverkning</t>
        </is>
      </c>
      <c r="D719" s="1" t="n">
        <v>45099</v>
      </c>
      <c r="E719" s="1" t="n">
        <v>46223</v>
      </c>
      <c r="F719" t="inlineStr">
        <is>
          <t>VÄSTERBOTTENS LÄN</t>
        </is>
      </c>
      <c r="G719" t="inlineStr">
        <is>
          <t>UMEÅ</t>
        </is>
      </c>
      <c r="H719" t="inlineStr">
        <is>
          <t>Holmen skog AB</t>
        </is>
      </c>
      <c r="I719" t="n">
        <v>3.9</v>
      </c>
      <c r="J719" t="n">
        <v>0</v>
      </c>
      <c r="K719" t="n">
        <v>0</v>
      </c>
      <c r="L719" t="n">
        <v>0</v>
      </c>
      <c r="M719" t="n">
        <v>0</v>
      </c>
      <c r="N719" t="n">
        <v>0</v>
      </c>
      <c r="O719" t="n">
        <v>0</v>
      </c>
      <c r="P719" t="n">
        <v>0</v>
      </c>
      <c r="Q719" t="n">
        <v>0</v>
      </c>
      <c r="R719" t="n">
        <v>0</v>
      </c>
      <c r="S719" t="n">
        <v>0</v>
      </c>
      <c r="T719" t="n">
        <v>0</v>
      </c>
      <c r="U719" s="2" t="inlineStr"/>
    </row>
    <row r="720" ht="15" customHeight="1">
      <c r="A720" t="inlineStr">
        <is>
          <t>A 7438-2022</t>
        </is>
      </c>
      <c r="B720" t="inlineStr">
        <is>
          <t>avverkningsanmälan</t>
        </is>
      </c>
      <c r="C720" t="inlineStr">
        <is>
          <t>Föryngringsavverkning</t>
        </is>
      </c>
      <c r="D720" s="1" t="n">
        <v>44606</v>
      </c>
      <c r="E720" s="1" t="n">
        <v>46223</v>
      </c>
      <c r="F720" t="inlineStr">
        <is>
          <t>VÄSTERBOTTENS LÄN</t>
        </is>
      </c>
      <c r="G720" t="inlineStr">
        <is>
          <t>UMEÅ</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15375-2025</t>
        </is>
      </c>
      <c r="B721" t="inlineStr">
        <is>
          <t>avverkningsanmälan</t>
        </is>
      </c>
      <c r="C721" t="inlineStr">
        <is>
          <t>Föryngringsavverkning</t>
        </is>
      </c>
      <c r="D721" s="1" t="n">
        <v>45747</v>
      </c>
      <c r="E721" s="1" t="n">
        <v>46223</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26243-2026</t>
        </is>
      </c>
      <c r="B722" t="inlineStr">
        <is>
          <t>avverkningsanmälan</t>
        </is>
      </c>
      <c r="C722" t="inlineStr">
        <is>
          <t>Föryngringsavverkning</t>
        </is>
      </c>
      <c r="D722" s="1" t="n">
        <v>46182</v>
      </c>
      <c r="E722" s="1" t="n">
        <v>46223</v>
      </c>
      <c r="F722" t="inlineStr">
        <is>
          <t>VÄSTERBOTTENS LÄN</t>
        </is>
      </c>
      <c r="G722" t="inlineStr">
        <is>
          <t>UMEÅ</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3234-2026</t>
        </is>
      </c>
      <c r="B723" t="inlineStr">
        <is>
          <t>avverkningsanmälan</t>
        </is>
      </c>
      <c r="C723" t="inlineStr">
        <is>
          <t>Föryngringsavverkning</t>
        </is>
      </c>
      <c r="D723" s="1" t="n">
        <v>46041</v>
      </c>
      <c r="E723" s="1" t="n">
        <v>46223</v>
      </c>
      <c r="F723" t="inlineStr">
        <is>
          <t>VÄSTERBOTTENS LÄN</t>
        </is>
      </c>
      <c r="G723" t="inlineStr">
        <is>
          <t>UMEÅ</t>
        </is>
      </c>
      <c r="I723" t="n">
        <v>8.1</v>
      </c>
      <c r="J723" t="n">
        <v>0</v>
      </c>
      <c r="K723" t="n">
        <v>0</v>
      </c>
      <c r="L723" t="n">
        <v>0</v>
      </c>
      <c r="M723" t="n">
        <v>0</v>
      </c>
      <c r="N723" t="n">
        <v>0</v>
      </c>
      <c r="O723" t="n">
        <v>0</v>
      </c>
      <c r="P723" t="n">
        <v>0</v>
      </c>
      <c r="Q723" t="n">
        <v>0</v>
      </c>
      <c r="R723" t="n">
        <v>0</v>
      </c>
      <c r="S723" t="n">
        <v>0</v>
      </c>
      <c r="T723" t="n">
        <v>0</v>
      </c>
      <c r="U723" s="2" t="inlineStr"/>
    </row>
    <row r="724" ht="15" customHeight="1">
      <c r="A724" t="inlineStr">
        <is>
          <t>A 30263-2025</t>
        </is>
      </c>
      <c r="B724" t="inlineStr">
        <is>
          <t>avverkningsanmälan</t>
        </is>
      </c>
      <c r="C724" t="inlineStr">
        <is>
          <t>Föryngringsavverkning</t>
        </is>
      </c>
      <c r="D724" s="1" t="n">
        <v>45827</v>
      </c>
      <c r="E724" s="1" t="n">
        <v>46223</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s="2" t="inlineStr"/>
    </row>
    <row r="725" ht="15" customHeight="1">
      <c r="A725" t="inlineStr">
        <is>
          <t>A 46372-2023</t>
        </is>
      </c>
      <c r="B725" t="inlineStr">
        <is>
          <t>avverkningsanmälan</t>
        </is>
      </c>
      <c r="C725" t="inlineStr">
        <is>
          <t>Föryngringsavverkning</t>
        </is>
      </c>
      <c r="D725" s="1" t="n">
        <v>45197</v>
      </c>
      <c r="E725" s="1" t="n">
        <v>46223</v>
      </c>
      <c r="F725" t="inlineStr">
        <is>
          <t>VÄSTERBOTTENS LÄN</t>
        </is>
      </c>
      <c r="G725" t="inlineStr">
        <is>
          <t>UMEÅ</t>
        </is>
      </c>
      <c r="H725" t="inlineStr">
        <is>
          <t>Holmen skog AB</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32125-2025</t>
        </is>
      </c>
      <c r="B726" t="inlineStr">
        <is>
          <t>avverkningsanmälan</t>
        </is>
      </c>
      <c r="C726" t="inlineStr">
        <is>
          <t>Föryngringsavverkning</t>
        </is>
      </c>
      <c r="D726" s="1" t="n">
        <v>45835</v>
      </c>
      <c r="E726" s="1" t="n">
        <v>46223</v>
      </c>
      <c r="F726" t="inlineStr">
        <is>
          <t>VÄSTERBOTTENS LÄN</t>
        </is>
      </c>
      <c r="G726" t="inlineStr">
        <is>
          <t>UMEÅ</t>
        </is>
      </c>
      <c r="H726" t="inlineStr">
        <is>
          <t>Holmen skog AB</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A 4650-2025</t>
        </is>
      </c>
      <c r="B727" t="inlineStr">
        <is>
          <t>avverkningsanmälan</t>
        </is>
      </c>
      <c r="C727" t="inlineStr">
        <is>
          <t>Föryngringsavverkning</t>
        </is>
      </c>
      <c r="D727" s="1" t="n">
        <v>45687</v>
      </c>
      <c r="E727" s="1" t="n">
        <v>46223</v>
      </c>
      <c r="F727" t="inlineStr">
        <is>
          <t>VÄSTERBOTTENS LÄN</t>
        </is>
      </c>
      <c r="G727" t="inlineStr">
        <is>
          <t>UMEÅ</t>
        </is>
      </c>
      <c r="H727" t="inlineStr">
        <is>
          <t>Holmen skog AB</t>
        </is>
      </c>
      <c r="I727" t="n">
        <v>20.8</v>
      </c>
      <c r="J727" t="n">
        <v>0</v>
      </c>
      <c r="K727" t="n">
        <v>0</v>
      </c>
      <c r="L727" t="n">
        <v>0</v>
      </c>
      <c r="M727" t="n">
        <v>0</v>
      </c>
      <c r="N727" t="n">
        <v>0</v>
      </c>
      <c r="O727" t="n">
        <v>0</v>
      </c>
      <c r="P727" t="n">
        <v>0</v>
      </c>
      <c r="Q727" t="n">
        <v>0</v>
      </c>
      <c r="R727" t="n">
        <v>0</v>
      </c>
      <c r="S727" t="n">
        <v>0</v>
      </c>
      <c r="T727" t="n">
        <v>0</v>
      </c>
      <c r="U727" s="2" t="inlineStr"/>
    </row>
    <row r="728" ht="15" customHeight="1">
      <c r="A728" t="inlineStr">
        <is>
          <t>A 21440-2024</t>
        </is>
      </c>
      <c r="B728" t="inlineStr">
        <is>
          <t>avverkningsanmälan</t>
        </is>
      </c>
      <c r="C728" t="inlineStr">
        <is>
          <t>Avverkning för annat ändamål</t>
        </is>
      </c>
      <c r="D728" s="1" t="n">
        <v>45441</v>
      </c>
      <c r="E728" s="1" t="n">
        <v>46223</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26245-2026</t>
        </is>
      </c>
      <c r="B729" t="inlineStr">
        <is>
          <t>avverkningsanmälan</t>
        </is>
      </c>
      <c r="C729" t="inlineStr">
        <is>
          <t>Föryngringsavverkning</t>
        </is>
      </c>
      <c r="D729" s="1" t="n">
        <v>46182</v>
      </c>
      <c r="E729" s="1" t="n">
        <v>46223</v>
      </c>
      <c r="F729" t="inlineStr">
        <is>
          <t>VÄSTERBOTTENS LÄN</t>
        </is>
      </c>
      <c r="G729" t="inlineStr">
        <is>
          <t>UMEÅ</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3828-2025</t>
        </is>
      </c>
      <c r="B730" t="inlineStr">
        <is>
          <t>avverkningsanmälan</t>
        </is>
      </c>
      <c r="C730" t="inlineStr">
        <is>
          <t>Föryngringsavverkning</t>
        </is>
      </c>
      <c r="D730" s="1" t="n">
        <v>45681</v>
      </c>
      <c r="E730" s="1" t="n">
        <v>46223</v>
      </c>
      <c r="F730" t="inlineStr">
        <is>
          <t>VÄSTERBOTTENS LÄN</t>
        </is>
      </c>
      <c r="G730" t="inlineStr">
        <is>
          <t>UMEÅ</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3829-2025</t>
        </is>
      </c>
      <c r="B731" t="inlineStr">
        <is>
          <t>avverkningsanmälan</t>
        </is>
      </c>
      <c r="C731" t="inlineStr">
        <is>
          <t>Föryngringsavverkning</t>
        </is>
      </c>
      <c r="D731" s="1" t="n">
        <v>45681</v>
      </c>
      <c r="E731" s="1" t="n">
        <v>46223</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42854-2025</t>
        </is>
      </c>
      <c r="B732" t="inlineStr">
        <is>
          <t>avverkningsanmälan</t>
        </is>
      </c>
      <c r="C732" t="inlineStr">
        <is>
          <t>Föryngringsavverkning</t>
        </is>
      </c>
      <c r="D732" s="1" t="n">
        <v>45908</v>
      </c>
      <c r="E732" s="1" t="n">
        <v>46223</v>
      </c>
      <c r="F732" t="inlineStr">
        <is>
          <t>VÄSTERBOTTENS LÄN</t>
        </is>
      </c>
      <c r="G732" t="inlineStr">
        <is>
          <t>UMEÅ</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9769-2022</t>
        </is>
      </c>
      <c r="B733" t="inlineStr">
        <is>
          <t>avverkningsanmälan</t>
        </is>
      </c>
      <c r="C733" t="inlineStr">
        <is>
          <t>Föryngringsavverkning</t>
        </is>
      </c>
      <c r="D733" s="1" t="n">
        <v>44619</v>
      </c>
      <c r="E733" s="1" t="n">
        <v>46223</v>
      </c>
      <c r="F733" t="inlineStr">
        <is>
          <t>VÄSTERBOTTENS LÄN</t>
        </is>
      </c>
      <c r="G733" t="inlineStr">
        <is>
          <t>UMEÅ</t>
        </is>
      </c>
      <c r="I733" t="n">
        <v>12.6</v>
      </c>
      <c r="J733" t="n">
        <v>0</v>
      </c>
      <c r="K733" t="n">
        <v>0</v>
      </c>
      <c r="L733" t="n">
        <v>0</v>
      </c>
      <c r="M733" t="n">
        <v>0</v>
      </c>
      <c r="N733" t="n">
        <v>0</v>
      </c>
      <c r="O733" t="n">
        <v>0</v>
      </c>
      <c r="P733" t="n">
        <v>0</v>
      </c>
      <c r="Q733" t="n">
        <v>0</v>
      </c>
      <c r="R733" t="n">
        <v>0</v>
      </c>
      <c r="S733" t="n">
        <v>0</v>
      </c>
      <c r="T733" t="n">
        <v>0</v>
      </c>
      <c r="U733" s="2" t="inlineStr"/>
    </row>
    <row r="734" ht="15" customHeight="1">
      <c r="A734" t="inlineStr">
        <is>
          <t>A 45343-2024</t>
        </is>
      </c>
      <c r="B734" t="inlineStr">
        <is>
          <t>avverkningsanmälan</t>
        </is>
      </c>
      <c r="C734" t="inlineStr">
        <is>
          <t>Föryngringsavverkning</t>
        </is>
      </c>
      <c r="D734" s="1" t="n">
        <v>45576</v>
      </c>
      <c r="E734" s="1" t="n">
        <v>46223</v>
      </c>
      <c r="F734" t="inlineStr">
        <is>
          <t>VÄSTERBOTTENS LÄN</t>
        </is>
      </c>
      <c r="G734" t="inlineStr">
        <is>
          <t>UMEÅ</t>
        </is>
      </c>
      <c r="H734" t="inlineStr">
        <is>
          <t>Holmen skog AB</t>
        </is>
      </c>
      <c r="I734" t="n">
        <v>6.1</v>
      </c>
      <c r="J734" t="n">
        <v>0</v>
      </c>
      <c r="K734" t="n">
        <v>0</v>
      </c>
      <c r="L734" t="n">
        <v>0</v>
      </c>
      <c r="M734" t="n">
        <v>0</v>
      </c>
      <c r="N734" t="n">
        <v>0</v>
      </c>
      <c r="O734" t="n">
        <v>0</v>
      </c>
      <c r="P734" t="n">
        <v>0</v>
      </c>
      <c r="Q734" t="n">
        <v>0</v>
      </c>
      <c r="R734" t="n">
        <v>0</v>
      </c>
      <c r="S734" t="n">
        <v>0</v>
      </c>
      <c r="T734" t="n">
        <v>0</v>
      </c>
      <c r="U734" s="2" t="inlineStr"/>
    </row>
    <row r="735" ht="15" customHeight="1">
      <c r="A735" t="inlineStr">
        <is>
          <t>A 39594-2023</t>
        </is>
      </c>
      <c r="B735" t="inlineStr">
        <is>
          <t>avverkningsanmälan</t>
        </is>
      </c>
      <c r="C735" t="inlineStr">
        <is>
          <t>Föryngringsavverkning</t>
        </is>
      </c>
      <c r="D735" s="1" t="n">
        <v>45167</v>
      </c>
      <c r="E735" s="1" t="n">
        <v>46223</v>
      </c>
      <c r="F735" t="inlineStr">
        <is>
          <t>VÄSTERBOTTENS LÄN</t>
        </is>
      </c>
      <c r="G735" t="inlineStr">
        <is>
          <t>UMEÅ</t>
        </is>
      </c>
      <c r="H735" t="inlineStr">
        <is>
          <t>Sveaskog</t>
        </is>
      </c>
      <c r="I735" t="n">
        <v>8.6</v>
      </c>
      <c r="J735" t="n">
        <v>0</v>
      </c>
      <c r="K735" t="n">
        <v>0</v>
      </c>
      <c r="L735" t="n">
        <v>0</v>
      </c>
      <c r="M735" t="n">
        <v>0</v>
      </c>
      <c r="N735" t="n">
        <v>0</v>
      </c>
      <c r="O735" t="n">
        <v>0</v>
      </c>
      <c r="P735" t="n">
        <v>0</v>
      </c>
      <c r="Q735" t="n">
        <v>0</v>
      </c>
      <c r="R735" t="n">
        <v>0</v>
      </c>
      <c r="S735" t="n">
        <v>0</v>
      </c>
      <c r="T735" t="n">
        <v>0</v>
      </c>
      <c r="U735" s="2" t="inlineStr"/>
    </row>
    <row r="736" ht="15" customHeight="1">
      <c r="A736" t="inlineStr">
        <is>
          <t>A 9377-2026</t>
        </is>
      </c>
      <c r="B736" t="inlineStr">
        <is>
          <t>avverkningsanmälan</t>
        </is>
      </c>
      <c r="C736" t="inlineStr">
        <is>
          <t>Föryngringsavverkning</t>
        </is>
      </c>
      <c r="D736" s="1" t="n">
        <v>46070</v>
      </c>
      <c r="E736" s="1" t="n">
        <v>46223</v>
      </c>
      <c r="F736" t="inlineStr">
        <is>
          <t>VÄSTERBOTTENS LÄN</t>
        </is>
      </c>
      <c r="G736" t="inlineStr">
        <is>
          <t>UMEÅ</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44121-2022</t>
        </is>
      </c>
      <c r="B737" t="inlineStr">
        <is>
          <t>avverkningsanmälan</t>
        </is>
      </c>
      <c r="C737" t="inlineStr">
        <is>
          <t>Avverkning för annat ändamål</t>
        </is>
      </c>
      <c r="D737" s="1" t="n">
        <v>44839</v>
      </c>
      <c r="E737" s="1" t="n">
        <v>46223</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20417-2026</t>
        </is>
      </c>
      <c r="B738" t="inlineStr">
        <is>
          <t>avverkningsanmälan</t>
        </is>
      </c>
      <c r="C738" t="inlineStr">
        <is>
          <t>Föryngringsavverkning</t>
        </is>
      </c>
      <c r="D738" s="1" t="n">
        <v>46140</v>
      </c>
      <c r="E738" s="1" t="n">
        <v>46223</v>
      </c>
      <c r="F738" t="inlineStr">
        <is>
          <t>VÄSTERBOTTENS LÄN</t>
        </is>
      </c>
      <c r="G738" t="inlineStr">
        <is>
          <t>UMEÅ</t>
        </is>
      </c>
      <c r="H738" t="inlineStr">
        <is>
          <t>Holmen skog AB</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20425-2026</t>
        </is>
      </c>
      <c r="B739" t="inlineStr">
        <is>
          <t>avverkningsanmälan</t>
        </is>
      </c>
      <c r="C739" t="inlineStr">
        <is>
          <t>Föryngringsavverkning</t>
        </is>
      </c>
      <c r="D739" s="1" t="n">
        <v>46140</v>
      </c>
      <c r="E739" s="1" t="n">
        <v>46223</v>
      </c>
      <c r="F739" t="inlineStr">
        <is>
          <t>VÄSTERBOTTENS LÄN</t>
        </is>
      </c>
      <c r="G739" t="inlineStr">
        <is>
          <t>UMEÅ</t>
        </is>
      </c>
      <c r="H739" t="inlineStr">
        <is>
          <t>Holmen skog AB</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45769-2025</t>
        </is>
      </c>
      <c r="B740" t="inlineStr">
        <is>
          <t>avverkningsanmälan</t>
        </is>
      </c>
      <c r="C740" t="inlineStr">
        <is>
          <t>Föryngringsavverkning</t>
        </is>
      </c>
      <c r="D740" s="1" t="n">
        <v>45923</v>
      </c>
      <c r="E740" s="1" t="n">
        <v>46223</v>
      </c>
      <c r="F740" t="inlineStr">
        <is>
          <t>VÄSTERBOTTENS LÄN</t>
        </is>
      </c>
      <c r="G740" t="inlineStr">
        <is>
          <t>UMEÅ</t>
        </is>
      </c>
      <c r="I740" t="n">
        <v>11.3</v>
      </c>
      <c r="J740" t="n">
        <v>0</v>
      </c>
      <c r="K740" t="n">
        <v>0</v>
      </c>
      <c r="L740" t="n">
        <v>0</v>
      </c>
      <c r="M740" t="n">
        <v>0</v>
      </c>
      <c r="N740" t="n">
        <v>0</v>
      </c>
      <c r="O740" t="n">
        <v>0</v>
      </c>
      <c r="P740" t="n">
        <v>0</v>
      </c>
      <c r="Q740" t="n">
        <v>0</v>
      </c>
      <c r="R740" t="n">
        <v>0</v>
      </c>
      <c r="S740" t="n">
        <v>0</v>
      </c>
      <c r="T740" t="n">
        <v>0</v>
      </c>
      <c r="U740" s="2" t="inlineStr"/>
    </row>
    <row r="741" ht="15" customHeight="1">
      <c r="A741" t="inlineStr">
        <is>
          <t>A 55082-2023</t>
        </is>
      </c>
      <c r="B741" t="inlineStr">
        <is>
          <t>avverkningsanmälan</t>
        </is>
      </c>
      <c r="C741" t="inlineStr">
        <is>
          <t>Föryngringsavverkning</t>
        </is>
      </c>
      <c r="D741" s="1" t="n">
        <v>45230</v>
      </c>
      <c r="E741" s="1" t="n">
        <v>46223</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7853-2025</t>
        </is>
      </c>
      <c r="B742" t="inlineStr">
        <is>
          <t>avverkningsanmälan</t>
        </is>
      </c>
      <c r="C742" t="inlineStr">
        <is>
          <t>Föryngringsavverkning</t>
        </is>
      </c>
      <c r="D742" s="1" t="n">
        <v>45706</v>
      </c>
      <c r="E742" s="1" t="n">
        <v>46223</v>
      </c>
      <c r="F742" t="inlineStr">
        <is>
          <t>VÄSTERBOTTENS LÄN</t>
        </is>
      </c>
      <c r="G742" t="inlineStr">
        <is>
          <t>UMEÅ</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14380-2025</t>
        </is>
      </c>
      <c r="B743" t="inlineStr">
        <is>
          <t>avverkningsanmälan</t>
        </is>
      </c>
      <c r="C743" t="inlineStr">
        <is>
          <t>Föryngringsavverkning</t>
        </is>
      </c>
      <c r="D743" s="1" t="n">
        <v>45741</v>
      </c>
      <c r="E743" s="1" t="n">
        <v>46223</v>
      </c>
      <c r="F743" t="inlineStr">
        <is>
          <t>VÄSTERBOTTENS LÄN</t>
        </is>
      </c>
      <c r="G743" t="inlineStr">
        <is>
          <t>UMEÅ</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46727-2023</t>
        </is>
      </c>
      <c r="B744" t="inlineStr">
        <is>
          <t>avverkningsanmälan</t>
        </is>
      </c>
      <c r="C744" t="inlineStr">
        <is>
          <t>Föryngringsavverkning</t>
        </is>
      </c>
      <c r="D744" s="1" t="n">
        <v>45198</v>
      </c>
      <c r="E744" s="1" t="n">
        <v>46223</v>
      </c>
      <c r="F744" t="inlineStr">
        <is>
          <t>VÄSTERBOTTENS LÄN</t>
        </is>
      </c>
      <c r="G744" t="inlineStr">
        <is>
          <t>UMEÅ</t>
        </is>
      </c>
      <c r="I744" t="n">
        <v>4.3</v>
      </c>
      <c r="J744" t="n">
        <v>0</v>
      </c>
      <c r="K744" t="n">
        <v>0</v>
      </c>
      <c r="L744" t="n">
        <v>0</v>
      </c>
      <c r="M744" t="n">
        <v>0</v>
      </c>
      <c r="N744" t="n">
        <v>0</v>
      </c>
      <c r="O744" t="n">
        <v>0</v>
      </c>
      <c r="P744" t="n">
        <v>0</v>
      </c>
      <c r="Q744" t="n">
        <v>0</v>
      </c>
      <c r="R744" t="n">
        <v>0</v>
      </c>
      <c r="S744" t="n">
        <v>0</v>
      </c>
      <c r="T744" t="n">
        <v>0</v>
      </c>
      <c r="U744" s="2" t="inlineStr"/>
    </row>
    <row r="745" ht="15" customHeight="1">
      <c r="A745" t="inlineStr">
        <is>
          <t>A 16606-2022</t>
        </is>
      </c>
      <c r="B745" t="inlineStr">
        <is>
          <t>avverkningsanmälan</t>
        </is>
      </c>
      <c r="C745" t="inlineStr">
        <is>
          <t>Föryngringsavverkning</t>
        </is>
      </c>
      <c r="D745" s="1" t="n">
        <v>44672</v>
      </c>
      <c r="E745" s="1" t="n">
        <v>46223</v>
      </c>
      <c r="F745" t="inlineStr">
        <is>
          <t>VÄSTERBOTTENS LÄN</t>
        </is>
      </c>
      <c r="G745" t="inlineStr">
        <is>
          <t>UMEÅ</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59289-2023</t>
        </is>
      </c>
      <c r="B746" t="inlineStr">
        <is>
          <t>avverkningsanmälan</t>
        </is>
      </c>
      <c r="C746" t="inlineStr">
        <is>
          <t>Föryngringsavverkning</t>
        </is>
      </c>
      <c r="D746" s="1" t="n">
        <v>45252</v>
      </c>
      <c r="E746" s="1" t="n">
        <v>46223</v>
      </c>
      <c r="F746" t="inlineStr">
        <is>
          <t>VÄSTERBOTTENS LÄN</t>
        </is>
      </c>
      <c r="G746" t="inlineStr">
        <is>
          <t>UMEÅ</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42463-2023</t>
        </is>
      </c>
      <c r="B747" t="inlineStr">
        <is>
          <t>avverkningsanmälan</t>
        </is>
      </c>
      <c r="C747" t="inlineStr">
        <is>
          <t>Föryngringsavverkning</t>
        </is>
      </c>
      <c r="D747" s="1" t="n">
        <v>45180</v>
      </c>
      <c r="E747" s="1" t="n">
        <v>46223</v>
      </c>
      <c r="F747" t="inlineStr">
        <is>
          <t>VÄSTERBOTTENS LÄN</t>
        </is>
      </c>
      <c r="G747" t="inlineStr">
        <is>
          <t>UMEÅ</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20764-2026</t>
        </is>
      </c>
      <c r="B748" t="inlineStr">
        <is>
          <t>avverkningsanmälan</t>
        </is>
      </c>
      <c r="C748" t="inlineStr">
        <is>
          <t>Föryngringsavverkning</t>
        </is>
      </c>
      <c r="D748" s="1" t="n">
        <v>46141</v>
      </c>
      <c r="E748" s="1" t="n">
        <v>46223</v>
      </c>
      <c r="F748" t="inlineStr">
        <is>
          <t>VÄSTERBOTTENS LÄN</t>
        </is>
      </c>
      <c r="G748" t="inlineStr">
        <is>
          <t>UMEÅ</t>
        </is>
      </c>
      <c r="I748" t="n">
        <v>4.4</v>
      </c>
      <c r="J748" t="n">
        <v>0</v>
      </c>
      <c r="K748" t="n">
        <v>0</v>
      </c>
      <c r="L748" t="n">
        <v>0</v>
      </c>
      <c r="M748" t="n">
        <v>0</v>
      </c>
      <c r="N748" t="n">
        <v>0</v>
      </c>
      <c r="O748" t="n">
        <v>0</v>
      </c>
      <c r="P748" t="n">
        <v>0</v>
      </c>
      <c r="Q748" t="n">
        <v>0</v>
      </c>
      <c r="R748" t="n">
        <v>0</v>
      </c>
      <c r="S748" t="n">
        <v>0</v>
      </c>
      <c r="T748" t="n">
        <v>0</v>
      </c>
      <c r="U748" s="2" t="inlineStr"/>
    </row>
    <row r="749" ht="15" customHeight="1">
      <c r="A749" t="inlineStr">
        <is>
          <t>A 26575-2026</t>
        </is>
      </c>
      <c r="B749" t="inlineStr">
        <is>
          <t>avverkningsanmälan</t>
        </is>
      </c>
      <c r="C749" t="inlineStr">
        <is>
          <t>Föryngringsavverkning</t>
        </is>
      </c>
      <c r="D749" s="1" t="n">
        <v>46183</v>
      </c>
      <c r="E749" s="1" t="n">
        <v>46223</v>
      </c>
      <c r="F749" t="inlineStr">
        <is>
          <t>VÄSTERBOTTENS LÄN</t>
        </is>
      </c>
      <c r="G749" t="inlineStr">
        <is>
          <t>UMEÅ</t>
        </is>
      </c>
      <c r="H749" t="inlineStr">
        <is>
          <t>Holmen skog AB</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39945-2023</t>
        </is>
      </c>
      <c r="B750" t="inlineStr">
        <is>
          <t>avverkningsanmälan</t>
        </is>
      </c>
      <c r="C750" t="inlineStr">
        <is>
          <t>Föryngringsavverkning</t>
        </is>
      </c>
      <c r="D750" s="1" t="n">
        <v>45168</v>
      </c>
      <c r="E750" s="1" t="n">
        <v>46223</v>
      </c>
      <c r="F750" t="inlineStr">
        <is>
          <t>VÄSTERBOTTENS LÄN</t>
        </is>
      </c>
      <c r="G750" t="inlineStr">
        <is>
          <t>UMEÅ</t>
        </is>
      </c>
      <c r="I750" t="n">
        <v>4.9</v>
      </c>
      <c r="J750" t="n">
        <v>0</v>
      </c>
      <c r="K750" t="n">
        <v>0</v>
      </c>
      <c r="L750" t="n">
        <v>0</v>
      </c>
      <c r="M750" t="n">
        <v>0</v>
      </c>
      <c r="N750" t="n">
        <v>0</v>
      </c>
      <c r="O750" t="n">
        <v>0</v>
      </c>
      <c r="P750" t="n">
        <v>0</v>
      </c>
      <c r="Q750" t="n">
        <v>0</v>
      </c>
      <c r="R750" t="n">
        <v>0</v>
      </c>
      <c r="S750" t="n">
        <v>0</v>
      </c>
      <c r="T750" t="n">
        <v>0</v>
      </c>
      <c r="U750" s="2" t="inlineStr"/>
    </row>
    <row r="751" ht="15" customHeight="1">
      <c r="A751" t="inlineStr">
        <is>
          <t>A 19678-2024</t>
        </is>
      </c>
      <c r="B751" t="inlineStr">
        <is>
          <t>avverkningsanmälan</t>
        </is>
      </c>
      <c r="C751" t="inlineStr">
        <is>
          <t>Föryngringsavverkning</t>
        </is>
      </c>
      <c r="D751" s="1" t="n">
        <v>45432</v>
      </c>
      <c r="E751" s="1" t="n">
        <v>46223</v>
      </c>
      <c r="F751" t="inlineStr">
        <is>
          <t>VÄSTERBOTTENS LÄN</t>
        </is>
      </c>
      <c r="G751" t="inlineStr">
        <is>
          <t>UMEÅ</t>
        </is>
      </c>
      <c r="I751" t="n">
        <v>3.5</v>
      </c>
      <c r="J751" t="n">
        <v>0</v>
      </c>
      <c r="K751" t="n">
        <v>0</v>
      </c>
      <c r="L751" t="n">
        <v>0</v>
      </c>
      <c r="M751" t="n">
        <v>0</v>
      </c>
      <c r="N751" t="n">
        <v>0</v>
      </c>
      <c r="O751" t="n">
        <v>0</v>
      </c>
      <c r="P751" t="n">
        <v>0</v>
      </c>
      <c r="Q751" t="n">
        <v>0</v>
      </c>
      <c r="R751" t="n">
        <v>0</v>
      </c>
      <c r="S751" t="n">
        <v>0</v>
      </c>
      <c r="T751" t="n">
        <v>0</v>
      </c>
      <c r="U751" s="2" t="inlineStr"/>
    </row>
    <row r="752" ht="15" customHeight="1">
      <c r="A752" t="inlineStr">
        <is>
          <t>A 26493-2026</t>
        </is>
      </c>
      <c r="B752" t="inlineStr">
        <is>
          <t>avverkningsanmälan</t>
        </is>
      </c>
      <c r="C752" t="inlineStr">
        <is>
          <t>Föryngringsavverkning</t>
        </is>
      </c>
      <c r="D752" s="1" t="n">
        <v>46183</v>
      </c>
      <c r="E752" s="1" t="n">
        <v>46223</v>
      </c>
      <c r="F752" t="inlineStr">
        <is>
          <t>VÄSTERBOTTENS LÄN</t>
        </is>
      </c>
      <c r="G752" t="inlineStr">
        <is>
          <t>UMEÅ</t>
        </is>
      </c>
      <c r="H752" t="inlineStr">
        <is>
          <t>Holmen skog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54320-2025</t>
        </is>
      </c>
      <c r="B753" t="inlineStr">
        <is>
          <t>avverkningsanmälan</t>
        </is>
      </c>
      <c r="C753" t="inlineStr">
        <is>
          <t>Föryngringsavverkning</t>
        </is>
      </c>
      <c r="D753" s="1" t="n">
        <v>45965</v>
      </c>
      <c r="E753" s="1" t="n">
        <v>46223</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20792-2026</t>
        </is>
      </c>
      <c r="B754" t="inlineStr">
        <is>
          <t>avverkningsanmälan</t>
        </is>
      </c>
      <c r="C754" t="inlineStr">
        <is>
          <t>Föryngringsavverkning</t>
        </is>
      </c>
      <c r="D754" s="1" t="n">
        <v>46141</v>
      </c>
      <c r="E754" s="1" t="n">
        <v>46223</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26523-2026</t>
        </is>
      </c>
      <c r="B755" t="inlineStr">
        <is>
          <t>avverkningsanmälan</t>
        </is>
      </c>
      <c r="C755" t="inlineStr">
        <is>
          <t>Föryngringsavverkning</t>
        </is>
      </c>
      <c r="D755" s="1" t="n">
        <v>46183</v>
      </c>
      <c r="E755" s="1" t="n">
        <v>46223</v>
      </c>
      <c r="F755" t="inlineStr">
        <is>
          <t>VÄSTERBOTTENS LÄN</t>
        </is>
      </c>
      <c r="G755" t="inlineStr">
        <is>
          <t>UMEÅ</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27173-2025</t>
        </is>
      </c>
      <c r="B756" t="inlineStr">
        <is>
          <t>avverkningsanmälan</t>
        </is>
      </c>
      <c r="C756" t="inlineStr">
        <is>
          <t>Föryngringsavverkning</t>
        </is>
      </c>
      <c r="D756" s="1" t="n">
        <v>45812</v>
      </c>
      <c r="E756" s="1" t="n">
        <v>46223</v>
      </c>
      <c r="F756" t="inlineStr">
        <is>
          <t>VÄSTERBOTTENS LÄN</t>
        </is>
      </c>
      <c r="G756" t="inlineStr">
        <is>
          <t>UMEÅ</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29027-2022</t>
        </is>
      </c>
      <c r="B757" t="inlineStr">
        <is>
          <t>avverkningsanmälan</t>
        </is>
      </c>
      <c r="C757" t="inlineStr">
        <is>
          <t>Föryngringsavverkning</t>
        </is>
      </c>
      <c r="D757" s="1" t="n">
        <v>44749</v>
      </c>
      <c r="E757" s="1" t="n">
        <v>46223</v>
      </c>
      <c r="F757" t="inlineStr">
        <is>
          <t>VÄSTERBOTTENS LÄN</t>
        </is>
      </c>
      <c r="G757" t="inlineStr">
        <is>
          <t>UMEÅ</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52529-2023</t>
        </is>
      </c>
      <c r="B758" t="inlineStr">
        <is>
          <t>avverkningsanmälan</t>
        </is>
      </c>
      <c r="C758" t="inlineStr">
        <is>
          <t>Föryngringsavverkning</t>
        </is>
      </c>
      <c r="D758" s="1" t="n">
        <v>45225</v>
      </c>
      <c r="E758" s="1" t="n">
        <v>46223</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26352-2024</t>
        </is>
      </c>
      <c r="B759" t="inlineStr">
        <is>
          <t>avverkningsanmälan</t>
        </is>
      </c>
      <c r="C759" t="inlineStr">
        <is>
          <t>Föryngringsavverkning</t>
        </is>
      </c>
      <c r="D759" s="1" t="n">
        <v>45469</v>
      </c>
      <c r="E759" s="1" t="n">
        <v>46223</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26456-2026</t>
        </is>
      </c>
      <c r="B760" t="inlineStr">
        <is>
          <t>avverkningsanmälan</t>
        </is>
      </c>
      <c r="C760" t="inlineStr">
        <is>
          <t>Föryngringsavverkning</t>
        </is>
      </c>
      <c r="D760" s="1" t="n">
        <v>46183</v>
      </c>
      <c r="E760" s="1" t="n">
        <v>46223</v>
      </c>
      <c r="F760" t="inlineStr">
        <is>
          <t>VÄSTERBOTTENS LÄN</t>
        </is>
      </c>
      <c r="G760" t="inlineStr">
        <is>
          <t>UMEÅ</t>
        </is>
      </c>
      <c r="H760" t="inlineStr">
        <is>
          <t>Holmen skog AB</t>
        </is>
      </c>
      <c r="I760" t="n">
        <v>2</v>
      </c>
      <c r="J760" t="n">
        <v>0</v>
      </c>
      <c r="K760" t="n">
        <v>0</v>
      </c>
      <c r="L760" t="n">
        <v>0</v>
      </c>
      <c r="M760" t="n">
        <v>0</v>
      </c>
      <c r="N760" t="n">
        <v>0</v>
      </c>
      <c r="O760" t="n">
        <v>0</v>
      </c>
      <c r="P760" t="n">
        <v>0</v>
      </c>
      <c r="Q760" t="n">
        <v>0</v>
      </c>
      <c r="R760" t="n">
        <v>0</v>
      </c>
      <c r="S760" t="n">
        <v>0</v>
      </c>
      <c r="T760" t="n">
        <v>0</v>
      </c>
      <c r="U760" s="2" t="inlineStr"/>
    </row>
    <row r="761" ht="15" customHeight="1">
      <c r="A761" t="inlineStr">
        <is>
          <t>A 25346-2024</t>
        </is>
      </c>
      <c r="B761" t="inlineStr">
        <is>
          <t>avverkningsanmälan</t>
        </is>
      </c>
      <c r="C761" t="inlineStr">
        <is>
          <t>Föryngringsavverkning</t>
        </is>
      </c>
      <c r="D761" s="1" t="n">
        <v>45462</v>
      </c>
      <c r="E761" s="1" t="n">
        <v>46223</v>
      </c>
      <c r="F761" t="inlineStr">
        <is>
          <t>VÄSTERBOTTENS LÄN</t>
        </is>
      </c>
      <c r="G761" t="inlineStr">
        <is>
          <t>UMEÅ</t>
        </is>
      </c>
      <c r="I761" t="n">
        <v>2.5</v>
      </c>
      <c r="J761" t="n">
        <v>0</v>
      </c>
      <c r="K761" t="n">
        <v>0</v>
      </c>
      <c r="L761" t="n">
        <v>0</v>
      </c>
      <c r="M761" t="n">
        <v>0</v>
      </c>
      <c r="N761" t="n">
        <v>0</v>
      </c>
      <c r="O761" t="n">
        <v>0</v>
      </c>
      <c r="P761" t="n">
        <v>0</v>
      </c>
      <c r="Q761" t="n">
        <v>0</v>
      </c>
      <c r="R761" t="n">
        <v>0</v>
      </c>
      <c r="S761" t="n">
        <v>0</v>
      </c>
      <c r="T761" t="n">
        <v>0</v>
      </c>
      <c r="U761" s="2" t="inlineStr"/>
    </row>
    <row r="762" ht="15" customHeight="1">
      <c r="A762" t="inlineStr">
        <is>
          <t>A 20823-2026</t>
        </is>
      </c>
      <c r="B762" t="inlineStr">
        <is>
          <t>avverkningsanmälan</t>
        </is>
      </c>
      <c r="C762" t="inlineStr">
        <is>
          <t>Föryngringsavverkning</t>
        </is>
      </c>
      <c r="D762" s="1" t="n">
        <v>46141</v>
      </c>
      <c r="E762" s="1" t="n">
        <v>46223</v>
      </c>
      <c r="F762" t="inlineStr">
        <is>
          <t>VÄSTERBOTTENS LÄN</t>
        </is>
      </c>
      <c r="G762" t="inlineStr">
        <is>
          <t>UMEÅ</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20824-2026</t>
        </is>
      </c>
      <c r="B763" t="inlineStr">
        <is>
          <t>avverkningsanmälan</t>
        </is>
      </c>
      <c r="C763" t="inlineStr">
        <is>
          <t>Föryngringsavverkning</t>
        </is>
      </c>
      <c r="D763" s="1" t="n">
        <v>46141</v>
      </c>
      <c r="E763" s="1" t="n">
        <v>46223</v>
      </c>
      <c r="F763" t="inlineStr">
        <is>
          <t>VÄSTERBOTTENS LÄN</t>
        </is>
      </c>
      <c r="G763" t="inlineStr">
        <is>
          <t>UMEÅ</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45759-2025</t>
        </is>
      </c>
      <c r="B764" t="inlineStr">
        <is>
          <t>avverkningsanmälan</t>
        </is>
      </c>
      <c r="C764" t="inlineStr">
        <is>
          <t>Föryngringsavverkning</t>
        </is>
      </c>
      <c r="D764" s="1" t="n">
        <v>45923</v>
      </c>
      <c r="E764" s="1" t="n">
        <v>46223</v>
      </c>
      <c r="F764" t="inlineStr">
        <is>
          <t>VÄSTERBOTTENS LÄN</t>
        </is>
      </c>
      <c r="G764" t="inlineStr">
        <is>
          <t>UMEÅ</t>
        </is>
      </c>
      <c r="I764" t="n">
        <v>7.2</v>
      </c>
      <c r="J764" t="n">
        <v>0</v>
      </c>
      <c r="K764" t="n">
        <v>0</v>
      </c>
      <c r="L764" t="n">
        <v>0</v>
      </c>
      <c r="M764" t="n">
        <v>0</v>
      </c>
      <c r="N764" t="n">
        <v>0</v>
      </c>
      <c r="O764" t="n">
        <v>0</v>
      </c>
      <c r="P764" t="n">
        <v>0</v>
      </c>
      <c r="Q764" t="n">
        <v>0</v>
      </c>
      <c r="R764" t="n">
        <v>0</v>
      </c>
      <c r="S764" t="n">
        <v>0</v>
      </c>
      <c r="T764" t="n">
        <v>0</v>
      </c>
      <c r="U764" s="2" t="inlineStr"/>
    </row>
    <row r="765" ht="15" customHeight="1">
      <c r="A765" t="inlineStr">
        <is>
          <t>A 10422-2025</t>
        </is>
      </c>
      <c r="B765" t="inlineStr">
        <is>
          <t>avverkningsanmälan</t>
        </is>
      </c>
      <c r="C765" t="inlineStr">
        <is>
          <t>Föryngringsavverkning</t>
        </is>
      </c>
      <c r="D765" s="1" t="n">
        <v>45720</v>
      </c>
      <c r="E765" s="1" t="n">
        <v>46223</v>
      </c>
      <c r="F765" t="inlineStr">
        <is>
          <t>VÄSTERBOTTENS LÄN</t>
        </is>
      </c>
      <c r="G765" t="inlineStr">
        <is>
          <t>UMEÅ</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20822-2026</t>
        </is>
      </c>
      <c r="B766" t="inlineStr">
        <is>
          <t>avverkningsanmälan</t>
        </is>
      </c>
      <c r="C766" t="inlineStr">
        <is>
          <t>Föryngringsavverkning</t>
        </is>
      </c>
      <c r="D766" s="1" t="n">
        <v>46141</v>
      </c>
      <c r="E766" s="1" t="n">
        <v>46223</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51709-2023</t>
        </is>
      </c>
      <c r="B767" t="inlineStr">
        <is>
          <t>avverkningsanmälan</t>
        </is>
      </c>
      <c r="C767" t="inlineStr">
        <is>
          <t>Avverkning för annat ändamål</t>
        </is>
      </c>
      <c r="D767" s="1" t="n">
        <v>45215</v>
      </c>
      <c r="E767" s="1" t="n">
        <v>46223</v>
      </c>
      <c r="F767" t="inlineStr">
        <is>
          <t>VÄSTERBOTTENS LÄN</t>
        </is>
      </c>
      <c r="G767" t="inlineStr">
        <is>
          <t>UMEÅ</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26434-2026</t>
        </is>
      </c>
      <c r="B768" t="inlineStr">
        <is>
          <t>avverkningsanmälan</t>
        </is>
      </c>
      <c r="C768" t="inlineStr">
        <is>
          <t>Föryngringsavverkning</t>
        </is>
      </c>
      <c r="D768" s="1" t="n">
        <v>46183</v>
      </c>
      <c r="E768" s="1" t="n">
        <v>46223</v>
      </c>
      <c r="F768" t="inlineStr">
        <is>
          <t>VÄSTERBOTTENS LÄN</t>
        </is>
      </c>
      <c r="G768" t="inlineStr">
        <is>
          <t>UMEÅ</t>
        </is>
      </c>
      <c r="H768" t="inlineStr">
        <is>
          <t>Holmen skog AB</t>
        </is>
      </c>
      <c r="I768" t="n">
        <v>10.7</v>
      </c>
      <c r="J768" t="n">
        <v>0</v>
      </c>
      <c r="K768" t="n">
        <v>0</v>
      </c>
      <c r="L768" t="n">
        <v>0</v>
      </c>
      <c r="M768" t="n">
        <v>0</v>
      </c>
      <c r="N768" t="n">
        <v>0</v>
      </c>
      <c r="O768" t="n">
        <v>0</v>
      </c>
      <c r="P768" t="n">
        <v>0</v>
      </c>
      <c r="Q768" t="n">
        <v>0</v>
      </c>
      <c r="R768" t="n">
        <v>0</v>
      </c>
      <c r="S768" t="n">
        <v>0</v>
      </c>
      <c r="T768" t="n">
        <v>0</v>
      </c>
      <c r="U768" s="2" t="inlineStr"/>
    </row>
    <row r="769" ht="15" customHeight="1">
      <c r="A769" t="inlineStr">
        <is>
          <t>A 21047-2026</t>
        </is>
      </c>
      <c r="B769" t="inlineStr">
        <is>
          <t>avverkningsanmälan</t>
        </is>
      </c>
      <c r="C769" t="inlineStr">
        <is>
          <t>Föryngringsavverkning</t>
        </is>
      </c>
      <c r="D769" s="1" t="n">
        <v>46146</v>
      </c>
      <c r="E769" s="1" t="n">
        <v>46223</v>
      </c>
      <c r="F769" t="inlineStr">
        <is>
          <t>VÄSTERBOTTENS LÄN</t>
        </is>
      </c>
      <c r="G769" t="inlineStr">
        <is>
          <t>UMEÅ</t>
        </is>
      </c>
      <c r="I769" t="n">
        <v>1.9</v>
      </c>
      <c r="J769" t="n">
        <v>0</v>
      </c>
      <c r="K769" t="n">
        <v>0</v>
      </c>
      <c r="L769" t="n">
        <v>0</v>
      </c>
      <c r="M769" t="n">
        <v>0</v>
      </c>
      <c r="N769" t="n">
        <v>0</v>
      </c>
      <c r="O769" t="n">
        <v>0</v>
      </c>
      <c r="P769" t="n">
        <v>0</v>
      </c>
      <c r="Q769" t="n">
        <v>0</v>
      </c>
      <c r="R769" t="n">
        <v>0</v>
      </c>
      <c r="S769" t="n">
        <v>0</v>
      </c>
      <c r="T769" t="n">
        <v>0</v>
      </c>
      <c r="U769" s="2" t="inlineStr"/>
    </row>
    <row r="770" ht="15" customHeight="1">
      <c r="A770" t="inlineStr">
        <is>
          <t>A 26984-2026</t>
        </is>
      </c>
      <c r="B770" t="inlineStr">
        <is>
          <t>avverkningsanmälan</t>
        </is>
      </c>
      <c r="C770" t="inlineStr">
        <is>
          <t>Föryngringsavverkning</t>
        </is>
      </c>
      <c r="D770" s="1" t="n">
        <v>46185</v>
      </c>
      <c r="E770" s="1" t="n">
        <v>46223</v>
      </c>
      <c r="F770" t="inlineStr">
        <is>
          <t>VÄSTERBOTTENS LÄN</t>
        </is>
      </c>
      <c r="G770" t="inlineStr">
        <is>
          <t>UMEÅ</t>
        </is>
      </c>
      <c r="H770" t="inlineStr">
        <is>
          <t>Holmen skog AB</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15337-2025</t>
        </is>
      </c>
      <c r="B771" t="inlineStr">
        <is>
          <t>avverkningsanmälan</t>
        </is>
      </c>
      <c r="C771" t="inlineStr">
        <is>
          <t>Föryngringsavverkning</t>
        </is>
      </c>
      <c r="D771" s="1" t="n">
        <v>45747</v>
      </c>
      <c r="E771" s="1" t="n">
        <v>46223</v>
      </c>
      <c r="F771" t="inlineStr">
        <is>
          <t>VÄSTERBOTTENS LÄN</t>
        </is>
      </c>
      <c r="G771" t="inlineStr">
        <is>
          <t>UMEÅ</t>
        </is>
      </c>
      <c r="I771" t="n">
        <v>8.6</v>
      </c>
      <c r="J771" t="n">
        <v>0</v>
      </c>
      <c r="K771" t="n">
        <v>0</v>
      </c>
      <c r="L771" t="n">
        <v>0</v>
      </c>
      <c r="M771" t="n">
        <v>0</v>
      </c>
      <c r="N771" t="n">
        <v>0</v>
      </c>
      <c r="O771" t="n">
        <v>0</v>
      </c>
      <c r="P771" t="n">
        <v>0</v>
      </c>
      <c r="Q771" t="n">
        <v>0</v>
      </c>
      <c r="R771" t="n">
        <v>0</v>
      </c>
      <c r="S771" t="n">
        <v>0</v>
      </c>
      <c r="T771" t="n">
        <v>0</v>
      </c>
      <c r="U771" s="2" t="inlineStr"/>
    </row>
    <row r="772" ht="15" customHeight="1">
      <c r="A772" t="inlineStr">
        <is>
          <t>A 44459-2023</t>
        </is>
      </c>
      <c r="B772" t="inlineStr">
        <is>
          <t>avverkningsanmälan</t>
        </is>
      </c>
      <c r="C772" t="inlineStr">
        <is>
          <t>Föryngringsavverkning</t>
        </is>
      </c>
      <c r="D772" s="1" t="n">
        <v>45189</v>
      </c>
      <c r="E772" s="1" t="n">
        <v>46223</v>
      </c>
      <c r="F772" t="inlineStr">
        <is>
          <t>VÄSTERBOTTENS LÄN</t>
        </is>
      </c>
      <c r="G772" t="inlineStr">
        <is>
          <t>UMEÅ</t>
        </is>
      </c>
      <c r="H772" t="inlineStr">
        <is>
          <t>Holmen skog AB</t>
        </is>
      </c>
      <c r="I772" t="n">
        <v>2.5</v>
      </c>
      <c r="J772" t="n">
        <v>0</v>
      </c>
      <c r="K772" t="n">
        <v>0</v>
      </c>
      <c r="L772" t="n">
        <v>0</v>
      </c>
      <c r="M772" t="n">
        <v>0</v>
      </c>
      <c r="N772" t="n">
        <v>0</v>
      </c>
      <c r="O772" t="n">
        <v>0</v>
      </c>
      <c r="P772" t="n">
        <v>0</v>
      </c>
      <c r="Q772" t="n">
        <v>0</v>
      </c>
      <c r="R772" t="n">
        <v>0</v>
      </c>
      <c r="S772" t="n">
        <v>0</v>
      </c>
      <c r="T772" t="n">
        <v>0</v>
      </c>
      <c r="U772" s="2" t="inlineStr"/>
    </row>
    <row r="773" ht="15" customHeight="1">
      <c r="A773" t="inlineStr">
        <is>
          <t>A 21162-2026</t>
        </is>
      </c>
      <c r="B773" t="inlineStr">
        <is>
          <t>avverkningsanmälan</t>
        </is>
      </c>
      <c r="C773" t="inlineStr">
        <is>
          <t>Föryngringsavverkning</t>
        </is>
      </c>
      <c r="D773" s="1" t="n">
        <v>46146</v>
      </c>
      <c r="E773" s="1" t="n">
        <v>46223</v>
      </c>
      <c r="F773" t="inlineStr">
        <is>
          <t>VÄSTERBOTTENS LÄN</t>
        </is>
      </c>
      <c r="G773" t="inlineStr">
        <is>
          <t>UMEÅ</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21085-2026</t>
        </is>
      </c>
      <c r="B774" t="inlineStr">
        <is>
          <t>avverkningsanmälan</t>
        </is>
      </c>
      <c r="C774" t="inlineStr">
        <is>
          <t>Föryngringsavverkning</t>
        </is>
      </c>
      <c r="D774" s="1" t="n">
        <v>46146</v>
      </c>
      <c r="E774" s="1" t="n">
        <v>46223</v>
      </c>
      <c r="F774" t="inlineStr">
        <is>
          <t>VÄSTERBOTTENS LÄN</t>
        </is>
      </c>
      <c r="G774" t="inlineStr">
        <is>
          <t>UMEÅ</t>
        </is>
      </c>
      <c r="H774" t="inlineStr">
        <is>
          <t>Holmen skog AB</t>
        </is>
      </c>
      <c r="I774" t="n">
        <v>9</v>
      </c>
      <c r="J774" t="n">
        <v>0</v>
      </c>
      <c r="K774" t="n">
        <v>0</v>
      </c>
      <c r="L774" t="n">
        <v>0</v>
      </c>
      <c r="M774" t="n">
        <v>0</v>
      </c>
      <c r="N774" t="n">
        <v>0</v>
      </c>
      <c r="O774" t="n">
        <v>0</v>
      </c>
      <c r="P774" t="n">
        <v>0</v>
      </c>
      <c r="Q774" t="n">
        <v>0</v>
      </c>
      <c r="R774" t="n">
        <v>0</v>
      </c>
      <c r="S774" t="n">
        <v>0</v>
      </c>
      <c r="T774" t="n">
        <v>0</v>
      </c>
      <c r="U774" s="2" t="inlineStr"/>
    </row>
    <row r="775" ht="15" customHeight="1">
      <c r="A775" t="inlineStr">
        <is>
          <t>A 27169-2026</t>
        </is>
      </c>
      <c r="B775" t="inlineStr">
        <is>
          <t>avverkningsanmälan</t>
        </is>
      </c>
      <c r="C775" t="inlineStr">
        <is>
          <t>Föryngringsavverkning</t>
        </is>
      </c>
      <c r="D775" s="1" t="n">
        <v>46188</v>
      </c>
      <c r="E775" s="1" t="n">
        <v>46223</v>
      </c>
      <c r="F775" t="inlineStr">
        <is>
          <t>VÄSTERBOTTENS LÄN</t>
        </is>
      </c>
      <c r="G775" t="inlineStr">
        <is>
          <t>UMEÅ</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26889-2026</t>
        </is>
      </c>
      <c r="B776" t="inlineStr">
        <is>
          <t>avverkningsanmälan</t>
        </is>
      </c>
      <c r="C776" t="inlineStr">
        <is>
          <t>Föryngringsavverkning</t>
        </is>
      </c>
      <c r="D776" s="1" t="n">
        <v>46185</v>
      </c>
      <c r="E776" s="1" t="n">
        <v>46223</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27314-2026</t>
        </is>
      </c>
      <c r="B777" t="inlineStr">
        <is>
          <t>avverkningsanmälan</t>
        </is>
      </c>
      <c r="C777" t="inlineStr">
        <is>
          <t>Föryngringsavverkning</t>
        </is>
      </c>
      <c r="D777" s="1" t="n">
        <v>46188</v>
      </c>
      <c r="E777" s="1" t="n">
        <v>46223</v>
      </c>
      <c r="F777" t="inlineStr">
        <is>
          <t>VÄSTERBOTTENS LÄN</t>
        </is>
      </c>
      <c r="G777" t="inlineStr">
        <is>
          <t>UMEÅ</t>
        </is>
      </c>
      <c r="H777" t="inlineStr">
        <is>
          <t>Holmen skog AB</t>
        </is>
      </c>
      <c r="I777" t="n">
        <v>3.5</v>
      </c>
      <c r="J777" t="n">
        <v>0</v>
      </c>
      <c r="K777" t="n">
        <v>0</v>
      </c>
      <c r="L777" t="n">
        <v>0</v>
      </c>
      <c r="M777" t="n">
        <v>0</v>
      </c>
      <c r="N777" t="n">
        <v>0</v>
      </c>
      <c r="O777" t="n">
        <v>0</v>
      </c>
      <c r="P777" t="n">
        <v>0</v>
      </c>
      <c r="Q777" t="n">
        <v>0</v>
      </c>
      <c r="R777" t="n">
        <v>0</v>
      </c>
      <c r="S777" t="n">
        <v>0</v>
      </c>
      <c r="T777" t="n">
        <v>0</v>
      </c>
      <c r="U777" s="2" t="inlineStr"/>
    </row>
    <row r="778" ht="15" customHeight="1">
      <c r="A778" t="inlineStr">
        <is>
          <t>A 21158-2026</t>
        </is>
      </c>
      <c r="B778" t="inlineStr">
        <is>
          <t>avverkningsanmälan</t>
        </is>
      </c>
      <c r="C778" t="inlineStr">
        <is>
          <t>Föryngringsavverkning</t>
        </is>
      </c>
      <c r="D778" s="1" t="n">
        <v>46146</v>
      </c>
      <c r="E778" s="1" t="n">
        <v>46223</v>
      </c>
      <c r="F778" t="inlineStr">
        <is>
          <t>VÄSTERBOTTENS LÄN</t>
        </is>
      </c>
      <c r="G778" t="inlineStr">
        <is>
          <t>UMEÅ</t>
        </is>
      </c>
      <c r="H778" t="inlineStr">
        <is>
          <t>Holmen skog AB</t>
        </is>
      </c>
      <c r="I778" t="n">
        <v>7.9</v>
      </c>
      <c r="J778" t="n">
        <v>0</v>
      </c>
      <c r="K778" t="n">
        <v>0</v>
      </c>
      <c r="L778" t="n">
        <v>0</v>
      </c>
      <c r="M778" t="n">
        <v>0</v>
      </c>
      <c r="N778" t="n">
        <v>0</v>
      </c>
      <c r="O778" t="n">
        <v>0</v>
      </c>
      <c r="P778" t="n">
        <v>0</v>
      </c>
      <c r="Q778" t="n">
        <v>0</v>
      </c>
      <c r="R778" t="n">
        <v>0</v>
      </c>
      <c r="S778" t="n">
        <v>0</v>
      </c>
      <c r="T778" t="n">
        <v>0</v>
      </c>
      <c r="U778" s="2" t="inlineStr"/>
    </row>
    <row r="779" ht="15" customHeight="1">
      <c r="A779" t="inlineStr">
        <is>
          <t>A 27084-2026</t>
        </is>
      </c>
      <c r="B779" t="inlineStr">
        <is>
          <t>avverkningsanmälan</t>
        </is>
      </c>
      <c r="C779" t="inlineStr">
        <is>
          <t>Föryngringsavverkning</t>
        </is>
      </c>
      <c r="D779" s="1" t="n">
        <v>46187</v>
      </c>
      <c r="E779" s="1" t="n">
        <v>46223</v>
      </c>
      <c r="F779" t="inlineStr">
        <is>
          <t>VÄSTERBOTTENS LÄN</t>
        </is>
      </c>
      <c r="G779" t="inlineStr">
        <is>
          <t>UMEÅ</t>
        </is>
      </c>
      <c r="H779" t="inlineStr">
        <is>
          <t>Holmen skog AB</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22912-2025</t>
        </is>
      </c>
      <c r="B780" t="inlineStr">
        <is>
          <t>avverkningsanmälan</t>
        </is>
      </c>
      <c r="C780" t="inlineStr">
        <is>
          <t>Föryngringsavverkning</t>
        </is>
      </c>
      <c r="D780" s="1" t="n">
        <v>45790</v>
      </c>
      <c r="E780" s="1" t="n">
        <v>46223</v>
      </c>
      <c r="F780" t="inlineStr">
        <is>
          <t>VÄSTERBOTTENS LÄN</t>
        </is>
      </c>
      <c r="G780" t="inlineStr">
        <is>
          <t>UMEÅ</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21188-2026</t>
        </is>
      </c>
      <c r="B781" t="inlineStr">
        <is>
          <t>avverkningsanmälan</t>
        </is>
      </c>
      <c r="C781" t="inlineStr">
        <is>
          <t>Föryngringsavverkning</t>
        </is>
      </c>
      <c r="D781" s="1" t="n">
        <v>46146</v>
      </c>
      <c r="E781" s="1" t="n">
        <v>46223</v>
      </c>
      <c r="F781" t="inlineStr">
        <is>
          <t>VÄSTERBOTTENS LÄN</t>
        </is>
      </c>
      <c r="G781" t="inlineStr">
        <is>
          <t>UMEÅ</t>
        </is>
      </c>
      <c r="H781" t="inlineStr">
        <is>
          <t>Holmen skog AB</t>
        </is>
      </c>
      <c r="I781" t="n">
        <v>4.8</v>
      </c>
      <c r="J781" t="n">
        <v>0</v>
      </c>
      <c r="K781" t="n">
        <v>0</v>
      </c>
      <c r="L781" t="n">
        <v>0</v>
      </c>
      <c r="M781" t="n">
        <v>0</v>
      </c>
      <c r="N781" t="n">
        <v>0</v>
      </c>
      <c r="O781" t="n">
        <v>0</v>
      </c>
      <c r="P781" t="n">
        <v>0</v>
      </c>
      <c r="Q781" t="n">
        <v>0</v>
      </c>
      <c r="R781" t="n">
        <v>0</v>
      </c>
      <c r="S781" t="n">
        <v>0</v>
      </c>
      <c r="T781" t="n">
        <v>0</v>
      </c>
      <c r="U781" s="2" t="inlineStr"/>
    </row>
    <row r="782" ht="15" customHeight="1">
      <c r="A782" t="inlineStr">
        <is>
          <t>A 50725-2023</t>
        </is>
      </c>
      <c r="B782" t="inlineStr">
        <is>
          <t>avverkningsanmälan</t>
        </is>
      </c>
      <c r="C782" t="inlineStr">
        <is>
          <t>Föryngringsavverkning</t>
        </is>
      </c>
      <c r="D782" s="1" t="n">
        <v>45217</v>
      </c>
      <c r="E782" s="1" t="n">
        <v>46223</v>
      </c>
      <c r="F782" t="inlineStr">
        <is>
          <t>VÄSTERBOTTENS LÄN</t>
        </is>
      </c>
      <c r="G782" t="inlineStr">
        <is>
          <t>UMEÅ</t>
        </is>
      </c>
      <c r="H782" t="inlineStr">
        <is>
          <t>Sveaskog</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50726-2023</t>
        </is>
      </c>
      <c r="B783" t="inlineStr">
        <is>
          <t>avverkningsanmälan</t>
        </is>
      </c>
      <c r="C783" t="inlineStr">
        <is>
          <t>Föryngringsavverkning</t>
        </is>
      </c>
      <c r="D783" s="1" t="n">
        <v>45217</v>
      </c>
      <c r="E783" s="1" t="n">
        <v>46223</v>
      </c>
      <c r="F783" t="inlineStr">
        <is>
          <t>VÄSTERBOTTENS LÄN</t>
        </is>
      </c>
      <c r="G783" t="inlineStr">
        <is>
          <t>UMEÅ</t>
        </is>
      </c>
      <c r="H783" t="inlineStr">
        <is>
          <t>Sveaskog</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36816-2022</t>
        </is>
      </c>
      <c r="B784" t="inlineStr">
        <is>
          <t>avverkningsanmälan</t>
        </is>
      </c>
      <c r="C784" t="inlineStr">
        <is>
          <t>Föryngringsavverkning</t>
        </is>
      </c>
      <c r="D784" s="1" t="n">
        <v>44805</v>
      </c>
      <c r="E784" s="1" t="n">
        <v>46223</v>
      </c>
      <c r="F784" t="inlineStr">
        <is>
          <t>VÄSTERBOTTENS LÄN</t>
        </is>
      </c>
      <c r="G784" t="inlineStr">
        <is>
          <t>UMEÅ</t>
        </is>
      </c>
      <c r="H784" t="inlineStr">
        <is>
          <t>Holmen skog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21578-2026</t>
        </is>
      </c>
      <c r="B785" t="inlineStr">
        <is>
          <t>avverkningsanmälan</t>
        </is>
      </c>
      <c r="C785" t="inlineStr">
        <is>
          <t>Föryngringsavverkning</t>
        </is>
      </c>
      <c r="D785" s="1" t="n">
        <v>46148</v>
      </c>
      <c r="E785" s="1" t="n">
        <v>46223</v>
      </c>
      <c r="F785" t="inlineStr">
        <is>
          <t>VÄSTERBOTTENS LÄN</t>
        </is>
      </c>
      <c r="G785" t="inlineStr">
        <is>
          <t>UMEÅ</t>
        </is>
      </c>
      <c r="H785" t="inlineStr">
        <is>
          <t>Holmen skog AB</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27307-2022</t>
        </is>
      </c>
      <c r="B786" t="inlineStr">
        <is>
          <t>avverkningsanmälan</t>
        </is>
      </c>
      <c r="C786" t="inlineStr">
        <is>
          <t>Föryngringsavverkning</t>
        </is>
      </c>
      <c r="D786" s="1" t="n">
        <v>44742</v>
      </c>
      <c r="E786" s="1" t="n">
        <v>46223</v>
      </c>
      <c r="F786" t="inlineStr">
        <is>
          <t>VÄSTERBOTTENS LÄN</t>
        </is>
      </c>
      <c r="G786" t="inlineStr">
        <is>
          <t>UMEÅ</t>
        </is>
      </c>
      <c r="I786" t="n">
        <v>1.2</v>
      </c>
      <c r="J786" t="n">
        <v>0</v>
      </c>
      <c r="K786" t="n">
        <v>0</v>
      </c>
      <c r="L786" t="n">
        <v>0</v>
      </c>
      <c r="M786" t="n">
        <v>0</v>
      </c>
      <c r="N786" t="n">
        <v>0</v>
      </c>
      <c r="O786" t="n">
        <v>0</v>
      </c>
      <c r="P786" t="n">
        <v>0</v>
      </c>
      <c r="Q786" t="n">
        <v>0</v>
      </c>
      <c r="R786" t="n">
        <v>0</v>
      </c>
      <c r="S786" t="n">
        <v>0</v>
      </c>
      <c r="T786" t="n">
        <v>0</v>
      </c>
      <c r="U786" s="2" t="inlineStr"/>
    </row>
    <row r="787" ht="15" customHeight="1">
      <c r="A787" t="inlineStr">
        <is>
          <t>A 62648-2021</t>
        </is>
      </c>
      <c r="B787" t="inlineStr">
        <is>
          <t>avverkningsanmälan</t>
        </is>
      </c>
      <c r="C787" t="inlineStr">
        <is>
          <t>Föryngringsavverkning</t>
        </is>
      </c>
      <c r="D787" s="1" t="n">
        <v>44503</v>
      </c>
      <c r="E787" s="1" t="n">
        <v>46223</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s="2" t="inlineStr"/>
    </row>
    <row r="788" ht="15" customHeight="1">
      <c r="A788" t="inlineStr">
        <is>
          <t>A 27898-2026</t>
        </is>
      </c>
      <c r="B788" t="inlineStr">
        <is>
          <t>avverkningsanmälan</t>
        </is>
      </c>
      <c r="C788" t="inlineStr">
        <is>
          <t>Föryngringsavverkning</t>
        </is>
      </c>
      <c r="D788" s="1" t="n">
        <v>46191</v>
      </c>
      <c r="E788" s="1" t="n">
        <v>46223</v>
      </c>
      <c r="F788" t="inlineStr">
        <is>
          <t>VÄSTERBOTTENS LÄN</t>
        </is>
      </c>
      <c r="G788" t="inlineStr">
        <is>
          <t>UMEÅ</t>
        </is>
      </c>
      <c r="I788" t="n">
        <v>10.1</v>
      </c>
      <c r="J788" t="n">
        <v>0</v>
      </c>
      <c r="K788" t="n">
        <v>0</v>
      </c>
      <c r="L788" t="n">
        <v>0</v>
      </c>
      <c r="M788" t="n">
        <v>0</v>
      </c>
      <c r="N788" t="n">
        <v>0</v>
      </c>
      <c r="O788" t="n">
        <v>0</v>
      </c>
      <c r="P788" t="n">
        <v>0</v>
      </c>
      <c r="Q788" t="n">
        <v>0</v>
      </c>
      <c r="R788" t="n">
        <v>0</v>
      </c>
      <c r="S788" t="n">
        <v>0</v>
      </c>
      <c r="T788" t="n">
        <v>0</v>
      </c>
      <c r="U788" s="2" t="inlineStr"/>
    </row>
    <row r="789" ht="15" customHeight="1">
      <c r="A789" t="inlineStr">
        <is>
          <t>A 3366-2024</t>
        </is>
      </c>
      <c r="B789" t="inlineStr">
        <is>
          <t>avverkningsanmälan</t>
        </is>
      </c>
      <c r="C789" t="inlineStr">
        <is>
          <t>Föryngringsavverkning</t>
        </is>
      </c>
      <c r="D789" s="1" t="n">
        <v>45317</v>
      </c>
      <c r="E789" s="1" t="n">
        <v>46223</v>
      </c>
      <c r="F789" t="inlineStr">
        <is>
          <t>VÄSTERBOTTENS LÄN</t>
        </is>
      </c>
      <c r="G789" t="inlineStr">
        <is>
          <t>UMEÅ</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21802-2026</t>
        </is>
      </c>
      <c r="B790" t="inlineStr">
        <is>
          <t>avverkningsanmälan</t>
        </is>
      </c>
      <c r="C790" t="inlineStr">
        <is>
          <t>Föryngringsavverkning</t>
        </is>
      </c>
      <c r="D790" s="1" t="n">
        <v>46150</v>
      </c>
      <c r="E790" s="1" t="n">
        <v>46223</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14286-2025</t>
        </is>
      </c>
      <c r="B791" t="inlineStr">
        <is>
          <t>avverkningsanmälan</t>
        </is>
      </c>
      <c r="C791" t="inlineStr">
        <is>
          <t>Föryngringsavverkning</t>
        </is>
      </c>
      <c r="D791" s="1" t="n">
        <v>45740</v>
      </c>
      <c r="E791" s="1" t="n">
        <v>46223</v>
      </c>
      <c r="F791" t="inlineStr">
        <is>
          <t>VÄSTERBOTTENS LÄN</t>
        </is>
      </c>
      <c r="G791" t="inlineStr">
        <is>
          <t>UMEÅ</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40024-2022</t>
        </is>
      </c>
      <c r="B792" t="inlineStr">
        <is>
          <t>avverkningsanmälan</t>
        </is>
      </c>
      <c r="C792" t="inlineStr">
        <is>
          <t>Föryngringsavverkning</t>
        </is>
      </c>
      <c r="D792" s="1" t="n">
        <v>44820</v>
      </c>
      <c r="E792" s="1" t="n">
        <v>46223</v>
      </c>
      <c r="F792" t="inlineStr">
        <is>
          <t>VÄSTERBOTTENS LÄN</t>
        </is>
      </c>
      <c r="G792" t="inlineStr">
        <is>
          <t>UMEÅ</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7440-2024</t>
        </is>
      </c>
      <c r="B793" t="inlineStr">
        <is>
          <t>avverkningsanmälan</t>
        </is>
      </c>
      <c r="C793" t="inlineStr">
        <is>
          <t>Avverkning för annat ändamål</t>
        </is>
      </c>
      <c r="D793" s="1" t="n">
        <v>45345</v>
      </c>
      <c r="E793" s="1" t="n">
        <v>46223</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28184-2026</t>
        </is>
      </c>
      <c r="B794" t="inlineStr">
        <is>
          <t>avverkningsanmälan</t>
        </is>
      </c>
      <c r="C794" t="inlineStr">
        <is>
          <t>Föryngringsavverkning</t>
        </is>
      </c>
      <c r="D794" s="1" t="n">
        <v>46195</v>
      </c>
      <c r="E794" s="1" t="n">
        <v>46223</v>
      </c>
      <c r="F794" t="inlineStr">
        <is>
          <t>VÄSTERBOTTENS LÄN</t>
        </is>
      </c>
      <c r="G794" t="inlineStr">
        <is>
          <t>UMEÅ</t>
        </is>
      </c>
      <c r="H794" t="inlineStr">
        <is>
          <t>Holmen skog AB</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22140-2026</t>
        </is>
      </c>
      <c r="B795" t="inlineStr">
        <is>
          <t>avverkningsanmälan</t>
        </is>
      </c>
      <c r="C795" t="inlineStr">
        <is>
          <t>Föryngringsavverkning</t>
        </is>
      </c>
      <c r="D795" s="1" t="n">
        <v>46153</v>
      </c>
      <c r="E795" s="1" t="n">
        <v>46223</v>
      </c>
      <c r="F795" t="inlineStr">
        <is>
          <t>VÄSTERBOTTENS LÄN</t>
        </is>
      </c>
      <c r="G795" t="inlineStr">
        <is>
          <t>UMEÅ</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22141-2026</t>
        </is>
      </c>
      <c r="B796" t="inlineStr">
        <is>
          <t>avverkningsanmälan</t>
        </is>
      </c>
      <c r="C796" t="inlineStr">
        <is>
          <t>Föryngringsavverkning</t>
        </is>
      </c>
      <c r="D796" s="1" t="n">
        <v>46153</v>
      </c>
      <c r="E796" s="1" t="n">
        <v>46223</v>
      </c>
      <c r="F796" t="inlineStr">
        <is>
          <t>VÄSTERBOTTENS LÄN</t>
        </is>
      </c>
      <c r="G796" t="inlineStr">
        <is>
          <t>UMEÅ</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22240-2026</t>
        </is>
      </c>
      <c r="B797" t="inlineStr">
        <is>
          <t>avverkningsanmälan</t>
        </is>
      </c>
      <c r="C797" t="inlineStr">
        <is>
          <t>Föryngringsavverkning</t>
        </is>
      </c>
      <c r="D797" s="1" t="n">
        <v>46154</v>
      </c>
      <c r="E797" s="1" t="n">
        <v>46223</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s="2" t="inlineStr"/>
    </row>
    <row r="798" ht="15" customHeight="1">
      <c r="A798" t="inlineStr">
        <is>
          <t>A 41525-2023</t>
        </is>
      </c>
      <c r="B798" t="inlineStr">
        <is>
          <t>avverkningsanmälan</t>
        </is>
      </c>
      <c r="C798" t="inlineStr">
        <is>
          <t>Föryngringsavverkning</t>
        </is>
      </c>
      <c r="D798" s="1" t="n">
        <v>45173</v>
      </c>
      <c r="E798" s="1" t="n">
        <v>46223</v>
      </c>
      <c r="F798" t="inlineStr">
        <is>
          <t>VÄSTERBOTTENS LÄN</t>
        </is>
      </c>
      <c r="G798" t="inlineStr">
        <is>
          <t>UMEÅ</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28076-2026</t>
        </is>
      </c>
      <c r="B799" t="inlineStr">
        <is>
          <t>avverkningsanmälan</t>
        </is>
      </c>
      <c r="C799" t="inlineStr">
        <is>
          <t>Föryngringsavverkning</t>
        </is>
      </c>
      <c r="D799" s="1" t="n">
        <v>46195</v>
      </c>
      <c r="E799" s="1" t="n">
        <v>46223</v>
      </c>
      <c r="F799" t="inlineStr">
        <is>
          <t>VÄSTERBOTTENS LÄN</t>
        </is>
      </c>
      <c r="G799" t="inlineStr">
        <is>
          <t>UMEÅ</t>
        </is>
      </c>
      <c r="H799" t="inlineStr">
        <is>
          <t>Holmen skog AB</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40032-2023</t>
        </is>
      </c>
      <c r="B800" t="inlineStr">
        <is>
          <t>avverkningsanmälan</t>
        </is>
      </c>
      <c r="C800" t="inlineStr">
        <is>
          <t>Föryngringsavverkning</t>
        </is>
      </c>
      <c r="D800" s="1" t="n">
        <v>45167</v>
      </c>
      <c r="E800" s="1" t="n">
        <v>46223</v>
      </c>
      <c r="F800" t="inlineStr">
        <is>
          <t>VÄSTERBOTTENS LÄN</t>
        </is>
      </c>
      <c r="G800" t="inlineStr">
        <is>
          <t>UMEÅ</t>
        </is>
      </c>
      <c r="I800" t="n">
        <v>5.5</v>
      </c>
      <c r="J800" t="n">
        <v>0</v>
      </c>
      <c r="K800" t="n">
        <v>0</v>
      </c>
      <c r="L800" t="n">
        <v>0</v>
      </c>
      <c r="M800" t="n">
        <v>0</v>
      </c>
      <c r="N800" t="n">
        <v>0</v>
      </c>
      <c r="O800" t="n">
        <v>0</v>
      </c>
      <c r="P800" t="n">
        <v>0</v>
      </c>
      <c r="Q800" t="n">
        <v>0</v>
      </c>
      <c r="R800" t="n">
        <v>0</v>
      </c>
      <c r="S800" t="n">
        <v>0</v>
      </c>
      <c r="T800" t="n">
        <v>0</v>
      </c>
      <c r="U800" s="2" t="inlineStr"/>
    </row>
    <row r="801" ht="15" customHeight="1">
      <c r="A801" t="inlineStr">
        <is>
          <t>A 50287-2023</t>
        </is>
      </c>
      <c r="B801" t="inlineStr">
        <is>
          <t>avverkningsanmälan</t>
        </is>
      </c>
      <c r="C801" t="inlineStr">
        <is>
          <t>Föryngringsavverkning</t>
        </is>
      </c>
      <c r="D801" s="1" t="n">
        <v>45216</v>
      </c>
      <c r="E801" s="1" t="n">
        <v>46223</v>
      </c>
      <c r="F801" t="inlineStr">
        <is>
          <t>VÄSTERBOTTENS LÄN</t>
        </is>
      </c>
      <c r="G801" t="inlineStr">
        <is>
          <t>UMEÅ</t>
        </is>
      </c>
      <c r="H801" t="inlineStr">
        <is>
          <t>Holmen skog AB</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14403-2025</t>
        </is>
      </c>
      <c r="B802" t="inlineStr">
        <is>
          <t>avverkningsanmälan</t>
        </is>
      </c>
      <c r="C802" t="inlineStr">
        <is>
          <t>Föryngringsavverkning</t>
        </is>
      </c>
      <c r="D802" s="1" t="n">
        <v>45741</v>
      </c>
      <c r="E802" s="1" t="n">
        <v>46223</v>
      </c>
      <c r="F802" t="inlineStr">
        <is>
          <t>VÄSTERBOTTENS LÄN</t>
        </is>
      </c>
      <c r="G802" t="inlineStr">
        <is>
          <t>UMEÅ</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49525-2023</t>
        </is>
      </c>
      <c r="B803" t="inlineStr">
        <is>
          <t>avverkningsanmälan</t>
        </is>
      </c>
      <c r="C803" t="inlineStr">
        <is>
          <t>Avverkning för annat ändamål</t>
        </is>
      </c>
      <c r="D803" s="1" t="n">
        <v>45205</v>
      </c>
      <c r="E803" s="1" t="n">
        <v>46223</v>
      </c>
      <c r="F803" t="inlineStr">
        <is>
          <t>VÄSTERBOTTENS LÄN</t>
        </is>
      </c>
      <c r="G803" t="inlineStr">
        <is>
          <t>UMEÅ</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22270-2026</t>
        </is>
      </c>
      <c r="B804" t="inlineStr">
        <is>
          <t>avverkningsanmälan</t>
        </is>
      </c>
      <c r="C804" t="inlineStr">
        <is>
          <t>Föryngringsavverkning</t>
        </is>
      </c>
      <c r="D804" s="1" t="n">
        <v>46154</v>
      </c>
      <c r="E804" s="1" t="n">
        <v>46223</v>
      </c>
      <c r="F804" t="inlineStr">
        <is>
          <t>VÄSTERBOTTENS LÄN</t>
        </is>
      </c>
      <c r="G804" t="inlineStr">
        <is>
          <t>UMEÅ</t>
        </is>
      </c>
      <c r="I804" t="n">
        <v>8.800000000000001</v>
      </c>
      <c r="J804" t="n">
        <v>0</v>
      </c>
      <c r="K804" t="n">
        <v>0</v>
      </c>
      <c r="L804" t="n">
        <v>0</v>
      </c>
      <c r="M804" t="n">
        <v>0</v>
      </c>
      <c r="N804" t="n">
        <v>0</v>
      </c>
      <c r="O804" t="n">
        <v>0</v>
      </c>
      <c r="P804" t="n">
        <v>0</v>
      </c>
      <c r="Q804" t="n">
        <v>0</v>
      </c>
      <c r="R804" t="n">
        <v>0</v>
      </c>
      <c r="S804" t="n">
        <v>0</v>
      </c>
      <c r="T804" t="n">
        <v>0</v>
      </c>
      <c r="U804" s="2" t="inlineStr"/>
    </row>
    <row r="805" ht="15" customHeight="1">
      <c r="A805" t="inlineStr">
        <is>
          <t>A 26861-2024</t>
        </is>
      </c>
      <c r="B805" t="inlineStr">
        <is>
          <t>avverkningsanmälan</t>
        </is>
      </c>
      <c r="C805" t="inlineStr">
        <is>
          <t>Avverkning för annat ändamål</t>
        </is>
      </c>
      <c r="D805" s="1" t="n">
        <v>45470</v>
      </c>
      <c r="E805" s="1" t="n">
        <v>46223</v>
      </c>
      <c r="F805" t="inlineStr">
        <is>
          <t>VÄSTERBOTTENS LÄN</t>
        </is>
      </c>
      <c r="G805" t="inlineStr">
        <is>
          <t>UMEÅ</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22242-2026</t>
        </is>
      </c>
      <c r="B806" t="inlineStr">
        <is>
          <t>avverkningsanmälan</t>
        </is>
      </c>
      <c r="C806" t="inlineStr">
        <is>
          <t>Föryngringsavverkning</t>
        </is>
      </c>
      <c r="D806" s="1" t="n">
        <v>46154</v>
      </c>
      <c r="E806" s="1" t="n">
        <v>46223</v>
      </c>
      <c r="F806" t="inlineStr">
        <is>
          <t>VÄSTERBOTTENS LÄN</t>
        </is>
      </c>
      <c r="G806" t="inlineStr">
        <is>
          <t>UMEÅ</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28143-2026</t>
        </is>
      </c>
      <c r="B807" t="inlineStr">
        <is>
          <t>avverkningsanmälan</t>
        </is>
      </c>
      <c r="C807" t="inlineStr">
        <is>
          <t>Föryngringsavverkning</t>
        </is>
      </c>
      <c r="D807" s="1" t="n">
        <v>46195</v>
      </c>
      <c r="E807" s="1" t="n">
        <v>46223</v>
      </c>
      <c r="F807" t="inlineStr">
        <is>
          <t>VÄSTERBOTTENS LÄN</t>
        </is>
      </c>
      <c r="G807" t="inlineStr">
        <is>
          <t>UMEÅ</t>
        </is>
      </c>
      <c r="I807" t="n">
        <v>8</v>
      </c>
      <c r="J807" t="n">
        <v>0</v>
      </c>
      <c r="K807" t="n">
        <v>0</v>
      </c>
      <c r="L807" t="n">
        <v>0</v>
      </c>
      <c r="M807" t="n">
        <v>0</v>
      </c>
      <c r="N807" t="n">
        <v>0</v>
      </c>
      <c r="O807" t="n">
        <v>0</v>
      </c>
      <c r="P807" t="n">
        <v>0</v>
      </c>
      <c r="Q807" t="n">
        <v>0</v>
      </c>
      <c r="R807" t="n">
        <v>0</v>
      </c>
      <c r="S807" t="n">
        <v>0</v>
      </c>
      <c r="T807" t="n">
        <v>0</v>
      </c>
      <c r="U807" s="2" t="inlineStr"/>
    </row>
    <row r="808" ht="15" customHeight="1">
      <c r="A808" t="inlineStr">
        <is>
          <t>A 57914-2022</t>
        </is>
      </c>
      <c r="B808" t="inlineStr">
        <is>
          <t>avverkningsanmälan</t>
        </is>
      </c>
      <c r="C808" t="inlineStr">
        <is>
          <t>Föryngringsavverkning</t>
        </is>
      </c>
      <c r="D808" s="1" t="n">
        <v>44900</v>
      </c>
      <c r="E808" s="1" t="n">
        <v>46223</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22439-2026</t>
        </is>
      </c>
      <c r="B809" t="inlineStr">
        <is>
          <t>avverkningsanmälan</t>
        </is>
      </c>
      <c r="C809" t="inlineStr">
        <is>
          <t>Föryngringsavverkning</t>
        </is>
      </c>
      <c r="D809" s="1" t="n">
        <v>46155</v>
      </c>
      <c r="E809" s="1" t="n">
        <v>46223</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27823-2026</t>
        </is>
      </c>
      <c r="B810" t="inlineStr">
        <is>
          <t>avverkningsanmälan</t>
        </is>
      </c>
      <c r="C810" t="inlineStr">
        <is>
          <t>Föryngringsavverkning</t>
        </is>
      </c>
      <c r="D810" s="1" t="n">
        <v>46191</v>
      </c>
      <c r="E810" s="1" t="n">
        <v>46223</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28745-2026</t>
        </is>
      </c>
      <c r="B811" t="inlineStr">
        <is>
          <t>avverkningsanmälan</t>
        </is>
      </c>
      <c r="C811" t="inlineStr">
        <is>
          <t>Föryngringsavverkning</t>
        </is>
      </c>
      <c r="D811" s="1" t="n">
        <v>46198</v>
      </c>
      <c r="E811" s="1" t="n">
        <v>46223</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28753-2026</t>
        </is>
      </c>
      <c r="B812" t="inlineStr">
        <is>
          <t>avverkningsanmälan</t>
        </is>
      </c>
      <c r="C812" t="inlineStr">
        <is>
          <t>Föryngringsavverkning</t>
        </is>
      </c>
      <c r="D812" s="1" t="n">
        <v>46198</v>
      </c>
      <c r="E812" s="1" t="n">
        <v>46223</v>
      </c>
      <c r="F812" t="inlineStr">
        <is>
          <t>VÄSTERBOTTENS LÄN</t>
        </is>
      </c>
      <c r="G812" t="inlineStr">
        <is>
          <t>UMEÅ</t>
        </is>
      </c>
      <c r="I812" t="n">
        <v>3.2</v>
      </c>
      <c r="J812" t="n">
        <v>0</v>
      </c>
      <c r="K812" t="n">
        <v>0</v>
      </c>
      <c r="L812" t="n">
        <v>0</v>
      </c>
      <c r="M812" t="n">
        <v>0</v>
      </c>
      <c r="N812" t="n">
        <v>0</v>
      </c>
      <c r="O812" t="n">
        <v>0</v>
      </c>
      <c r="P812" t="n">
        <v>0</v>
      </c>
      <c r="Q812" t="n">
        <v>0</v>
      </c>
      <c r="R812" t="n">
        <v>0</v>
      </c>
      <c r="S812" t="n">
        <v>0</v>
      </c>
      <c r="T812" t="n">
        <v>0</v>
      </c>
      <c r="U812" s="2" t="inlineStr"/>
    </row>
    <row r="813" ht="15" customHeight="1">
      <c r="A813" t="inlineStr">
        <is>
          <t>A 28711-2026</t>
        </is>
      </c>
      <c r="B813" t="inlineStr">
        <is>
          <t>avverkningsanmälan</t>
        </is>
      </c>
      <c r="C813" t="inlineStr">
        <is>
          <t>Föryngringsavverkning</t>
        </is>
      </c>
      <c r="D813" s="1" t="n">
        <v>46198</v>
      </c>
      <c r="E813" s="1" t="n">
        <v>46223</v>
      </c>
      <c r="F813" t="inlineStr">
        <is>
          <t>VÄSTERBOTTENS LÄN</t>
        </is>
      </c>
      <c r="G813" t="inlineStr">
        <is>
          <t>UMEÅ</t>
        </is>
      </c>
      <c r="H813" t="inlineStr">
        <is>
          <t>Holmen skog AB</t>
        </is>
      </c>
      <c r="I813" t="n">
        <v>5.2</v>
      </c>
      <c r="J813" t="n">
        <v>0</v>
      </c>
      <c r="K813" t="n">
        <v>0</v>
      </c>
      <c r="L813" t="n">
        <v>0</v>
      </c>
      <c r="M813" t="n">
        <v>0</v>
      </c>
      <c r="N813" t="n">
        <v>0</v>
      </c>
      <c r="O813" t="n">
        <v>0</v>
      </c>
      <c r="P813" t="n">
        <v>0</v>
      </c>
      <c r="Q813" t="n">
        <v>0</v>
      </c>
      <c r="R813" t="n">
        <v>0</v>
      </c>
      <c r="S813" t="n">
        <v>0</v>
      </c>
      <c r="T813" t="n">
        <v>0</v>
      </c>
      <c r="U813" s="2" t="inlineStr"/>
    </row>
    <row r="814" ht="15" customHeight="1">
      <c r="A814" t="inlineStr">
        <is>
          <t>A 28826-2026</t>
        </is>
      </c>
      <c r="B814" t="inlineStr">
        <is>
          <t>avverkningsanmälan</t>
        </is>
      </c>
      <c r="C814" t="inlineStr">
        <is>
          <t>Föryngringsavverkning</t>
        </is>
      </c>
      <c r="D814" s="1" t="n">
        <v>46198</v>
      </c>
      <c r="E814" s="1" t="n">
        <v>46223</v>
      </c>
      <c r="F814" t="inlineStr">
        <is>
          <t>VÄSTERBOTTENS LÄN</t>
        </is>
      </c>
      <c r="G814" t="inlineStr">
        <is>
          <t>UMEÅ</t>
        </is>
      </c>
      <c r="I814" t="n">
        <v>8.699999999999999</v>
      </c>
      <c r="J814" t="n">
        <v>0</v>
      </c>
      <c r="K814" t="n">
        <v>0</v>
      </c>
      <c r="L814" t="n">
        <v>0</v>
      </c>
      <c r="M814" t="n">
        <v>0</v>
      </c>
      <c r="N814" t="n">
        <v>0</v>
      </c>
      <c r="O814" t="n">
        <v>0</v>
      </c>
      <c r="P814" t="n">
        <v>0</v>
      </c>
      <c r="Q814" t="n">
        <v>0</v>
      </c>
      <c r="R814" t="n">
        <v>0</v>
      </c>
      <c r="S814" t="n">
        <v>0</v>
      </c>
      <c r="T814" t="n">
        <v>0</v>
      </c>
      <c r="U814" s="2" t="inlineStr"/>
    </row>
    <row r="815" ht="15" customHeight="1">
      <c r="A815" t="inlineStr">
        <is>
          <t>A 27004-2026</t>
        </is>
      </c>
      <c r="B815" t="inlineStr">
        <is>
          <t>avverkningsanmälan</t>
        </is>
      </c>
      <c r="C815" t="inlineStr">
        <is>
          <t>Föryngringsavverkning</t>
        </is>
      </c>
      <c r="D815" s="1" t="n">
        <v>46185</v>
      </c>
      <c r="E815" s="1" t="n">
        <v>46223</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s="2" t="inlineStr"/>
    </row>
    <row r="816" ht="15" customHeight="1">
      <c r="A816" t="inlineStr">
        <is>
          <t>A 28786-2026</t>
        </is>
      </c>
      <c r="B816" t="inlineStr">
        <is>
          <t>avverkningsanmälan</t>
        </is>
      </c>
      <c r="C816" t="inlineStr">
        <is>
          <t>Föryngringsavverkning</t>
        </is>
      </c>
      <c r="D816" s="1" t="n">
        <v>46198</v>
      </c>
      <c r="E816" s="1" t="n">
        <v>46223</v>
      </c>
      <c r="F816" t="inlineStr">
        <is>
          <t>VÄSTERBOTTENS LÄN</t>
        </is>
      </c>
      <c r="G816" t="inlineStr">
        <is>
          <t>UMEÅ</t>
        </is>
      </c>
      <c r="I816" t="n">
        <v>4.6</v>
      </c>
      <c r="J816" t="n">
        <v>0</v>
      </c>
      <c r="K816" t="n">
        <v>0</v>
      </c>
      <c r="L816" t="n">
        <v>0</v>
      </c>
      <c r="M816" t="n">
        <v>0</v>
      </c>
      <c r="N816" t="n">
        <v>0</v>
      </c>
      <c r="O816" t="n">
        <v>0</v>
      </c>
      <c r="P816" t="n">
        <v>0</v>
      </c>
      <c r="Q816" t="n">
        <v>0</v>
      </c>
      <c r="R816" t="n">
        <v>0</v>
      </c>
      <c r="S816" t="n">
        <v>0</v>
      </c>
      <c r="T816" t="n">
        <v>0</v>
      </c>
      <c r="U816" s="2" t="inlineStr"/>
    </row>
    <row r="817" ht="15" customHeight="1">
      <c r="A817" t="inlineStr">
        <is>
          <t>A 9671-2024</t>
        </is>
      </c>
      <c r="B817" t="inlineStr">
        <is>
          <t>avverkningsanmälan</t>
        </is>
      </c>
      <c r="C817" t="inlineStr">
        <is>
          <t>Föryngringsavverkning</t>
        </is>
      </c>
      <c r="D817" s="1" t="n">
        <v>45362</v>
      </c>
      <c r="E817" s="1" t="n">
        <v>46223</v>
      </c>
      <c r="F817" t="inlineStr">
        <is>
          <t>VÄSTERBOTTENS LÄN</t>
        </is>
      </c>
      <c r="G817" t="inlineStr">
        <is>
          <t>UMEÅ</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62106-2022</t>
        </is>
      </c>
      <c r="B818" t="inlineStr">
        <is>
          <t>avverkningsanmälan</t>
        </is>
      </c>
      <c r="C818" t="inlineStr">
        <is>
          <t>Föryngringsavverkning</t>
        </is>
      </c>
      <c r="D818" s="1" t="n">
        <v>44920</v>
      </c>
      <c r="E818" s="1" t="n">
        <v>46223</v>
      </c>
      <c r="F818" t="inlineStr">
        <is>
          <t>VÄSTERBOTTENS LÄN</t>
        </is>
      </c>
      <c r="G818" t="inlineStr">
        <is>
          <t>UMEÅ</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54321-2025</t>
        </is>
      </c>
      <c r="B819" t="inlineStr">
        <is>
          <t>avverkningsanmälan</t>
        </is>
      </c>
      <c r="C819" t="inlineStr">
        <is>
          <t>Föryngringsavverkning</t>
        </is>
      </c>
      <c r="D819" s="1" t="n">
        <v>45965</v>
      </c>
      <c r="E819" s="1" t="n">
        <v>46223</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7384-2022</t>
        </is>
      </c>
      <c r="B820" t="inlineStr">
        <is>
          <t>avverkningsanmälan</t>
        </is>
      </c>
      <c r="C820" t="inlineStr">
        <is>
          <t>Föryngringsavverkning</t>
        </is>
      </c>
      <c r="D820" s="1" t="n">
        <v>44606</v>
      </c>
      <c r="E820" s="1" t="n">
        <v>46223</v>
      </c>
      <c r="F820" t="inlineStr">
        <is>
          <t>VÄSTERBOTTENS LÄN</t>
        </is>
      </c>
      <c r="G820" t="inlineStr">
        <is>
          <t>UMEÅ</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22708-2026</t>
        </is>
      </c>
      <c r="B821" t="inlineStr">
        <is>
          <t>avverkningsanmälan</t>
        </is>
      </c>
      <c r="C821" t="inlineStr">
        <is>
          <t>Föryngringsavverkning</t>
        </is>
      </c>
      <c r="D821" s="1" t="n">
        <v>46156</v>
      </c>
      <c r="E821" s="1" t="n">
        <v>46223</v>
      </c>
      <c r="F821" t="inlineStr">
        <is>
          <t>VÄSTERBOTTENS LÄN</t>
        </is>
      </c>
      <c r="G821" t="inlineStr">
        <is>
          <t>UMEÅ</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28107-2026</t>
        </is>
      </c>
      <c r="B822" t="inlineStr">
        <is>
          <t>avverkningsanmälan</t>
        </is>
      </c>
      <c r="C822" t="inlineStr">
        <is>
          <t>Föryngringsavverkning</t>
        </is>
      </c>
      <c r="D822" s="1" t="n">
        <v>46195</v>
      </c>
      <c r="E822" s="1" t="n">
        <v>46223</v>
      </c>
      <c r="F822" t="inlineStr">
        <is>
          <t>VÄSTERBOTTENS LÄN</t>
        </is>
      </c>
      <c r="G822" t="inlineStr">
        <is>
          <t>UMEÅ</t>
        </is>
      </c>
      <c r="I822" t="n">
        <v>5.5</v>
      </c>
      <c r="J822" t="n">
        <v>0</v>
      </c>
      <c r="K822" t="n">
        <v>0</v>
      </c>
      <c r="L822" t="n">
        <v>0</v>
      </c>
      <c r="M822" t="n">
        <v>0</v>
      </c>
      <c r="N822" t="n">
        <v>0</v>
      </c>
      <c r="O822" t="n">
        <v>0</v>
      </c>
      <c r="P822" t="n">
        <v>0</v>
      </c>
      <c r="Q822" t="n">
        <v>0</v>
      </c>
      <c r="R822" t="n">
        <v>0</v>
      </c>
      <c r="S822" t="n">
        <v>0</v>
      </c>
      <c r="T822" t="n">
        <v>0</v>
      </c>
      <c r="U822" s="2" t="inlineStr"/>
    </row>
    <row r="823" ht="15" customHeight="1">
      <c r="A823" t="inlineStr">
        <is>
          <t>A 52900-2023</t>
        </is>
      </c>
      <c r="B823" t="inlineStr">
        <is>
          <t>avverkningsanmälan</t>
        </is>
      </c>
      <c r="C823" t="inlineStr">
        <is>
          <t>Föryngringsavverkning</t>
        </is>
      </c>
      <c r="D823" s="1" t="n">
        <v>45226</v>
      </c>
      <c r="E823" s="1" t="n">
        <v>46223</v>
      </c>
      <c r="F823" t="inlineStr">
        <is>
          <t>VÄSTERBOTTENS LÄN</t>
        </is>
      </c>
      <c r="G823" t="inlineStr">
        <is>
          <t>UMEÅ</t>
        </is>
      </c>
      <c r="H823" t="inlineStr">
        <is>
          <t>Holmen skog AB</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3411-2023</t>
        </is>
      </c>
      <c r="B824" t="inlineStr">
        <is>
          <t>avverkningsanmälan</t>
        </is>
      </c>
      <c r="C824" t="inlineStr">
        <is>
          <t>Föryngringsavverkning</t>
        </is>
      </c>
      <c r="D824" s="1" t="n">
        <v>44949</v>
      </c>
      <c r="E824" s="1" t="n">
        <v>46223</v>
      </c>
      <c r="F824" t="inlineStr">
        <is>
          <t>VÄSTERBOTTENS LÄN</t>
        </is>
      </c>
      <c r="G824" t="inlineStr">
        <is>
          <t>UMEÅ</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42010-2024</t>
        </is>
      </c>
      <c r="B825" t="inlineStr">
        <is>
          <t>avverkningsanmälan</t>
        </is>
      </c>
      <c r="C825" t="inlineStr">
        <is>
          <t>Föryngringsavverkning</t>
        </is>
      </c>
      <c r="D825" s="1" t="n">
        <v>45561</v>
      </c>
      <c r="E825" s="1" t="n">
        <v>46223</v>
      </c>
      <c r="F825" t="inlineStr">
        <is>
          <t>VÄSTERBOTTENS LÄN</t>
        </is>
      </c>
      <c r="G825" t="inlineStr">
        <is>
          <t>UMEÅ</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8409-2022</t>
        </is>
      </c>
      <c r="B826" t="inlineStr">
        <is>
          <t>avverkningsanmälan</t>
        </is>
      </c>
      <c r="C826" t="inlineStr">
        <is>
          <t>Föryngringsavverkning</t>
        </is>
      </c>
      <c r="D826" s="1" t="n">
        <v>44610</v>
      </c>
      <c r="E826" s="1" t="n">
        <v>46223</v>
      </c>
      <c r="F826" t="inlineStr">
        <is>
          <t>VÄSTERBOTTENS LÄN</t>
        </is>
      </c>
      <c r="G826" t="inlineStr">
        <is>
          <t>UMEÅ</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22957-2026</t>
        </is>
      </c>
      <c r="B827" t="inlineStr">
        <is>
          <t>avverkningsanmälan</t>
        </is>
      </c>
      <c r="C827" t="inlineStr">
        <is>
          <t>Föryngringsavverkning</t>
        </is>
      </c>
      <c r="D827" s="1" t="n">
        <v>46160</v>
      </c>
      <c r="E827" s="1" t="n">
        <v>46223</v>
      </c>
      <c r="F827" t="inlineStr">
        <is>
          <t>VÄSTERBOTTENS LÄN</t>
        </is>
      </c>
      <c r="G827" t="inlineStr">
        <is>
          <t>UMEÅ</t>
        </is>
      </c>
      <c r="H827" t="inlineStr">
        <is>
          <t>Holmen skog AB</t>
        </is>
      </c>
      <c r="I827" t="n">
        <v>2.6</v>
      </c>
      <c r="J827" t="n">
        <v>0</v>
      </c>
      <c r="K827" t="n">
        <v>0</v>
      </c>
      <c r="L827" t="n">
        <v>0</v>
      </c>
      <c r="M827" t="n">
        <v>0</v>
      </c>
      <c r="N827" t="n">
        <v>0</v>
      </c>
      <c r="O827" t="n">
        <v>0</v>
      </c>
      <c r="P827" t="n">
        <v>0</v>
      </c>
      <c r="Q827" t="n">
        <v>0</v>
      </c>
      <c r="R827" t="n">
        <v>0</v>
      </c>
      <c r="S827" t="n">
        <v>0</v>
      </c>
      <c r="T827" t="n">
        <v>0</v>
      </c>
      <c r="U827" s="2" t="inlineStr"/>
    </row>
    <row r="828" ht="15" customHeight="1">
      <c r="A828" t="inlineStr">
        <is>
          <t>A 6998-2024</t>
        </is>
      </c>
      <c r="B828" t="inlineStr">
        <is>
          <t>avverkningsanmälan</t>
        </is>
      </c>
      <c r="C828" t="inlineStr">
        <is>
          <t>Föryngringsavverkning</t>
        </is>
      </c>
      <c r="D828" s="1" t="n">
        <v>45343</v>
      </c>
      <c r="E828" s="1" t="n">
        <v>46223</v>
      </c>
      <c r="F828" t="inlineStr">
        <is>
          <t>VÄSTERBOTTENS LÄN</t>
        </is>
      </c>
      <c r="G828" t="inlineStr">
        <is>
          <t>UMEÅ</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17484-2022</t>
        </is>
      </c>
      <c r="B829" t="inlineStr">
        <is>
          <t>avverkningsanmälan</t>
        </is>
      </c>
      <c r="C829" t="inlineStr">
        <is>
          <t>Föryngringsavverkning</t>
        </is>
      </c>
      <c r="D829" s="1" t="n">
        <v>44679</v>
      </c>
      <c r="E829" s="1" t="n">
        <v>46223</v>
      </c>
      <c r="F829" t="inlineStr">
        <is>
          <t>VÄSTERBOTTENS LÄN</t>
        </is>
      </c>
      <c r="G829" t="inlineStr">
        <is>
          <t>UMEÅ</t>
        </is>
      </c>
      <c r="I829" t="n">
        <v>1.7</v>
      </c>
      <c r="J829" t="n">
        <v>0</v>
      </c>
      <c r="K829" t="n">
        <v>0</v>
      </c>
      <c r="L829" t="n">
        <v>0</v>
      </c>
      <c r="M829" t="n">
        <v>0</v>
      </c>
      <c r="N829" t="n">
        <v>0</v>
      </c>
      <c r="O829" t="n">
        <v>0</v>
      </c>
      <c r="P829" t="n">
        <v>0</v>
      </c>
      <c r="Q829" t="n">
        <v>0</v>
      </c>
      <c r="R829" t="n">
        <v>0</v>
      </c>
      <c r="S829" t="n">
        <v>0</v>
      </c>
      <c r="T829" t="n">
        <v>0</v>
      </c>
      <c r="U829" s="2" t="inlineStr"/>
    </row>
    <row r="830" ht="15" customHeight="1">
      <c r="A830" t="inlineStr">
        <is>
          <t>A 22894-2026</t>
        </is>
      </c>
      <c r="B830" t="inlineStr">
        <is>
          <t>avverkningsanmälan</t>
        </is>
      </c>
      <c r="C830" t="inlineStr">
        <is>
          <t>Föryngringsavverkning</t>
        </is>
      </c>
      <c r="D830" s="1" t="n">
        <v>46160</v>
      </c>
      <c r="E830" s="1" t="n">
        <v>46223</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41176-2025</t>
        </is>
      </c>
      <c r="B831" t="inlineStr">
        <is>
          <t>avverkningsanmälan</t>
        </is>
      </c>
      <c r="C831" t="inlineStr">
        <is>
          <t>Föryngringsavverkning</t>
        </is>
      </c>
      <c r="D831" s="1" t="n">
        <v>45898</v>
      </c>
      <c r="E831" s="1" t="n">
        <v>46223</v>
      </c>
      <c r="F831" t="inlineStr">
        <is>
          <t>VÄSTERBOTTENS LÄN</t>
        </is>
      </c>
      <c r="G831" t="inlineStr">
        <is>
          <t>UMEÅ</t>
        </is>
      </c>
      <c r="I831" t="n">
        <v>4.3</v>
      </c>
      <c r="J831" t="n">
        <v>0</v>
      </c>
      <c r="K831" t="n">
        <v>0</v>
      </c>
      <c r="L831" t="n">
        <v>0</v>
      </c>
      <c r="M831" t="n">
        <v>0</v>
      </c>
      <c r="N831" t="n">
        <v>0</v>
      </c>
      <c r="O831" t="n">
        <v>0</v>
      </c>
      <c r="P831" t="n">
        <v>0</v>
      </c>
      <c r="Q831" t="n">
        <v>0</v>
      </c>
      <c r="R831" t="n">
        <v>0</v>
      </c>
      <c r="S831" t="n">
        <v>0</v>
      </c>
      <c r="T831" t="n">
        <v>0</v>
      </c>
      <c r="U831" s="2" t="inlineStr"/>
    </row>
    <row r="832" ht="15" customHeight="1">
      <c r="A832" t="inlineStr">
        <is>
          <t>A 60645-2023</t>
        </is>
      </c>
      <c r="B832" t="inlineStr">
        <is>
          <t>avverkningsanmälan</t>
        </is>
      </c>
      <c r="C832" t="inlineStr">
        <is>
          <t>Föryngringsavverkning</t>
        </is>
      </c>
      <c r="D832" s="1" t="n">
        <v>45260</v>
      </c>
      <c r="E832" s="1" t="n">
        <v>46223</v>
      </c>
      <c r="F832" t="inlineStr">
        <is>
          <t>VÄSTERBOTTENS LÄN</t>
        </is>
      </c>
      <c r="G832" t="inlineStr">
        <is>
          <t>UMEÅ</t>
        </is>
      </c>
      <c r="I832" t="n">
        <v>2.5</v>
      </c>
      <c r="J832" t="n">
        <v>0</v>
      </c>
      <c r="K832" t="n">
        <v>0</v>
      </c>
      <c r="L832" t="n">
        <v>0</v>
      </c>
      <c r="M832" t="n">
        <v>0</v>
      </c>
      <c r="N832" t="n">
        <v>0</v>
      </c>
      <c r="O832" t="n">
        <v>0</v>
      </c>
      <c r="P832" t="n">
        <v>0</v>
      </c>
      <c r="Q832" t="n">
        <v>0</v>
      </c>
      <c r="R832" t="n">
        <v>0</v>
      </c>
      <c r="S832" t="n">
        <v>0</v>
      </c>
      <c r="T832" t="n">
        <v>0</v>
      </c>
      <c r="U832" s="2" t="inlineStr"/>
    </row>
    <row r="833" ht="15" customHeight="1">
      <c r="A833" t="inlineStr">
        <is>
          <t>A 23112-2026</t>
        </is>
      </c>
      <c r="B833" t="inlineStr">
        <is>
          <t>avverkningsanmälan</t>
        </is>
      </c>
      <c r="C833" t="inlineStr">
        <is>
          <t>Föryngringsavverkning</t>
        </is>
      </c>
      <c r="D833" s="1" t="n">
        <v>46161</v>
      </c>
      <c r="E833" s="1" t="n">
        <v>46223</v>
      </c>
      <c r="F833" t="inlineStr">
        <is>
          <t>VÄSTERBOTTENS LÄN</t>
        </is>
      </c>
      <c r="G833" t="inlineStr">
        <is>
          <t>UMEÅ</t>
        </is>
      </c>
      <c r="H833" t="inlineStr">
        <is>
          <t>Holmen skog AB</t>
        </is>
      </c>
      <c r="I833" t="n">
        <v>32.5</v>
      </c>
      <c r="J833" t="n">
        <v>0</v>
      </c>
      <c r="K833" t="n">
        <v>0</v>
      </c>
      <c r="L833" t="n">
        <v>0</v>
      </c>
      <c r="M833" t="n">
        <v>0</v>
      </c>
      <c r="N833" t="n">
        <v>0</v>
      </c>
      <c r="O833" t="n">
        <v>0</v>
      </c>
      <c r="P833" t="n">
        <v>0</v>
      </c>
      <c r="Q833" t="n">
        <v>0</v>
      </c>
      <c r="R833" t="n">
        <v>0</v>
      </c>
      <c r="S833" t="n">
        <v>0</v>
      </c>
      <c r="T833" t="n">
        <v>0</v>
      </c>
      <c r="U833" s="2" t="inlineStr"/>
    </row>
    <row r="834" ht="15" customHeight="1">
      <c r="A834" t="inlineStr">
        <is>
          <t>A 42000-2024</t>
        </is>
      </c>
      <c r="B834" t="inlineStr">
        <is>
          <t>avverkningsanmälan</t>
        </is>
      </c>
      <c r="C834" t="inlineStr">
        <is>
          <t>Föryngringsavverkning</t>
        </is>
      </c>
      <c r="D834" s="1" t="n">
        <v>45561</v>
      </c>
      <c r="E834" s="1" t="n">
        <v>46223</v>
      </c>
      <c r="F834" t="inlineStr">
        <is>
          <t>VÄSTERBOTTENS LÄN</t>
        </is>
      </c>
      <c r="G834" t="inlineStr">
        <is>
          <t>UMEÅ</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23021-2026</t>
        </is>
      </c>
      <c r="B835" t="inlineStr">
        <is>
          <t>avverkningsanmälan</t>
        </is>
      </c>
      <c r="C835" t="inlineStr">
        <is>
          <t>Föryngringsavverkning</t>
        </is>
      </c>
      <c r="D835" s="1" t="n">
        <v>46161</v>
      </c>
      <c r="E835" s="1" t="n">
        <v>46223</v>
      </c>
      <c r="F835" t="inlineStr">
        <is>
          <t>VÄSTERBOTTENS LÄN</t>
        </is>
      </c>
      <c r="G835" t="inlineStr">
        <is>
          <t>UMEÅ</t>
        </is>
      </c>
      <c r="I835" t="n">
        <v>5</v>
      </c>
      <c r="J835" t="n">
        <v>0</v>
      </c>
      <c r="K835" t="n">
        <v>0</v>
      </c>
      <c r="L835" t="n">
        <v>0</v>
      </c>
      <c r="M835" t="n">
        <v>0</v>
      </c>
      <c r="N835" t="n">
        <v>0</v>
      </c>
      <c r="O835" t="n">
        <v>0</v>
      </c>
      <c r="P835" t="n">
        <v>0</v>
      </c>
      <c r="Q835" t="n">
        <v>0</v>
      </c>
      <c r="R835" t="n">
        <v>0</v>
      </c>
      <c r="S835" t="n">
        <v>0</v>
      </c>
      <c r="T835" t="n">
        <v>0</v>
      </c>
      <c r="U835" s="2" t="inlineStr"/>
    </row>
    <row r="836" ht="15" customHeight="1">
      <c r="A836" t="inlineStr">
        <is>
          <t>A 23109-2026</t>
        </is>
      </c>
      <c r="B836" t="inlineStr">
        <is>
          <t>avverkningsanmälan</t>
        </is>
      </c>
      <c r="C836" t="inlineStr">
        <is>
          <t>Föryngringsavverkning</t>
        </is>
      </c>
      <c r="D836" s="1" t="n">
        <v>46161</v>
      </c>
      <c r="E836" s="1" t="n">
        <v>46223</v>
      </c>
      <c r="F836" t="inlineStr">
        <is>
          <t>VÄSTERBOTTENS LÄN</t>
        </is>
      </c>
      <c r="G836" t="inlineStr">
        <is>
          <t>UMEÅ</t>
        </is>
      </c>
      <c r="H836" t="inlineStr">
        <is>
          <t>Holmen skog AB</t>
        </is>
      </c>
      <c r="I836" t="n">
        <v>4.1</v>
      </c>
      <c r="J836" t="n">
        <v>0</v>
      </c>
      <c r="K836" t="n">
        <v>0</v>
      </c>
      <c r="L836" t="n">
        <v>0</v>
      </c>
      <c r="M836" t="n">
        <v>0</v>
      </c>
      <c r="N836" t="n">
        <v>0</v>
      </c>
      <c r="O836" t="n">
        <v>0</v>
      </c>
      <c r="P836" t="n">
        <v>0</v>
      </c>
      <c r="Q836" t="n">
        <v>0</v>
      </c>
      <c r="R836" t="n">
        <v>0</v>
      </c>
      <c r="S836" t="n">
        <v>0</v>
      </c>
      <c r="T836" t="n">
        <v>0</v>
      </c>
      <c r="U836" s="2" t="inlineStr"/>
    </row>
    <row r="837" ht="15" customHeight="1">
      <c r="A837" t="inlineStr">
        <is>
          <t>A 29702-2026</t>
        </is>
      </c>
      <c r="B837" t="inlineStr">
        <is>
          <t>avverkningsanmälan</t>
        </is>
      </c>
      <c r="C837" t="inlineStr">
        <is>
          <t>Föryngringsavverkning</t>
        </is>
      </c>
      <c r="D837" s="1" t="n">
        <v>46204</v>
      </c>
      <c r="E837" s="1" t="n">
        <v>46223</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26872-2022</t>
        </is>
      </c>
      <c r="B838" t="inlineStr">
        <is>
          <t>avverkningsanmälan</t>
        </is>
      </c>
      <c r="C838" t="inlineStr">
        <is>
          <t>Avverkning för annat ändamål</t>
        </is>
      </c>
      <c r="D838" s="1" t="n">
        <v>44740</v>
      </c>
      <c r="E838" s="1" t="n">
        <v>46223</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9924-2022</t>
        </is>
      </c>
      <c r="B839" t="inlineStr">
        <is>
          <t>avverkningsanmälan</t>
        </is>
      </c>
      <c r="C839" t="inlineStr">
        <is>
          <t>Föryngringsavverkning</t>
        </is>
      </c>
      <c r="D839" s="1" t="n">
        <v>44620</v>
      </c>
      <c r="E839" s="1" t="n">
        <v>46223</v>
      </c>
      <c r="F839" t="inlineStr">
        <is>
          <t>VÄSTERBOTTENS LÄN</t>
        </is>
      </c>
      <c r="G839" t="inlineStr">
        <is>
          <t>UMEÅ</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44132-2022</t>
        </is>
      </c>
      <c r="B840" t="inlineStr">
        <is>
          <t>avverkningsanmälan</t>
        </is>
      </c>
      <c r="C840" t="inlineStr">
        <is>
          <t>Föryngringsavverkning</t>
        </is>
      </c>
      <c r="D840" s="1" t="n">
        <v>44839</v>
      </c>
      <c r="E840" s="1" t="n">
        <v>46223</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23163-2026</t>
        </is>
      </c>
      <c r="B841" t="inlineStr">
        <is>
          <t>avverkningsanmälan</t>
        </is>
      </c>
      <c r="C841" t="inlineStr">
        <is>
          <t>Föryngringsavverkning</t>
        </is>
      </c>
      <c r="D841" s="1" t="n">
        <v>46161</v>
      </c>
      <c r="E841" s="1" t="n">
        <v>46223</v>
      </c>
      <c r="F841" t="inlineStr">
        <is>
          <t>VÄSTERBOTTENS LÄN</t>
        </is>
      </c>
      <c r="G841" t="inlineStr">
        <is>
          <t>UMEÅ</t>
        </is>
      </c>
      <c r="H841" t="inlineStr">
        <is>
          <t>Holmen skog AB</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23313-2026</t>
        </is>
      </c>
      <c r="B842" t="inlineStr">
        <is>
          <t>avverkningsanmälan</t>
        </is>
      </c>
      <c r="C842" t="inlineStr">
        <is>
          <t>Föryngringsavverkning</t>
        </is>
      </c>
      <c r="D842" s="1" t="n">
        <v>46162</v>
      </c>
      <c r="E842" s="1" t="n">
        <v>46223</v>
      </c>
      <c r="F842" t="inlineStr">
        <is>
          <t>VÄSTERBOTTENS LÄN</t>
        </is>
      </c>
      <c r="G842" t="inlineStr">
        <is>
          <t>UMEÅ</t>
        </is>
      </c>
      <c r="I842" t="n">
        <v>9.1</v>
      </c>
      <c r="J842" t="n">
        <v>0</v>
      </c>
      <c r="K842" t="n">
        <v>0</v>
      </c>
      <c r="L842" t="n">
        <v>0</v>
      </c>
      <c r="M842" t="n">
        <v>0</v>
      </c>
      <c r="N842" t="n">
        <v>0</v>
      </c>
      <c r="O842" t="n">
        <v>0</v>
      </c>
      <c r="P842" t="n">
        <v>0</v>
      </c>
      <c r="Q842" t="n">
        <v>0</v>
      </c>
      <c r="R842" t="n">
        <v>0</v>
      </c>
      <c r="S842" t="n">
        <v>0</v>
      </c>
      <c r="T842" t="n">
        <v>0</v>
      </c>
      <c r="U842" s="2" t="inlineStr"/>
    </row>
    <row r="843" ht="15" customHeight="1">
      <c r="A843" t="inlineStr">
        <is>
          <t>A 23025-2026</t>
        </is>
      </c>
      <c r="B843" t="inlineStr">
        <is>
          <t>avverkningsanmälan</t>
        </is>
      </c>
      <c r="C843" t="inlineStr">
        <is>
          <t>Föryngringsavverkning</t>
        </is>
      </c>
      <c r="D843" s="1" t="n">
        <v>46161</v>
      </c>
      <c r="E843" s="1" t="n">
        <v>46223</v>
      </c>
      <c r="F843" t="inlineStr">
        <is>
          <t>VÄSTERBOTTENS LÄN</t>
        </is>
      </c>
      <c r="G843" t="inlineStr">
        <is>
          <t>UMEÅ</t>
        </is>
      </c>
      <c r="I843" t="n">
        <v>2.8</v>
      </c>
      <c r="J843" t="n">
        <v>0</v>
      </c>
      <c r="K843" t="n">
        <v>0</v>
      </c>
      <c r="L843" t="n">
        <v>0</v>
      </c>
      <c r="M843" t="n">
        <v>0</v>
      </c>
      <c r="N843" t="n">
        <v>0</v>
      </c>
      <c r="O843" t="n">
        <v>0</v>
      </c>
      <c r="P843" t="n">
        <v>0</v>
      </c>
      <c r="Q843" t="n">
        <v>0</v>
      </c>
      <c r="R843" t="n">
        <v>0</v>
      </c>
      <c r="S843" t="n">
        <v>0</v>
      </c>
      <c r="T843" t="n">
        <v>0</v>
      </c>
      <c r="U843" s="2" t="inlineStr"/>
    </row>
    <row r="844" ht="15" customHeight="1">
      <c r="A844" t="inlineStr">
        <is>
          <t>A 23026-2026</t>
        </is>
      </c>
      <c r="B844" t="inlineStr">
        <is>
          <t>avverkningsanmälan</t>
        </is>
      </c>
      <c r="C844" t="inlineStr">
        <is>
          <t>Föryngringsavverkning</t>
        </is>
      </c>
      <c r="D844" s="1" t="n">
        <v>46161</v>
      </c>
      <c r="E844" s="1" t="n">
        <v>46223</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23029-2026</t>
        </is>
      </c>
      <c r="B845" t="inlineStr">
        <is>
          <t>avverkningsanmälan</t>
        </is>
      </c>
      <c r="C845" t="inlineStr">
        <is>
          <t>Föryngringsavverkning</t>
        </is>
      </c>
      <c r="D845" s="1" t="n">
        <v>46161</v>
      </c>
      <c r="E845" s="1" t="n">
        <v>46223</v>
      </c>
      <c r="F845" t="inlineStr">
        <is>
          <t>VÄSTERBOTTENS LÄN</t>
        </is>
      </c>
      <c r="G845" t="inlineStr">
        <is>
          <t>UMEÅ</t>
        </is>
      </c>
      <c r="I845" t="n">
        <v>1.8</v>
      </c>
      <c r="J845" t="n">
        <v>0</v>
      </c>
      <c r="K845" t="n">
        <v>0</v>
      </c>
      <c r="L845" t="n">
        <v>0</v>
      </c>
      <c r="M845" t="n">
        <v>0</v>
      </c>
      <c r="N845" t="n">
        <v>0</v>
      </c>
      <c r="O845" t="n">
        <v>0</v>
      </c>
      <c r="P845" t="n">
        <v>0</v>
      </c>
      <c r="Q845" t="n">
        <v>0</v>
      </c>
      <c r="R845" t="n">
        <v>0</v>
      </c>
      <c r="S845" t="n">
        <v>0</v>
      </c>
      <c r="T845" t="n">
        <v>0</v>
      </c>
      <c r="U845" s="2" t="inlineStr"/>
    </row>
    <row r="846" ht="15" customHeight="1">
      <c r="A846" t="inlineStr">
        <is>
          <t>A 5454-2026</t>
        </is>
      </c>
      <c r="B846" t="inlineStr">
        <is>
          <t>avverkningsanmälan</t>
        </is>
      </c>
      <c r="C846" t="inlineStr">
        <is>
          <t>Föryngringsavverkning</t>
        </is>
      </c>
      <c r="D846" s="1" t="n">
        <v>46048</v>
      </c>
      <c r="E846" s="1" t="n">
        <v>46223</v>
      </c>
      <c r="F846" t="inlineStr">
        <is>
          <t>VÄSTERBOTTENS LÄN</t>
        </is>
      </c>
      <c r="G846" t="inlineStr">
        <is>
          <t>UMEÅ</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23199-2026</t>
        </is>
      </c>
      <c r="B847" t="inlineStr">
        <is>
          <t>avverkningsanmälan</t>
        </is>
      </c>
      <c r="C847" t="inlineStr">
        <is>
          <t>Föryngringsavverkning</t>
        </is>
      </c>
      <c r="D847" s="1" t="n">
        <v>46161</v>
      </c>
      <c r="E847" s="1" t="n">
        <v>46223</v>
      </c>
      <c r="F847" t="inlineStr">
        <is>
          <t>VÄSTERBOTTENS LÄN</t>
        </is>
      </c>
      <c r="G847" t="inlineStr">
        <is>
          <t>UMEÅ</t>
        </is>
      </c>
      <c r="H847" t="inlineStr">
        <is>
          <t>Holmen skog AB</t>
        </is>
      </c>
      <c r="I847" t="n">
        <v>11.6</v>
      </c>
      <c r="J847" t="n">
        <v>0</v>
      </c>
      <c r="K847" t="n">
        <v>0</v>
      </c>
      <c r="L847" t="n">
        <v>0</v>
      </c>
      <c r="M847" t="n">
        <v>0</v>
      </c>
      <c r="N847" t="n">
        <v>0</v>
      </c>
      <c r="O847" t="n">
        <v>0</v>
      </c>
      <c r="P847" t="n">
        <v>0</v>
      </c>
      <c r="Q847" t="n">
        <v>0</v>
      </c>
      <c r="R847" t="n">
        <v>0</v>
      </c>
      <c r="S847" t="n">
        <v>0</v>
      </c>
      <c r="T847" t="n">
        <v>0</v>
      </c>
      <c r="U847" s="2" t="inlineStr"/>
    </row>
    <row r="848" ht="15" customHeight="1">
      <c r="A848" t="inlineStr">
        <is>
          <t>A 24586-2022</t>
        </is>
      </c>
      <c r="B848" t="inlineStr">
        <is>
          <t>avverkningsanmälan</t>
        </is>
      </c>
      <c r="C848" t="inlineStr">
        <is>
          <t>Föryngringsavverkning</t>
        </is>
      </c>
      <c r="D848" s="1" t="n">
        <v>44727</v>
      </c>
      <c r="E848" s="1" t="n">
        <v>46223</v>
      </c>
      <c r="F848" t="inlineStr">
        <is>
          <t>VÄSTERBOTTENS LÄN</t>
        </is>
      </c>
      <c r="G848" t="inlineStr">
        <is>
          <t>UMEÅ</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9531-2023</t>
        </is>
      </c>
      <c r="B849" t="inlineStr">
        <is>
          <t>avverkningsanmälan</t>
        </is>
      </c>
      <c r="C849" t="inlineStr">
        <is>
          <t>Föryngringsavverkning</t>
        </is>
      </c>
      <c r="D849" s="1" t="n">
        <v>44981</v>
      </c>
      <c r="E849" s="1" t="n">
        <v>46223</v>
      </c>
      <c r="F849" t="inlineStr">
        <is>
          <t>VÄSTERBOTTENS LÄN</t>
        </is>
      </c>
      <c r="G849" t="inlineStr">
        <is>
          <t>UMEÅ</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2632-2023</t>
        </is>
      </c>
      <c r="B850" t="inlineStr">
        <is>
          <t>avverkningsanmälan</t>
        </is>
      </c>
      <c r="C850" t="inlineStr">
        <is>
          <t>Föryngringsavverkning</t>
        </is>
      </c>
      <c r="D850" s="1" t="n">
        <v>44944</v>
      </c>
      <c r="E850" s="1" t="n">
        <v>46223</v>
      </c>
      <c r="F850" t="inlineStr">
        <is>
          <t>VÄSTERBOTTENS LÄN</t>
        </is>
      </c>
      <c r="G850" t="inlineStr">
        <is>
          <t>UMEÅ</t>
        </is>
      </c>
      <c r="I850" t="n">
        <v>0.3</v>
      </c>
      <c r="J850" t="n">
        <v>0</v>
      </c>
      <c r="K850" t="n">
        <v>0</v>
      </c>
      <c r="L850" t="n">
        <v>0</v>
      </c>
      <c r="M850" t="n">
        <v>0</v>
      </c>
      <c r="N850" t="n">
        <v>0</v>
      </c>
      <c r="O850" t="n">
        <v>0</v>
      </c>
      <c r="P850" t="n">
        <v>0</v>
      </c>
      <c r="Q850" t="n">
        <v>0</v>
      </c>
      <c r="R850" t="n">
        <v>0</v>
      </c>
      <c r="S850" t="n">
        <v>0</v>
      </c>
      <c r="T850" t="n">
        <v>0</v>
      </c>
      <c r="U850" s="2" t="inlineStr"/>
    </row>
    <row r="851" ht="15" customHeight="1">
      <c r="A851" t="inlineStr">
        <is>
          <t>A 2634-2023</t>
        </is>
      </c>
      <c r="B851" t="inlineStr">
        <is>
          <t>avverkningsanmälan</t>
        </is>
      </c>
      <c r="C851" t="inlineStr">
        <is>
          <t>Föryngringsavverkning</t>
        </is>
      </c>
      <c r="D851" s="1" t="n">
        <v>44944</v>
      </c>
      <c r="E851" s="1" t="n">
        <v>46223</v>
      </c>
      <c r="F851" t="inlineStr">
        <is>
          <t>VÄSTERBOTTENS LÄN</t>
        </is>
      </c>
      <c r="G851" t="inlineStr">
        <is>
          <t>UMEÅ</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63155-2025</t>
        </is>
      </c>
      <c r="B852" t="inlineStr">
        <is>
          <t>avverkningsanmälan</t>
        </is>
      </c>
      <c r="C852" t="inlineStr">
        <is>
          <t>Föryngringsavverkning</t>
        </is>
      </c>
      <c r="D852" s="1" t="n">
        <v>46010</v>
      </c>
      <c r="E852" s="1" t="n">
        <v>46223</v>
      </c>
      <c r="F852" t="inlineStr">
        <is>
          <t>VÄSTERBOTTENS LÄN</t>
        </is>
      </c>
      <c r="G852" t="inlineStr">
        <is>
          <t>UMEÅ</t>
        </is>
      </c>
      <c r="I852" t="n">
        <v>3.4</v>
      </c>
      <c r="J852" t="n">
        <v>0</v>
      </c>
      <c r="K852" t="n">
        <v>0</v>
      </c>
      <c r="L852" t="n">
        <v>0</v>
      </c>
      <c r="M852" t="n">
        <v>0</v>
      </c>
      <c r="N852" t="n">
        <v>0</v>
      </c>
      <c r="O852" t="n">
        <v>0</v>
      </c>
      <c r="P852" t="n">
        <v>0</v>
      </c>
      <c r="Q852" t="n">
        <v>0</v>
      </c>
      <c r="R852" t="n">
        <v>0</v>
      </c>
      <c r="S852" t="n">
        <v>0</v>
      </c>
      <c r="T852" t="n">
        <v>0</v>
      </c>
      <c r="U852" s="2" t="inlineStr"/>
    </row>
    <row r="853" ht="15" customHeight="1">
      <c r="A853" t="inlineStr">
        <is>
          <t>A 14432-2022</t>
        </is>
      </c>
      <c r="B853" t="inlineStr">
        <is>
          <t>avverkningsanmälan</t>
        </is>
      </c>
      <c r="C853" t="inlineStr">
        <is>
          <t>Föryngringsavverkning</t>
        </is>
      </c>
      <c r="D853" s="1" t="n">
        <v>44652</v>
      </c>
      <c r="E853" s="1" t="n">
        <v>46223</v>
      </c>
      <c r="F853" t="inlineStr">
        <is>
          <t>VÄSTERBOTTENS LÄN</t>
        </is>
      </c>
      <c r="G853" t="inlineStr">
        <is>
          <t>UMEÅ</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29886-2026</t>
        </is>
      </c>
      <c r="B854" t="inlineStr">
        <is>
          <t>avverkningsanmälan</t>
        </is>
      </c>
      <c r="C854" t="inlineStr">
        <is>
          <t>Föryngringsavverkning</t>
        </is>
      </c>
      <c r="D854" s="1" t="n">
        <v>46205</v>
      </c>
      <c r="E854" s="1" t="n">
        <v>46223</v>
      </c>
      <c r="F854" t="inlineStr">
        <is>
          <t>VÄSTERBOTTENS LÄN</t>
        </is>
      </c>
      <c r="G854" t="inlineStr">
        <is>
          <t>UMEÅ</t>
        </is>
      </c>
      <c r="H854" t="inlineStr">
        <is>
          <t>Holmen skog AB</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29894-2026</t>
        </is>
      </c>
      <c r="B855" t="inlineStr">
        <is>
          <t>avverkningsanmälan</t>
        </is>
      </c>
      <c r="C855" t="inlineStr">
        <is>
          <t>Föryngringsavverkning</t>
        </is>
      </c>
      <c r="D855" s="1" t="n">
        <v>46205</v>
      </c>
      <c r="E855" s="1" t="n">
        <v>46223</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23713-2026</t>
        </is>
      </c>
      <c r="B856" t="inlineStr">
        <is>
          <t>avverkningsanmälan</t>
        </is>
      </c>
      <c r="C856" t="inlineStr">
        <is>
          <t>Föryngringsavverkning</t>
        </is>
      </c>
      <c r="D856" s="1" t="n">
        <v>46164</v>
      </c>
      <c r="E856" s="1" t="n">
        <v>46223</v>
      </c>
      <c r="F856" t="inlineStr">
        <is>
          <t>VÄSTERBOTTENS LÄN</t>
        </is>
      </c>
      <c r="G856" t="inlineStr">
        <is>
          <t>UMEÅ</t>
        </is>
      </c>
      <c r="H856" t="inlineStr">
        <is>
          <t>Holmen skog AB</t>
        </is>
      </c>
      <c r="I856" t="n">
        <v>4</v>
      </c>
      <c r="J856" t="n">
        <v>0</v>
      </c>
      <c r="K856" t="n">
        <v>0</v>
      </c>
      <c r="L856" t="n">
        <v>0</v>
      </c>
      <c r="M856" t="n">
        <v>0</v>
      </c>
      <c r="N856" t="n">
        <v>0</v>
      </c>
      <c r="O856" t="n">
        <v>0</v>
      </c>
      <c r="P856" t="n">
        <v>0</v>
      </c>
      <c r="Q856" t="n">
        <v>0</v>
      </c>
      <c r="R856" t="n">
        <v>0</v>
      </c>
      <c r="S856" t="n">
        <v>0</v>
      </c>
      <c r="T856" t="n">
        <v>0</v>
      </c>
      <c r="U856" s="2" t="inlineStr"/>
    </row>
    <row r="857" ht="15" customHeight="1">
      <c r="A857" t="inlineStr">
        <is>
          <t>A 2695-2023</t>
        </is>
      </c>
      <c r="B857" t="inlineStr">
        <is>
          <t>avverkningsanmälan</t>
        </is>
      </c>
      <c r="C857" t="inlineStr">
        <is>
          <t>Föryngringsavverkning</t>
        </is>
      </c>
      <c r="D857" s="1" t="n">
        <v>44944</v>
      </c>
      <c r="E857" s="1" t="n">
        <v>46223</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29959-2026</t>
        </is>
      </c>
      <c r="B858" t="inlineStr">
        <is>
          <t>avverkningsanmälan</t>
        </is>
      </c>
      <c r="C858" t="inlineStr">
        <is>
          <t>Föryngringsavverkning</t>
        </is>
      </c>
      <c r="D858" s="1" t="n">
        <v>46205</v>
      </c>
      <c r="E858" s="1" t="n">
        <v>46223</v>
      </c>
      <c r="F858" t="inlineStr">
        <is>
          <t>VÄSTERBOTTENS LÄN</t>
        </is>
      </c>
      <c r="G858" t="inlineStr">
        <is>
          <t>UMEÅ</t>
        </is>
      </c>
      <c r="H858" t="inlineStr">
        <is>
          <t>Holmen skog AB</t>
        </is>
      </c>
      <c r="I858" t="n">
        <v>4.3</v>
      </c>
      <c r="J858" t="n">
        <v>0</v>
      </c>
      <c r="K858" t="n">
        <v>0</v>
      </c>
      <c r="L858" t="n">
        <v>0</v>
      </c>
      <c r="M858" t="n">
        <v>0</v>
      </c>
      <c r="N858" t="n">
        <v>0</v>
      </c>
      <c r="O858" t="n">
        <v>0</v>
      </c>
      <c r="P858" t="n">
        <v>0</v>
      </c>
      <c r="Q858" t="n">
        <v>0</v>
      </c>
      <c r="R858" t="n">
        <v>0</v>
      </c>
      <c r="S858" t="n">
        <v>0</v>
      </c>
      <c r="T858" t="n">
        <v>0</v>
      </c>
      <c r="U858" s="2" t="inlineStr"/>
    </row>
    <row r="859" ht="15" customHeight="1">
      <c r="A859" t="inlineStr">
        <is>
          <t>A 30222-2026</t>
        </is>
      </c>
      <c r="B859" t="inlineStr">
        <is>
          <t>avverkningsanmälan</t>
        </is>
      </c>
      <c r="C859" t="inlineStr">
        <is>
          <t>Föryngringsavverkning</t>
        </is>
      </c>
      <c r="D859" s="1" t="n">
        <v>46206</v>
      </c>
      <c r="E859" s="1" t="n">
        <v>46223</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36955-2023</t>
        </is>
      </c>
      <c r="B860" t="inlineStr">
        <is>
          <t>avverkningsanmälan</t>
        </is>
      </c>
      <c r="C860" t="inlineStr">
        <is>
          <t>Föryngringsavverkning</t>
        </is>
      </c>
      <c r="D860" s="1" t="n">
        <v>45154</v>
      </c>
      <c r="E860" s="1" t="n">
        <v>46223</v>
      </c>
      <c r="F860" t="inlineStr">
        <is>
          <t>VÄSTERBOTTENS LÄN</t>
        </is>
      </c>
      <c r="G860" t="inlineStr">
        <is>
          <t>UMEÅ</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2073-2024</t>
        </is>
      </c>
      <c r="B861" t="inlineStr">
        <is>
          <t>avverkningsanmälan</t>
        </is>
      </c>
      <c r="C861" t="inlineStr">
        <is>
          <t>Föryngringsavverkning</t>
        </is>
      </c>
      <c r="D861" s="1" t="n">
        <v>45309</v>
      </c>
      <c r="E861" s="1" t="n">
        <v>46223</v>
      </c>
      <c r="F861" t="inlineStr">
        <is>
          <t>VÄSTERBOTTENS LÄN</t>
        </is>
      </c>
      <c r="G861" t="inlineStr">
        <is>
          <t>UMEÅ</t>
        </is>
      </c>
      <c r="H861" t="inlineStr">
        <is>
          <t>Sveaskog</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10357-2023</t>
        </is>
      </c>
      <c r="B862" t="inlineStr">
        <is>
          <t>avverkningsanmälan</t>
        </is>
      </c>
      <c r="C862" t="inlineStr">
        <is>
          <t>Föryngringsavverkning</t>
        </is>
      </c>
      <c r="D862" s="1" t="n">
        <v>44980</v>
      </c>
      <c r="E862" s="1" t="n">
        <v>46223</v>
      </c>
      <c r="F862" t="inlineStr">
        <is>
          <t>VÄSTERBOTTENS LÄN</t>
        </is>
      </c>
      <c r="G862" t="inlineStr">
        <is>
          <t>UMEÅ</t>
        </is>
      </c>
      <c r="H862" t="inlineStr">
        <is>
          <t>Kommuner</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18448-2023</t>
        </is>
      </c>
      <c r="B863" t="inlineStr">
        <is>
          <t>avverkningsanmälan</t>
        </is>
      </c>
      <c r="C863" t="inlineStr">
        <is>
          <t>Föryngringsavverkning</t>
        </is>
      </c>
      <c r="D863" s="1" t="n">
        <v>45042</v>
      </c>
      <c r="E863" s="1" t="n">
        <v>46223</v>
      </c>
      <c r="F863" t="inlineStr">
        <is>
          <t>VÄSTERBOTTENS LÄN</t>
        </is>
      </c>
      <c r="G863" t="inlineStr">
        <is>
          <t>UMEÅ</t>
        </is>
      </c>
      <c r="I863" t="n">
        <v>7.3</v>
      </c>
      <c r="J863" t="n">
        <v>0</v>
      </c>
      <c r="K863" t="n">
        <v>0</v>
      </c>
      <c r="L863" t="n">
        <v>0</v>
      </c>
      <c r="M863" t="n">
        <v>0</v>
      </c>
      <c r="N863" t="n">
        <v>0</v>
      </c>
      <c r="O863" t="n">
        <v>0</v>
      </c>
      <c r="P863" t="n">
        <v>0</v>
      </c>
      <c r="Q863" t="n">
        <v>0</v>
      </c>
      <c r="R863" t="n">
        <v>0</v>
      </c>
      <c r="S863" t="n">
        <v>0</v>
      </c>
      <c r="T863" t="n">
        <v>0</v>
      </c>
      <c r="U863" s="2" t="inlineStr"/>
    </row>
    <row r="864" ht="15" customHeight="1">
      <c r="A864" t="inlineStr">
        <is>
          <t>A 29932-2026</t>
        </is>
      </c>
      <c r="B864" t="inlineStr">
        <is>
          <t>avverkningsanmälan</t>
        </is>
      </c>
      <c r="C864" t="inlineStr">
        <is>
          <t>Föryngringsavverkning</t>
        </is>
      </c>
      <c r="D864" s="1" t="n">
        <v>46205</v>
      </c>
      <c r="E864" s="1" t="n">
        <v>46223</v>
      </c>
      <c r="F864" t="inlineStr">
        <is>
          <t>VÄSTERBOTTENS LÄN</t>
        </is>
      </c>
      <c r="G864" t="inlineStr">
        <is>
          <t>UMEÅ</t>
        </is>
      </c>
      <c r="H864" t="inlineStr">
        <is>
          <t>Holmen skog AB</t>
        </is>
      </c>
      <c r="I864" t="n">
        <v>6.6</v>
      </c>
      <c r="J864" t="n">
        <v>0</v>
      </c>
      <c r="K864" t="n">
        <v>0</v>
      </c>
      <c r="L864" t="n">
        <v>0</v>
      </c>
      <c r="M864" t="n">
        <v>0</v>
      </c>
      <c r="N864" t="n">
        <v>0</v>
      </c>
      <c r="O864" t="n">
        <v>0</v>
      </c>
      <c r="P864" t="n">
        <v>0</v>
      </c>
      <c r="Q864" t="n">
        <v>0</v>
      </c>
      <c r="R864" t="n">
        <v>0</v>
      </c>
      <c r="S864" t="n">
        <v>0</v>
      </c>
      <c r="T864" t="n">
        <v>0</v>
      </c>
      <c r="U864" s="2" t="inlineStr"/>
    </row>
    <row r="865" ht="15" customHeight="1">
      <c r="A865" t="inlineStr">
        <is>
          <t>A 48751-2023</t>
        </is>
      </c>
      <c r="B865" t="inlineStr">
        <is>
          <t>avverkningsanmälan</t>
        </is>
      </c>
      <c r="C865" t="inlineStr">
        <is>
          <t>Föryngringsavverkning</t>
        </is>
      </c>
      <c r="D865" s="1" t="n">
        <v>45208</v>
      </c>
      <c r="E865" s="1" t="n">
        <v>46223</v>
      </c>
      <c r="F865" t="inlineStr">
        <is>
          <t>VÄSTERBOTTENS LÄN</t>
        </is>
      </c>
      <c r="G865" t="inlineStr">
        <is>
          <t>UMEÅ</t>
        </is>
      </c>
      <c r="I865" t="n">
        <v>5.9</v>
      </c>
      <c r="J865" t="n">
        <v>0</v>
      </c>
      <c r="K865" t="n">
        <v>0</v>
      </c>
      <c r="L865" t="n">
        <v>0</v>
      </c>
      <c r="M865" t="n">
        <v>0</v>
      </c>
      <c r="N865" t="n">
        <v>0</v>
      </c>
      <c r="O865" t="n">
        <v>0</v>
      </c>
      <c r="P865" t="n">
        <v>0</v>
      </c>
      <c r="Q865" t="n">
        <v>0</v>
      </c>
      <c r="R865" t="n">
        <v>0</v>
      </c>
      <c r="S865" t="n">
        <v>0</v>
      </c>
      <c r="T865" t="n">
        <v>0</v>
      </c>
      <c r="U865" s="2" t="inlineStr"/>
    </row>
    <row r="866" ht="15" customHeight="1">
      <c r="A866" t="inlineStr">
        <is>
          <t>A 24146-2026</t>
        </is>
      </c>
      <c r="B866" t="inlineStr">
        <is>
          <t>avverkningsanmälan</t>
        </is>
      </c>
      <c r="C866" t="inlineStr">
        <is>
          <t>Föryngringsavverkning</t>
        </is>
      </c>
      <c r="D866" s="1" t="n">
        <v>46168</v>
      </c>
      <c r="E866" s="1" t="n">
        <v>46223</v>
      </c>
      <c r="F866" t="inlineStr">
        <is>
          <t>VÄSTERBOTTENS LÄN</t>
        </is>
      </c>
      <c r="G866" t="inlineStr">
        <is>
          <t>UMEÅ</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23962-2026</t>
        </is>
      </c>
      <c r="B867" t="inlineStr">
        <is>
          <t>avverkningsanmälan</t>
        </is>
      </c>
      <c r="C867" t="inlineStr">
        <is>
          <t>Föryngringsavverkning</t>
        </is>
      </c>
      <c r="D867" s="1" t="n">
        <v>46167</v>
      </c>
      <c r="E867" s="1" t="n">
        <v>46223</v>
      </c>
      <c r="F867" t="inlineStr">
        <is>
          <t>VÄSTERBOTTENS LÄN</t>
        </is>
      </c>
      <c r="G867" t="inlineStr">
        <is>
          <t>UMEÅ</t>
        </is>
      </c>
      <c r="H867" t="inlineStr">
        <is>
          <t>Holmen skog AB</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23844-2026</t>
        </is>
      </c>
      <c r="B868" t="inlineStr">
        <is>
          <t>avverkningsanmälan</t>
        </is>
      </c>
      <c r="C868" t="inlineStr">
        <is>
          <t>Föryngringsavverkning</t>
        </is>
      </c>
      <c r="D868" s="1" t="n">
        <v>46167</v>
      </c>
      <c r="E868" s="1" t="n">
        <v>46223</v>
      </c>
      <c r="F868" t="inlineStr">
        <is>
          <t>VÄSTERBOTTENS LÄN</t>
        </is>
      </c>
      <c r="G868" t="inlineStr">
        <is>
          <t>UMEÅ</t>
        </is>
      </c>
      <c r="H868" t="inlineStr">
        <is>
          <t>Holmen skog AB</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49793-2024</t>
        </is>
      </c>
      <c r="B869" t="inlineStr">
        <is>
          <t>avverkningsanmälan</t>
        </is>
      </c>
      <c r="C869" t="inlineStr">
        <is>
          <t>Föryngringsavverkning</t>
        </is>
      </c>
      <c r="D869" s="1" t="n">
        <v>45597</v>
      </c>
      <c r="E869" s="1" t="n">
        <v>46223</v>
      </c>
      <c r="F869" t="inlineStr">
        <is>
          <t>VÄSTERBOTTENS LÄN</t>
        </is>
      </c>
      <c r="G869" t="inlineStr">
        <is>
          <t>UMEÅ</t>
        </is>
      </c>
      <c r="H869" t="inlineStr">
        <is>
          <t>Holmen skog AB</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57883-2023</t>
        </is>
      </c>
      <c r="B870" t="inlineStr">
        <is>
          <t>avverkningsanmälan</t>
        </is>
      </c>
      <c r="C870" t="inlineStr">
        <is>
          <t>Föryngringsavverkning</t>
        </is>
      </c>
      <c r="D870" s="1" t="n">
        <v>45247</v>
      </c>
      <c r="E870" s="1" t="n">
        <v>46223</v>
      </c>
      <c r="F870" t="inlineStr">
        <is>
          <t>VÄSTERBOTTENS LÄN</t>
        </is>
      </c>
      <c r="G870" t="inlineStr">
        <is>
          <t>UMEÅ</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841-2026</t>
        </is>
      </c>
      <c r="B871" t="inlineStr">
        <is>
          <t>avverkningsanmälan</t>
        </is>
      </c>
      <c r="C871" t="inlineStr">
        <is>
          <t>Föryngringsavverkning</t>
        </is>
      </c>
      <c r="D871" s="1" t="n">
        <v>46030</v>
      </c>
      <c r="E871" s="1" t="n">
        <v>46223</v>
      </c>
      <c r="F871" t="inlineStr">
        <is>
          <t>VÄSTERBOTTENS LÄN</t>
        </is>
      </c>
      <c r="G871" t="inlineStr">
        <is>
          <t>UMEÅ</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17110-2023</t>
        </is>
      </c>
      <c r="B872" t="inlineStr">
        <is>
          <t>avverkningsanmälan</t>
        </is>
      </c>
      <c r="C872" t="inlineStr">
        <is>
          <t>Föryngringsavverkning</t>
        </is>
      </c>
      <c r="D872" s="1" t="n">
        <v>45030</v>
      </c>
      <c r="E872" s="1" t="n">
        <v>46223</v>
      </c>
      <c r="F872" t="inlineStr">
        <is>
          <t>VÄSTERBOTTENS LÄN</t>
        </is>
      </c>
      <c r="G872" t="inlineStr">
        <is>
          <t>UMEÅ</t>
        </is>
      </c>
      <c r="I872" t="n">
        <v>3.1</v>
      </c>
      <c r="J872" t="n">
        <v>0</v>
      </c>
      <c r="K872" t="n">
        <v>0</v>
      </c>
      <c r="L872" t="n">
        <v>0</v>
      </c>
      <c r="M872" t="n">
        <v>0</v>
      </c>
      <c r="N872" t="n">
        <v>0</v>
      </c>
      <c r="O872" t="n">
        <v>0</v>
      </c>
      <c r="P872" t="n">
        <v>0</v>
      </c>
      <c r="Q872" t="n">
        <v>0</v>
      </c>
      <c r="R872" t="n">
        <v>0</v>
      </c>
      <c r="S872" t="n">
        <v>0</v>
      </c>
      <c r="T872" t="n">
        <v>0</v>
      </c>
      <c r="U872" s="2" t="inlineStr"/>
    </row>
    <row r="873" ht="15" customHeight="1">
      <c r="A873" t="inlineStr">
        <is>
          <t>A 24029-2026</t>
        </is>
      </c>
      <c r="B873" t="inlineStr">
        <is>
          <t>avverkningsanmälan</t>
        </is>
      </c>
      <c r="C873" t="inlineStr">
        <is>
          <t>Föryngringsavverkning</t>
        </is>
      </c>
      <c r="D873" s="1" t="n">
        <v>46167</v>
      </c>
      <c r="E873" s="1" t="n">
        <v>46223</v>
      </c>
      <c r="F873" t="inlineStr">
        <is>
          <t>VÄSTERBOTTENS LÄN</t>
        </is>
      </c>
      <c r="G873" t="inlineStr">
        <is>
          <t>UMEÅ</t>
        </is>
      </c>
      <c r="I873" t="n">
        <v>5.3</v>
      </c>
      <c r="J873" t="n">
        <v>0</v>
      </c>
      <c r="K873" t="n">
        <v>0</v>
      </c>
      <c r="L873" t="n">
        <v>0</v>
      </c>
      <c r="M873" t="n">
        <v>0</v>
      </c>
      <c r="N873" t="n">
        <v>0</v>
      </c>
      <c r="O873" t="n">
        <v>0</v>
      </c>
      <c r="P873" t="n">
        <v>0</v>
      </c>
      <c r="Q873" t="n">
        <v>0</v>
      </c>
      <c r="R873" t="n">
        <v>0</v>
      </c>
      <c r="S873" t="n">
        <v>0</v>
      </c>
      <c r="T873" t="n">
        <v>0</v>
      </c>
      <c r="U873" s="2" t="inlineStr"/>
    </row>
    <row r="874" ht="15" customHeight="1">
      <c r="A874" t="inlineStr">
        <is>
          <t>A 24030-2026</t>
        </is>
      </c>
      <c r="B874" t="inlineStr">
        <is>
          <t>avverkningsanmälan</t>
        </is>
      </c>
      <c r="C874" t="inlineStr">
        <is>
          <t>Föryngringsavverkning</t>
        </is>
      </c>
      <c r="D874" s="1" t="n">
        <v>46167</v>
      </c>
      <c r="E874" s="1" t="n">
        <v>46223</v>
      </c>
      <c r="F874" t="inlineStr">
        <is>
          <t>VÄSTERBOTTENS LÄN</t>
        </is>
      </c>
      <c r="G874" t="inlineStr">
        <is>
          <t>UMEÅ</t>
        </is>
      </c>
      <c r="I874" t="n">
        <v>3.5</v>
      </c>
      <c r="J874" t="n">
        <v>0</v>
      </c>
      <c r="K874" t="n">
        <v>0</v>
      </c>
      <c r="L874" t="n">
        <v>0</v>
      </c>
      <c r="M874" t="n">
        <v>0</v>
      </c>
      <c r="N874" t="n">
        <v>0</v>
      </c>
      <c r="O874" t="n">
        <v>0</v>
      </c>
      <c r="P874" t="n">
        <v>0</v>
      </c>
      <c r="Q874" t="n">
        <v>0</v>
      </c>
      <c r="R874" t="n">
        <v>0</v>
      </c>
      <c r="S874" t="n">
        <v>0</v>
      </c>
      <c r="T874" t="n">
        <v>0</v>
      </c>
      <c r="U874" s="2" t="inlineStr"/>
    </row>
    <row r="875" ht="15" customHeight="1">
      <c r="A875" t="inlineStr">
        <is>
          <t>A 24875-2023</t>
        </is>
      </c>
      <c r="B875" t="inlineStr">
        <is>
          <t>avverkningsanmälan</t>
        </is>
      </c>
      <c r="C875" t="inlineStr">
        <is>
          <t>Föryngringsavverkning</t>
        </is>
      </c>
      <c r="D875" s="1" t="n">
        <v>45078</v>
      </c>
      <c r="E875" s="1" t="n">
        <v>46223</v>
      </c>
      <c r="F875" t="inlineStr">
        <is>
          <t>VÄSTERBOTTENS LÄN</t>
        </is>
      </c>
      <c r="G875" t="inlineStr">
        <is>
          <t>UMEÅ</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30453-2026</t>
        </is>
      </c>
      <c r="B876" t="inlineStr">
        <is>
          <t>avverkningsanmälan</t>
        </is>
      </c>
      <c r="C876" t="inlineStr">
        <is>
          <t>Föryngringsavverkning</t>
        </is>
      </c>
      <c r="D876" s="1" t="n">
        <v>46209</v>
      </c>
      <c r="E876" s="1" t="n">
        <v>46223</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s="2" t="inlineStr"/>
    </row>
    <row r="877" ht="15" customHeight="1">
      <c r="A877" t="inlineStr">
        <is>
          <t>A 24031-2026</t>
        </is>
      </c>
      <c r="B877" t="inlineStr">
        <is>
          <t>avverkningsanmälan</t>
        </is>
      </c>
      <c r="C877" t="inlineStr">
        <is>
          <t>Föryngringsavverkning</t>
        </is>
      </c>
      <c r="D877" s="1" t="n">
        <v>46167</v>
      </c>
      <c r="E877" s="1" t="n">
        <v>46223</v>
      </c>
      <c r="F877" t="inlineStr">
        <is>
          <t>VÄSTERBOTTENS LÄN</t>
        </is>
      </c>
      <c r="G877" t="inlineStr">
        <is>
          <t>UMEÅ</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32467-2023</t>
        </is>
      </c>
      <c r="B878" t="inlineStr">
        <is>
          <t>avverkningsanmälan</t>
        </is>
      </c>
      <c r="C878" t="inlineStr">
        <is>
          <t>Föryngringsavverkning</t>
        </is>
      </c>
      <c r="D878" s="1" t="n">
        <v>45120</v>
      </c>
      <c r="E878" s="1" t="n">
        <v>46223</v>
      </c>
      <c r="F878" t="inlineStr">
        <is>
          <t>VÄSTERBOTTENS LÄN</t>
        </is>
      </c>
      <c r="G878" t="inlineStr">
        <is>
          <t>UMEÅ</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58440-2024</t>
        </is>
      </c>
      <c r="B879" t="inlineStr">
        <is>
          <t>avverkningsanmälan</t>
        </is>
      </c>
      <c r="C879" t="inlineStr">
        <is>
          <t>Föryngringsavverkning</t>
        </is>
      </c>
      <c r="D879" s="1" t="n">
        <v>45635</v>
      </c>
      <c r="E879" s="1" t="n">
        <v>46223</v>
      </c>
      <c r="F879" t="inlineStr">
        <is>
          <t>VÄSTERBOTTENS LÄN</t>
        </is>
      </c>
      <c r="G879" t="inlineStr">
        <is>
          <t>UMEÅ</t>
        </is>
      </c>
      <c r="H879" t="inlineStr">
        <is>
          <t>Holmen skog AB</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30020-2024</t>
        </is>
      </c>
      <c r="B880" t="inlineStr">
        <is>
          <t>avverkningsanmälan</t>
        </is>
      </c>
      <c r="C880" t="inlineStr">
        <is>
          <t>Avverkning för annat ändamål</t>
        </is>
      </c>
      <c r="D880" s="1" t="n">
        <v>45488</v>
      </c>
      <c r="E880" s="1" t="n">
        <v>46223</v>
      </c>
      <c r="F880" t="inlineStr">
        <is>
          <t>VÄSTERBOTTENS LÄN</t>
        </is>
      </c>
      <c r="G880" t="inlineStr">
        <is>
          <t>UMEÅ</t>
        </is>
      </c>
      <c r="H880" t="inlineStr">
        <is>
          <t>Holmen skog AB</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15430-2024</t>
        </is>
      </c>
      <c r="B881" t="inlineStr">
        <is>
          <t>avverkningsanmälan</t>
        </is>
      </c>
      <c r="C881" t="inlineStr">
        <is>
          <t>Föryngringsavverkning</t>
        </is>
      </c>
      <c r="D881" s="1" t="n">
        <v>45401</v>
      </c>
      <c r="E881" s="1" t="n">
        <v>46223</v>
      </c>
      <c r="F881" t="inlineStr">
        <is>
          <t>VÄSTERBOTTENS LÄN</t>
        </is>
      </c>
      <c r="G881" t="inlineStr">
        <is>
          <t>UMEÅ</t>
        </is>
      </c>
      <c r="H881" t="inlineStr">
        <is>
          <t>Holmen skog AB</t>
        </is>
      </c>
      <c r="I881" t="n">
        <v>37.4</v>
      </c>
      <c r="J881" t="n">
        <v>0</v>
      </c>
      <c r="K881" t="n">
        <v>0</v>
      </c>
      <c r="L881" t="n">
        <v>0</v>
      </c>
      <c r="M881" t="n">
        <v>0</v>
      </c>
      <c r="N881" t="n">
        <v>0</v>
      </c>
      <c r="O881" t="n">
        <v>0</v>
      </c>
      <c r="P881" t="n">
        <v>0</v>
      </c>
      <c r="Q881" t="n">
        <v>0</v>
      </c>
      <c r="R881" t="n">
        <v>0</v>
      </c>
      <c r="S881" t="n">
        <v>0</v>
      </c>
      <c r="T881" t="n">
        <v>0</v>
      </c>
      <c r="U881" s="2" t="inlineStr"/>
    </row>
    <row r="882" ht="15" customHeight="1">
      <c r="A882" t="inlineStr">
        <is>
          <t>A 5302-2025</t>
        </is>
      </c>
      <c r="B882" t="inlineStr">
        <is>
          <t>avverkningsanmälan</t>
        </is>
      </c>
      <c r="C882" t="inlineStr">
        <is>
          <t>Föryngringsavverkning</t>
        </is>
      </c>
      <c r="D882" s="1" t="n">
        <v>45692</v>
      </c>
      <c r="E882" s="1" t="n">
        <v>46223</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30768-2026</t>
        </is>
      </c>
      <c r="B883" t="inlineStr">
        <is>
          <t>avverkningsanmälan</t>
        </is>
      </c>
      <c r="C883" t="inlineStr">
        <is>
          <t>Föryngringsavverkning</t>
        </is>
      </c>
      <c r="D883" s="1" t="n">
        <v>46212</v>
      </c>
      <c r="E883" s="1" t="n">
        <v>46223</v>
      </c>
      <c r="F883" t="inlineStr">
        <is>
          <t>VÄSTERBOTTENS LÄN</t>
        </is>
      </c>
      <c r="G883" t="inlineStr">
        <is>
          <t>UMEÅ</t>
        </is>
      </c>
      <c r="H883" t="inlineStr">
        <is>
          <t>Holmen skog AB</t>
        </is>
      </c>
      <c r="I883" t="n">
        <v>2.8</v>
      </c>
      <c r="J883" t="n">
        <v>0</v>
      </c>
      <c r="K883" t="n">
        <v>0</v>
      </c>
      <c r="L883" t="n">
        <v>0</v>
      </c>
      <c r="M883" t="n">
        <v>0</v>
      </c>
      <c r="N883" t="n">
        <v>0</v>
      </c>
      <c r="O883" t="n">
        <v>0</v>
      </c>
      <c r="P883" t="n">
        <v>0</v>
      </c>
      <c r="Q883" t="n">
        <v>0</v>
      </c>
      <c r="R883" t="n">
        <v>0</v>
      </c>
      <c r="S883" t="n">
        <v>0</v>
      </c>
      <c r="T883" t="n">
        <v>0</v>
      </c>
      <c r="U883" s="2" t="inlineStr"/>
    </row>
    <row r="884" ht="15" customHeight="1">
      <c r="A884" t="inlineStr">
        <is>
          <t>A 30637-2026</t>
        </is>
      </c>
      <c r="B884" t="inlineStr">
        <is>
          <t>avverkningsanmälan</t>
        </is>
      </c>
      <c r="C884" t="inlineStr">
        <is>
          <t>Föryngringsavverkning</t>
        </is>
      </c>
      <c r="D884" s="1" t="n">
        <v>46211</v>
      </c>
      <c r="E884" s="1" t="n">
        <v>46223</v>
      </c>
      <c r="F884" t="inlineStr">
        <is>
          <t>VÄSTERBOTTENS LÄN</t>
        </is>
      </c>
      <c r="G884" t="inlineStr">
        <is>
          <t>UMEÅ</t>
        </is>
      </c>
      <c r="H884" t="inlineStr">
        <is>
          <t>Holmen skog AB</t>
        </is>
      </c>
      <c r="I884" t="n">
        <v>3.4</v>
      </c>
      <c r="J884" t="n">
        <v>0</v>
      </c>
      <c r="K884" t="n">
        <v>0</v>
      </c>
      <c r="L884" t="n">
        <v>0</v>
      </c>
      <c r="M884" t="n">
        <v>0</v>
      </c>
      <c r="N884" t="n">
        <v>0</v>
      </c>
      <c r="O884" t="n">
        <v>0</v>
      </c>
      <c r="P884" t="n">
        <v>0</v>
      </c>
      <c r="Q884" t="n">
        <v>0</v>
      </c>
      <c r="R884" t="n">
        <v>0</v>
      </c>
      <c r="S884" t="n">
        <v>0</v>
      </c>
      <c r="T884" t="n">
        <v>0</v>
      </c>
      <c r="U884" s="2" t="inlineStr"/>
    </row>
    <row r="885" ht="15" customHeight="1">
      <c r="A885" t="inlineStr">
        <is>
          <t>A 24397-2026</t>
        </is>
      </c>
      <c r="B885" t="inlineStr">
        <is>
          <t>avverkningsanmälan</t>
        </is>
      </c>
      <c r="C885" t="inlineStr">
        <is>
          <t>Föryngringsavverkning</t>
        </is>
      </c>
      <c r="D885" s="1" t="n">
        <v>46169</v>
      </c>
      <c r="E885" s="1" t="n">
        <v>46223</v>
      </c>
      <c r="F885" t="inlineStr">
        <is>
          <t>VÄSTERBOTTENS LÄN</t>
        </is>
      </c>
      <c r="G885" t="inlineStr">
        <is>
          <t>UMEÅ</t>
        </is>
      </c>
      <c r="H885" t="inlineStr">
        <is>
          <t>Holmen skog AB</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30708-2026</t>
        </is>
      </c>
      <c r="B886" t="inlineStr">
        <is>
          <t>avverkningsanmälan</t>
        </is>
      </c>
      <c r="C886" t="inlineStr">
        <is>
          <t>Föryngringsavverkning</t>
        </is>
      </c>
      <c r="D886" s="1" t="n">
        <v>46211</v>
      </c>
      <c r="E886" s="1" t="n">
        <v>46223</v>
      </c>
      <c r="F886" t="inlineStr">
        <is>
          <t>VÄSTERBOTTENS LÄN</t>
        </is>
      </c>
      <c r="G886" t="inlineStr">
        <is>
          <t>UMEÅ</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30661-2026</t>
        </is>
      </c>
      <c r="B887" t="inlineStr">
        <is>
          <t>avverkningsanmälan</t>
        </is>
      </c>
      <c r="C887" t="inlineStr">
        <is>
          <t>Föryngringsavverkning</t>
        </is>
      </c>
      <c r="D887" s="1" t="n">
        <v>46211</v>
      </c>
      <c r="E887" s="1" t="n">
        <v>46223</v>
      </c>
      <c r="F887" t="inlineStr">
        <is>
          <t>VÄSTERBOTTENS LÄN</t>
        </is>
      </c>
      <c r="G887" t="inlineStr">
        <is>
          <t>UMEÅ</t>
        </is>
      </c>
      <c r="H887" t="inlineStr">
        <is>
          <t>Holmen skog AB</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30830-2026</t>
        </is>
      </c>
      <c r="B888" t="inlineStr">
        <is>
          <t>avverkningsanmälan</t>
        </is>
      </c>
      <c r="C888" t="inlineStr">
        <is>
          <t>Föryngringsavverkning</t>
        </is>
      </c>
      <c r="D888" s="1" t="n">
        <v>46212</v>
      </c>
      <c r="E888" s="1" t="n">
        <v>46223</v>
      </c>
      <c r="F888" t="inlineStr">
        <is>
          <t>VÄSTERBOTTENS LÄN</t>
        </is>
      </c>
      <c r="G888" t="inlineStr">
        <is>
          <t>UMEÅ</t>
        </is>
      </c>
      <c r="H888" t="inlineStr">
        <is>
          <t>Holmen skog AB</t>
        </is>
      </c>
      <c r="I888" t="n">
        <v>3.6</v>
      </c>
      <c r="J888" t="n">
        <v>0</v>
      </c>
      <c r="K888" t="n">
        <v>0</v>
      </c>
      <c r="L888" t="n">
        <v>0</v>
      </c>
      <c r="M888" t="n">
        <v>0</v>
      </c>
      <c r="N888" t="n">
        <v>0</v>
      </c>
      <c r="O888" t="n">
        <v>0</v>
      </c>
      <c r="P888" t="n">
        <v>0</v>
      </c>
      <c r="Q888" t="n">
        <v>0</v>
      </c>
      <c r="R888" t="n">
        <v>0</v>
      </c>
      <c r="S888" t="n">
        <v>0</v>
      </c>
      <c r="T888" t="n">
        <v>0</v>
      </c>
      <c r="U888" s="2" t="inlineStr"/>
    </row>
    <row r="889" ht="15" customHeight="1">
      <c r="A889" t="inlineStr">
        <is>
          <t>A 30852-2026</t>
        </is>
      </c>
      <c r="B889" t="inlineStr">
        <is>
          <t>avverkningsanmälan</t>
        </is>
      </c>
      <c r="C889" t="inlineStr">
        <is>
          <t>Föryngringsavverkning</t>
        </is>
      </c>
      <c r="D889" s="1" t="n">
        <v>46212</v>
      </c>
      <c r="E889" s="1" t="n">
        <v>46223</v>
      </c>
      <c r="F889" t="inlineStr">
        <is>
          <t>VÄSTERBOTTENS LÄN</t>
        </is>
      </c>
      <c r="G889" t="inlineStr">
        <is>
          <t>UMEÅ</t>
        </is>
      </c>
      <c r="H889" t="inlineStr">
        <is>
          <t>Holmen skog AB</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17352-2023</t>
        </is>
      </c>
      <c r="B890" t="inlineStr">
        <is>
          <t>avverkningsanmälan</t>
        </is>
      </c>
      <c r="C890" t="inlineStr">
        <is>
          <t>Föryngringsavverkning</t>
        </is>
      </c>
      <c r="D890" s="1" t="n">
        <v>45033</v>
      </c>
      <c r="E890" s="1" t="n">
        <v>46223</v>
      </c>
      <c r="F890" t="inlineStr">
        <is>
          <t>VÄSTERBOTTENS LÄN</t>
        </is>
      </c>
      <c r="G890" t="inlineStr">
        <is>
          <t>UMEÅ</t>
        </is>
      </c>
      <c r="H890" t="inlineStr">
        <is>
          <t>Kommuner</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23983-2023</t>
        </is>
      </c>
      <c r="B891" t="inlineStr">
        <is>
          <t>avverkningsanmälan</t>
        </is>
      </c>
      <c r="C891" t="inlineStr">
        <is>
          <t>Föryngringsavverkning</t>
        </is>
      </c>
      <c r="D891" s="1" t="n">
        <v>45078</v>
      </c>
      <c r="E891" s="1" t="n">
        <v>46223</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24561-2026</t>
        </is>
      </c>
      <c r="B892" t="inlineStr">
        <is>
          <t>avverkningsanmälan</t>
        </is>
      </c>
      <c r="C892" t="inlineStr">
        <is>
          <t>Föryngringsavverkning</t>
        </is>
      </c>
      <c r="D892" s="1" t="n">
        <v>46170</v>
      </c>
      <c r="E892" s="1" t="n">
        <v>46223</v>
      </c>
      <c r="F892" t="inlineStr">
        <is>
          <t>VÄSTERBOTTENS LÄN</t>
        </is>
      </c>
      <c r="G892" t="inlineStr">
        <is>
          <t>UMEÅ</t>
        </is>
      </c>
      <c r="H892" t="inlineStr">
        <is>
          <t>Holmen skog AB</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58130-2023</t>
        </is>
      </c>
      <c r="B893" t="inlineStr">
        <is>
          <t>avverkningsanmälan</t>
        </is>
      </c>
      <c r="C893" t="inlineStr">
        <is>
          <t>Föryngringsavverkning</t>
        </is>
      </c>
      <c r="D893" s="1" t="n">
        <v>45249</v>
      </c>
      <c r="E893" s="1" t="n">
        <v>46223</v>
      </c>
      <c r="F893" t="inlineStr">
        <is>
          <t>VÄSTERBOTTENS LÄN</t>
        </is>
      </c>
      <c r="G893" t="inlineStr">
        <is>
          <t>UMEÅ</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9169-2025</t>
        </is>
      </c>
      <c r="B894" t="inlineStr">
        <is>
          <t>avverkningsanmälan</t>
        </is>
      </c>
      <c r="C894" t="inlineStr">
        <is>
          <t>Föryngringsavverkning</t>
        </is>
      </c>
      <c r="D894" s="1" t="n">
        <v>45714</v>
      </c>
      <c r="E894" s="1" t="n">
        <v>46223</v>
      </c>
      <c r="F894" t="inlineStr">
        <is>
          <t>VÄSTERBOTTENS LÄN</t>
        </is>
      </c>
      <c r="G894" t="inlineStr">
        <is>
          <t>UMEÅ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59333-2023</t>
        </is>
      </c>
      <c r="B895" t="inlineStr">
        <is>
          <t>avverkningsanmälan</t>
        </is>
      </c>
      <c r="C895" t="inlineStr">
        <is>
          <t>Föryngringsavverkning</t>
        </is>
      </c>
      <c r="D895" s="1" t="n">
        <v>45252</v>
      </c>
      <c r="E895" s="1" t="n">
        <v>46223</v>
      </c>
      <c r="F895" t="inlineStr">
        <is>
          <t>VÄSTERBOTTENS LÄN</t>
        </is>
      </c>
      <c r="G895" t="inlineStr">
        <is>
          <t>UMEÅ</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24719-2026</t>
        </is>
      </c>
      <c r="B896" t="inlineStr">
        <is>
          <t>avverkningsanmälan</t>
        </is>
      </c>
      <c r="C896" t="inlineStr">
        <is>
          <t>Föryngringsavverkning</t>
        </is>
      </c>
      <c r="D896" s="1" t="n">
        <v>46171</v>
      </c>
      <c r="E896" s="1" t="n">
        <v>46223</v>
      </c>
      <c r="F896" t="inlineStr">
        <is>
          <t>VÄSTERBOTTENS LÄN</t>
        </is>
      </c>
      <c r="G896" t="inlineStr">
        <is>
          <t>UMEÅ</t>
        </is>
      </c>
      <c r="H896" t="inlineStr">
        <is>
          <t>Holmen skog AB</t>
        </is>
      </c>
      <c r="I896" t="n">
        <v>5.5</v>
      </c>
      <c r="J896" t="n">
        <v>0</v>
      </c>
      <c r="K896" t="n">
        <v>0</v>
      </c>
      <c r="L896" t="n">
        <v>0</v>
      </c>
      <c r="M896" t="n">
        <v>0</v>
      </c>
      <c r="N896" t="n">
        <v>0</v>
      </c>
      <c r="O896" t="n">
        <v>0</v>
      </c>
      <c r="P896" t="n">
        <v>0</v>
      </c>
      <c r="Q896" t="n">
        <v>0</v>
      </c>
      <c r="R896" t="n">
        <v>0</v>
      </c>
      <c r="S896" t="n">
        <v>0</v>
      </c>
      <c r="T896" t="n">
        <v>0</v>
      </c>
      <c r="U896" s="2" t="inlineStr"/>
    </row>
    <row r="897" ht="15" customHeight="1">
      <c r="A897" t="inlineStr">
        <is>
          <t>A 24765-2026</t>
        </is>
      </c>
      <c r="B897" t="inlineStr">
        <is>
          <t>avverkningsanmälan</t>
        </is>
      </c>
      <c r="C897" t="inlineStr">
        <is>
          <t>Föryngringsavverkning</t>
        </is>
      </c>
      <c r="D897" s="1" t="n">
        <v>46171</v>
      </c>
      <c r="E897" s="1" t="n">
        <v>46223</v>
      </c>
      <c r="F897" t="inlineStr">
        <is>
          <t>VÄSTERBOTTENS LÄN</t>
        </is>
      </c>
      <c r="G897" t="inlineStr">
        <is>
          <t>UMEÅ</t>
        </is>
      </c>
      <c r="H897" t="inlineStr">
        <is>
          <t>Holmen skog AB</t>
        </is>
      </c>
      <c r="I897" t="n">
        <v>15.1</v>
      </c>
      <c r="J897" t="n">
        <v>0</v>
      </c>
      <c r="K897" t="n">
        <v>0</v>
      </c>
      <c r="L897" t="n">
        <v>0</v>
      </c>
      <c r="M897" t="n">
        <v>0</v>
      </c>
      <c r="N897" t="n">
        <v>0</v>
      </c>
      <c r="O897" t="n">
        <v>0</v>
      </c>
      <c r="P897" t="n">
        <v>0</v>
      </c>
      <c r="Q897" t="n">
        <v>0</v>
      </c>
      <c r="R897" t="n">
        <v>0</v>
      </c>
      <c r="S897" t="n">
        <v>0</v>
      </c>
      <c r="T897" t="n">
        <v>0</v>
      </c>
      <c r="U897" s="2" t="inlineStr"/>
    </row>
    <row r="898" ht="15" customHeight="1">
      <c r="A898" t="inlineStr">
        <is>
          <t>A 30894-2026</t>
        </is>
      </c>
      <c r="B898" t="inlineStr">
        <is>
          <t>avverkningsanmälan</t>
        </is>
      </c>
      <c r="C898" t="inlineStr">
        <is>
          <t>Föryngringsavverkning</t>
        </is>
      </c>
      <c r="D898" s="1" t="n">
        <v>46213</v>
      </c>
      <c r="E898" s="1" t="n">
        <v>46223</v>
      </c>
      <c r="F898" t="inlineStr">
        <is>
          <t>VÄSTERBOTTENS LÄN</t>
        </is>
      </c>
      <c r="G898" t="inlineStr">
        <is>
          <t>UMEÅ</t>
        </is>
      </c>
      <c r="H898" t="inlineStr">
        <is>
          <t>Holmen skog AB</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30913-2026</t>
        </is>
      </c>
      <c r="B899" t="inlineStr">
        <is>
          <t>avverkningsanmälan</t>
        </is>
      </c>
      <c r="C899" t="inlineStr">
        <is>
          <t>Föryngringsavverkning</t>
        </is>
      </c>
      <c r="D899" s="1" t="n">
        <v>46213</v>
      </c>
      <c r="E899" s="1" t="n">
        <v>46223</v>
      </c>
      <c r="F899" t="inlineStr">
        <is>
          <t>VÄSTERBOTTENS LÄN</t>
        </is>
      </c>
      <c r="G899" t="inlineStr">
        <is>
          <t>UMEÅ</t>
        </is>
      </c>
      <c r="H899" t="inlineStr">
        <is>
          <t>Holmen skog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30908-2026</t>
        </is>
      </c>
      <c r="B900" t="inlineStr">
        <is>
          <t>avverkningsanmälan</t>
        </is>
      </c>
      <c r="C900" t="inlineStr">
        <is>
          <t>Föryngringsavverkning</t>
        </is>
      </c>
      <c r="D900" s="1" t="n">
        <v>46205</v>
      </c>
      <c r="E900" s="1" t="n">
        <v>46223</v>
      </c>
      <c r="F900" t="inlineStr">
        <is>
          <t>VÄSTERBOTTENS LÄN</t>
        </is>
      </c>
      <c r="G900" t="inlineStr">
        <is>
          <t>UMEÅ</t>
        </is>
      </c>
      <c r="I900" t="n">
        <v>5</v>
      </c>
      <c r="J900" t="n">
        <v>0</v>
      </c>
      <c r="K900" t="n">
        <v>0</v>
      </c>
      <c r="L900" t="n">
        <v>0</v>
      </c>
      <c r="M900" t="n">
        <v>0</v>
      </c>
      <c r="N900" t="n">
        <v>0</v>
      </c>
      <c r="O900" t="n">
        <v>0</v>
      </c>
      <c r="P900" t="n">
        <v>0</v>
      </c>
      <c r="Q900" t="n">
        <v>0</v>
      </c>
      <c r="R900" t="n">
        <v>0</v>
      </c>
      <c r="S900" t="n">
        <v>0</v>
      </c>
      <c r="T900" t="n">
        <v>0</v>
      </c>
      <c r="U900" s="2" t="inlineStr"/>
    </row>
    <row r="901" ht="15" customHeight="1">
      <c r="A901" t="inlineStr">
        <is>
          <t>A 30904-2026</t>
        </is>
      </c>
      <c r="B901" t="inlineStr">
        <is>
          <t>avverkningsanmälan</t>
        </is>
      </c>
      <c r="C901" t="inlineStr">
        <is>
          <t>Föryngringsavverkning</t>
        </is>
      </c>
      <c r="D901" s="1" t="n">
        <v>46205</v>
      </c>
      <c r="E901" s="1" t="n">
        <v>46223</v>
      </c>
      <c r="F901" t="inlineStr">
        <is>
          <t>VÄSTERBOTTENS LÄN</t>
        </is>
      </c>
      <c r="G901" t="inlineStr">
        <is>
          <t>UMEÅ</t>
        </is>
      </c>
      <c r="I901" t="n">
        <v>5.2</v>
      </c>
      <c r="J901" t="n">
        <v>0</v>
      </c>
      <c r="K901" t="n">
        <v>0</v>
      </c>
      <c r="L901" t="n">
        <v>0</v>
      </c>
      <c r="M901" t="n">
        <v>0</v>
      </c>
      <c r="N901" t="n">
        <v>0</v>
      </c>
      <c r="O901" t="n">
        <v>0</v>
      </c>
      <c r="P901" t="n">
        <v>0</v>
      </c>
      <c r="Q901" t="n">
        <v>0</v>
      </c>
      <c r="R901" t="n">
        <v>0</v>
      </c>
      <c r="S901" t="n">
        <v>0</v>
      </c>
      <c r="T901" t="n">
        <v>0</v>
      </c>
      <c r="U901" s="2" t="inlineStr"/>
    </row>
    <row r="902" ht="15" customHeight="1">
      <c r="A902" t="inlineStr">
        <is>
          <t>A 57510-2024</t>
        </is>
      </c>
      <c r="B902" t="inlineStr">
        <is>
          <t>avverkningsanmälan</t>
        </is>
      </c>
      <c r="C902" t="inlineStr">
        <is>
          <t>Föryngringsavverkning</t>
        </is>
      </c>
      <c r="D902" s="1" t="n">
        <v>45630</v>
      </c>
      <c r="E902" s="1" t="n">
        <v>46223</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7263-2022</t>
        </is>
      </c>
      <c r="B903" t="inlineStr">
        <is>
          <t>avverkningsanmälan</t>
        </is>
      </c>
      <c r="C903" t="inlineStr">
        <is>
          <t>Föryngringsavverkning</t>
        </is>
      </c>
      <c r="D903" s="1" t="n">
        <v>44606</v>
      </c>
      <c r="E903" s="1" t="n">
        <v>46223</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s="2" t="inlineStr"/>
    </row>
    <row r="904" ht="15" customHeight="1">
      <c r="A904" t="inlineStr">
        <is>
          <t>A 10532-2023</t>
        </is>
      </c>
      <c r="B904" t="inlineStr">
        <is>
          <t>avverkningsanmälan</t>
        </is>
      </c>
      <c r="C904" t="inlineStr">
        <is>
          <t>Föryngringsavverkning</t>
        </is>
      </c>
      <c r="D904" s="1" t="n">
        <v>44987</v>
      </c>
      <c r="E904" s="1" t="n">
        <v>46223</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22291-2023</t>
        </is>
      </c>
      <c r="B905" t="inlineStr">
        <is>
          <t>avverkningsanmälan</t>
        </is>
      </c>
      <c r="C905" t="inlineStr">
        <is>
          <t>Föryngringsavverkning</t>
        </is>
      </c>
      <c r="D905" s="1" t="n">
        <v>45070</v>
      </c>
      <c r="E905" s="1" t="n">
        <v>46223</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53787-2024</t>
        </is>
      </c>
      <c r="B906" t="inlineStr">
        <is>
          <t>avverkningsanmälan</t>
        </is>
      </c>
      <c r="C906" t="inlineStr">
        <is>
          <t>Föryngringsavverkning</t>
        </is>
      </c>
      <c r="D906" s="1" t="n">
        <v>45615</v>
      </c>
      <c r="E906" s="1" t="n">
        <v>46223</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30863-2026</t>
        </is>
      </c>
      <c r="B907" t="inlineStr">
        <is>
          <t>avverkningsanmälan</t>
        </is>
      </c>
      <c r="C907" t="inlineStr">
        <is>
          <t>Avverkning för annat ändamål</t>
        </is>
      </c>
      <c r="D907" s="1" t="n">
        <v>46205</v>
      </c>
      <c r="E907" s="1" t="n">
        <v>46223</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61105-2023</t>
        </is>
      </c>
      <c r="B908" t="inlineStr">
        <is>
          <t>avverkningsanmälan</t>
        </is>
      </c>
      <c r="C908" t="inlineStr">
        <is>
          <t>Föryngringsavverkning</t>
        </is>
      </c>
      <c r="D908" s="1" t="n">
        <v>45261</v>
      </c>
      <c r="E908" s="1" t="n">
        <v>46223</v>
      </c>
      <c r="F908" t="inlineStr">
        <is>
          <t>VÄSTERBOTTENS LÄN</t>
        </is>
      </c>
      <c r="G908" t="inlineStr">
        <is>
          <t>UMEÅ</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43163-2023</t>
        </is>
      </c>
      <c r="B909" t="inlineStr">
        <is>
          <t>avverkningsanmälan</t>
        </is>
      </c>
      <c r="C909" t="inlineStr">
        <is>
          <t>Föryngringsavverkning</t>
        </is>
      </c>
      <c r="D909" s="1" t="n">
        <v>45183</v>
      </c>
      <c r="E909" s="1" t="n">
        <v>46223</v>
      </c>
      <c r="F909" t="inlineStr">
        <is>
          <t>VÄSTERBOTTENS LÄN</t>
        </is>
      </c>
      <c r="G909" t="inlineStr">
        <is>
          <t>UMEÅ</t>
        </is>
      </c>
      <c r="I909" t="n">
        <v>1.5</v>
      </c>
      <c r="J909" t="n">
        <v>0</v>
      </c>
      <c r="K909" t="n">
        <v>0</v>
      </c>
      <c r="L909" t="n">
        <v>0</v>
      </c>
      <c r="M909" t="n">
        <v>0</v>
      </c>
      <c r="N909" t="n">
        <v>0</v>
      </c>
      <c r="O909" t="n">
        <v>0</v>
      </c>
      <c r="P909" t="n">
        <v>0</v>
      </c>
      <c r="Q909" t="n">
        <v>0</v>
      </c>
      <c r="R909" t="n">
        <v>0</v>
      </c>
      <c r="S909" t="n">
        <v>0</v>
      </c>
      <c r="T909" t="n">
        <v>0</v>
      </c>
      <c r="U909" s="2" t="inlineStr"/>
    </row>
    <row r="910" ht="15" customHeight="1">
      <c r="A910" t="inlineStr">
        <is>
          <t>A 25966-2022</t>
        </is>
      </c>
      <c r="B910" t="inlineStr">
        <is>
          <t>avverkningsanmälan</t>
        </is>
      </c>
      <c r="C910" t="inlineStr">
        <is>
          <t>Föryngringsavverkning</t>
        </is>
      </c>
      <c r="D910" s="1" t="n">
        <v>44734</v>
      </c>
      <c r="E910" s="1" t="n">
        <v>46223</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24850-2026</t>
        </is>
      </c>
      <c r="B911" t="inlineStr">
        <is>
          <t>avverkningsanmälan</t>
        </is>
      </c>
      <c r="C911" t="inlineStr">
        <is>
          <t>Föryngringsavverkning</t>
        </is>
      </c>
      <c r="D911" s="1" t="n">
        <v>46174</v>
      </c>
      <c r="E911" s="1" t="n">
        <v>46223</v>
      </c>
      <c r="F911" t="inlineStr">
        <is>
          <t>VÄSTERBOTTENS LÄN</t>
        </is>
      </c>
      <c r="G911" t="inlineStr">
        <is>
          <t>UMEÅ</t>
        </is>
      </c>
      <c r="I911" t="n">
        <v>3.7</v>
      </c>
      <c r="J911" t="n">
        <v>0</v>
      </c>
      <c r="K911" t="n">
        <v>0</v>
      </c>
      <c r="L911" t="n">
        <v>0</v>
      </c>
      <c r="M911" t="n">
        <v>0</v>
      </c>
      <c r="N911" t="n">
        <v>0</v>
      </c>
      <c r="O911" t="n">
        <v>0</v>
      </c>
      <c r="P911" t="n">
        <v>0</v>
      </c>
      <c r="Q911" t="n">
        <v>0</v>
      </c>
      <c r="R911" t="n">
        <v>0</v>
      </c>
      <c r="S911" t="n">
        <v>0</v>
      </c>
      <c r="T911" t="n">
        <v>0</v>
      </c>
      <c r="U911" s="2" t="inlineStr"/>
    </row>
    <row r="912" ht="15" customHeight="1">
      <c r="A912" t="inlineStr">
        <is>
          <t>A 7213-2025</t>
        </is>
      </c>
      <c r="B912" t="inlineStr">
        <is>
          <t>avverkningsanmälan</t>
        </is>
      </c>
      <c r="C912" t="inlineStr">
        <is>
          <t>Föryngringsavverkning</t>
        </is>
      </c>
      <c r="D912" s="1" t="n">
        <v>45702</v>
      </c>
      <c r="E912" s="1" t="n">
        <v>46223</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s="2" t="inlineStr"/>
    </row>
    <row r="913" ht="15" customHeight="1">
      <c r="A913" t="inlineStr">
        <is>
          <t>A 25874-2026</t>
        </is>
      </c>
      <c r="B913" t="inlineStr">
        <is>
          <t>avverkningsanmälan</t>
        </is>
      </c>
      <c r="C913" t="inlineStr">
        <is>
          <t>Föryngringsavverkning</t>
        </is>
      </c>
      <c r="D913" s="1" t="n">
        <v>46178</v>
      </c>
      <c r="E913" s="1" t="n">
        <v>46223</v>
      </c>
      <c r="F913" t="inlineStr">
        <is>
          <t>VÄSTERBOTTENS LÄN</t>
        </is>
      </c>
      <c r="G913" t="inlineStr">
        <is>
          <t>UMEÅ</t>
        </is>
      </c>
      <c r="H913" t="inlineStr">
        <is>
          <t>Holmen skog AB</t>
        </is>
      </c>
      <c r="I913" t="n">
        <v>1.5</v>
      </c>
      <c r="J913" t="n">
        <v>0</v>
      </c>
      <c r="K913" t="n">
        <v>0</v>
      </c>
      <c r="L913" t="n">
        <v>0</v>
      </c>
      <c r="M913" t="n">
        <v>0</v>
      </c>
      <c r="N913" t="n">
        <v>0</v>
      </c>
      <c r="O913" t="n">
        <v>0</v>
      </c>
      <c r="P913" t="n">
        <v>0</v>
      </c>
      <c r="Q913" t="n">
        <v>0</v>
      </c>
      <c r="R913" t="n">
        <v>0</v>
      </c>
      <c r="S913" t="n">
        <v>0</v>
      </c>
      <c r="T913" t="n">
        <v>0</v>
      </c>
      <c r="U913" s="2" t="inlineStr"/>
    </row>
    <row r="914" ht="15" customHeight="1">
      <c r="A914" t="inlineStr">
        <is>
          <t>A 25885-2026</t>
        </is>
      </c>
      <c r="B914" t="inlineStr">
        <is>
          <t>avverkningsanmälan</t>
        </is>
      </c>
      <c r="C914" t="inlineStr">
        <is>
          <t>Föryngringsavverkning</t>
        </is>
      </c>
      <c r="D914" s="1" t="n">
        <v>46178</v>
      </c>
      <c r="E914" s="1" t="n">
        <v>46223</v>
      </c>
      <c r="F914" t="inlineStr">
        <is>
          <t>VÄSTERBOTTENS LÄN</t>
        </is>
      </c>
      <c r="G914" t="inlineStr">
        <is>
          <t>UMEÅ</t>
        </is>
      </c>
      <c r="H914" t="inlineStr">
        <is>
          <t>Holmen skog AB</t>
        </is>
      </c>
      <c r="I914" t="n">
        <v>16.9</v>
      </c>
      <c r="J914" t="n">
        <v>0</v>
      </c>
      <c r="K914" t="n">
        <v>0</v>
      </c>
      <c r="L914" t="n">
        <v>0</v>
      </c>
      <c r="M914" t="n">
        <v>0</v>
      </c>
      <c r="N914" t="n">
        <v>0</v>
      </c>
      <c r="O914" t="n">
        <v>0</v>
      </c>
      <c r="P914" t="n">
        <v>0</v>
      </c>
      <c r="Q914" t="n">
        <v>0</v>
      </c>
      <c r="R914" t="n">
        <v>0</v>
      </c>
      <c r="S914" t="n">
        <v>0</v>
      </c>
      <c r="T914" t="n">
        <v>0</v>
      </c>
      <c r="U914" s="2" t="inlineStr"/>
    </row>
    <row r="915" ht="15" customHeight="1">
      <c r="A915" t="inlineStr">
        <is>
          <t>A 6130-2025</t>
        </is>
      </c>
      <c r="B915" t="inlineStr">
        <is>
          <t>avverkningsanmälan</t>
        </is>
      </c>
      <c r="C915" t="inlineStr">
        <is>
          <t>Föryngringsavverkning</t>
        </is>
      </c>
      <c r="D915" s="1" t="n">
        <v>45698</v>
      </c>
      <c r="E915" s="1" t="n">
        <v>46223</v>
      </c>
      <c r="F915" t="inlineStr">
        <is>
          <t>VÄSTERBOTTENS LÄN</t>
        </is>
      </c>
      <c r="G915" t="inlineStr">
        <is>
          <t>UMEÅ</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62767-2025</t>
        </is>
      </c>
      <c r="B916" t="inlineStr">
        <is>
          <t>avverkningsanmälan</t>
        </is>
      </c>
      <c r="C916" t="inlineStr">
        <is>
          <t>Föryngringsavverkning</t>
        </is>
      </c>
      <c r="D916" s="1" t="n">
        <v>46008</v>
      </c>
      <c r="E916" s="1" t="n">
        <v>46223</v>
      </c>
      <c r="F916" t="inlineStr">
        <is>
          <t>VÄSTERBOTTENS LÄN</t>
        </is>
      </c>
      <c r="G916" t="inlineStr">
        <is>
          <t>UMEÅ</t>
        </is>
      </c>
      <c r="I916" t="n">
        <v>4.3</v>
      </c>
      <c r="J916" t="n">
        <v>0</v>
      </c>
      <c r="K916" t="n">
        <v>0</v>
      </c>
      <c r="L916" t="n">
        <v>0</v>
      </c>
      <c r="M916" t="n">
        <v>0</v>
      </c>
      <c r="N916" t="n">
        <v>0</v>
      </c>
      <c r="O916" t="n">
        <v>0</v>
      </c>
      <c r="P916" t="n">
        <v>0</v>
      </c>
      <c r="Q916" t="n">
        <v>0</v>
      </c>
      <c r="R916" t="n">
        <v>0</v>
      </c>
      <c r="S916" t="n">
        <v>0</v>
      </c>
      <c r="T916" t="n">
        <v>0</v>
      </c>
      <c r="U916" s="2" t="inlineStr"/>
    </row>
    <row r="917" ht="15" customHeight="1">
      <c r="A917" t="inlineStr">
        <is>
          <t>A 26738-2024</t>
        </is>
      </c>
      <c r="B917" t="inlineStr">
        <is>
          <t>avverkningsanmälan</t>
        </is>
      </c>
      <c r="C917" t="inlineStr">
        <is>
          <t>Föryngringsavverkning</t>
        </is>
      </c>
      <c r="D917" s="1" t="n">
        <v>45470</v>
      </c>
      <c r="E917" s="1" t="n">
        <v>46223</v>
      </c>
      <c r="F917" t="inlineStr">
        <is>
          <t>VÄSTERBOTTENS LÄN</t>
        </is>
      </c>
      <c r="G917" t="inlineStr">
        <is>
          <t>UMEÅ</t>
        </is>
      </c>
      <c r="I917" t="n">
        <v>4.1</v>
      </c>
      <c r="J917" t="n">
        <v>0</v>
      </c>
      <c r="K917" t="n">
        <v>0</v>
      </c>
      <c r="L917" t="n">
        <v>0</v>
      </c>
      <c r="M917" t="n">
        <v>0</v>
      </c>
      <c r="N917" t="n">
        <v>0</v>
      </c>
      <c r="O917" t="n">
        <v>0</v>
      </c>
      <c r="P917" t="n">
        <v>0</v>
      </c>
      <c r="Q917" t="n">
        <v>0</v>
      </c>
      <c r="R917" t="n">
        <v>0</v>
      </c>
      <c r="S917" t="n">
        <v>0</v>
      </c>
      <c r="T917" t="n">
        <v>0</v>
      </c>
      <c r="U917" s="2" t="inlineStr"/>
    </row>
    <row r="918" ht="15" customHeight="1">
      <c r="A918" t="inlineStr">
        <is>
          <t>A 25857-2026</t>
        </is>
      </c>
      <c r="B918" t="inlineStr">
        <is>
          <t>avverkningsanmälan</t>
        </is>
      </c>
      <c r="C918" t="inlineStr">
        <is>
          <t>Föryngringsavverkning</t>
        </is>
      </c>
      <c r="D918" s="1" t="n">
        <v>46178</v>
      </c>
      <c r="E918" s="1" t="n">
        <v>46223</v>
      </c>
      <c r="F918" t="inlineStr">
        <is>
          <t>VÄSTERBOTTENS LÄN</t>
        </is>
      </c>
      <c r="G918" t="inlineStr">
        <is>
          <t>UMEÅ</t>
        </is>
      </c>
      <c r="H918" t="inlineStr">
        <is>
          <t>Holmen skog AB</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31037-2025</t>
        </is>
      </c>
      <c r="B919" t="inlineStr">
        <is>
          <t>avverkningsanmälan</t>
        </is>
      </c>
      <c r="C919" t="inlineStr">
        <is>
          <t>Föryngringsavverkning</t>
        </is>
      </c>
      <c r="D919" s="1" t="n">
        <v>45832</v>
      </c>
      <c r="E919" s="1" t="n">
        <v>46223</v>
      </c>
      <c r="F919" t="inlineStr">
        <is>
          <t>VÄSTERBOTTENS LÄN</t>
        </is>
      </c>
      <c r="G919" t="inlineStr">
        <is>
          <t>UMEÅ</t>
        </is>
      </c>
      <c r="I919" t="n">
        <v>5</v>
      </c>
      <c r="J919" t="n">
        <v>0</v>
      </c>
      <c r="K919" t="n">
        <v>0</v>
      </c>
      <c r="L919" t="n">
        <v>0</v>
      </c>
      <c r="M919" t="n">
        <v>0</v>
      </c>
      <c r="N919" t="n">
        <v>0</v>
      </c>
      <c r="O919" t="n">
        <v>0</v>
      </c>
      <c r="P919" t="n">
        <v>0</v>
      </c>
      <c r="Q919" t="n">
        <v>0</v>
      </c>
      <c r="R919" t="n">
        <v>0</v>
      </c>
      <c r="S919" t="n">
        <v>0</v>
      </c>
      <c r="T919" t="n">
        <v>0</v>
      </c>
      <c r="U919" s="2" t="inlineStr"/>
    </row>
    <row r="920" ht="15" customHeight="1">
      <c r="A920" t="inlineStr">
        <is>
          <t>A 31353-2026</t>
        </is>
      </c>
      <c r="B920" t="inlineStr">
        <is>
          <t>avverkningsanmälan</t>
        </is>
      </c>
      <c r="C920" t="inlineStr">
        <is>
          <t>Föryngringsavverkning</t>
        </is>
      </c>
      <c r="D920" s="1" t="n">
        <v>46219</v>
      </c>
      <c r="E920" s="1" t="n">
        <v>46223</v>
      </c>
      <c r="F920" t="inlineStr">
        <is>
          <t>VÄSTERBOTTENS LÄN</t>
        </is>
      </c>
      <c r="G920" t="inlineStr">
        <is>
          <t>UMEÅ</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4629-2022</t>
        </is>
      </c>
      <c r="B921" t="inlineStr">
        <is>
          <t>avverkningsanmälan</t>
        </is>
      </c>
      <c r="C921" t="inlineStr">
        <is>
          <t>Föryngringsavverkning</t>
        </is>
      </c>
      <c r="D921" s="1" t="n">
        <v>44592</v>
      </c>
      <c r="E921" s="1" t="n">
        <v>46223</v>
      </c>
      <c r="F921" t="inlineStr">
        <is>
          <t>VÄSTERBOTTENS LÄN</t>
        </is>
      </c>
      <c r="G921" t="inlineStr">
        <is>
          <t>UMEÅ</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18907-2023</t>
        </is>
      </c>
      <c r="B922" t="inlineStr">
        <is>
          <t>avverkningsanmälan</t>
        </is>
      </c>
      <c r="C922" t="inlineStr">
        <is>
          <t>Föryngringsavverkning</t>
        </is>
      </c>
      <c r="D922" s="1" t="n">
        <v>45043</v>
      </c>
      <c r="E922" s="1" t="n">
        <v>46223</v>
      </c>
      <c r="F922" t="inlineStr">
        <is>
          <t>VÄSTERBOTTENS LÄN</t>
        </is>
      </c>
      <c r="G922" t="inlineStr">
        <is>
          <t>UMEÅ</t>
        </is>
      </c>
      <c r="I922" t="n">
        <v>4.6</v>
      </c>
      <c r="J922" t="n">
        <v>0</v>
      </c>
      <c r="K922" t="n">
        <v>0</v>
      </c>
      <c r="L922" t="n">
        <v>0</v>
      </c>
      <c r="M922" t="n">
        <v>0</v>
      </c>
      <c r="N922" t="n">
        <v>0</v>
      </c>
      <c r="O922" t="n">
        <v>0</v>
      </c>
      <c r="P922" t="n">
        <v>0</v>
      </c>
      <c r="Q922" t="n">
        <v>0</v>
      </c>
      <c r="R922" t="n">
        <v>0</v>
      </c>
      <c r="S922" t="n">
        <v>0</v>
      </c>
      <c r="T922" t="n">
        <v>0</v>
      </c>
      <c r="U922" s="2" t="inlineStr"/>
    </row>
    <row r="923" ht="15" customHeight="1">
      <c r="A923" t="inlineStr">
        <is>
          <t>A 51390-2024</t>
        </is>
      </c>
      <c r="B923" t="inlineStr">
        <is>
          <t>avverkningsanmälan</t>
        </is>
      </c>
      <c r="C923" t="inlineStr">
        <is>
          <t>Föryngringsavverkning</t>
        </is>
      </c>
      <c r="D923" s="1" t="n">
        <v>45604</v>
      </c>
      <c r="E923" s="1" t="n">
        <v>46223</v>
      </c>
      <c r="F923" t="inlineStr">
        <is>
          <t>VÄSTERBOTTENS LÄN</t>
        </is>
      </c>
      <c r="G923" t="inlineStr">
        <is>
          <t>UMEÅ</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35808-2022</t>
        </is>
      </c>
      <c r="B924" t="inlineStr">
        <is>
          <t>avverkningsanmälan</t>
        </is>
      </c>
      <c r="C924" t="inlineStr">
        <is>
          <t>Föryngringsavverkning</t>
        </is>
      </c>
      <c r="D924" s="1" t="n">
        <v>44802</v>
      </c>
      <c r="E924" s="1" t="n">
        <v>46223</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15358-2023</t>
        </is>
      </c>
      <c r="B925" t="inlineStr">
        <is>
          <t>avverkningsanmälan</t>
        </is>
      </c>
      <c r="C925" t="inlineStr">
        <is>
          <t>Föryngringsavverkning</t>
        </is>
      </c>
      <c r="D925" s="1" t="n">
        <v>45016</v>
      </c>
      <c r="E925" s="1" t="n">
        <v>46223</v>
      </c>
      <c r="F925" t="inlineStr">
        <is>
          <t>VÄSTERBOTTENS LÄN</t>
        </is>
      </c>
      <c r="G925" t="inlineStr">
        <is>
          <t>UMEÅ</t>
        </is>
      </c>
      <c r="H925" t="inlineStr">
        <is>
          <t>Kommuner</t>
        </is>
      </c>
      <c r="I925" t="n">
        <v>4.4</v>
      </c>
      <c r="J925" t="n">
        <v>0</v>
      </c>
      <c r="K925" t="n">
        <v>0</v>
      </c>
      <c r="L925" t="n">
        <v>0</v>
      </c>
      <c r="M925" t="n">
        <v>0</v>
      </c>
      <c r="N925" t="n">
        <v>0</v>
      </c>
      <c r="O925" t="n">
        <v>0</v>
      </c>
      <c r="P925" t="n">
        <v>0</v>
      </c>
      <c r="Q925" t="n">
        <v>0</v>
      </c>
      <c r="R925" t="n">
        <v>0</v>
      </c>
      <c r="S925" t="n">
        <v>0</v>
      </c>
      <c r="T925" t="n">
        <v>0</v>
      </c>
      <c r="U925" s="2" t="inlineStr"/>
    </row>
    <row r="926" ht="15" customHeight="1">
      <c r="A926" t="inlineStr">
        <is>
          <t>A 51544-2023</t>
        </is>
      </c>
      <c r="B926" t="inlineStr">
        <is>
          <t>avverkningsanmälan</t>
        </is>
      </c>
      <c r="C926" t="inlineStr">
        <is>
          <t>Föryngringsavverkning</t>
        </is>
      </c>
      <c r="D926" s="1" t="n">
        <v>45222</v>
      </c>
      <c r="E926" s="1" t="n">
        <v>46223</v>
      </c>
      <c r="F926" t="inlineStr">
        <is>
          <t>VÄSTERBOTTENS LÄN</t>
        </is>
      </c>
      <c r="G926" t="inlineStr">
        <is>
          <t>UMEÅ</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25615-2026</t>
        </is>
      </c>
      <c r="B927" t="inlineStr">
        <is>
          <t>avverkningsanmälan</t>
        </is>
      </c>
      <c r="C927" t="inlineStr">
        <is>
          <t>Föryngringsavverkning</t>
        </is>
      </c>
      <c r="D927" s="1" t="n">
        <v>46177</v>
      </c>
      <c r="E927" s="1" t="n">
        <v>46223</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s="2" t="inlineStr"/>
    </row>
    <row r="928" ht="15" customHeight="1">
      <c r="A928" t="inlineStr">
        <is>
          <t>A 1089-2024</t>
        </is>
      </c>
      <c r="B928" t="inlineStr">
        <is>
          <t>avverkningsanmälan</t>
        </is>
      </c>
      <c r="C928" t="inlineStr">
        <is>
          <t>Föryngringsavverkning</t>
        </is>
      </c>
      <c r="D928" s="1" t="n">
        <v>45301</v>
      </c>
      <c r="E928" s="1" t="n">
        <v>46223</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25541-2026</t>
        </is>
      </c>
      <c r="B929" t="inlineStr">
        <is>
          <t>avverkningsanmälan</t>
        </is>
      </c>
      <c r="C929" t="inlineStr">
        <is>
          <t>Föryngringsavverkning</t>
        </is>
      </c>
      <c r="D929" s="1" t="n">
        <v>46177</v>
      </c>
      <c r="E929" s="1" t="n">
        <v>46223</v>
      </c>
      <c r="F929" t="inlineStr">
        <is>
          <t>VÄSTERBOTTENS LÄN</t>
        </is>
      </c>
      <c r="G929" t="inlineStr">
        <is>
          <t>UMEÅ</t>
        </is>
      </c>
      <c r="H929" t="inlineStr">
        <is>
          <t>Holmen skog AB</t>
        </is>
      </c>
      <c r="I929" t="n">
        <v>2.7</v>
      </c>
      <c r="J929" t="n">
        <v>0</v>
      </c>
      <c r="K929" t="n">
        <v>0</v>
      </c>
      <c r="L929" t="n">
        <v>0</v>
      </c>
      <c r="M929" t="n">
        <v>0</v>
      </c>
      <c r="N929" t="n">
        <v>0</v>
      </c>
      <c r="O929" t="n">
        <v>0</v>
      </c>
      <c r="P929" t="n">
        <v>0</v>
      </c>
      <c r="Q929" t="n">
        <v>0</v>
      </c>
      <c r="R929" t="n">
        <v>0</v>
      </c>
      <c r="S929" t="n">
        <v>0</v>
      </c>
      <c r="T929" t="n">
        <v>0</v>
      </c>
      <c r="U929" s="2" t="inlineStr"/>
    </row>
    <row r="930" ht="15" customHeight="1">
      <c r="A930" t="inlineStr">
        <is>
          <t>A 63136-2023</t>
        </is>
      </c>
      <c r="B930" t="inlineStr">
        <is>
          <t>avverkningsanmälan</t>
        </is>
      </c>
      <c r="C930" t="inlineStr">
        <is>
          <t>Föryngringsavverkning</t>
        </is>
      </c>
      <c r="D930" s="1" t="n">
        <v>45273</v>
      </c>
      <c r="E930" s="1" t="n">
        <v>46223</v>
      </c>
      <c r="F930" t="inlineStr">
        <is>
          <t>VÄSTERBOTTENS LÄN</t>
        </is>
      </c>
      <c r="G930" t="inlineStr">
        <is>
          <t>UMEÅ</t>
        </is>
      </c>
      <c r="I930" t="n">
        <v>0.4</v>
      </c>
      <c r="J930" t="n">
        <v>0</v>
      </c>
      <c r="K930" t="n">
        <v>0</v>
      </c>
      <c r="L930" t="n">
        <v>0</v>
      </c>
      <c r="M930" t="n">
        <v>0</v>
      </c>
      <c r="N930" t="n">
        <v>0</v>
      </c>
      <c r="O930" t="n">
        <v>0</v>
      </c>
      <c r="P930" t="n">
        <v>0</v>
      </c>
      <c r="Q930" t="n">
        <v>0</v>
      </c>
      <c r="R930" t="n">
        <v>0</v>
      </c>
      <c r="S930" t="n">
        <v>0</v>
      </c>
      <c r="T930" t="n">
        <v>0</v>
      </c>
      <c r="U930" s="2" t="inlineStr"/>
    </row>
    <row r="931" ht="15" customHeight="1">
      <c r="A931" t="inlineStr">
        <is>
          <t>A 17345-2025</t>
        </is>
      </c>
      <c r="B931" t="inlineStr">
        <is>
          <t>avverkningsanmälan</t>
        </is>
      </c>
      <c r="C931" t="inlineStr">
        <is>
          <t>Föryngringsavverkning</t>
        </is>
      </c>
      <c r="D931" s="1" t="n">
        <v>45756</v>
      </c>
      <c r="E931" s="1" t="n">
        <v>46223</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3830-2025</t>
        </is>
      </c>
      <c r="B932" t="inlineStr">
        <is>
          <t>avverkningsanmälan</t>
        </is>
      </c>
      <c r="C932" t="inlineStr">
        <is>
          <t>Föryngringsavverkning</t>
        </is>
      </c>
      <c r="D932" s="1" t="n">
        <v>45681</v>
      </c>
      <c r="E932" s="1" t="n">
        <v>46223</v>
      </c>
      <c r="F932" t="inlineStr">
        <is>
          <t>VÄSTERBOTTENS LÄN</t>
        </is>
      </c>
      <c r="G932" t="inlineStr">
        <is>
          <t>UMEÅ</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7696-2025</t>
        </is>
      </c>
      <c r="B933" t="inlineStr">
        <is>
          <t>avverkningsanmälan</t>
        </is>
      </c>
      <c r="C933" t="inlineStr">
        <is>
          <t>Föryngringsavverkning</t>
        </is>
      </c>
      <c r="D933" s="1" t="n">
        <v>45706</v>
      </c>
      <c r="E933" s="1" t="n">
        <v>46223</v>
      </c>
      <c r="F933" t="inlineStr">
        <is>
          <t>VÄSTERBOTTENS LÄN</t>
        </is>
      </c>
      <c r="G933" t="inlineStr">
        <is>
          <t>UMEÅ</t>
        </is>
      </c>
      <c r="I933" t="n">
        <v>5.2</v>
      </c>
      <c r="J933" t="n">
        <v>0</v>
      </c>
      <c r="K933" t="n">
        <v>0</v>
      </c>
      <c r="L933" t="n">
        <v>0</v>
      </c>
      <c r="M933" t="n">
        <v>0</v>
      </c>
      <c r="N933" t="n">
        <v>0</v>
      </c>
      <c r="O933" t="n">
        <v>0</v>
      </c>
      <c r="P933" t="n">
        <v>0</v>
      </c>
      <c r="Q933" t="n">
        <v>0</v>
      </c>
      <c r="R933" t="n">
        <v>0</v>
      </c>
      <c r="S933" t="n">
        <v>0</v>
      </c>
      <c r="T933" t="n">
        <v>0</v>
      </c>
      <c r="U933" s="2" t="inlineStr"/>
    </row>
    <row r="934" ht="15" customHeight="1">
      <c r="A934" t="inlineStr">
        <is>
          <t>A 13766-2025</t>
        </is>
      </c>
      <c r="B934" t="inlineStr">
        <is>
          <t>avverkningsanmälan</t>
        </is>
      </c>
      <c r="C934" t="inlineStr">
        <is>
          <t>Föryngringsavverkning</t>
        </is>
      </c>
      <c r="D934" s="1" t="n">
        <v>45737</v>
      </c>
      <c r="E934" s="1" t="n">
        <v>46223</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31031-2024</t>
        </is>
      </c>
      <c r="B935" t="inlineStr">
        <is>
          <t>avverkningsanmälan</t>
        </is>
      </c>
      <c r="C935" t="inlineStr">
        <is>
          <t>Föryngringsavverkning</t>
        </is>
      </c>
      <c r="D935" s="1" t="n">
        <v>45501</v>
      </c>
      <c r="E935" s="1" t="n">
        <v>46223</v>
      </c>
      <c r="F935" t="inlineStr">
        <is>
          <t>VÄSTERBOTTENS LÄN</t>
        </is>
      </c>
      <c r="G935" t="inlineStr">
        <is>
          <t>UMEÅ</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54143-2024</t>
        </is>
      </c>
      <c r="B936" t="inlineStr">
        <is>
          <t>avverkningsanmälan</t>
        </is>
      </c>
      <c r="C936" t="inlineStr">
        <is>
          <t>Föryngringsavverkning</t>
        </is>
      </c>
      <c r="D936" s="1" t="n">
        <v>45616</v>
      </c>
      <c r="E936" s="1" t="n">
        <v>46223</v>
      </c>
      <c r="F936" t="inlineStr">
        <is>
          <t>VÄSTERBOTTENS LÄN</t>
        </is>
      </c>
      <c r="G936" t="inlineStr">
        <is>
          <t>UMEÅ</t>
        </is>
      </c>
      <c r="I936" t="n">
        <v>0.3</v>
      </c>
      <c r="J936" t="n">
        <v>0</v>
      </c>
      <c r="K936" t="n">
        <v>0</v>
      </c>
      <c r="L936" t="n">
        <v>0</v>
      </c>
      <c r="M936" t="n">
        <v>0</v>
      </c>
      <c r="N936" t="n">
        <v>0</v>
      </c>
      <c r="O936" t="n">
        <v>0</v>
      </c>
      <c r="P936" t="n">
        <v>0</v>
      </c>
      <c r="Q936" t="n">
        <v>0</v>
      </c>
      <c r="R936" t="n">
        <v>0</v>
      </c>
      <c r="S936" t="n">
        <v>0</v>
      </c>
      <c r="T936" t="n">
        <v>0</v>
      </c>
      <c r="U936" s="2" t="inlineStr"/>
    </row>
    <row r="937" ht="15" customHeight="1">
      <c r="A937" t="inlineStr">
        <is>
          <t>A 10899-2025</t>
        </is>
      </c>
      <c r="B937" t="inlineStr">
        <is>
          <t>avverkningsanmälan</t>
        </is>
      </c>
      <c r="C937" t="inlineStr">
        <is>
          <t>Föryngringsavverkning</t>
        </is>
      </c>
      <c r="D937" s="1" t="n">
        <v>45722</v>
      </c>
      <c r="E937" s="1" t="n">
        <v>46223</v>
      </c>
      <c r="F937" t="inlineStr">
        <is>
          <t>VÄSTERBOTTENS LÄN</t>
        </is>
      </c>
      <c r="G937" t="inlineStr">
        <is>
          <t>UMEÅ</t>
        </is>
      </c>
      <c r="I937" t="n">
        <v>6.8</v>
      </c>
      <c r="J937" t="n">
        <v>0</v>
      </c>
      <c r="K937" t="n">
        <v>0</v>
      </c>
      <c r="L937" t="n">
        <v>0</v>
      </c>
      <c r="M937" t="n">
        <v>0</v>
      </c>
      <c r="N937" t="n">
        <v>0</v>
      </c>
      <c r="O937" t="n">
        <v>0</v>
      </c>
      <c r="P937" t="n">
        <v>0</v>
      </c>
      <c r="Q937" t="n">
        <v>0</v>
      </c>
      <c r="R937" t="n">
        <v>0</v>
      </c>
      <c r="S937" t="n">
        <v>0</v>
      </c>
      <c r="T937" t="n">
        <v>0</v>
      </c>
      <c r="U937" s="2" t="inlineStr"/>
    </row>
    <row r="938" ht="15" customHeight="1">
      <c r="A938" t="inlineStr">
        <is>
          <t>A 15904-2025</t>
        </is>
      </c>
      <c r="B938" t="inlineStr">
        <is>
          <t>avverkningsanmälan</t>
        </is>
      </c>
      <c r="C938" t="inlineStr">
        <is>
          <t>Föryngringsavverkning</t>
        </is>
      </c>
      <c r="D938" s="1" t="n">
        <v>45749</v>
      </c>
      <c r="E938" s="1" t="n">
        <v>46223</v>
      </c>
      <c r="F938" t="inlineStr">
        <is>
          <t>VÄSTERBOTTENS LÄN</t>
        </is>
      </c>
      <c r="G938" t="inlineStr">
        <is>
          <t>UMEÅ</t>
        </is>
      </c>
      <c r="I938" t="n">
        <v>2.5</v>
      </c>
      <c r="J938" t="n">
        <v>0</v>
      </c>
      <c r="K938" t="n">
        <v>0</v>
      </c>
      <c r="L938" t="n">
        <v>0</v>
      </c>
      <c r="M938" t="n">
        <v>0</v>
      </c>
      <c r="N938" t="n">
        <v>0</v>
      </c>
      <c r="O938" t="n">
        <v>0</v>
      </c>
      <c r="P938" t="n">
        <v>0</v>
      </c>
      <c r="Q938" t="n">
        <v>0</v>
      </c>
      <c r="R938" t="n">
        <v>0</v>
      </c>
      <c r="S938" t="n">
        <v>0</v>
      </c>
      <c r="T938" t="n">
        <v>0</v>
      </c>
      <c r="U938" s="2" t="inlineStr"/>
    </row>
    <row r="939" ht="15" customHeight="1">
      <c r="A939" t="inlineStr">
        <is>
          <t>A 51415-2024</t>
        </is>
      </c>
      <c r="B939" t="inlineStr">
        <is>
          <t>avverkningsanmälan</t>
        </is>
      </c>
      <c r="C939" t="inlineStr">
        <is>
          <t>Föryngringsavverkning</t>
        </is>
      </c>
      <c r="D939" s="1" t="n">
        <v>45604</v>
      </c>
      <c r="E939" s="1" t="n">
        <v>46223</v>
      </c>
      <c r="F939" t="inlineStr">
        <is>
          <t>VÄSTERBOTTENS LÄN</t>
        </is>
      </c>
      <c r="G939" t="inlineStr">
        <is>
          <t>UMEÅ</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57497-2024</t>
        </is>
      </c>
      <c r="B940" t="inlineStr">
        <is>
          <t>avverkningsanmälan</t>
        </is>
      </c>
      <c r="C940" t="inlineStr">
        <is>
          <t>Föryngringsavverkning</t>
        </is>
      </c>
      <c r="D940" s="1" t="n">
        <v>45630</v>
      </c>
      <c r="E940" s="1" t="n">
        <v>46223</v>
      </c>
      <c r="F940" t="inlineStr">
        <is>
          <t>VÄSTERBOTTENS LÄN</t>
        </is>
      </c>
      <c r="G940" t="inlineStr">
        <is>
          <t>UMEÅ</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35209-2024</t>
        </is>
      </c>
      <c r="B941" t="inlineStr">
        <is>
          <t>avverkningsanmälan</t>
        </is>
      </c>
      <c r="C941" t="inlineStr">
        <is>
          <t>Föryngringsavverkning</t>
        </is>
      </c>
      <c r="D941" s="1" t="n">
        <v>45530</v>
      </c>
      <c r="E941" s="1" t="n">
        <v>46223</v>
      </c>
      <c r="F941" t="inlineStr">
        <is>
          <t>VÄSTERBOTTENS LÄN</t>
        </is>
      </c>
      <c r="G941" t="inlineStr">
        <is>
          <t>UMEÅ</t>
        </is>
      </c>
      <c r="H941" t="inlineStr">
        <is>
          <t>Holmen skog AB</t>
        </is>
      </c>
      <c r="I941" t="n">
        <v>2.3</v>
      </c>
      <c r="J941" t="n">
        <v>0</v>
      </c>
      <c r="K941" t="n">
        <v>0</v>
      </c>
      <c r="L941" t="n">
        <v>0</v>
      </c>
      <c r="M941" t="n">
        <v>0</v>
      </c>
      <c r="N941" t="n">
        <v>0</v>
      </c>
      <c r="O941" t="n">
        <v>0</v>
      </c>
      <c r="P941" t="n">
        <v>0</v>
      </c>
      <c r="Q941" t="n">
        <v>0</v>
      </c>
      <c r="R941" t="n">
        <v>0</v>
      </c>
      <c r="S941" t="n">
        <v>0</v>
      </c>
      <c r="T941" t="n">
        <v>0</v>
      </c>
      <c r="U941" s="2" t="inlineStr"/>
    </row>
    <row r="942" ht="15" customHeight="1">
      <c r="A942" t="inlineStr">
        <is>
          <t>A 35228-2024</t>
        </is>
      </c>
      <c r="B942" t="inlineStr">
        <is>
          <t>avverkningsanmälan</t>
        </is>
      </c>
      <c r="C942" t="inlineStr">
        <is>
          <t>Föryngringsavverkning</t>
        </is>
      </c>
      <c r="D942" s="1" t="n">
        <v>45530</v>
      </c>
      <c r="E942" s="1" t="n">
        <v>46223</v>
      </c>
      <c r="F942" t="inlineStr">
        <is>
          <t>VÄSTERBOTTENS LÄN</t>
        </is>
      </c>
      <c r="G942" t="inlineStr">
        <is>
          <t>UMEÅ</t>
        </is>
      </c>
      <c r="I942" t="n">
        <v>1.9</v>
      </c>
      <c r="J942" t="n">
        <v>0</v>
      </c>
      <c r="K942" t="n">
        <v>0</v>
      </c>
      <c r="L942" t="n">
        <v>0</v>
      </c>
      <c r="M942" t="n">
        <v>0</v>
      </c>
      <c r="N942" t="n">
        <v>0</v>
      </c>
      <c r="O942" t="n">
        <v>0</v>
      </c>
      <c r="P942" t="n">
        <v>0</v>
      </c>
      <c r="Q942" t="n">
        <v>0</v>
      </c>
      <c r="R942" t="n">
        <v>0</v>
      </c>
      <c r="S942" t="n">
        <v>0</v>
      </c>
      <c r="T942" t="n">
        <v>0</v>
      </c>
      <c r="U942" s="2" t="inlineStr"/>
    </row>
    <row r="943" ht="15" customHeight="1">
      <c r="A943" t="inlineStr">
        <is>
          <t>A 61280-2023</t>
        </is>
      </c>
      <c r="B943" t="inlineStr">
        <is>
          <t>avverkningsanmälan</t>
        </is>
      </c>
      <c r="C943" t="inlineStr">
        <is>
          <t>Föryngringsavverkning</t>
        </is>
      </c>
      <c r="D943" s="1" t="n">
        <v>45260</v>
      </c>
      <c r="E943" s="1" t="n">
        <v>46223</v>
      </c>
      <c r="F943" t="inlineStr">
        <is>
          <t>VÄSTERBOTTENS LÄN</t>
        </is>
      </c>
      <c r="G943" t="inlineStr">
        <is>
          <t>UMEÅ</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37260-2024</t>
        </is>
      </c>
      <c r="B944" t="inlineStr">
        <is>
          <t>avverkningsanmälan</t>
        </is>
      </c>
      <c r="C944" t="inlineStr">
        <is>
          <t>Föryngringsavverkning</t>
        </is>
      </c>
      <c r="D944" s="1" t="n">
        <v>45540</v>
      </c>
      <c r="E944" s="1" t="n">
        <v>46223</v>
      </c>
      <c r="F944" t="inlineStr">
        <is>
          <t>VÄSTERBOTTENS LÄN</t>
        </is>
      </c>
      <c r="G944" t="inlineStr">
        <is>
          <t>UMEÅ</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15459-2025</t>
        </is>
      </c>
      <c r="B945" t="inlineStr">
        <is>
          <t>avverkningsanmälan</t>
        </is>
      </c>
      <c r="C945" t="inlineStr">
        <is>
          <t>Föryngringsavverkning</t>
        </is>
      </c>
      <c r="D945" s="1" t="n">
        <v>45747</v>
      </c>
      <c r="E945" s="1" t="n">
        <v>46223</v>
      </c>
      <c r="F945" t="inlineStr">
        <is>
          <t>VÄSTERBOTTENS LÄN</t>
        </is>
      </c>
      <c r="G945" t="inlineStr">
        <is>
          <t>UMEÅ</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58899-2024</t>
        </is>
      </c>
      <c r="B946" t="inlineStr">
        <is>
          <t>avverkningsanmälan</t>
        </is>
      </c>
      <c r="C946" t="inlineStr">
        <is>
          <t>Föryngringsavverkning</t>
        </is>
      </c>
      <c r="D946" s="1" t="n">
        <v>45636</v>
      </c>
      <c r="E946" s="1" t="n">
        <v>46223</v>
      </c>
      <c r="F946" t="inlineStr">
        <is>
          <t>VÄSTERBOTTENS LÄN</t>
        </is>
      </c>
      <c r="G946" t="inlineStr">
        <is>
          <t>UMEÅ</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20981-2025</t>
        </is>
      </c>
      <c r="B947" t="inlineStr">
        <is>
          <t>avverkningsanmälan</t>
        </is>
      </c>
      <c r="C947" t="inlineStr">
        <is>
          <t>Föryngringsavverkning</t>
        </is>
      </c>
      <c r="D947" s="1" t="n">
        <v>45777</v>
      </c>
      <c r="E947" s="1" t="n">
        <v>46223</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43357-2021</t>
        </is>
      </c>
      <c r="B948" t="inlineStr">
        <is>
          <t>avverkningsanmälan</t>
        </is>
      </c>
      <c r="C948" t="inlineStr">
        <is>
          <t>Föryngringsavverkning</t>
        </is>
      </c>
      <c r="D948" s="1" t="n">
        <v>44432</v>
      </c>
      <c r="E948" s="1" t="n">
        <v>46223</v>
      </c>
      <c r="F948" t="inlineStr">
        <is>
          <t>VÄSTERBOTTENS LÄN</t>
        </is>
      </c>
      <c r="G948" t="inlineStr">
        <is>
          <t>UMEÅ</t>
        </is>
      </c>
      <c r="I948" t="n">
        <v>6.3</v>
      </c>
      <c r="J948" t="n">
        <v>0</v>
      </c>
      <c r="K948" t="n">
        <v>0</v>
      </c>
      <c r="L948" t="n">
        <v>0</v>
      </c>
      <c r="M948" t="n">
        <v>0</v>
      </c>
      <c r="N948" t="n">
        <v>0</v>
      </c>
      <c r="O948" t="n">
        <v>0</v>
      </c>
      <c r="P948" t="n">
        <v>0</v>
      </c>
      <c r="Q948" t="n">
        <v>0</v>
      </c>
      <c r="R948" t="n">
        <v>0</v>
      </c>
      <c r="S948" t="n">
        <v>0</v>
      </c>
      <c r="T948" t="n">
        <v>0</v>
      </c>
      <c r="U948" s="2" t="inlineStr"/>
    </row>
    <row r="949" ht="15" customHeight="1">
      <c r="A949" t="inlineStr">
        <is>
          <t>A 15903-2025</t>
        </is>
      </c>
      <c r="B949" t="inlineStr">
        <is>
          <t>avverkningsanmälan</t>
        </is>
      </c>
      <c r="C949" t="inlineStr">
        <is>
          <t>Föryngringsavverkning</t>
        </is>
      </c>
      <c r="D949" s="1" t="n">
        <v>45749</v>
      </c>
      <c r="E949" s="1" t="n">
        <v>46223</v>
      </c>
      <c r="F949" t="inlineStr">
        <is>
          <t>VÄSTERBOTTENS LÄN</t>
        </is>
      </c>
      <c r="G949" t="inlineStr">
        <is>
          <t>UMEÅ</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21800-2025</t>
        </is>
      </c>
      <c r="B950" t="inlineStr">
        <is>
          <t>avverkningsanmälan</t>
        </is>
      </c>
      <c r="C950" t="inlineStr">
        <is>
          <t>Föryngringsavverkning</t>
        </is>
      </c>
      <c r="D950" s="1" t="n">
        <v>45783</v>
      </c>
      <c r="E950" s="1" t="n">
        <v>46223</v>
      </c>
      <c r="F950" t="inlineStr">
        <is>
          <t>VÄSTERBOTTENS LÄN</t>
        </is>
      </c>
      <c r="G950" t="inlineStr">
        <is>
          <t>UMEÅ</t>
        </is>
      </c>
      <c r="H950" t="inlineStr">
        <is>
          <t>Kyrkan</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21794-2025</t>
        </is>
      </c>
      <c r="B951" t="inlineStr">
        <is>
          <t>avverkningsanmälan</t>
        </is>
      </c>
      <c r="C951" t="inlineStr">
        <is>
          <t>Föryngringsavverkning</t>
        </is>
      </c>
      <c r="D951" s="1" t="n">
        <v>45783</v>
      </c>
      <c r="E951" s="1" t="n">
        <v>46223</v>
      </c>
      <c r="F951" t="inlineStr">
        <is>
          <t>VÄSTERBOTTENS LÄN</t>
        </is>
      </c>
      <c r="G951" t="inlineStr">
        <is>
          <t>UMEÅ</t>
        </is>
      </c>
      <c r="I951" t="n">
        <v>6</v>
      </c>
      <c r="J951" t="n">
        <v>0</v>
      </c>
      <c r="K951" t="n">
        <v>0</v>
      </c>
      <c r="L951" t="n">
        <v>0</v>
      </c>
      <c r="M951" t="n">
        <v>0</v>
      </c>
      <c r="N951" t="n">
        <v>0</v>
      </c>
      <c r="O951" t="n">
        <v>0</v>
      </c>
      <c r="P951" t="n">
        <v>0</v>
      </c>
      <c r="Q951" t="n">
        <v>0</v>
      </c>
      <c r="R951" t="n">
        <v>0</v>
      </c>
      <c r="S951" t="n">
        <v>0</v>
      </c>
      <c r="T951" t="n">
        <v>0</v>
      </c>
      <c r="U951" s="2" t="inlineStr"/>
    </row>
    <row r="952" ht="15" customHeight="1">
      <c r="A952" t="inlineStr">
        <is>
          <t>A 21795-2025</t>
        </is>
      </c>
      <c r="B952" t="inlineStr">
        <is>
          <t>avverkningsanmälan</t>
        </is>
      </c>
      <c r="C952" t="inlineStr">
        <is>
          <t>Föryngringsavverkning</t>
        </is>
      </c>
      <c r="D952" s="1" t="n">
        <v>45783</v>
      </c>
      <c r="E952" s="1" t="n">
        <v>46223</v>
      </c>
      <c r="F952" t="inlineStr">
        <is>
          <t>VÄSTERBOTTENS LÄN</t>
        </is>
      </c>
      <c r="G952" t="inlineStr">
        <is>
          <t>UMEÅ</t>
        </is>
      </c>
      <c r="H952" t="inlineStr">
        <is>
          <t>Kyrkan</t>
        </is>
      </c>
      <c r="I952" t="n">
        <v>3.3</v>
      </c>
      <c r="J952" t="n">
        <v>0</v>
      </c>
      <c r="K952" t="n">
        <v>0</v>
      </c>
      <c r="L952" t="n">
        <v>0</v>
      </c>
      <c r="M952" t="n">
        <v>0</v>
      </c>
      <c r="N952" t="n">
        <v>0</v>
      </c>
      <c r="O952" t="n">
        <v>0</v>
      </c>
      <c r="P952" t="n">
        <v>0</v>
      </c>
      <c r="Q952" t="n">
        <v>0</v>
      </c>
      <c r="R952" t="n">
        <v>0</v>
      </c>
      <c r="S952" t="n">
        <v>0</v>
      </c>
      <c r="T952" t="n">
        <v>0</v>
      </c>
      <c r="U952" s="2" t="inlineStr"/>
    </row>
    <row r="953" ht="15" customHeight="1">
      <c r="A953" t="inlineStr">
        <is>
          <t>A 22145-2025</t>
        </is>
      </c>
      <c r="B953" t="inlineStr">
        <is>
          <t>avverkningsanmälan</t>
        </is>
      </c>
      <c r="C953" t="inlineStr">
        <is>
          <t>Föryngringsavverkning</t>
        </is>
      </c>
      <c r="D953" s="1" t="n">
        <v>45785</v>
      </c>
      <c r="E953" s="1" t="n">
        <v>46223</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s="2" t="inlineStr"/>
    </row>
    <row r="954" ht="15" customHeight="1">
      <c r="A954" t="inlineStr">
        <is>
          <t>A 29658-2024</t>
        </is>
      </c>
      <c r="B954" t="inlineStr">
        <is>
          <t>avverkningsanmälan</t>
        </is>
      </c>
      <c r="C954" t="inlineStr">
        <is>
          <t>Föryngringsavverkning</t>
        </is>
      </c>
      <c r="D954" s="1" t="n">
        <v>45484</v>
      </c>
      <c r="E954" s="1" t="n">
        <v>46223</v>
      </c>
      <c r="F954" t="inlineStr">
        <is>
          <t>VÄSTERBOTTENS LÄN</t>
        </is>
      </c>
      <c r="G954" t="inlineStr">
        <is>
          <t>UMEÅ</t>
        </is>
      </c>
      <c r="I954" t="n">
        <v>11.4</v>
      </c>
      <c r="J954" t="n">
        <v>0</v>
      </c>
      <c r="K954" t="n">
        <v>0</v>
      </c>
      <c r="L954" t="n">
        <v>0</v>
      </c>
      <c r="M954" t="n">
        <v>0</v>
      </c>
      <c r="N954" t="n">
        <v>0</v>
      </c>
      <c r="O954" t="n">
        <v>0</v>
      </c>
      <c r="P954" t="n">
        <v>0</v>
      </c>
      <c r="Q954" t="n">
        <v>0</v>
      </c>
      <c r="R954" t="n">
        <v>0</v>
      </c>
      <c r="S954" t="n">
        <v>0</v>
      </c>
      <c r="T954" t="n">
        <v>0</v>
      </c>
      <c r="U954" s="2" t="inlineStr"/>
    </row>
    <row r="955" ht="15" customHeight="1">
      <c r="A955" t="inlineStr">
        <is>
          <t>A 22161-2025</t>
        </is>
      </c>
      <c r="B955" t="inlineStr">
        <is>
          <t>avverkningsanmälan</t>
        </is>
      </c>
      <c r="C955" t="inlineStr">
        <is>
          <t>Föryngringsavverkning</t>
        </is>
      </c>
      <c r="D955" s="1" t="n">
        <v>45785</v>
      </c>
      <c r="E955" s="1" t="n">
        <v>46223</v>
      </c>
      <c r="F955" t="inlineStr">
        <is>
          <t>VÄSTERBOTTENS LÄN</t>
        </is>
      </c>
      <c r="G955" t="inlineStr">
        <is>
          <t>UMEÅ</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58708-2024</t>
        </is>
      </c>
      <c r="B956" t="inlineStr">
        <is>
          <t>avverkningsanmälan</t>
        </is>
      </c>
      <c r="C956" t="inlineStr">
        <is>
          <t>Föryngringsavverkning</t>
        </is>
      </c>
      <c r="D956" s="1" t="n">
        <v>45635</v>
      </c>
      <c r="E956" s="1" t="n">
        <v>46223</v>
      </c>
      <c r="F956" t="inlineStr">
        <is>
          <t>VÄSTERBOTTENS LÄN</t>
        </is>
      </c>
      <c r="G956" t="inlineStr">
        <is>
          <t>UMEÅ</t>
        </is>
      </c>
      <c r="I956" t="n">
        <v>10.8</v>
      </c>
      <c r="J956" t="n">
        <v>0</v>
      </c>
      <c r="K956" t="n">
        <v>0</v>
      </c>
      <c r="L956" t="n">
        <v>0</v>
      </c>
      <c r="M956" t="n">
        <v>0</v>
      </c>
      <c r="N956" t="n">
        <v>0</v>
      </c>
      <c r="O956" t="n">
        <v>0</v>
      </c>
      <c r="P956" t="n">
        <v>0</v>
      </c>
      <c r="Q956" t="n">
        <v>0</v>
      </c>
      <c r="R956" t="n">
        <v>0</v>
      </c>
      <c r="S956" t="n">
        <v>0</v>
      </c>
      <c r="T956" t="n">
        <v>0</v>
      </c>
      <c r="U956" s="2" t="inlineStr"/>
    </row>
    <row r="957" ht="15" customHeight="1">
      <c r="A957" t="inlineStr">
        <is>
          <t>A 15664-2025</t>
        </is>
      </c>
      <c r="B957" t="inlineStr">
        <is>
          <t>avverkningsanmälan</t>
        </is>
      </c>
      <c r="C957" t="inlineStr">
        <is>
          <t>Föryngringsavverkning</t>
        </is>
      </c>
      <c r="D957" s="1" t="n">
        <v>45748</v>
      </c>
      <c r="E957" s="1" t="n">
        <v>46223</v>
      </c>
      <c r="F957" t="inlineStr">
        <is>
          <t>VÄSTERBOTTENS LÄN</t>
        </is>
      </c>
      <c r="G957" t="inlineStr">
        <is>
          <t>UMEÅ</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23563-2025</t>
        </is>
      </c>
      <c r="B958" t="inlineStr">
        <is>
          <t>avverkningsanmälan</t>
        </is>
      </c>
      <c r="C958" t="inlineStr">
        <is>
          <t>Föryngringsavverkning</t>
        </is>
      </c>
      <c r="D958" s="1" t="n">
        <v>45792</v>
      </c>
      <c r="E958" s="1" t="n">
        <v>46223</v>
      </c>
      <c r="F958" t="inlineStr">
        <is>
          <t>VÄSTERBOTTENS LÄN</t>
        </is>
      </c>
      <c r="G958" t="inlineStr">
        <is>
          <t>UMEÅ</t>
        </is>
      </c>
      <c r="I958" t="n">
        <v>8.5</v>
      </c>
      <c r="J958" t="n">
        <v>0</v>
      </c>
      <c r="K958" t="n">
        <v>0</v>
      </c>
      <c r="L958" t="n">
        <v>0</v>
      </c>
      <c r="M958" t="n">
        <v>0</v>
      </c>
      <c r="N958" t="n">
        <v>0</v>
      </c>
      <c r="O958" t="n">
        <v>0</v>
      </c>
      <c r="P958" t="n">
        <v>0</v>
      </c>
      <c r="Q958" t="n">
        <v>0</v>
      </c>
      <c r="R958" t="n">
        <v>0</v>
      </c>
      <c r="S958" t="n">
        <v>0</v>
      </c>
      <c r="T958" t="n">
        <v>0</v>
      </c>
      <c r="U958" s="2" t="inlineStr"/>
    </row>
    <row r="959" ht="15" customHeight="1">
      <c r="A959" t="inlineStr">
        <is>
          <t>A 22674-2025</t>
        </is>
      </c>
      <c r="B959" t="inlineStr">
        <is>
          <t>avverkningsanmälan</t>
        </is>
      </c>
      <c r="C959" t="inlineStr">
        <is>
          <t>Föryngringsavverkning</t>
        </is>
      </c>
      <c r="D959" s="1" t="n">
        <v>45789</v>
      </c>
      <c r="E959" s="1" t="n">
        <v>46223</v>
      </c>
      <c r="F959" t="inlineStr">
        <is>
          <t>VÄSTERBOTTENS LÄN</t>
        </is>
      </c>
      <c r="G959" t="inlineStr">
        <is>
          <t>UMEÅ</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23472-2025</t>
        </is>
      </c>
      <c r="B960" t="inlineStr">
        <is>
          <t>avverkningsanmälan</t>
        </is>
      </c>
      <c r="C960" t="inlineStr">
        <is>
          <t>Föryngringsavverkning</t>
        </is>
      </c>
      <c r="D960" s="1" t="n">
        <v>45792</v>
      </c>
      <c r="E960" s="1" t="n">
        <v>46223</v>
      </c>
      <c r="F960" t="inlineStr">
        <is>
          <t>VÄSTERBOTTENS LÄN</t>
        </is>
      </c>
      <c r="G960" t="inlineStr">
        <is>
          <t>UMEÅ</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23474-2025</t>
        </is>
      </c>
      <c r="B961" t="inlineStr">
        <is>
          <t>avverkningsanmälan</t>
        </is>
      </c>
      <c r="C961" t="inlineStr">
        <is>
          <t>Föryngringsavverkning</t>
        </is>
      </c>
      <c r="D961" s="1" t="n">
        <v>45792</v>
      </c>
      <c r="E961" s="1" t="n">
        <v>46223</v>
      </c>
      <c r="F961" t="inlineStr">
        <is>
          <t>VÄSTERBOTTENS LÄN</t>
        </is>
      </c>
      <c r="G961" t="inlineStr">
        <is>
          <t>UMEÅ</t>
        </is>
      </c>
      <c r="I961" t="n">
        <v>4.8</v>
      </c>
      <c r="J961" t="n">
        <v>0</v>
      </c>
      <c r="K961" t="n">
        <v>0</v>
      </c>
      <c r="L961" t="n">
        <v>0</v>
      </c>
      <c r="M961" t="n">
        <v>0</v>
      </c>
      <c r="N961" t="n">
        <v>0</v>
      </c>
      <c r="O961" t="n">
        <v>0</v>
      </c>
      <c r="P961" t="n">
        <v>0</v>
      </c>
      <c r="Q961" t="n">
        <v>0</v>
      </c>
      <c r="R961" t="n">
        <v>0</v>
      </c>
      <c r="S961" t="n">
        <v>0</v>
      </c>
      <c r="T961" t="n">
        <v>0</v>
      </c>
      <c r="U961" s="2" t="inlineStr"/>
    </row>
    <row r="962" ht="15" customHeight="1">
      <c r="A962" t="inlineStr">
        <is>
          <t>A 32813-2024</t>
        </is>
      </c>
      <c r="B962" t="inlineStr">
        <is>
          <t>avverkningsanmälan</t>
        </is>
      </c>
      <c r="C962" t="inlineStr">
        <is>
          <t>Föryngringsavverkning</t>
        </is>
      </c>
      <c r="D962" s="1" t="n">
        <v>45516</v>
      </c>
      <c r="E962" s="1" t="n">
        <v>46223</v>
      </c>
      <c r="F962" t="inlineStr">
        <is>
          <t>VÄSTERBOTTENS LÄN</t>
        </is>
      </c>
      <c r="G962" t="inlineStr">
        <is>
          <t>UMEÅ</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58278-2024</t>
        </is>
      </c>
      <c r="B963" t="inlineStr">
        <is>
          <t>avverkningsanmälan</t>
        </is>
      </c>
      <c r="C963" t="inlineStr">
        <is>
          <t>Föryngringsavverkning</t>
        </is>
      </c>
      <c r="D963" s="1" t="n">
        <v>45632</v>
      </c>
      <c r="E963" s="1" t="n">
        <v>46223</v>
      </c>
      <c r="F963" t="inlineStr">
        <is>
          <t>VÄSTERBOTTENS LÄN</t>
        </is>
      </c>
      <c r="G963" t="inlineStr">
        <is>
          <t>UMEÅ</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56332-2023</t>
        </is>
      </c>
      <c r="B964" t="inlineStr">
        <is>
          <t>avverkningsanmälan</t>
        </is>
      </c>
      <c r="C964" t="inlineStr">
        <is>
          <t>Föryngringsavverkning</t>
        </is>
      </c>
      <c r="D964" s="1" t="n">
        <v>45243</v>
      </c>
      <c r="E964" s="1" t="n">
        <v>46223</v>
      </c>
      <c r="F964" t="inlineStr">
        <is>
          <t>VÄSTERBOTTENS LÄN</t>
        </is>
      </c>
      <c r="G964" t="inlineStr">
        <is>
          <t>UMEÅ</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S 3288-2022</t>
        </is>
      </c>
      <c r="B965" t="inlineStr">
        <is>
          <t>samrådsanmälan</t>
        </is>
      </c>
      <c r="C965" t="inlineStr">
        <is>
          <t>Skogsbilväg</t>
        </is>
      </c>
      <c r="D965" s="1" t="n">
        <v>44726</v>
      </c>
      <c r="E965" s="1" t="n">
        <v>46223</v>
      </c>
      <c r="F965" t="inlineStr">
        <is>
          <t>VÄSTERBOTTENS LÄN</t>
        </is>
      </c>
      <c r="G965" t="inlineStr">
        <is>
          <t>UMEÅ</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S 7398-2021</t>
        </is>
      </c>
      <c r="B966" t="inlineStr">
        <is>
          <t>samrådsanmälan</t>
        </is>
      </c>
      <c r="C966" t="inlineStr">
        <is>
          <t>Dikesrensning</t>
        </is>
      </c>
      <c r="D966" s="1" t="n">
        <v>44473</v>
      </c>
      <c r="E966" s="1" t="n">
        <v>46223</v>
      </c>
      <c r="F966" t="inlineStr">
        <is>
          <t>VÄSTERBOTTENS LÄN</t>
        </is>
      </c>
      <c r="G966" t="inlineStr">
        <is>
          <t>UMEÅ</t>
        </is>
      </c>
      <c r="H966" t="inlineStr">
        <is>
          <t>Sveaskog</t>
        </is>
      </c>
      <c r="I966" t="n">
        <v>0</v>
      </c>
      <c r="J966" t="n">
        <v>0</v>
      </c>
      <c r="K966" t="n">
        <v>0</v>
      </c>
      <c r="L966" t="n">
        <v>0</v>
      </c>
      <c r="M966" t="n">
        <v>0</v>
      </c>
      <c r="N966" t="n">
        <v>0</v>
      </c>
      <c r="O966" t="n">
        <v>0</v>
      </c>
      <c r="P966" t="n">
        <v>0</v>
      </c>
      <c r="Q966" t="n">
        <v>0</v>
      </c>
      <c r="R966" t="n">
        <v>0</v>
      </c>
      <c r="S966" t="n">
        <v>0</v>
      </c>
      <c r="T966" t="n">
        <v>0</v>
      </c>
      <c r="U966" s="2" t="inlineStr"/>
    </row>
    <row r="967" ht="15" customHeight="1">
      <c r="A967" t="inlineStr">
        <is>
          <t>S 7754-2021</t>
        </is>
      </c>
      <c r="B967" t="inlineStr">
        <is>
          <t>samrådsanmälan</t>
        </is>
      </c>
      <c r="C967" t="inlineStr">
        <is>
          <t>Dikesrensning</t>
        </is>
      </c>
      <c r="D967" s="1" t="n">
        <v>44482</v>
      </c>
      <c r="E967" s="1" t="n">
        <v>46223</v>
      </c>
      <c r="F967" t="inlineStr">
        <is>
          <t>VÄSTERBOTTENS LÄN</t>
        </is>
      </c>
      <c r="G967" t="inlineStr">
        <is>
          <t>UMEÅ</t>
        </is>
      </c>
      <c r="H967" t="inlineStr">
        <is>
          <t>Sveaskog</t>
        </is>
      </c>
      <c r="I967" t="n">
        <v>0.1</v>
      </c>
      <c r="J967" t="n">
        <v>0</v>
      </c>
      <c r="K967" t="n">
        <v>0</v>
      </c>
      <c r="L967" t="n">
        <v>0</v>
      </c>
      <c r="M967" t="n">
        <v>0</v>
      </c>
      <c r="N967" t="n">
        <v>0</v>
      </c>
      <c r="O967" t="n">
        <v>0</v>
      </c>
      <c r="P967" t="n">
        <v>0</v>
      </c>
      <c r="Q967" t="n">
        <v>0</v>
      </c>
      <c r="R967" t="n">
        <v>0</v>
      </c>
      <c r="S967" t="n">
        <v>0</v>
      </c>
      <c r="T967" t="n">
        <v>0</v>
      </c>
      <c r="U967" s="2" t="inlineStr"/>
    </row>
    <row r="968" ht="15" customHeight="1">
      <c r="A968" t="inlineStr">
        <is>
          <t>S 610-2025</t>
        </is>
      </c>
      <c r="B968" t="inlineStr">
        <is>
          <t>samrådsanmälan</t>
        </is>
      </c>
      <c r="C968" t="inlineStr">
        <is>
          <t>Skogsgödsling</t>
        </is>
      </c>
      <c r="D968" s="1" t="n">
        <v>45713</v>
      </c>
      <c r="E968" s="1" t="n">
        <v>46223</v>
      </c>
      <c r="F968" t="inlineStr">
        <is>
          <t>VÄSTERBOTTENS LÄN</t>
        </is>
      </c>
      <c r="G968" t="inlineStr">
        <is>
          <t>UMEÅ</t>
        </is>
      </c>
      <c r="I968" t="n">
        <v>9.800000000000001</v>
      </c>
      <c r="J968" t="n">
        <v>0</v>
      </c>
      <c r="K968" t="n">
        <v>0</v>
      </c>
      <c r="L968" t="n">
        <v>0</v>
      </c>
      <c r="M968" t="n">
        <v>0</v>
      </c>
      <c r="N968" t="n">
        <v>0</v>
      </c>
      <c r="O968" t="n">
        <v>0</v>
      </c>
      <c r="P968" t="n">
        <v>0</v>
      </c>
      <c r="Q968" t="n">
        <v>0</v>
      </c>
      <c r="R968" t="n">
        <v>0</v>
      </c>
      <c r="S968" t="n">
        <v>0</v>
      </c>
      <c r="T968" t="n">
        <v>0</v>
      </c>
      <c r="U968" s="2" t="inlineStr"/>
    </row>
    <row r="969" ht="15" customHeight="1">
      <c r="A969" t="inlineStr">
        <is>
          <t>S 609-2025</t>
        </is>
      </c>
      <c r="B969" t="inlineStr">
        <is>
          <t>samrådsanmälan</t>
        </is>
      </c>
      <c r="C969" t="inlineStr">
        <is>
          <t>Skogsgödsling</t>
        </is>
      </c>
      <c r="D969" s="1" t="n">
        <v>45713</v>
      </c>
      <c r="E969" s="1" t="n">
        <v>46223</v>
      </c>
      <c r="F969" t="inlineStr">
        <is>
          <t>VÄSTERBOTTENS LÄN</t>
        </is>
      </c>
      <c r="G969" t="inlineStr">
        <is>
          <t>UMEÅ</t>
        </is>
      </c>
      <c r="I969" t="n">
        <v>6.7</v>
      </c>
      <c r="J969" t="n">
        <v>0</v>
      </c>
      <c r="K969" t="n">
        <v>0</v>
      </c>
      <c r="L969" t="n">
        <v>0</v>
      </c>
      <c r="M969" t="n">
        <v>0</v>
      </c>
      <c r="N969" t="n">
        <v>0</v>
      </c>
      <c r="O969" t="n">
        <v>0</v>
      </c>
      <c r="P969" t="n">
        <v>0</v>
      </c>
      <c r="Q969" t="n">
        <v>0</v>
      </c>
      <c r="R969" t="n">
        <v>0</v>
      </c>
      <c r="S969" t="n">
        <v>0</v>
      </c>
      <c r="T969" t="n">
        <v>0</v>
      </c>
      <c r="U969" s="2" t="inlineStr"/>
    </row>
    <row r="970" ht="15" customHeight="1">
      <c r="A970" t="inlineStr">
        <is>
          <t>S 916-2026</t>
        </is>
      </c>
      <c r="B970" t="inlineStr">
        <is>
          <t>samrådsanmälan</t>
        </is>
      </c>
      <c r="C970" t="inlineStr">
        <is>
          <t>Skogsgödsling</t>
        </is>
      </c>
      <c r="D970" s="1" t="n">
        <v>46108</v>
      </c>
      <c r="E970" s="1" t="n">
        <v>46223</v>
      </c>
      <c r="F970" t="inlineStr">
        <is>
          <t>VÄSTERBOTTENS LÄN</t>
        </is>
      </c>
      <c r="G970" t="inlineStr">
        <is>
          <t>UMEÅ</t>
        </is>
      </c>
      <c r="I970" t="n">
        <v>3</v>
      </c>
      <c r="J970" t="n">
        <v>0</v>
      </c>
      <c r="K970" t="n">
        <v>0</v>
      </c>
      <c r="L970" t="n">
        <v>0</v>
      </c>
      <c r="M970" t="n">
        <v>0</v>
      </c>
      <c r="N970" t="n">
        <v>0</v>
      </c>
      <c r="O970" t="n">
        <v>0</v>
      </c>
      <c r="P970" t="n">
        <v>0</v>
      </c>
      <c r="Q970" t="n">
        <v>0</v>
      </c>
      <c r="R970" t="n">
        <v>0</v>
      </c>
      <c r="S970" t="n">
        <v>0</v>
      </c>
      <c r="T970" t="n">
        <v>0</v>
      </c>
      <c r="U970" s="2" t="inlineStr"/>
    </row>
    <row r="971">
      <c r="A971" t="inlineStr">
        <is>
          <t>S 1289-2026</t>
        </is>
      </c>
      <c r="B971" t="inlineStr">
        <is>
          <t>samrådsanmälan</t>
        </is>
      </c>
      <c r="C971" t="inlineStr">
        <is>
          <t>Skogsgödsling</t>
        </is>
      </c>
      <c r="D971" s="1" t="n">
        <v>46148</v>
      </c>
      <c r="E971" s="1" t="n">
        <v>46223</v>
      </c>
      <c r="F971" t="inlineStr">
        <is>
          <t>VÄSTERBOTTENS LÄN</t>
        </is>
      </c>
      <c r="G971" t="inlineStr">
        <is>
          <t>UMEÅ</t>
        </is>
      </c>
      <c r="I971" t="n">
        <v>58</v>
      </c>
      <c r="J971" t="n">
        <v>0</v>
      </c>
      <c r="K971" t="n">
        <v>0</v>
      </c>
      <c r="L971" t="n">
        <v>0</v>
      </c>
      <c r="M971" t="n">
        <v>0</v>
      </c>
      <c r="N971" t="n">
        <v>0</v>
      </c>
      <c r="O971" t="n">
        <v>0</v>
      </c>
      <c r="P971" t="n">
        <v>0</v>
      </c>
      <c r="Q971" t="n">
        <v>0</v>
      </c>
      <c r="R971" t="n">
        <v>0</v>
      </c>
      <c r="S971" t="n">
        <v>0</v>
      </c>
      <c r="T971" t="n">
        <v>0</v>
      </c>
      <c r="U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2026-07-20T01:46:36Z</dcterms:created>
  <dcterms:modified xmlns:dcterms="http://purl.org/dc/terms/" xmlns:xsi="http://www.w3.org/2001/XMLSchema-instance" xsi:type="dcterms:W3CDTF">2026-07-20T01:46:37Z</dcterms:modified>
</cp:coreProperties>
</file>