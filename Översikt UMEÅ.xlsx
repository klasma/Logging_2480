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45839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45839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45839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45839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45839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45839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45839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45839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45839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45839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45839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45839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45839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45839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45839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45839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45839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45839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45839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45839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45839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45839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45839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45839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45839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45839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45839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45839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45839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45839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45839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45839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45839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45839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45839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45839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45839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45839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45839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45839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45839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45839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45839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45839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45839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45839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45839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45839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45839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45839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45839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45839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45839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45839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45839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45839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45839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45839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45839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45839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45839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45839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45839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45839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45839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45839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45839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45839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45839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45839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45839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45839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45839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45839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45839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45839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45839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45839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45839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45839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45839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45839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45839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45839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45839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45839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45839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45839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45839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45839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45839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45839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45839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45839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45839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45839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45839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45839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45839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45839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45839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45839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30170-2025</t>
        </is>
      </c>
      <c r="B120" s="1" t="n">
        <v>45827</v>
      </c>
      <c r="C120" s="1" t="n">
        <v>45839</v>
      </c>
      <c r="D120" t="inlineStr">
        <is>
          <t>VÄSTERBOTTENS LÄN</t>
        </is>
      </c>
      <c r="E120" t="inlineStr">
        <is>
          <t>UMEÅ</t>
        </is>
      </c>
      <c r="G120" t="n">
        <v>12.1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Guldgräshoppa
Norrlandslav</t>
        </is>
      </c>
      <c r="S120">
        <f>HYPERLINK("https://klasma.github.io/Logging_242480/artfynd/A 30170-2025 artfynd.xlsx", "A 30170-2025")</f>
        <v/>
      </c>
      <c r="T120">
        <f>HYPERLINK("https://klasma.github.io/Logging_242480/kartor/A 30170-2025 karta.png", "A 30170-2025")</f>
        <v/>
      </c>
      <c r="V120">
        <f>HYPERLINK("https://klasma.github.io/Logging_242480/klagomål/A 30170-2025 FSC-klagomål.docx", "A 30170-2025")</f>
        <v/>
      </c>
      <c r="W120">
        <f>HYPERLINK("https://klasma.github.io/Logging_242480/klagomålsmail/A 30170-2025 FSC-klagomål mail.docx", "A 30170-2025")</f>
        <v/>
      </c>
      <c r="X120">
        <f>HYPERLINK("https://klasma.github.io/Logging_242480/tillsyn/A 30170-2025 tillsynsbegäran.docx", "A 30170-2025")</f>
        <v/>
      </c>
      <c r="Y120">
        <f>HYPERLINK("https://klasma.github.io/Logging_242480/tillsynsmail/A 30170-2025 tillsynsbegäran mail.docx", "A 30170-2025")</f>
        <v/>
      </c>
    </row>
    <row r="121" ht="15" customHeight="1">
      <c r="A121" t="inlineStr">
        <is>
          <t>A 30173-2025</t>
        </is>
      </c>
      <c r="B121" s="1" t="n">
        <v>45827</v>
      </c>
      <c r="C121" s="1" t="n">
        <v>45839</v>
      </c>
      <c r="D121" t="inlineStr">
        <is>
          <t>VÄSTERBOTTENS LÄN</t>
        </is>
      </c>
      <c r="E121" t="inlineStr">
        <is>
          <t>UMEÅ</t>
        </is>
      </c>
      <c r="G121" t="n">
        <v>11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Nordfladdermus
Ullticka</t>
        </is>
      </c>
      <c r="S121">
        <f>HYPERLINK("https://klasma.github.io/Logging_242480/artfynd/A 30173-2025 artfynd.xlsx", "A 30173-2025")</f>
        <v/>
      </c>
      <c r="T121">
        <f>HYPERLINK("https://klasma.github.io/Logging_242480/kartor/A 30173-2025 karta.png", "A 30173-2025")</f>
        <v/>
      </c>
      <c r="V121">
        <f>HYPERLINK("https://klasma.github.io/Logging_242480/klagomål/A 30173-2025 FSC-klagomål.docx", "A 30173-2025")</f>
        <v/>
      </c>
      <c r="W121">
        <f>HYPERLINK("https://klasma.github.io/Logging_242480/klagomålsmail/A 30173-2025 FSC-klagomål mail.docx", "A 30173-2025")</f>
        <v/>
      </c>
      <c r="X121">
        <f>HYPERLINK("https://klasma.github.io/Logging_242480/tillsyn/A 30173-2025 tillsynsbegäran.docx", "A 30173-2025")</f>
        <v/>
      </c>
      <c r="Y121">
        <f>HYPERLINK("https://klasma.github.io/Logging_242480/tillsynsmail/A 30173-2025 tillsynsbegäran mail.docx", "A 30173-2025")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45839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45839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45839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45839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45839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45839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45839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45839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45839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45839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45839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45839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45839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45839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45839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45839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45839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45839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45839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45839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45839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45839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45839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45839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45839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45839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45839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45839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45839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45839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45839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45839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45839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45839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45839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45839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45839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45839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45839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45839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45839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45839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45839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45839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45839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45839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45839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45839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45839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45839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45839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45839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45839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45839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45839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45839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45839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45839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45839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45839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45839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45839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45839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45839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45839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45839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45839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45839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45839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45839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45839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45839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45839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45839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45839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45839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45839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45839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45839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45839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45839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45839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45839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45839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45839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45839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45839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45839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45839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45839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45839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45839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45839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45839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45839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45839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45839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45839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45839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45839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45839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45839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45839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45839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45839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45839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45839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45839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45839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45839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45839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45839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45839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45839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45839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45839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45839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45839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45839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45839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45839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45839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45839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45839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45839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45839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45839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45839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45839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45839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45839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45839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45839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45839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45839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45839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45839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45839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45839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45839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45839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45839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45839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45839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45839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45839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45839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45839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45839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45839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45839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45839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45839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45839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45839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45839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45839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45839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45839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45839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45839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45839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45839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45839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45839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45839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45839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45839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45839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45839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45839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45839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45839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45839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45839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45839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45839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45839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45839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45839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45839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45839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45839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45839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45839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45839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45839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45839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45839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45839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45839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45839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45839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45839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45839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45839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45839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45839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45839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45839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45839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45839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45839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45839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45839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45839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45839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45839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45839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45839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45839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45839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45839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45839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45839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45839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45839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45839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45839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45839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45839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45839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45839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45839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45839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45839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45839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45839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45839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45839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45839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45839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45839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45839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45839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45839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45839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45839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45839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45839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45839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45839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45839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45839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45839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45839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45839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45839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45839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45839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45839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45839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45839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45839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45839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45839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45839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45839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45839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45839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45839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45839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45839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45839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45839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45839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45839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45839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45839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45839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45839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45839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45839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45839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45839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45839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45839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45839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45839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45839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45839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45839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45839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45839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45839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45839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45839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45839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45839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45839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45839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45839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45839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45839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45839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45839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45839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45839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45839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45839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45839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45839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45839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45839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45839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45839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45839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45839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45839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45839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45839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45839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45839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45839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45839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45839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45839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45839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45839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45839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45839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45839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45839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45839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45839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45839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45839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45839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45839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45839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45839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45839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45839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45839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45839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45839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45839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45839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45839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45839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45839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45839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45839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45839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45839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45839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45839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45839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45839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45839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45839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45839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45839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45839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45839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45839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45839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45839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45839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45839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45839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45839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45839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45839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45839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45839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45839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45839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45839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45839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45839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45839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45839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45839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45839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45839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45839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45839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45839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45839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45839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45839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45839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45839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45839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45839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45839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45839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45839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45839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45839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45839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45839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45839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45839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45839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45839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45839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45839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45839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45839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45839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45839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45839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45839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45839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45839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45839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45839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45839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45839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45839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45839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45839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45839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45839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45839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45839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45839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45839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45839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45839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45839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45839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45839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45839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45839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45839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45839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45839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45839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45839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45839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45839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45839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45839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45839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45839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45839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45839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45839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45839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45839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45839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45839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45839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45839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45839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45839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45839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45839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45839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45839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45839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45839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45839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45839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45839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45839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45839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45839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45839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45839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45839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45839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45839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45839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45839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45839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45839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45839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45839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45839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45839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45839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45839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45839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45839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45839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45839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45839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45839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45839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45839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45839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45839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45839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45839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45839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45839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45839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45839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45839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45839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45839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45839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45839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45839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45839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45839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45839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45839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45839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45839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45839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45839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45839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45839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45839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45839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45839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45839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45839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45839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45839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45839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45839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45839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45839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45839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45839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45839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45839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45839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45839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45839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45839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45839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45839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45839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45839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45839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45839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45839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45839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45839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45839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45839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45839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45839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45839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45839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45839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45839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45839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45839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45839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45839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45839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45839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45839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45839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45839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45839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45839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45839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45839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45839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45839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45839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45839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45839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45839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45839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45839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45839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45839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45839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45839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45839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45839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45839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45839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45839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45839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45839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45839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45839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45839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45839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45839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45839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45839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45839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45839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45839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45839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45839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45839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45839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45839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45839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45839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45839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45839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45839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45839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45839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45839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45839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45839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45839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45839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45839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45839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45839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45839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45839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45839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45839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45839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45839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45839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45839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45839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45839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45839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45839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45839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45839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45839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45839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45839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45839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45839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45839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45839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45839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45839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45839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45839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45839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45839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45839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45839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45839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45839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45839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45839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45839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45839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45839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45839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45839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45839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45839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45839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45839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45839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45839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45839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45839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45839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45839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45839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45839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45839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45839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45839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45839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45839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45839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45839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45839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45839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45839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45839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45839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45839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45839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45839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45839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45839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45839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45839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45839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45839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45839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45839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45839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45839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45839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45839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45839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45839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45839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45839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45839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45839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45839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45839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45839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45839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45839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45839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45839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45839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45839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45839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45839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45839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45839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45839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45839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45839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45839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45839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45839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45839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45839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45839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45839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45839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45839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45839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45839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45839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45839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45839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45839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45839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45839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45839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45839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45839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45839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45839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45839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45839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45839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45839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45839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45839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45839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45839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45839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45839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45839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45839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45839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45839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45839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45839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45839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45839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45839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45839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45839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45839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45839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45839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45839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45839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45839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45839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45839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45839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45839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45839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45839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45839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45839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45839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45839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45839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45839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45839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45839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45839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45839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45839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45839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45839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45839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45839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45839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45839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45839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45839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45839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45839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45839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45839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45839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45839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45839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45839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45839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45839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45839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45839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45839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45839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45839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45839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45839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45839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45839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45839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45839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45839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45839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45839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45839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45839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45839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45839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45839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45839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45839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45839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45839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45839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45839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45839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45839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45839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45839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45839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45839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45839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45839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45839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45839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45839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45839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45839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45839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45839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45839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45839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45839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45839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45839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45839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45839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45839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45839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45839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45839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45839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45839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45839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45839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45839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45839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45839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45839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45839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45839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45839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45839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45839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45839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45839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45839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45839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45839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45839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45839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45839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45839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45839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45839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45839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45839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45839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45839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45839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45839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45839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45839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45839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45839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45839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45839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45839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45839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45839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45839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45839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45839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45839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45839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45839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45839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45839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45839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45839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45839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45839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45839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45839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45839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45839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45839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45839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45839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45839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45839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45839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45839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45839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45839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45839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45839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45839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45839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45839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45839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45839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45839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45839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45839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45839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45839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45839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45839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45839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45839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45839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45839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45839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45839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45839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45839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45839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45839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45839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45839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45839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45839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45839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45839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45839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45839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45839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45839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45839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45839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45839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45839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45839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45839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45839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45839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45839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45839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45839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45839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45839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45839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45839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45839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45839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45839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45839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45839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45839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45839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45839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45839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45839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45839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45839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45839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45839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45839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45839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45839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45839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45839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45839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45839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45839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45839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45839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45839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45839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45839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45839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45839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45839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45839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45839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45839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45839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45839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45839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45839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45839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45839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45839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45839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45839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45839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45839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45839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45839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45839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45839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45839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45839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45839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45839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45839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45839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45839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45839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45839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45839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45839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45839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45839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45839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45839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45839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45839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45839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45839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45839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45839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45839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45839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45839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45839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45839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45839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45839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45839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45839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45839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45839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45839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45839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45839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45839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45839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45839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45839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45839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45839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45839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45839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45839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45839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45839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45839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45839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45839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45839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45839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45839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45839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45839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45839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45839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45839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45839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45839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45839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45839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45839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45839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45839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45839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45839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45839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45839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45839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45839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45839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45839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45839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45839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45839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45839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45839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45839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45839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45839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45839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45839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45839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45839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45839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45839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45839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45839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45839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45839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45839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45839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45839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45839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45839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45839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45839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45839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45839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45839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45839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45839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45839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45839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45839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45839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45839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45839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45839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45839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45839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45839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45839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45839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45839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45839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45839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45839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45839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45839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45839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45839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45839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45839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45839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45839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45839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45839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45839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45839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45839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45839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45839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45839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45839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45839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45839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45839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45839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45839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45839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45839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45839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45839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45839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45839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45839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45839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45839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45839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45839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45839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45839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45839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45839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45839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45839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45839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45839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45839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45839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45839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45839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45839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45839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45839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45839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45839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45839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45839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45839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45839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45839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45839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45839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45839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45839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45839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45839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45839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45839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45839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45839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45839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45839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45839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45839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45839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45839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45839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45839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45839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45839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45839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45839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45839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45839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45839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45839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45839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45839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45839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45839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45839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45839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45839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45839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45839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45839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45839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45839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45839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45839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45839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45839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45839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45839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45839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45839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45839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45839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45839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45839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45839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45839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45839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45839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45839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45839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45839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45839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45839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45839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45839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45839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45839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45839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45839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45839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45839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45839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45839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45839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45839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45839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45839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45839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45839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45839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45839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45839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45839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45839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45839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45839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45839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45839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45839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45839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45839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45839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45839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45839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45839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45839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45839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45839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45839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45839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45839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45839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45839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45839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45839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45839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45839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45839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45839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45839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45839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45839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45839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45839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45839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45839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45839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45839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45839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45839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45839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45839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45839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45839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45839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45839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45839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45839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45839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45839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45839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45839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45839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45839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45839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45839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45839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45839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45839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45839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45839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45839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45839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45839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45839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45839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45839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45839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45839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45839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45839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45839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45839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45839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45839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45839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45839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45839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45839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45839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45839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45839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45839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45839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45839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45839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45839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45839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25533-2025</t>
        </is>
      </c>
      <c r="B1601" s="1" t="n">
        <v>45803</v>
      </c>
      <c r="C1601" s="1" t="n">
        <v>45839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25534-2025</t>
        </is>
      </c>
      <c r="B1602" s="1" t="n">
        <v>45803</v>
      </c>
      <c r="C1602" s="1" t="n">
        <v>45839</v>
      </c>
      <c r="D1602" t="inlineStr">
        <is>
          <t>VÄSTERBOTTENS LÄN</t>
        </is>
      </c>
      <c r="E1602" t="inlineStr">
        <is>
          <t>UMEÅ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45839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45839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45839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45839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45839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45839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45839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45839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45839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45839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45839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45839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45839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45839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45839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45839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29327-2025</t>
        </is>
      </c>
      <c r="B1619" s="1" t="n">
        <v>45824</v>
      </c>
      <c r="C1619" s="1" t="n">
        <v>45839</v>
      </c>
      <c r="D1619" t="inlineStr">
        <is>
          <t>VÄSTERBOTTENS LÄN</t>
        </is>
      </c>
      <c r="E1619" t="inlineStr">
        <is>
          <t>UMEÅ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29352-2025</t>
        </is>
      </c>
      <c r="B1620" s="1" t="n">
        <v>45824</v>
      </c>
      <c r="C1620" s="1" t="n">
        <v>45839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29330-2025</t>
        </is>
      </c>
      <c r="B1621" s="1" t="n">
        <v>45824</v>
      </c>
      <c r="C1621" s="1" t="n">
        <v>45839</v>
      </c>
      <c r="D1621" t="inlineStr">
        <is>
          <t>VÄSTERBOTTENS LÄN</t>
        </is>
      </c>
      <c r="E1621" t="inlineStr">
        <is>
          <t>UMEÅ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45839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29219-2025</t>
        </is>
      </c>
      <c r="B1623" s="1" t="n">
        <v>45824</v>
      </c>
      <c r="C1623" s="1" t="n">
        <v>45839</v>
      </c>
      <c r="D1623" t="inlineStr">
        <is>
          <t>VÄSTERBOTTENS LÄN</t>
        </is>
      </c>
      <c r="E1623" t="inlineStr">
        <is>
          <t>UMEÅ</t>
        </is>
      </c>
      <c r="F1623" t="inlineStr">
        <is>
          <t>Holmen skog AB</t>
        </is>
      </c>
      <c r="G1623" t="n">
        <v>12.1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29344-2025</t>
        </is>
      </c>
      <c r="B1624" s="1" t="n">
        <v>45824</v>
      </c>
      <c r="C1624" s="1" t="n">
        <v>45839</v>
      </c>
      <c r="D1624" t="inlineStr">
        <is>
          <t>VÄSTERBOTTENS LÄN</t>
        </is>
      </c>
      <c r="E1624" t="inlineStr">
        <is>
          <t>UMEÅ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29502-2025</t>
        </is>
      </c>
      <c r="B1625" s="1" t="n">
        <v>45825</v>
      </c>
      <c r="C1625" s="1" t="n">
        <v>45839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29583-2025</t>
        </is>
      </c>
      <c r="B1626" s="1" t="n">
        <v>45825</v>
      </c>
      <c r="C1626" s="1" t="n">
        <v>45839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45839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29774-2025</t>
        </is>
      </c>
      <c r="B1628" s="1" t="n">
        <v>45825</v>
      </c>
      <c r="C1628" s="1" t="n">
        <v>45839</v>
      </c>
      <c r="D1628" t="inlineStr">
        <is>
          <t>VÄSTERBOTTENS LÄN</t>
        </is>
      </c>
      <c r="E1628" t="inlineStr">
        <is>
          <t>UMEÅ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45839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29932-2025</t>
        </is>
      </c>
      <c r="B1630" s="1" t="n">
        <v>45826</v>
      </c>
      <c r="C1630" s="1" t="n">
        <v>45839</v>
      </c>
      <c r="D1630" t="inlineStr">
        <is>
          <t>VÄSTERBOTTENS LÄN</t>
        </is>
      </c>
      <c r="E1630" t="inlineStr">
        <is>
          <t>UMEÅ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30053-2025</t>
        </is>
      </c>
      <c r="B1631" s="1" t="n">
        <v>45826</v>
      </c>
      <c r="C1631" s="1" t="n">
        <v>45839</v>
      </c>
      <c r="D1631" t="inlineStr">
        <is>
          <t>VÄSTERBOTTENS LÄN</t>
        </is>
      </c>
      <c r="E1631" t="inlineStr">
        <is>
          <t>UMEÅ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45839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45839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30645-2025</t>
        </is>
      </c>
      <c r="B1634" s="1" t="n">
        <v>45831</v>
      </c>
      <c r="C1634" s="1" t="n">
        <v>45839</v>
      </c>
      <c r="D1634" t="inlineStr">
        <is>
          <t>VÄSTERBOTTENS LÄN</t>
        </is>
      </c>
      <c r="E1634" t="inlineStr">
        <is>
          <t>UMEÅ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30803-2025</t>
        </is>
      </c>
      <c r="B1635" s="1" t="n">
        <v>45831</v>
      </c>
      <c r="C1635" s="1" t="n">
        <v>45839</v>
      </c>
      <c r="D1635" t="inlineStr">
        <is>
          <t>VÄSTERBOTTENS LÄN</t>
        </is>
      </c>
      <c r="E1635" t="inlineStr">
        <is>
          <t>UMEÅ</t>
        </is>
      </c>
      <c r="G1635" t="n">
        <v>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30564-2025</t>
        </is>
      </c>
      <c r="B1636" s="1" t="n">
        <v>45831</v>
      </c>
      <c r="C1636" s="1" t="n">
        <v>45839</v>
      </c>
      <c r="D1636" t="inlineStr">
        <is>
          <t>VÄSTERBOTTENS LÄN</t>
        </is>
      </c>
      <c r="E1636" t="inlineStr">
        <is>
          <t>UMEÅ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31154-2025</t>
        </is>
      </c>
      <c r="B1637" s="1" t="n">
        <v>45832</v>
      </c>
      <c r="C1637" s="1" t="n">
        <v>45839</v>
      </c>
      <c r="D1637" t="inlineStr">
        <is>
          <t>VÄSTERBOTTENS LÄN</t>
        </is>
      </c>
      <c r="E1637" t="inlineStr">
        <is>
          <t>UMEÅ</t>
        </is>
      </c>
      <c r="F1637" t="inlineStr">
        <is>
          <t>Holmen skog AB</t>
        </is>
      </c>
      <c r="G1637" t="n">
        <v>28.5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30960-2025</t>
        </is>
      </c>
      <c r="B1638" s="1" t="n">
        <v>45832</v>
      </c>
      <c r="C1638" s="1" t="n">
        <v>45839</v>
      </c>
      <c r="D1638" t="inlineStr">
        <is>
          <t>VÄSTERBOTTENS LÄN</t>
        </is>
      </c>
      <c r="E1638" t="inlineStr">
        <is>
          <t>UMEÅ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31241-2025</t>
        </is>
      </c>
      <c r="B1639" s="1" t="n">
        <v>45832</v>
      </c>
      <c r="C1639" s="1" t="n">
        <v>45839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31037-2025</t>
        </is>
      </c>
      <c r="B1640" s="1" t="n">
        <v>45832</v>
      </c>
      <c r="C1640" s="1" t="n">
        <v>45839</v>
      </c>
      <c r="D1640" t="inlineStr">
        <is>
          <t>VÄSTERBOTTENS LÄN</t>
        </is>
      </c>
      <c r="E1640" t="inlineStr">
        <is>
          <t>UMEÅ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31599-2025</t>
        </is>
      </c>
      <c r="B1641" s="1" t="n">
        <v>45833</v>
      </c>
      <c r="C1641" s="1" t="n">
        <v>45839</v>
      </c>
      <c r="D1641" t="inlineStr">
        <is>
          <t>VÄSTERBOTTENS LÄN</t>
        </is>
      </c>
      <c r="E1641" t="inlineStr">
        <is>
          <t>UMEÅ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31601-2025</t>
        </is>
      </c>
      <c r="B1642" s="1" t="n">
        <v>45833</v>
      </c>
      <c r="C1642" s="1" t="n">
        <v>45839</v>
      </c>
      <c r="D1642" t="inlineStr">
        <is>
          <t>VÄSTERBOTTENS LÄN</t>
        </is>
      </c>
      <c r="E1642" t="inlineStr">
        <is>
          <t>UMEÅ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31859-2025</t>
        </is>
      </c>
      <c r="B1643" s="1" t="n">
        <v>45834</v>
      </c>
      <c r="C1643" s="1" t="n">
        <v>45839</v>
      </c>
      <c r="D1643" t="inlineStr">
        <is>
          <t>VÄSTERBOTTENS LÄN</t>
        </is>
      </c>
      <c r="E1643" t="inlineStr">
        <is>
          <t>UMEÅ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31805-2025</t>
        </is>
      </c>
      <c r="B1644" s="1" t="n">
        <v>45834</v>
      </c>
      <c r="C1644" s="1" t="n">
        <v>45839</v>
      </c>
      <c r="D1644" t="inlineStr">
        <is>
          <t>VÄSTERBOTTENS LÄN</t>
        </is>
      </c>
      <c r="E1644" t="inlineStr">
        <is>
          <t>UMEÅ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32125-2025</t>
        </is>
      </c>
      <c r="B1645" s="1" t="n">
        <v>45835</v>
      </c>
      <c r="C1645" s="1" t="n">
        <v>45839</v>
      </c>
      <c r="D1645" t="inlineStr">
        <is>
          <t>VÄSTERBOTTENS LÄN</t>
        </is>
      </c>
      <c r="E1645" t="inlineStr">
        <is>
          <t>UMEÅ</t>
        </is>
      </c>
      <c r="F1645" t="inlineStr">
        <is>
          <t>Holmen skog AB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32522-2025</t>
        </is>
      </c>
      <c r="B1646" s="1" t="n">
        <v>45838</v>
      </c>
      <c r="C1646" s="1" t="n">
        <v>45839</v>
      </c>
      <c r="D1646" t="inlineStr">
        <is>
          <t>VÄSTERBOTTENS LÄN</t>
        </is>
      </c>
      <c r="E1646" t="inlineStr">
        <is>
          <t>UMEÅ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>
      <c r="A1647" t="inlineStr">
        <is>
          <t>A 32510-2025</t>
        </is>
      </c>
      <c r="B1647" s="1" t="n">
        <v>45838</v>
      </c>
      <c r="C1647" s="1" t="n">
        <v>45839</v>
      </c>
      <c r="D1647" t="inlineStr">
        <is>
          <t>VÄSTERBOTTENS LÄN</t>
        </is>
      </c>
      <c r="E1647" t="inlineStr">
        <is>
          <t>UMEÅ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2025-07-01T18:54:01Z</dcterms:created>
  <dcterms:modified xmlns:dcterms="http://purl.org/dc/terms/" xmlns:xsi="http://www.w3.org/2001/XMLSchema-instance" xsi:type="dcterms:W3CDTF">2025-07-01T18:54:03Z</dcterms:modified>
</cp:coreProperties>
</file>