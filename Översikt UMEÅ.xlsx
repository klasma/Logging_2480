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45998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45998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45998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45998</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45998</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45998</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45998</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45998</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45998</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14927-2023</t>
        </is>
      </c>
      <c r="B16" s="1" t="n">
        <v>45014</v>
      </c>
      <c r="C16" s="1" t="n">
        <v>45998</v>
      </c>
      <c r="D16" t="inlineStr">
        <is>
          <t>VÄSTERBOTTENS LÄN</t>
        </is>
      </c>
      <c r="E16" t="inlineStr">
        <is>
          <t>UMEÅ</t>
        </is>
      </c>
      <c r="F16" t="inlineStr">
        <is>
          <t>Kommuner</t>
        </is>
      </c>
      <c r="G16" t="n">
        <v>6.3</v>
      </c>
      <c r="H16" t="n">
        <v>5</v>
      </c>
      <c r="I16" t="n">
        <v>2</v>
      </c>
      <c r="J16" t="n">
        <v>4</v>
      </c>
      <c r="K16" t="n">
        <v>0</v>
      </c>
      <c r="L16" t="n">
        <v>0</v>
      </c>
      <c r="M16" t="n">
        <v>0</v>
      </c>
      <c r="N16" t="n">
        <v>0</v>
      </c>
      <c r="O16" t="n">
        <v>4</v>
      </c>
      <c r="P16" t="n">
        <v>0</v>
      </c>
      <c r="Q16" t="n">
        <v>8</v>
      </c>
      <c r="R16" s="2" t="inlineStr">
        <is>
          <t>Järpe
Motaggsvamp
Spillkråka
Talltita
Dropptaggsvamp
Vedticka
Kungsfågel
Tjäder</t>
        </is>
      </c>
      <c r="S16">
        <f>HYPERLINK("https://klasma.github.io/Logging_2480/artfynd/A 14927-2023 artfynd.xlsx", "A 14927-2023")</f>
        <v/>
      </c>
      <c r="T16">
        <f>HYPERLINK("https://klasma.github.io/Logging_2480/kartor/A 14927-2023 karta.png", "A 14927-2023")</f>
        <v/>
      </c>
      <c r="V16">
        <f>HYPERLINK("https://klasma.github.io/Logging_2480/klagomål/A 14927-2023 FSC-klagomål.docx", "A 14927-2023")</f>
        <v/>
      </c>
      <c r="W16">
        <f>HYPERLINK("https://klasma.github.io/Logging_2480/klagomålsmail/A 14927-2023 FSC-klagomål mail.docx", "A 14927-2023")</f>
        <v/>
      </c>
      <c r="X16">
        <f>HYPERLINK("https://klasma.github.io/Logging_2480/tillsyn/A 14927-2023 tillsynsbegäran.docx", "A 14927-2023")</f>
        <v/>
      </c>
      <c r="Y16">
        <f>HYPERLINK("https://klasma.github.io/Logging_2480/tillsynsmail/A 14927-2023 tillsynsbegäran mail.docx", "A 14927-2023")</f>
        <v/>
      </c>
      <c r="Z16">
        <f>HYPERLINK("https://klasma.github.io/Logging_2480/fåglar/A 14927-2023 prioriterade fågelarter.docx", "A 14927-2023")</f>
        <v/>
      </c>
    </row>
    <row r="17" ht="15" customHeight="1">
      <c r="A17" t="inlineStr">
        <is>
          <t>A 49036-2024</t>
        </is>
      </c>
      <c r="B17" s="1" t="n">
        <v>45594</v>
      </c>
      <c r="C17" s="1" t="n">
        <v>45998</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15738-2023</t>
        </is>
      </c>
      <c r="B18" s="1" t="n">
        <v>45020</v>
      </c>
      <c r="C18" s="1" t="n">
        <v>45998</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45998</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45998</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45998</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45998</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45998</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45998</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45998</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45998</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45998</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13479-2022</t>
        </is>
      </c>
      <c r="B28" s="1" t="n">
        <v>44645</v>
      </c>
      <c r="C28" s="1" t="n">
        <v>45998</v>
      </c>
      <c r="D28" t="inlineStr">
        <is>
          <t>VÄSTERBOTTENS LÄN</t>
        </is>
      </c>
      <c r="E28" t="inlineStr">
        <is>
          <t>UMEÅ</t>
        </is>
      </c>
      <c r="G28" t="n">
        <v>6.2</v>
      </c>
      <c r="H28" t="n">
        <v>5</v>
      </c>
      <c r="I28" t="n">
        <v>0</v>
      </c>
      <c r="J28" t="n">
        <v>3</v>
      </c>
      <c r="K28" t="n">
        <v>0</v>
      </c>
      <c r="L28" t="n">
        <v>0</v>
      </c>
      <c r="M28" t="n">
        <v>0</v>
      </c>
      <c r="N28" t="n">
        <v>0</v>
      </c>
      <c r="O28" t="n">
        <v>3</v>
      </c>
      <c r="P28" t="n">
        <v>0</v>
      </c>
      <c r="Q28" t="n">
        <v>5</v>
      </c>
      <c r="R28" s="2" t="inlineStr">
        <is>
          <t>Dammfladdermus
Fransfladdermus
Nordfladdermus
Trollpipistrell
Vattenfladdermus</t>
        </is>
      </c>
      <c r="S28">
        <f>HYPERLINK("https://klasma.github.io/Logging_2480/artfynd/A 13479-2022 artfynd.xlsx", "A 13479-2022")</f>
        <v/>
      </c>
      <c r="T28">
        <f>HYPERLINK("https://klasma.github.io/Logging_2480/kartor/A 13479-2022 karta.png", "A 13479-2022")</f>
        <v/>
      </c>
      <c r="V28">
        <f>HYPERLINK("https://klasma.github.io/Logging_2480/klagomål/A 13479-2022 FSC-klagomål.docx", "A 13479-2022")</f>
        <v/>
      </c>
      <c r="W28">
        <f>HYPERLINK("https://klasma.github.io/Logging_2480/klagomålsmail/A 13479-2022 FSC-klagomål mail.docx", "A 13479-2022")</f>
        <v/>
      </c>
      <c r="X28">
        <f>HYPERLINK("https://klasma.github.io/Logging_2480/tillsyn/A 13479-2022 tillsynsbegäran.docx", "A 13479-2022")</f>
        <v/>
      </c>
      <c r="Y28">
        <f>HYPERLINK("https://klasma.github.io/Logging_2480/tillsynsmail/A 13479-2022 tillsynsbegäran mail.docx", "A 13479-2022")</f>
        <v/>
      </c>
    </row>
    <row r="29" ht="15" customHeight="1">
      <c r="A29" t="inlineStr">
        <is>
          <t>A 42193-2024</t>
        </is>
      </c>
      <c r="B29" s="1" t="n">
        <v>45562.50009259259</v>
      </c>
      <c r="C29" s="1" t="n">
        <v>45998</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36893-2025</t>
        </is>
      </c>
      <c r="B30" s="1" t="n">
        <v>45874.46988425926</v>
      </c>
      <c r="C30" s="1" t="n">
        <v>45998</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45998</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45998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33008-2022</t>
        </is>
      </c>
      <c r="B33" s="1" t="n">
        <v>44785.31300925926</v>
      </c>
      <c r="C33" s="1" t="n">
        <v>45998</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45998</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38688-2021</t>
        </is>
      </c>
      <c r="B35" s="1" t="n">
        <v>44407</v>
      </c>
      <c r="C35" s="1" t="n">
        <v>45998</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45998</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45998</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33974-2024</t>
        </is>
      </c>
      <c r="B38" s="1" t="n">
        <v>45523.49939814815</v>
      </c>
      <c r="C38" s="1" t="n">
        <v>45998</v>
      </c>
      <c r="D38" t="inlineStr">
        <is>
          <t>VÄSTERBOTTENS LÄN</t>
        </is>
      </c>
      <c r="E38" t="inlineStr">
        <is>
          <t>UMEÅ</t>
        </is>
      </c>
      <c r="G38" t="n">
        <v>1.5</v>
      </c>
      <c r="H38" t="n">
        <v>2</v>
      </c>
      <c r="I38" t="n">
        <v>1</v>
      </c>
      <c r="J38" t="n">
        <v>3</v>
      </c>
      <c r="K38" t="n">
        <v>0</v>
      </c>
      <c r="L38" t="n">
        <v>0</v>
      </c>
      <c r="M38" t="n">
        <v>0</v>
      </c>
      <c r="N38" t="n">
        <v>0</v>
      </c>
      <c r="O38" t="n">
        <v>3</v>
      </c>
      <c r="P38" t="n">
        <v>0</v>
      </c>
      <c r="Q38" t="n">
        <v>4</v>
      </c>
      <c r="R38" s="2" t="inlineStr">
        <is>
          <t>Garnlav
Talltita
Tretåig hackspett
Vedticka</t>
        </is>
      </c>
      <c r="S38">
        <f>HYPERLINK("https://klasma.github.io/Logging_2480/artfynd/A 33974-2024 artfynd.xlsx", "A 33974-2024")</f>
        <v/>
      </c>
      <c r="T38">
        <f>HYPERLINK("https://klasma.github.io/Logging_2480/kartor/A 33974-2024 karta.png", "A 33974-2024")</f>
        <v/>
      </c>
      <c r="V38">
        <f>HYPERLINK("https://klasma.github.io/Logging_2480/klagomål/A 33974-2024 FSC-klagomål.docx", "A 33974-2024")</f>
        <v/>
      </c>
      <c r="W38">
        <f>HYPERLINK("https://klasma.github.io/Logging_2480/klagomålsmail/A 33974-2024 FSC-klagomål mail.docx", "A 33974-2024")</f>
        <v/>
      </c>
      <c r="X38">
        <f>HYPERLINK("https://klasma.github.io/Logging_2480/tillsyn/A 33974-2024 tillsynsbegäran.docx", "A 33974-2024")</f>
        <v/>
      </c>
      <c r="Y38">
        <f>HYPERLINK("https://klasma.github.io/Logging_2480/tillsynsmail/A 33974-2024 tillsynsbegäran mail.docx", "A 33974-2024")</f>
        <v/>
      </c>
      <c r="Z38">
        <f>HYPERLINK("https://klasma.github.io/Logging_2480/fåglar/A 33974-2024 prioriterade fågelarter.docx", "A 33974-2024")</f>
        <v/>
      </c>
    </row>
    <row r="39" ht="15" customHeight="1">
      <c r="A39" t="inlineStr">
        <is>
          <t>A 61036-2022</t>
        </is>
      </c>
      <c r="B39" s="1" t="n">
        <v>44914.92446759259</v>
      </c>
      <c r="C39" s="1" t="n">
        <v>45998</v>
      </c>
      <c r="D39" t="inlineStr">
        <is>
          <t>VÄSTERBOTTENS LÄN</t>
        </is>
      </c>
      <c r="E39" t="inlineStr">
        <is>
          <t>UMEÅ</t>
        </is>
      </c>
      <c r="G39" t="n">
        <v>6</v>
      </c>
      <c r="H39" t="n">
        <v>1</v>
      </c>
      <c r="I39" t="n">
        <v>1</v>
      </c>
      <c r="J39" t="n">
        <v>3</v>
      </c>
      <c r="K39" t="n">
        <v>0</v>
      </c>
      <c r="L39" t="n">
        <v>0</v>
      </c>
      <c r="M39" t="n">
        <v>0</v>
      </c>
      <c r="N39" t="n">
        <v>0</v>
      </c>
      <c r="O39" t="n">
        <v>3</v>
      </c>
      <c r="P39" t="n">
        <v>0</v>
      </c>
      <c r="Q39" t="n">
        <v>4</v>
      </c>
      <c r="R39" s="2" t="inlineStr">
        <is>
          <t>Garnlav
Granticka
Järpe
Vedticka</t>
        </is>
      </c>
      <c r="S39">
        <f>HYPERLINK("https://klasma.github.io/Logging_2480/artfynd/A 61036-2022 artfynd.xlsx", "A 61036-2022")</f>
        <v/>
      </c>
      <c r="T39">
        <f>HYPERLINK("https://klasma.github.io/Logging_2480/kartor/A 61036-2022 karta.png", "A 61036-2022")</f>
        <v/>
      </c>
      <c r="V39">
        <f>HYPERLINK("https://klasma.github.io/Logging_2480/klagomål/A 61036-2022 FSC-klagomål.docx", "A 61036-2022")</f>
        <v/>
      </c>
      <c r="W39">
        <f>HYPERLINK("https://klasma.github.io/Logging_2480/klagomålsmail/A 61036-2022 FSC-klagomål mail.docx", "A 61036-2022")</f>
        <v/>
      </c>
      <c r="X39">
        <f>HYPERLINK("https://klasma.github.io/Logging_2480/tillsyn/A 61036-2022 tillsynsbegäran.docx", "A 61036-2022")</f>
        <v/>
      </c>
      <c r="Y39">
        <f>HYPERLINK("https://klasma.github.io/Logging_2480/tillsynsmail/A 61036-2022 tillsynsbegäran mail.docx", "A 61036-2022")</f>
        <v/>
      </c>
      <c r="Z39">
        <f>HYPERLINK("https://klasma.github.io/Logging_2480/fåglar/A 61036-2022 prioriterade fågelarter.docx", "A 61036-2022")</f>
        <v/>
      </c>
    </row>
    <row r="40" ht="15" customHeight="1">
      <c r="A40" t="inlineStr">
        <is>
          <t>A 684-2023</t>
        </is>
      </c>
      <c r="B40" s="1" t="n">
        <v>44925</v>
      </c>
      <c r="C40" s="1" t="n">
        <v>45998</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45691-2023</t>
        </is>
      </c>
      <c r="B41" s="1" t="n">
        <v>45195</v>
      </c>
      <c r="C41" s="1" t="n">
        <v>45998</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2643-2025</t>
        </is>
      </c>
      <c r="B42" s="1" t="n">
        <v>45676.48310185185</v>
      </c>
      <c r="C42" s="1" t="n">
        <v>45998</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5029-2022</t>
        </is>
      </c>
      <c r="B43" s="1" t="n">
        <v>44593.65526620371</v>
      </c>
      <c r="C43" s="1" t="n">
        <v>45998</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45998</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49447-2022</t>
        </is>
      </c>
      <c r="B45" s="1" t="n">
        <v>44861</v>
      </c>
      <c r="C45" s="1" t="n">
        <v>45998</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535-2025</t>
        </is>
      </c>
      <c r="B46" s="1" t="n">
        <v>45664.51217592593</v>
      </c>
      <c r="C46" s="1" t="n">
        <v>45998</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26484-2025</t>
        </is>
      </c>
      <c r="B47" s="1" t="n">
        <v>45807.47395833334</v>
      </c>
      <c r="C47" s="1" t="n">
        <v>45998</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58829-2025</t>
        </is>
      </c>
      <c r="B48" s="1" t="n">
        <v>45987.35112268518</v>
      </c>
      <c r="C48" s="1" t="n">
        <v>45998</v>
      </c>
      <c r="D48" t="inlineStr">
        <is>
          <t>VÄSTERBOTTENS LÄN</t>
        </is>
      </c>
      <c r="E48" t="inlineStr">
        <is>
          <t>UMEÅ</t>
        </is>
      </c>
      <c r="G48" t="n">
        <v>7.6</v>
      </c>
      <c r="H48" t="n">
        <v>0</v>
      </c>
      <c r="I48" t="n">
        <v>1</v>
      </c>
      <c r="J48" t="n">
        <v>3</v>
      </c>
      <c r="K48" t="n">
        <v>0</v>
      </c>
      <c r="L48" t="n">
        <v>0</v>
      </c>
      <c r="M48" t="n">
        <v>0</v>
      </c>
      <c r="N48" t="n">
        <v>0</v>
      </c>
      <c r="O48" t="n">
        <v>3</v>
      </c>
      <c r="P48" t="n">
        <v>0</v>
      </c>
      <c r="Q48" t="n">
        <v>4</v>
      </c>
      <c r="R48" s="2" t="inlineStr">
        <is>
          <t>Garnlav
Stjärntagging
Ullticka
Vedticka</t>
        </is>
      </c>
      <c r="S48">
        <f>HYPERLINK("https://klasma.github.io/Logging_2480/artfynd/A 58829-2025 artfynd.xlsx", "A 58829-2025")</f>
        <v/>
      </c>
      <c r="T48">
        <f>HYPERLINK("https://klasma.github.io/Logging_2480/kartor/A 58829-2025 karta.png", "A 58829-2025")</f>
        <v/>
      </c>
      <c r="V48">
        <f>HYPERLINK("https://klasma.github.io/Logging_2480/klagomål/A 58829-2025 FSC-klagomål.docx", "A 58829-2025")</f>
        <v/>
      </c>
      <c r="W48">
        <f>HYPERLINK("https://klasma.github.io/Logging_2480/klagomålsmail/A 58829-2025 FSC-klagomål mail.docx", "A 58829-2025")</f>
        <v/>
      </c>
      <c r="X48">
        <f>HYPERLINK("https://klasma.github.io/Logging_2480/tillsyn/A 58829-2025 tillsynsbegäran.docx", "A 58829-2025")</f>
        <v/>
      </c>
      <c r="Y48">
        <f>HYPERLINK("https://klasma.github.io/Logging_2480/tillsynsmail/A 58829-2025 tillsynsbegäran mail.docx", "A 58829-2025")</f>
        <v/>
      </c>
    </row>
    <row r="49" ht="15" customHeight="1">
      <c r="A49" t="inlineStr">
        <is>
          <t>A 52764-2024</t>
        </is>
      </c>
      <c r="B49" s="1" t="n">
        <v>45610.51162037037</v>
      </c>
      <c r="C49" s="1" t="n">
        <v>45998</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38400-2021</t>
        </is>
      </c>
      <c r="B50" s="1" t="n">
        <v>44406</v>
      </c>
      <c r="C50" s="1" t="n">
        <v>45998</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15591-2023</t>
        </is>
      </c>
      <c r="B51" s="1" t="n">
        <v>45019</v>
      </c>
      <c r="C51" s="1" t="n">
        <v>45998</v>
      </c>
      <c r="D51" t="inlineStr">
        <is>
          <t>VÄSTERBOTTENS LÄN</t>
        </is>
      </c>
      <c r="E51" t="inlineStr">
        <is>
          <t>UMEÅ</t>
        </is>
      </c>
      <c r="F51" t="inlineStr">
        <is>
          <t>Kommuner</t>
        </is>
      </c>
      <c r="G51" t="n">
        <v>1.4</v>
      </c>
      <c r="H51" t="n">
        <v>0</v>
      </c>
      <c r="I51" t="n">
        <v>1</v>
      </c>
      <c r="J51" t="n">
        <v>2</v>
      </c>
      <c r="K51" t="n">
        <v>0</v>
      </c>
      <c r="L51" t="n">
        <v>0</v>
      </c>
      <c r="M51" t="n">
        <v>0</v>
      </c>
      <c r="N51" t="n">
        <v>0</v>
      </c>
      <c r="O51" t="n">
        <v>2</v>
      </c>
      <c r="P51" t="n">
        <v>0</v>
      </c>
      <c r="Q51" t="n">
        <v>3</v>
      </c>
      <c r="R51" s="2" t="inlineStr">
        <is>
          <t>Garnlav
Granticka
Vedticka</t>
        </is>
      </c>
      <c r="S51">
        <f>HYPERLINK("https://klasma.github.io/Logging_2480/artfynd/A 15591-2023 artfynd.xlsx", "A 15591-2023")</f>
        <v/>
      </c>
      <c r="T51">
        <f>HYPERLINK("https://klasma.github.io/Logging_2480/kartor/A 15591-2023 karta.png", "A 15591-2023")</f>
        <v/>
      </c>
      <c r="V51">
        <f>HYPERLINK("https://klasma.github.io/Logging_2480/klagomål/A 15591-2023 FSC-klagomål.docx", "A 15591-2023")</f>
        <v/>
      </c>
      <c r="W51">
        <f>HYPERLINK("https://klasma.github.io/Logging_2480/klagomålsmail/A 15591-2023 FSC-klagomål mail.docx", "A 15591-2023")</f>
        <v/>
      </c>
      <c r="X51">
        <f>HYPERLINK("https://klasma.github.io/Logging_2480/tillsyn/A 15591-2023 tillsynsbegäran.docx", "A 15591-2023")</f>
        <v/>
      </c>
      <c r="Y51">
        <f>HYPERLINK("https://klasma.github.io/Logging_2480/tillsynsmail/A 15591-2023 tillsynsbegäran mail.docx", "A 15591-2023")</f>
        <v/>
      </c>
    </row>
    <row r="52" ht="15" customHeight="1">
      <c r="A52" t="inlineStr">
        <is>
          <t>A 37889-2023</t>
        </is>
      </c>
      <c r="B52" s="1" t="n">
        <v>45160</v>
      </c>
      <c r="C52" s="1" t="n">
        <v>45998</v>
      </c>
      <c r="D52" t="inlineStr">
        <is>
          <t>VÄSTERBOTTENS LÄN</t>
        </is>
      </c>
      <c r="E52" t="inlineStr">
        <is>
          <t>UMEÅ</t>
        </is>
      </c>
      <c r="F52" t="inlineStr">
        <is>
          <t>Holmen skog AB</t>
        </is>
      </c>
      <c r="G52" t="n">
        <v>1.7</v>
      </c>
      <c r="H52" t="n">
        <v>0</v>
      </c>
      <c r="I52" t="n">
        <v>1</v>
      </c>
      <c r="J52" t="n">
        <v>2</v>
      </c>
      <c r="K52" t="n">
        <v>0</v>
      </c>
      <c r="L52" t="n">
        <v>0</v>
      </c>
      <c r="M52" t="n">
        <v>0</v>
      </c>
      <c r="N52" t="n">
        <v>0</v>
      </c>
      <c r="O52" t="n">
        <v>2</v>
      </c>
      <c r="P52" t="n">
        <v>0</v>
      </c>
      <c r="Q52" t="n">
        <v>3</v>
      </c>
      <c r="R52" s="2" t="inlineStr">
        <is>
          <t>Kolflarnlav
Motaggsvamp
Dropptaggsvamp</t>
        </is>
      </c>
      <c r="S52">
        <f>HYPERLINK("https://klasma.github.io/Logging_2480/artfynd/A 37889-2023 artfynd.xlsx", "A 37889-2023")</f>
        <v/>
      </c>
      <c r="T52">
        <f>HYPERLINK("https://klasma.github.io/Logging_2480/kartor/A 37889-2023 karta.png", "A 37889-2023")</f>
        <v/>
      </c>
      <c r="V52">
        <f>HYPERLINK("https://klasma.github.io/Logging_2480/klagomål/A 37889-2023 FSC-klagomål.docx", "A 37889-2023")</f>
        <v/>
      </c>
      <c r="W52">
        <f>HYPERLINK("https://klasma.github.io/Logging_2480/klagomålsmail/A 37889-2023 FSC-klagomål mail.docx", "A 37889-2023")</f>
        <v/>
      </c>
      <c r="X52">
        <f>HYPERLINK("https://klasma.github.io/Logging_2480/tillsyn/A 37889-2023 tillsynsbegäran.docx", "A 37889-2023")</f>
        <v/>
      </c>
      <c r="Y52">
        <f>HYPERLINK("https://klasma.github.io/Logging_2480/tillsynsmail/A 37889-2023 tillsynsbegäran mail.docx", "A 37889-2023")</f>
        <v/>
      </c>
    </row>
    <row r="53" ht="15" customHeight="1">
      <c r="A53" t="inlineStr">
        <is>
          <t>A 3933-2025</t>
        </is>
      </c>
      <c r="B53" s="1" t="n">
        <v>45684.45954861111</v>
      </c>
      <c r="C53" s="1" t="n">
        <v>45998</v>
      </c>
      <c r="D53" t="inlineStr">
        <is>
          <t>VÄSTERBOTTENS LÄN</t>
        </is>
      </c>
      <c r="E53" t="inlineStr">
        <is>
          <t>UMEÅ</t>
        </is>
      </c>
      <c r="G53" t="n">
        <v>8.300000000000001</v>
      </c>
      <c r="H53" t="n">
        <v>0</v>
      </c>
      <c r="I53" t="n">
        <v>0</v>
      </c>
      <c r="J53" t="n">
        <v>3</v>
      </c>
      <c r="K53" t="n">
        <v>0</v>
      </c>
      <c r="L53" t="n">
        <v>0</v>
      </c>
      <c r="M53" t="n">
        <v>0</v>
      </c>
      <c r="N53" t="n">
        <v>0</v>
      </c>
      <c r="O53" t="n">
        <v>3</v>
      </c>
      <c r="P53" t="n">
        <v>0</v>
      </c>
      <c r="Q53" t="n">
        <v>3</v>
      </c>
      <c r="R53" s="2" t="inlineStr">
        <is>
          <t>Garnlav
Granticka
Mörk kolflarnlav</t>
        </is>
      </c>
      <c r="S53">
        <f>HYPERLINK("https://klasma.github.io/Logging_2480/artfynd/A 3933-2025 artfynd.xlsx", "A 3933-2025")</f>
        <v/>
      </c>
      <c r="T53">
        <f>HYPERLINK("https://klasma.github.io/Logging_2480/kartor/A 3933-2025 karta.png", "A 3933-2025")</f>
        <v/>
      </c>
      <c r="V53">
        <f>HYPERLINK("https://klasma.github.io/Logging_2480/klagomål/A 3933-2025 FSC-klagomål.docx", "A 3933-2025")</f>
        <v/>
      </c>
      <c r="W53">
        <f>HYPERLINK("https://klasma.github.io/Logging_2480/klagomålsmail/A 3933-2025 FSC-klagomål mail.docx", "A 3933-2025")</f>
        <v/>
      </c>
      <c r="X53">
        <f>HYPERLINK("https://klasma.github.io/Logging_2480/tillsyn/A 3933-2025 tillsynsbegäran.docx", "A 3933-2025")</f>
        <v/>
      </c>
      <c r="Y53">
        <f>HYPERLINK("https://klasma.github.io/Logging_2480/tillsynsmail/A 3933-2025 tillsynsbegäran mail.docx", "A 3933-2025")</f>
        <v/>
      </c>
    </row>
    <row r="54" ht="15" customHeight="1">
      <c r="A54" t="inlineStr">
        <is>
          <t>A 29917-2025</t>
        </is>
      </c>
      <c r="B54" s="1" t="n">
        <v>45826.41837962963</v>
      </c>
      <c r="C54" s="1" t="n">
        <v>45998</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54319-2025</t>
        </is>
      </c>
      <c r="B55" s="1" t="n">
        <v>45965.34184027778</v>
      </c>
      <c r="C55" s="1" t="n">
        <v>45998</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6054-2025</t>
        </is>
      </c>
      <c r="B56" s="1" t="n">
        <v>45695</v>
      </c>
      <c r="C56" s="1" t="n">
        <v>45998</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38443-2021</t>
        </is>
      </c>
      <c r="B57" s="1" t="n">
        <v>44406</v>
      </c>
      <c r="C57" s="1" t="n">
        <v>45998</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45998</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7050-2024</t>
        </is>
      </c>
      <c r="B59" s="1" t="n">
        <v>45343</v>
      </c>
      <c r="C59" s="1" t="n">
        <v>45998</v>
      </c>
      <c r="D59" t="inlineStr">
        <is>
          <t>VÄSTERBOTTENS LÄN</t>
        </is>
      </c>
      <c r="E59" t="inlineStr">
        <is>
          <t>UMEÅ</t>
        </is>
      </c>
      <c r="G59" t="n">
        <v>6.5</v>
      </c>
      <c r="H59" t="n">
        <v>1</v>
      </c>
      <c r="I59" t="n">
        <v>0</v>
      </c>
      <c r="J59" t="n">
        <v>2</v>
      </c>
      <c r="K59" t="n">
        <v>0</v>
      </c>
      <c r="L59" t="n">
        <v>0</v>
      </c>
      <c r="M59" t="n">
        <v>0</v>
      </c>
      <c r="N59" t="n">
        <v>0</v>
      </c>
      <c r="O59" t="n">
        <v>2</v>
      </c>
      <c r="P59" t="n">
        <v>0</v>
      </c>
      <c r="Q59" t="n">
        <v>2</v>
      </c>
      <c r="R59" s="2" t="inlineStr">
        <is>
          <t>Granticka
Talltita</t>
        </is>
      </c>
      <c r="S59">
        <f>HYPERLINK("https://klasma.github.io/Logging_2480/artfynd/A 7050-2024 artfynd.xlsx", "A 7050-2024")</f>
        <v/>
      </c>
      <c r="T59">
        <f>HYPERLINK("https://klasma.github.io/Logging_2480/kartor/A 7050-2024 karta.png", "A 7050-2024")</f>
        <v/>
      </c>
      <c r="V59">
        <f>HYPERLINK("https://klasma.github.io/Logging_2480/klagomål/A 7050-2024 FSC-klagomål.docx", "A 7050-2024")</f>
        <v/>
      </c>
      <c r="W59">
        <f>HYPERLINK("https://klasma.github.io/Logging_2480/klagomålsmail/A 7050-2024 FSC-klagomål mail.docx", "A 7050-2024")</f>
        <v/>
      </c>
      <c r="X59">
        <f>HYPERLINK("https://klasma.github.io/Logging_2480/tillsyn/A 7050-2024 tillsynsbegäran.docx", "A 7050-2024")</f>
        <v/>
      </c>
      <c r="Y59">
        <f>HYPERLINK("https://klasma.github.io/Logging_2480/tillsynsmail/A 7050-2024 tillsynsbegäran mail.docx", "A 7050-2024")</f>
        <v/>
      </c>
      <c r="Z59">
        <f>HYPERLINK("https://klasma.github.io/Logging_2480/fåglar/A 7050-2024 prioriterade fågelarter.docx", "A 7050-2024")</f>
        <v/>
      </c>
    </row>
    <row r="60" ht="15" customHeight="1">
      <c r="A60" t="inlineStr">
        <is>
          <t>A 8715-2024</t>
        </is>
      </c>
      <c r="B60" s="1" t="n">
        <v>45356</v>
      </c>
      <c r="C60" s="1" t="n">
        <v>45998</v>
      </c>
      <c r="D60" t="inlineStr">
        <is>
          <t>VÄSTERBOTTENS LÄN</t>
        </is>
      </c>
      <c r="E60" t="inlineStr">
        <is>
          <t>UMEÅ</t>
        </is>
      </c>
      <c r="G60" t="n">
        <v>6.1</v>
      </c>
      <c r="H60" t="n">
        <v>0</v>
      </c>
      <c r="I60" t="n">
        <v>0</v>
      </c>
      <c r="J60" t="n">
        <v>1</v>
      </c>
      <c r="K60" t="n">
        <v>1</v>
      </c>
      <c r="L60" t="n">
        <v>0</v>
      </c>
      <c r="M60" t="n">
        <v>0</v>
      </c>
      <c r="N60" t="n">
        <v>0</v>
      </c>
      <c r="O60" t="n">
        <v>2</v>
      </c>
      <c r="P60" t="n">
        <v>1</v>
      </c>
      <c r="Q60" t="n">
        <v>2</v>
      </c>
      <c r="R60" s="2" t="inlineStr">
        <is>
          <t>Turkos blåvinge
Garnlav</t>
        </is>
      </c>
      <c r="S60">
        <f>HYPERLINK("https://klasma.github.io/Logging_2480/artfynd/A 8715-2024 artfynd.xlsx", "A 8715-2024")</f>
        <v/>
      </c>
      <c r="T60">
        <f>HYPERLINK("https://klasma.github.io/Logging_2480/kartor/A 8715-2024 karta.png", "A 8715-2024")</f>
        <v/>
      </c>
      <c r="V60">
        <f>HYPERLINK("https://klasma.github.io/Logging_2480/klagomål/A 8715-2024 FSC-klagomål.docx", "A 8715-2024")</f>
        <v/>
      </c>
      <c r="W60">
        <f>HYPERLINK("https://klasma.github.io/Logging_2480/klagomålsmail/A 8715-2024 FSC-klagomål mail.docx", "A 8715-2024")</f>
        <v/>
      </c>
      <c r="X60">
        <f>HYPERLINK("https://klasma.github.io/Logging_2480/tillsyn/A 8715-2024 tillsynsbegäran.docx", "A 8715-2024")</f>
        <v/>
      </c>
      <c r="Y60">
        <f>HYPERLINK("https://klasma.github.io/Logging_2480/tillsynsmail/A 8715-2024 tillsynsbegäran mail.docx", "A 8715-2024")</f>
        <v/>
      </c>
    </row>
    <row r="61" ht="15" customHeight="1">
      <c r="A61" t="inlineStr">
        <is>
          <t>A 49136-2024</t>
        </is>
      </c>
      <c r="B61" s="1" t="n">
        <v>45594.70607638889</v>
      </c>
      <c r="C61" s="1" t="n">
        <v>45998</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18922-2023</t>
        </is>
      </c>
      <c r="B62" s="1" t="n">
        <v>45043</v>
      </c>
      <c r="C62" s="1" t="n">
        <v>45998</v>
      </c>
      <c r="D62" t="inlineStr">
        <is>
          <t>VÄSTERBOTTENS LÄN</t>
        </is>
      </c>
      <c r="E62" t="inlineStr">
        <is>
          <t>UMEÅ</t>
        </is>
      </c>
      <c r="G62" t="n">
        <v>9.199999999999999</v>
      </c>
      <c r="H62" t="n">
        <v>0</v>
      </c>
      <c r="I62" t="n">
        <v>0</v>
      </c>
      <c r="J62" t="n">
        <v>2</v>
      </c>
      <c r="K62" t="n">
        <v>0</v>
      </c>
      <c r="L62" t="n">
        <v>0</v>
      </c>
      <c r="M62" t="n">
        <v>0</v>
      </c>
      <c r="N62" t="n">
        <v>0</v>
      </c>
      <c r="O62" t="n">
        <v>2</v>
      </c>
      <c r="P62" t="n">
        <v>0</v>
      </c>
      <c r="Q62" t="n">
        <v>2</v>
      </c>
      <c r="R62" s="2" t="inlineStr">
        <is>
          <t>Granticka
Ullticka</t>
        </is>
      </c>
      <c r="S62">
        <f>HYPERLINK("https://klasma.github.io/Logging_2480/artfynd/A 18922-2023 artfynd.xlsx", "A 18922-2023")</f>
        <v/>
      </c>
      <c r="T62">
        <f>HYPERLINK("https://klasma.github.io/Logging_2480/kartor/A 18922-2023 karta.png", "A 18922-2023")</f>
        <v/>
      </c>
      <c r="V62">
        <f>HYPERLINK("https://klasma.github.io/Logging_2480/klagomål/A 18922-2023 FSC-klagomål.docx", "A 18922-2023")</f>
        <v/>
      </c>
      <c r="W62">
        <f>HYPERLINK("https://klasma.github.io/Logging_2480/klagomålsmail/A 18922-2023 FSC-klagomål mail.docx", "A 18922-2023")</f>
        <v/>
      </c>
      <c r="X62">
        <f>HYPERLINK("https://klasma.github.io/Logging_2480/tillsyn/A 18922-2023 tillsynsbegäran.docx", "A 18922-2023")</f>
        <v/>
      </c>
      <c r="Y62">
        <f>HYPERLINK("https://klasma.github.io/Logging_2480/tillsynsmail/A 18922-2023 tillsynsbegäran mail.docx", "A 18922-2023")</f>
        <v/>
      </c>
    </row>
    <row r="63" ht="15" customHeight="1">
      <c r="A63" t="inlineStr">
        <is>
          <t>A 9771-2022</t>
        </is>
      </c>
      <c r="B63" s="1" t="n">
        <v>44619</v>
      </c>
      <c r="C63" s="1" t="n">
        <v>45998</v>
      </c>
      <c r="D63" t="inlineStr">
        <is>
          <t>VÄSTERBOTTENS LÄN</t>
        </is>
      </c>
      <c r="E63" t="inlineStr">
        <is>
          <t>UMEÅ</t>
        </is>
      </c>
      <c r="G63" t="n">
        <v>39.1</v>
      </c>
      <c r="H63" t="n">
        <v>0</v>
      </c>
      <c r="I63" t="n">
        <v>1</v>
      </c>
      <c r="J63" t="n">
        <v>1</v>
      </c>
      <c r="K63" t="n">
        <v>0</v>
      </c>
      <c r="L63" t="n">
        <v>0</v>
      </c>
      <c r="M63" t="n">
        <v>0</v>
      </c>
      <c r="N63" t="n">
        <v>0</v>
      </c>
      <c r="O63" t="n">
        <v>1</v>
      </c>
      <c r="P63" t="n">
        <v>0</v>
      </c>
      <c r="Q63" t="n">
        <v>2</v>
      </c>
      <c r="R63" s="2" t="inlineStr">
        <is>
          <t>Blå taggsvamp
Dropptaggsvamp</t>
        </is>
      </c>
      <c r="S63">
        <f>HYPERLINK("https://klasma.github.io/Logging_2480/artfynd/A 9771-2022 artfynd.xlsx", "A 9771-2022")</f>
        <v/>
      </c>
      <c r="T63">
        <f>HYPERLINK("https://klasma.github.io/Logging_2480/kartor/A 9771-2022 karta.png", "A 9771-2022")</f>
        <v/>
      </c>
      <c r="V63">
        <f>HYPERLINK("https://klasma.github.io/Logging_2480/klagomål/A 9771-2022 FSC-klagomål.docx", "A 9771-2022")</f>
        <v/>
      </c>
      <c r="W63">
        <f>HYPERLINK("https://klasma.github.io/Logging_2480/klagomålsmail/A 9771-2022 FSC-klagomål mail.docx", "A 9771-2022")</f>
        <v/>
      </c>
      <c r="X63">
        <f>HYPERLINK("https://klasma.github.io/Logging_2480/tillsyn/A 9771-2022 tillsynsbegäran.docx", "A 9771-2022")</f>
        <v/>
      </c>
      <c r="Y63">
        <f>HYPERLINK("https://klasma.github.io/Logging_2480/tillsynsmail/A 9771-2022 tillsynsbegäran mail.docx", "A 9771-2022")</f>
        <v/>
      </c>
    </row>
    <row r="64" ht="15" customHeight="1">
      <c r="A64" t="inlineStr">
        <is>
          <t>A 34050-2024</t>
        </is>
      </c>
      <c r="B64" s="1" t="n">
        <v>45523.60684027777</v>
      </c>
      <c r="C64" s="1" t="n">
        <v>45998</v>
      </c>
      <c r="D64" t="inlineStr">
        <is>
          <t>VÄSTERBOTTENS LÄN</t>
        </is>
      </c>
      <c r="E64" t="inlineStr">
        <is>
          <t>UMEÅ</t>
        </is>
      </c>
      <c r="F64" t="inlineStr">
        <is>
          <t>Holmen skog AB</t>
        </is>
      </c>
      <c r="G64" t="n">
        <v>9.699999999999999</v>
      </c>
      <c r="H64" t="n">
        <v>0</v>
      </c>
      <c r="I64" t="n">
        <v>1</v>
      </c>
      <c r="J64" t="n">
        <v>1</v>
      </c>
      <c r="K64" t="n">
        <v>0</v>
      </c>
      <c r="L64" t="n">
        <v>0</v>
      </c>
      <c r="M64" t="n">
        <v>0</v>
      </c>
      <c r="N64" t="n">
        <v>0</v>
      </c>
      <c r="O64" t="n">
        <v>1</v>
      </c>
      <c r="P64" t="n">
        <v>0</v>
      </c>
      <c r="Q64" t="n">
        <v>2</v>
      </c>
      <c r="R64" s="2" t="inlineStr">
        <is>
          <t>Gränsticka
Vedticka</t>
        </is>
      </c>
      <c r="S64">
        <f>HYPERLINK("https://klasma.github.io/Logging_2480/artfynd/A 34050-2024 artfynd.xlsx", "A 34050-2024")</f>
        <v/>
      </c>
      <c r="T64">
        <f>HYPERLINK("https://klasma.github.io/Logging_2480/kartor/A 34050-2024 karta.png", "A 34050-2024")</f>
        <v/>
      </c>
      <c r="V64">
        <f>HYPERLINK("https://klasma.github.io/Logging_2480/klagomål/A 34050-2024 FSC-klagomål.docx", "A 34050-2024")</f>
        <v/>
      </c>
      <c r="W64">
        <f>HYPERLINK("https://klasma.github.io/Logging_2480/klagomålsmail/A 34050-2024 FSC-klagomål mail.docx", "A 34050-2024")</f>
        <v/>
      </c>
      <c r="X64">
        <f>HYPERLINK("https://klasma.github.io/Logging_2480/tillsyn/A 34050-2024 tillsynsbegäran.docx", "A 34050-2024")</f>
        <v/>
      </c>
      <c r="Y64">
        <f>HYPERLINK("https://klasma.github.io/Logging_2480/tillsynsmail/A 34050-2024 tillsynsbegäran mail.docx", "A 34050-2024")</f>
        <v/>
      </c>
    </row>
    <row r="65" ht="15" customHeight="1">
      <c r="A65" t="inlineStr">
        <is>
          <t>A 36794-2025</t>
        </is>
      </c>
      <c r="B65" s="1" t="n">
        <v>45873.64189814815</v>
      </c>
      <c r="C65" s="1" t="n">
        <v>45998</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38440-2021</t>
        </is>
      </c>
      <c r="B66" s="1" t="n">
        <v>44406</v>
      </c>
      <c r="C66" s="1" t="n">
        <v>45998</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45998</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30173-2025</t>
        </is>
      </c>
      <c r="B68" s="1" t="n">
        <v>45827.34200231481</v>
      </c>
      <c r="C68" s="1" t="n">
        <v>45998</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45998</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46143-2024</t>
        </is>
      </c>
      <c r="B70" s="1" t="n">
        <v>45581.45096064815</v>
      </c>
      <c r="C70" s="1" t="n">
        <v>45998</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60047-2025</t>
        </is>
      </c>
      <c r="B71" s="1" t="n">
        <v>45993.6286574074</v>
      </c>
      <c r="C71" s="1" t="n">
        <v>45998</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33206-2025</t>
        </is>
      </c>
      <c r="B72" s="1" t="n">
        <v>45840.61583333334</v>
      </c>
      <c r="C72" s="1" t="n">
        <v>45998</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45998</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38393-2021</t>
        </is>
      </c>
      <c r="B74" s="1" t="n">
        <v>44406</v>
      </c>
      <c r="C74" s="1" t="n">
        <v>45998</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45998</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45998</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45998</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45998</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45998</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45998</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48771-2022</t>
        </is>
      </c>
      <c r="B81" s="1" t="n">
        <v>44859.59534722222</v>
      </c>
      <c r="C81" s="1" t="n">
        <v>45998</v>
      </c>
      <c r="D81" t="inlineStr">
        <is>
          <t>VÄSTERBOTTENS LÄN</t>
        </is>
      </c>
      <c r="E81" t="inlineStr">
        <is>
          <t>UMEÅ</t>
        </is>
      </c>
      <c r="F81" t="inlineStr">
        <is>
          <t>Holmen skog AB</t>
        </is>
      </c>
      <c r="G81" t="n">
        <v>4.6</v>
      </c>
      <c r="H81" t="n">
        <v>0</v>
      </c>
      <c r="I81" t="n">
        <v>1</v>
      </c>
      <c r="J81" t="n">
        <v>0</v>
      </c>
      <c r="K81" t="n">
        <v>0</v>
      </c>
      <c r="L81" t="n">
        <v>0</v>
      </c>
      <c r="M81" t="n">
        <v>0</v>
      </c>
      <c r="N81" t="n">
        <v>0</v>
      </c>
      <c r="O81" t="n">
        <v>0</v>
      </c>
      <c r="P81" t="n">
        <v>0</v>
      </c>
      <c r="Q81" t="n">
        <v>1</v>
      </c>
      <c r="R81" s="2" t="inlineStr">
        <is>
          <t>Vedticka</t>
        </is>
      </c>
      <c r="S81">
        <f>HYPERLINK("https://klasma.github.io/Logging_2480/artfynd/A 48771-2022 artfynd.xlsx", "A 48771-2022")</f>
        <v/>
      </c>
      <c r="T81">
        <f>HYPERLINK("https://klasma.github.io/Logging_2480/kartor/A 48771-2022 karta.png", "A 48771-2022")</f>
        <v/>
      </c>
      <c r="V81">
        <f>HYPERLINK("https://klasma.github.io/Logging_2480/klagomål/A 48771-2022 FSC-klagomål.docx", "A 48771-2022")</f>
        <v/>
      </c>
      <c r="W81">
        <f>HYPERLINK("https://klasma.github.io/Logging_2480/klagomålsmail/A 48771-2022 FSC-klagomål mail.docx", "A 48771-2022")</f>
        <v/>
      </c>
      <c r="X81">
        <f>HYPERLINK("https://klasma.github.io/Logging_2480/tillsyn/A 48771-2022 tillsynsbegäran.docx", "A 48771-2022")</f>
        <v/>
      </c>
      <c r="Y81">
        <f>HYPERLINK("https://klasma.github.io/Logging_2480/tillsynsmail/A 48771-2022 tillsynsbegäran mail.docx", "A 48771-2022")</f>
        <v/>
      </c>
    </row>
    <row r="82" ht="15" customHeight="1">
      <c r="A82" t="inlineStr">
        <is>
          <t>A 49658-2022</t>
        </is>
      </c>
      <c r="B82" s="1" t="n">
        <v>44862</v>
      </c>
      <c r="C82" s="1" t="n">
        <v>45998</v>
      </c>
      <c r="D82" t="inlineStr">
        <is>
          <t>VÄSTERBOTTENS LÄN</t>
        </is>
      </c>
      <c r="E82" t="inlineStr">
        <is>
          <t>UMEÅ</t>
        </is>
      </c>
      <c r="F82" t="inlineStr">
        <is>
          <t>Holmen skog AB</t>
        </is>
      </c>
      <c r="G82" t="n">
        <v>2.2</v>
      </c>
      <c r="H82" t="n">
        <v>1</v>
      </c>
      <c r="I82" t="n">
        <v>0</v>
      </c>
      <c r="J82" t="n">
        <v>0</v>
      </c>
      <c r="K82" t="n">
        <v>0</v>
      </c>
      <c r="L82" t="n">
        <v>0</v>
      </c>
      <c r="M82" t="n">
        <v>0</v>
      </c>
      <c r="N82" t="n">
        <v>0</v>
      </c>
      <c r="O82" t="n">
        <v>0</v>
      </c>
      <c r="P82" t="n">
        <v>0</v>
      </c>
      <c r="Q82" t="n">
        <v>1</v>
      </c>
      <c r="R82" s="2" t="inlineStr">
        <is>
          <t>Vanlig groda</t>
        </is>
      </c>
      <c r="S82">
        <f>HYPERLINK("https://klasma.github.io/Logging_2480/artfynd/A 49658-2022 artfynd.xlsx", "A 49658-2022")</f>
        <v/>
      </c>
      <c r="T82">
        <f>HYPERLINK("https://klasma.github.io/Logging_2480/kartor/A 49658-2022 karta.png", "A 49658-2022")</f>
        <v/>
      </c>
      <c r="V82">
        <f>HYPERLINK("https://klasma.github.io/Logging_2480/klagomål/A 49658-2022 FSC-klagomål.docx", "A 49658-2022")</f>
        <v/>
      </c>
      <c r="W82">
        <f>HYPERLINK("https://klasma.github.io/Logging_2480/klagomålsmail/A 49658-2022 FSC-klagomål mail.docx", "A 49658-2022")</f>
        <v/>
      </c>
      <c r="X82">
        <f>HYPERLINK("https://klasma.github.io/Logging_2480/tillsyn/A 49658-2022 tillsynsbegäran.docx", "A 49658-2022")</f>
        <v/>
      </c>
      <c r="Y82">
        <f>HYPERLINK("https://klasma.github.io/Logging_2480/tillsynsmail/A 49658-2022 tillsynsbegäran mail.docx", "A 49658-2022")</f>
        <v/>
      </c>
    </row>
    <row r="83" ht="15" customHeight="1">
      <c r="A83" t="inlineStr">
        <is>
          <t>A 38438-2021</t>
        </is>
      </c>
      <c r="B83" s="1" t="n">
        <v>44406</v>
      </c>
      <c r="C83" s="1" t="n">
        <v>45998</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23035-2022</t>
        </is>
      </c>
      <c r="B84" s="1" t="n">
        <v>44715</v>
      </c>
      <c r="C84" s="1" t="n">
        <v>45998</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27804-2021</t>
        </is>
      </c>
      <c r="B85" s="1" t="n">
        <v>44354</v>
      </c>
      <c r="C85" s="1" t="n">
        <v>45998</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47038-2021</t>
        </is>
      </c>
      <c r="B86" s="1" t="n">
        <v>44446</v>
      </c>
      <c r="C86" s="1" t="n">
        <v>45998</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38683-2021</t>
        </is>
      </c>
      <c r="B87" s="1" t="n">
        <v>44407</v>
      </c>
      <c r="C87" s="1" t="n">
        <v>45998</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58670-2023</t>
        </is>
      </c>
      <c r="B88" s="1" t="n">
        <v>45251</v>
      </c>
      <c r="C88" s="1" t="n">
        <v>45998</v>
      </c>
      <c r="D88" t="inlineStr">
        <is>
          <t>VÄSTERBOTTENS LÄN</t>
        </is>
      </c>
      <c r="E88" t="inlineStr">
        <is>
          <t>UMEÅ</t>
        </is>
      </c>
      <c r="F88" t="inlineStr">
        <is>
          <t>Sveaskog</t>
        </is>
      </c>
      <c r="G88" t="n">
        <v>11.9</v>
      </c>
      <c r="H88" t="n">
        <v>0</v>
      </c>
      <c r="I88" t="n">
        <v>0</v>
      </c>
      <c r="J88" t="n">
        <v>1</v>
      </c>
      <c r="K88" t="n">
        <v>0</v>
      </c>
      <c r="L88" t="n">
        <v>0</v>
      </c>
      <c r="M88" t="n">
        <v>0</v>
      </c>
      <c r="N88" t="n">
        <v>0</v>
      </c>
      <c r="O88" t="n">
        <v>1</v>
      </c>
      <c r="P88" t="n">
        <v>0</v>
      </c>
      <c r="Q88" t="n">
        <v>1</v>
      </c>
      <c r="R88" s="2" t="inlineStr">
        <is>
          <t>Gammelgransskål</t>
        </is>
      </c>
      <c r="S88">
        <f>HYPERLINK("https://klasma.github.io/Logging_2480/artfynd/A 58670-2023 artfynd.xlsx", "A 58670-2023")</f>
        <v/>
      </c>
      <c r="T88">
        <f>HYPERLINK("https://klasma.github.io/Logging_2480/kartor/A 58670-2023 karta.png", "A 58670-2023")</f>
        <v/>
      </c>
      <c r="V88">
        <f>HYPERLINK("https://klasma.github.io/Logging_2480/klagomål/A 58670-2023 FSC-klagomål.docx", "A 58670-2023")</f>
        <v/>
      </c>
      <c r="W88">
        <f>HYPERLINK("https://klasma.github.io/Logging_2480/klagomålsmail/A 58670-2023 FSC-klagomål mail.docx", "A 58670-2023")</f>
        <v/>
      </c>
      <c r="X88">
        <f>HYPERLINK("https://klasma.github.io/Logging_2480/tillsyn/A 58670-2023 tillsynsbegäran.docx", "A 58670-2023")</f>
        <v/>
      </c>
      <c r="Y88">
        <f>HYPERLINK("https://klasma.github.io/Logging_2480/tillsynsmail/A 58670-2023 tillsynsbegäran mail.docx", "A 58670-2023")</f>
        <v/>
      </c>
    </row>
    <row r="89" ht="15" customHeight="1">
      <c r="A89" t="inlineStr">
        <is>
          <t>A 17091-2025</t>
        </is>
      </c>
      <c r="B89" s="1" t="n">
        <v>45755.64905092592</v>
      </c>
      <c r="C89" s="1" t="n">
        <v>45998</v>
      </c>
      <c r="D89" t="inlineStr">
        <is>
          <t>VÄSTERBOTTENS LÄN</t>
        </is>
      </c>
      <c r="E89" t="inlineStr">
        <is>
          <t>UMEÅ</t>
        </is>
      </c>
      <c r="G89" t="n">
        <v>2.2</v>
      </c>
      <c r="H89" t="n">
        <v>0</v>
      </c>
      <c r="I89" t="n">
        <v>0</v>
      </c>
      <c r="J89" t="n">
        <v>1</v>
      </c>
      <c r="K89" t="n">
        <v>0</v>
      </c>
      <c r="L89" t="n">
        <v>0</v>
      </c>
      <c r="M89" t="n">
        <v>0</v>
      </c>
      <c r="N89" t="n">
        <v>0</v>
      </c>
      <c r="O89" t="n">
        <v>1</v>
      </c>
      <c r="P89" t="n">
        <v>0</v>
      </c>
      <c r="Q89" t="n">
        <v>1</v>
      </c>
      <c r="R89" s="2" t="inlineStr">
        <is>
          <t>Motaggsvamp</t>
        </is>
      </c>
      <c r="S89">
        <f>HYPERLINK("https://klasma.github.io/Logging_2480/artfynd/A 17091-2025 artfynd.xlsx", "A 17091-2025")</f>
        <v/>
      </c>
      <c r="T89">
        <f>HYPERLINK("https://klasma.github.io/Logging_2480/kartor/A 17091-2025 karta.png", "A 17091-2025")</f>
        <v/>
      </c>
      <c r="V89">
        <f>HYPERLINK("https://klasma.github.io/Logging_2480/klagomål/A 17091-2025 FSC-klagomål.docx", "A 17091-2025")</f>
        <v/>
      </c>
      <c r="W89">
        <f>HYPERLINK("https://klasma.github.io/Logging_2480/klagomålsmail/A 17091-2025 FSC-klagomål mail.docx", "A 17091-2025")</f>
        <v/>
      </c>
      <c r="X89">
        <f>HYPERLINK("https://klasma.github.io/Logging_2480/tillsyn/A 17091-2025 tillsynsbegäran.docx", "A 17091-2025")</f>
        <v/>
      </c>
      <c r="Y89">
        <f>HYPERLINK("https://klasma.github.io/Logging_2480/tillsynsmail/A 17091-2025 tillsynsbegäran mail.docx", "A 17091-2025")</f>
        <v/>
      </c>
    </row>
    <row r="90" ht="15" customHeight="1">
      <c r="A90" t="inlineStr">
        <is>
          <t>A 10945-2025</t>
        </is>
      </c>
      <c r="B90" s="1" t="n">
        <v>45723.33811342593</v>
      </c>
      <c r="C90" s="1" t="n">
        <v>45998</v>
      </c>
      <c r="D90" t="inlineStr">
        <is>
          <t>VÄSTERBOTTENS LÄN</t>
        </is>
      </c>
      <c r="E90" t="inlineStr">
        <is>
          <t>UMEÅ</t>
        </is>
      </c>
      <c r="G90" t="n">
        <v>1.6</v>
      </c>
      <c r="H90" t="n">
        <v>0</v>
      </c>
      <c r="I90" t="n">
        <v>0</v>
      </c>
      <c r="J90" t="n">
        <v>1</v>
      </c>
      <c r="K90" t="n">
        <v>0</v>
      </c>
      <c r="L90" t="n">
        <v>0</v>
      </c>
      <c r="M90" t="n">
        <v>0</v>
      </c>
      <c r="N90" t="n">
        <v>0</v>
      </c>
      <c r="O90" t="n">
        <v>1</v>
      </c>
      <c r="P90" t="n">
        <v>0</v>
      </c>
      <c r="Q90" t="n">
        <v>1</v>
      </c>
      <c r="R90" s="2" t="inlineStr">
        <is>
          <t>Garnlav</t>
        </is>
      </c>
      <c r="S90">
        <f>HYPERLINK("https://klasma.github.io/Logging_2480/artfynd/A 10945-2025 artfynd.xlsx", "A 10945-2025")</f>
        <v/>
      </c>
      <c r="T90">
        <f>HYPERLINK("https://klasma.github.io/Logging_2480/kartor/A 10945-2025 karta.png", "A 10945-2025")</f>
        <v/>
      </c>
      <c r="V90">
        <f>HYPERLINK("https://klasma.github.io/Logging_2480/klagomål/A 10945-2025 FSC-klagomål.docx", "A 10945-2025")</f>
        <v/>
      </c>
      <c r="W90">
        <f>HYPERLINK("https://klasma.github.io/Logging_2480/klagomålsmail/A 10945-2025 FSC-klagomål mail.docx", "A 10945-2025")</f>
        <v/>
      </c>
      <c r="X90">
        <f>HYPERLINK("https://klasma.github.io/Logging_2480/tillsyn/A 10945-2025 tillsynsbegäran.docx", "A 10945-2025")</f>
        <v/>
      </c>
      <c r="Y90">
        <f>HYPERLINK("https://klasma.github.io/Logging_2480/tillsynsmail/A 10945-2025 tillsynsbegäran mail.docx", "A 10945-2025")</f>
        <v/>
      </c>
    </row>
    <row r="91" ht="15" customHeight="1">
      <c r="A91" t="inlineStr">
        <is>
          <t>A 18248-2021</t>
        </is>
      </c>
      <c r="B91" s="1" t="n">
        <v>44305</v>
      </c>
      <c r="C91" s="1" t="n">
        <v>45998</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28262-2023</t>
        </is>
      </c>
      <c r="B92" s="1" t="n">
        <v>45099</v>
      </c>
      <c r="C92" s="1" t="n">
        <v>45998</v>
      </c>
      <c r="D92" t="inlineStr">
        <is>
          <t>VÄSTERBOTTENS LÄN</t>
        </is>
      </c>
      <c r="E92" t="inlineStr">
        <is>
          <t>UMEÅ</t>
        </is>
      </c>
      <c r="F92" t="inlineStr">
        <is>
          <t>Holmen skog AB</t>
        </is>
      </c>
      <c r="G92" t="n">
        <v>2.6</v>
      </c>
      <c r="H92" t="n">
        <v>0</v>
      </c>
      <c r="I92" t="n">
        <v>1</v>
      </c>
      <c r="J92" t="n">
        <v>0</v>
      </c>
      <c r="K92" t="n">
        <v>0</v>
      </c>
      <c r="L92" t="n">
        <v>0</v>
      </c>
      <c r="M92" t="n">
        <v>0</v>
      </c>
      <c r="N92" t="n">
        <v>0</v>
      </c>
      <c r="O92" t="n">
        <v>0</v>
      </c>
      <c r="P92" t="n">
        <v>0</v>
      </c>
      <c r="Q92" t="n">
        <v>1</v>
      </c>
      <c r="R92" s="2" t="inlineStr">
        <is>
          <t>Gulskölding</t>
        </is>
      </c>
      <c r="S92">
        <f>HYPERLINK("https://klasma.github.io/Logging_2480/artfynd/A 28262-2023 artfynd.xlsx", "A 28262-2023")</f>
        <v/>
      </c>
      <c r="T92">
        <f>HYPERLINK("https://klasma.github.io/Logging_2480/kartor/A 28262-2023 karta.png", "A 28262-2023")</f>
        <v/>
      </c>
      <c r="V92">
        <f>HYPERLINK("https://klasma.github.io/Logging_2480/klagomål/A 28262-2023 FSC-klagomål.docx", "A 28262-2023")</f>
        <v/>
      </c>
      <c r="W92">
        <f>HYPERLINK("https://klasma.github.io/Logging_2480/klagomålsmail/A 28262-2023 FSC-klagomål mail.docx", "A 28262-2023")</f>
        <v/>
      </c>
      <c r="X92">
        <f>HYPERLINK("https://klasma.github.io/Logging_2480/tillsyn/A 28262-2023 tillsynsbegäran.docx", "A 28262-2023")</f>
        <v/>
      </c>
      <c r="Y92">
        <f>HYPERLINK("https://klasma.github.io/Logging_2480/tillsynsmail/A 28262-2023 tillsynsbegäran mail.docx", "A 28262-2023")</f>
        <v/>
      </c>
    </row>
    <row r="93" ht="15" customHeight="1">
      <c r="A93" t="inlineStr">
        <is>
          <t>A 31318-2022</t>
        </is>
      </c>
      <c r="B93" s="1" t="n">
        <v>44772</v>
      </c>
      <c r="C93" s="1" t="n">
        <v>45998</v>
      </c>
      <c r="D93" t="inlineStr">
        <is>
          <t>VÄSTERBOTTENS LÄN</t>
        </is>
      </c>
      <c r="E93" t="inlineStr">
        <is>
          <t>UMEÅ</t>
        </is>
      </c>
      <c r="G93" t="n">
        <v>11.3</v>
      </c>
      <c r="H93" t="n">
        <v>1</v>
      </c>
      <c r="I93" t="n">
        <v>0</v>
      </c>
      <c r="J93" t="n">
        <v>1</v>
      </c>
      <c r="K93" t="n">
        <v>0</v>
      </c>
      <c r="L93" t="n">
        <v>0</v>
      </c>
      <c r="M93" t="n">
        <v>0</v>
      </c>
      <c r="N93" t="n">
        <v>0</v>
      </c>
      <c r="O93" t="n">
        <v>1</v>
      </c>
      <c r="P93" t="n">
        <v>0</v>
      </c>
      <c r="Q93" t="n">
        <v>1</v>
      </c>
      <c r="R93" s="2" t="inlineStr">
        <is>
          <t>Sävsparv</t>
        </is>
      </c>
      <c r="S93">
        <f>HYPERLINK("https://klasma.github.io/Logging_2480/artfynd/A 31318-2022 artfynd.xlsx", "A 31318-2022")</f>
        <v/>
      </c>
      <c r="T93">
        <f>HYPERLINK("https://klasma.github.io/Logging_2480/kartor/A 31318-2022 karta.png", "A 31318-2022")</f>
        <v/>
      </c>
      <c r="V93">
        <f>HYPERLINK("https://klasma.github.io/Logging_2480/klagomål/A 31318-2022 FSC-klagomål.docx", "A 31318-2022")</f>
        <v/>
      </c>
      <c r="W93">
        <f>HYPERLINK("https://klasma.github.io/Logging_2480/klagomålsmail/A 31318-2022 FSC-klagomål mail.docx", "A 31318-2022")</f>
        <v/>
      </c>
      <c r="X93">
        <f>HYPERLINK("https://klasma.github.io/Logging_2480/tillsyn/A 31318-2022 tillsynsbegäran.docx", "A 31318-2022")</f>
        <v/>
      </c>
      <c r="Y93">
        <f>HYPERLINK("https://klasma.github.io/Logging_2480/tillsynsmail/A 31318-2022 tillsynsbegäran mail.docx", "A 31318-2022")</f>
        <v/>
      </c>
      <c r="Z93">
        <f>HYPERLINK("https://klasma.github.io/Logging_2480/fåglar/A 31318-2022 prioriterade fågelarter.docx", "A 31318-2022")</f>
        <v/>
      </c>
    </row>
    <row r="94" ht="15" customHeight="1">
      <c r="A94" t="inlineStr">
        <is>
          <t>A 41674-2023</t>
        </is>
      </c>
      <c r="B94" s="1" t="n">
        <v>45176</v>
      </c>
      <c r="C94" s="1" t="n">
        <v>45998</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39554-2023</t>
        </is>
      </c>
      <c r="B95" s="1" t="n">
        <v>45167</v>
      </c>
      <c r="C95" s="1" t="n">
        <v>45998</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63810-2023</t>
        </is>
      </c>
      <c r="B96" s="1" t="n">
        <v>45275</v>
      </c>
      <c r="C96" s="1" t="n">
        <v>45998</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45429-2024</t>
        </is>
      </c>
      <c r="B97" s="1" t="n">
        <v>45576</v>
      </c>
      <c r="C97" s="1" t="n">
        <v>45998</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31311-2023</t>
        </is>
      </c>
      <c r="B98" s="1" t="n">
        <v>45104</v>
      </c>
      <c r="C98" s="1" t="n">
        <v>45998</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45998</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18703-2024</t>
        </is>
      </c>
      <c r="B100" s="1" t="n">
        <v>45426</v>
      </c>
      <c r="C100" s="1" t="n">
        <v>45998</v>
      </c>
      <c r="D100" t="inlineStr">
        <is>
          <t>VÄSTERBOTTENS LÄN</t>
        </is>
      </c>
      <c r="E100" t="inlineStr">
        <is>
          <t>UMEÅ</t>
        </is>
      </c>
      <c r="F100" t="inlineStr">
        <is>
          <t>Holmen skog AB</t>
        </is>
      </c>
      <c r="G100" t="n">
        <v>2</v>
      </c>
      <c r="H100" t="n">
        <v>1</v>
      </c>
      <c r="I100" t="n">
        <v>0</v>
      </c>
      <c r="J100" t="n">
        <v>1</v>
      </c>
      <c r="K100" t="n">
        <v>0</v>
      </c>
      <c r="L100" t="n">
        <v>0</v>
      </c>
      <c r="M100" t="n">
        <v>0</v>
      </c>
      <c r="N100" t="n">
        <v>0</v>
      </c>
      <c r="O100" t="n">
        <v>1</v>
      </c>
      <c r="P100" t="n">
        <v>0</v>
      </c>
      <c r="Q100" t="n">
        <v>1</v>
      </c>
      <c r="R100" s="2" t="inlineStr">
        <is>
          <t>Spillkråka</t>
        </is>
      </c>
      <c r="S100">
        <f>HYPERLINK("https://klasma.github.io/Logging_2480/artfynd/A 18703-2024 artfynd.xlsx", "A 18703-2024")</f>
        <v/>
      </c>
      <c r="T100">
        <f>HYPERLINK("https://klasma.github.io/Logging_2480/kartor/A 18703-2024 karta.png", "A 18703-2024")</f>
        <v/>
      </c>
      <c r="V100">
        <f>HYPERLINK("https://klasma.github.io/Logging_2480/klagomål/A 18703-2024 FSC-klagomål.docx", "A 18703-2024")</f>
        <v/>
      </c>
      <c r="W100">
        <f>HYPERLINK("https://klasma.github.io/Logging_2480/klagomålsmail/A 18703-2024 FSC-klagomål mail.docx", "A 18703-2024")</f>
        <v/>
      </c>
      <c r="X100">
        <f>HYPERLINK("https://klasma.github.io/Logging_2480/tillsyn/A 18703-2024 tillsynsbegäran.docx", "A 18703-2024")</f>
        <v/>
      </c>
      <c r="Y100">
        <f>HYPERLINK("https://klasma.github.io/Logging_2480/tillsynsmail/A 18703-2024 tillsynsbegäran mail.docx", "A 18703-2024")</f>
        <v/>
      </c>
      <c r="Z100">
        <f>HYPERLINK("https://klasma.github.io/Logging_2480/fåglar/A 18703-2024 prioriterade fågelarter.docx", "A 18703-2024")</f>
        <v/>
      </c>
    </row>
    <row r="101" ht="15" customHeight="1">
      <c r="A101" t="inlineStr">
        <is>
          <t>A 49850-2021</t>
        </is>
      </c>
      <c r="B101" s="1" t="n">
        <v>44455</v>
      </c>
      <c r="C101" s="1" t="n">
        <v>45998</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56135-2024</t>
        </is>
      </c>
      <c r="B102" s="1" t="n">
        <v>45624</v>
      </c>
      <c r="C102" s="1" t="n">
        <v>45998</v>
      </c>
      <c r="D102" t="inlineStr">
        <is>
          <t>VÄSTERBOTTENS LÄN</t>
        </is>
      </c>
      <c r="E102" t="inlineStr">
        <is>
          <t>UMEÅ</t>
        </is>
      </c>
      <c r="G102" t="n">
        <v>19.9</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56135-2024 artfynd.xlsx", "A 56135-2024")</f>
        <v/>
      </c>
      <c r="T102">
        <f>HYPERLINK("https://klasma.github.io/Logging_2480/kartor/A 56135-2024 karta.png", "A 56135-2024")</f>
        <v/>
      </c>
      <c r="V102">
        <f>HYPERLINK("https://klasma.github.io/Logging_2480/klagomål/A 56135-2024 FSC-klagomål.docx", "A 56135-2024")</f>
        <v/>
      </c>
      <c r="W102">
        <f>HYPERLINK("https://klasma.github.io/Logging_2480/klagomålsmail/A 56135-2024 FSC-klagomål mail.docx", "A 56135-2024")</f>
        <v/>
      </c>
      <c r="X102">
        <f>HYPERLINK("https://klasma.github.io/Logging_2480/tillsyn/A 56135-2024 tillsynsbegäran.docx", "A 56135-2024")</f>
        <v/>
      </c>
      <c r="Y102">
        <f>HYPERLINK("https://klasma.github.io/Logging_2480/tillsynsmail/A 56135-2024 tillsynsbegäran mail.docx", "A 56135-2024")</f>
        <v/>
      </c>
    </row>
    <row r="103" ht="15" customHeight="1">
      <c r="A103" t="inlineStr">
        <is>
          <t>A 16839-2022</t>
        </is>
      </c>
      <c r="B103" s="1" t="n">
        <v>44673</v>
      </c>
      <c r="C103" s="1" t="n">
        <v>45998</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15654-2023</t>
        </is>
      </c>
      <c r="B104" s="1" t="n">
        <v>45019</v>
      </c>
      <c r="C104" s="1" t="n">
        <v>45998</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40665-2024</t>
        </is>
      </c>
      <c r="B105" s="1" t="n">
        <v>45558.34784722222</v>
      </c>
      <c r="C105" s="1" t="n">
        <v>45998</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59075-2022</t>
        </is>
      </c>
      <c r="B106" s="1" t="n">
        <v>44904</v>
      </c>
      <c r="C106" s="1" t="n">
        <v>45998</v>
      </c>
      <c r="D106" t="inlineStr">
        <is>
          <t>VÄSTERBOTTENS LÄN</t>
        </is>
      </c>
      <c r="E106" t="inlineStr">
        <is>
          <t>UMEÅ</t>
        </is>
      </c>
      <c r="G106" t="n">
        <v>0.4</v>
      </c>
      <c r="H106" t="n">
        <v>0</v>
      </c>
      <c r="I106" t="n">
        <v>1</v>
      </c>
      <c r="J106" t="n">
        <v>0</v>
      </c>
      <c r="K106" t="n">
        <v>0</v>
      </c>
      <c r="L106" t="n">
        <v>0</v>
      </c>
      <c r="M106" t="n">
        <v>0</v>
      </c>
      <c r="N106" t="n">
        <v>0</v>
      </c>
      <c r="O106" t="n">
        <v>0</v>
      </c>
      <c r="P106" t="n">
        <v>0</v>
      </c>
      <c r="Q106" t="n">
        <v>1</v>
      </c>
      <c r="R106" s="2" t="inlineStr">
        <is>
          <t>Vedticka</t>
        </is>
      </c>
      <c r="S106">
        <f>HYPERLINK("https://klasma.github.io/Logging_2480/artfynd/A 59075-2022 artfynd.xlsx", "A 59075-2022")</f>
        <v/>
      </c>
      <c r="T106">
        <f>HYPERLINK("https://klasma.github.io/Logging_2480/kartor/A 59075-2022 karta.png", "A 59075-2022")</f>
        <v/>
      </c>
      <c r="V106">
        <f>HYPERLINK("https://klasma.github.io/Logging_2480/klagomål/A 59075-2022 FSC-klagomål.docx", "A 59075-2022")</f>
        <v/>
      </c>
      <c r="W106">
        <f>HYPERLINK("https://klasma.github.io/Logging_2480/klagomålsmail/A 59075-2022 FSC-klagomål mail.docx", "A 59075-2022")</f>
        <v/>
      </c>
      <c r="X106">
        <f>HYPERLINK("https://klasma.github.io/Logging_2480/tillsyn/A 59075-2022 tillsynsbegäran.docx", "A 59075-2022")</f>
        <v/>
      </c>
      <c r="Y106">
        <f>HYPERLINK("https://klasma.github.io/Logging_2480/tillsynsmail/A 59075-2022 tillsynsbegäran mail.docx", "A 59075-2022")</f>
        <v/>
      </c>
    </row>
    <row r="107" ht="15" customHeight="1">
      <c r="A107" t="inlineStr">
        <is>
          <t>A 36880-2025</t>
        </is>
      </c>
      <c r="B107" s="1" t="n">
        <v>45874.43534722222</v>
      </c>
      <c r="C107" s="1" t="n">
        <v>45998</v>
      </c>
      <c r="D107" t="inlineStr">
        <is>
          <t>VÄSTERBOTTENS LÄN</t>
        </is>
      </c>
      <c r="E107" t="inlineStr">
        <is>
          <t>UMEÅ</t>
        </is>
      </c>
      <c r="G107" t="n">
        <v>11.4</v>
      </c>
      <c r="H107" t="n">
        <v>1</v>
      </c>
      <c r="I107" t="n">
        <v>0</v>
      </c>
      <c r="J107" t="n">
        <v>0</v>
      </c>
      <c r="K107" t="n">
        <v>0</v>
      </c>
      <c r="L107" t="n">
        <v>0</v>
      </c>
      <c r="M107" t="n">
        <v>0</v>
      </c>
      <c r="N107" t="n">
        <v>0</v>
      </c>
      <c r="O107" t="n">
        <v>0</v>
      </c>
      <c r="P107" t="n">
        <v>0</v>
      </c>
      <c r="Q107" t="n">
        <v>1</v>
      </c>
      <c r="R107" s="2" t="inlineStr">
        <is>
          <t>Vanlig groda</t>
        </is>
      </c>
      <c r="S107">
        <f>HYPERLINK("https://klasma.github.io/Logging_2480/artfynd/A 36880-2025 artfynd.xlsx", "A 36880-2025")</f>
        <v/>
      </c>
      <c r="T107">
        <f>HYPERLINK("https://klasma.github.io/Logging_2480/kartor/A 36880-2025 karta.png", "A 36880-2025")</f>
        <v/>
      </c>
      <c r="V107">
        <f>HYPERLINK("https://klasma.github.io/Logging_2480/klagomål/A 36880-2025 FSC-klagomål.docx", "A 36880-2025")</f>
        <v/>
      </c>
      <c r="W107">
        <f>HYPERLINK("https://klasma.github.io/Logging_2480/klagomålsmail/A 36880-2025 FSC-klagomål mail.docx", "A 36880-2025")</f>
        <v/>
      </c>
      <c r="X107">
        <f>HYPERLINK("https://klasma.github.io/Logging_2480/tillsyn/A 36880-2025 tillsynsbegäran.docx", "A 36880-2025")</f>
        <v/>
      </c>
      <c r="Y107">
        <f>HYPERLINK("https://klasma.github.io/Logging_2480/tillsynsmail/A 36880-2025 tillsynsbegäran mail.docx", "A 36880-2025")</f>
        <v/>
      </c>
    </row>
    <row r="108" ht="15" customHeight="1">
      <c r="A108" t="inlineStr">
        <is>
          <t>A 18248-2021</t>
        </is>
      </c>
      <c r="B108" s="1" t="n">
        <v>44305</v>
      </c>
      <c r="C108" s="1" t="n">
        <v>45998</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42835-2025</t>
        </is>
      </c>
      <c r="B109" s="1" t="n">
        <v>45908</v>
      </c>
      <c r="C109" s="1" t="n">
        <v>45998</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49359-2023</t>
        </is>
      </c>
      <c r="B110" s="1" t="n">
        <v>45211.33486111111</v>
      </c>
      <c r="C110" s="1" t="n">
        <v>45998</v>
      </c>
      <c r="D110" t="inlineStr">
        <is>
          <t>VÄSTERBOTTENS LÄN</t>
        </is>
      </c>
      <c r="E110" t="inlineStr">
        <is>
          <t>UMEÅ</t>
        </is>
      </c>
      <c r="G110" t="n">
        <v>5.2</v>
      </c>
      <c r="H110" t="n">
        <v>1</v>
      </c>
      <c r="I110" t="n">
        <v>0</v>
      </c>
      <c r="J110" t="n">
        <v>0</v>
      </c>
      <c r="K110" t="n">
        <v>0</v>
      </c>
      <c r="L110" t="n">
        <v>0</v>
      </c>
      <c r="M110" t="n">
        <v>0</v>
      </c>
      <c r="N110" t="n">
        <v>0</v>
      </c>
      <c r="O110" t="n">
        <v>0</v>
      </c>
      <c r="P110" t="n">
        <v>0</v>
      </c>
      <c r="Q110" t="n">
        <v>1</v>
      </c>
      <c r="R110" s="2" t="inlineStr">
        <is>
          <t>Orre</t>
        </is>
      </c>
      <c r="S110">
        <f>HYPERLINK("https://klasma.github.io/Logging_2480/artfynd/A 49359-2023 artfynd.xlsx", "A 49359-2023")</f>
        <v/>
      </c>
      <c r="T110">
        <f>HYPERLINK("https://klasma.github.io/Logging_2480/kartor/A 49359-2023 karta.png", "A 49359-2023")</f>
        <v/>
      </c>
      <c r="V110">
        <f>HYPERLINK("https://klasma.github.io/Logging_2480/klagomål/A 49359-2023 FSC-klagomål.docx", "A 49359-2023")</f>
        <v/>
      </c>
      <c r="W110">
        <f>HYPERLINK("https://klasma.github.io/Logging_2480/klagomålsmail/A 49359-2023 FSC-klagomål mail.docx", "A 49359-2023")</f>
        <v/>
      </c>
      <c r="X110">
        <f>HYPERLINK("https://klasma.github.io/Logging_2480/tillsyn/A 49359-2023 tillsynsbegäran.docx", "A 49359-2023")</f>
        <v/>
      </c>
      <c r="Y110">
        <f>HYPERLINK("https://klasma.github.io/Logging_2480/tillsynsmail/A 49359-2023 tillsynsbegäran mail.docx", "A 49359-2023")</f>
        <v/>
      </c>
      <c r="Z110">
        <f>HYPERLINK("https://klasma.github.io/Logging_2480/fåglar/A 49359-2023 prioriterade fågelarter.docx", "A 49359-2023")</f>
        <v/>
      </c>
    </row>
    <row r="111" ht="15" customHeight="1">
      <c r="A111" t="inlineStr">
        <is>
          <t>A 43029-2024</t>
        </is>
      </c>
      <c r="B111" s="1" t="n">
        <v>45567.41245370371</v>
      </c>
      <c r="C111" s="1" t="n">
        <v>45998</v>
      </c>
      <c r="D111" t="inlineStr">
        <is>
          <t>VÄSTERBOTTENS LÄN</t>
        </is>
      </c>
      <c r="E111" t="inlineStr">
        <is>
          <t>UMEÅ</t>
        </is>
      </c>
      <c r="G111" t="n">
        <v>5.7</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43029-2024 artfynd.xlsx", "A 43029-2024")</f>
        <v/>
      </c>
      <c r="T111">
        <f>HYPERLINK("https://klasma.github.io/Logging_2480/kartor/A 43029-2024 karta.png", "A 43029-2024")</f>
        <v/>
      </c>
      <c r="V111">
        <f>HYPERLINK("https://klasma.github.io/Logging_2480/klagomål/A 43029-2024 FSC-klagomål.docx", "A 43029-2024")</f>
        <v/>
      </c>
      <c r="W111">
        <f>HYPERLINK("https://klasma.github.io/Logging_2480/klagomålsmail/A 43029-2024 FSC-klagomål mail.docx", "A 43029-2024")</f>
        <v/>
      </c>
      <c r="X111">
        <f>HYPERLINK("https://klasma.github.io/Logging_2480/tillsyn/A 43029-2024 tillsynsbegäran.docx", "A 43029-2024")</f>
        <v/>
      </c>
      <c r="Y111">
        <f>HYPERLINK("https://klasma.github.io/Logging_2480/tillsynsmail/A 43029-2024 tillsynsbegäran mail.docx", "A 43029-2024")</f>
        <v/>
      </c>
    </row>
    <row r="112" ht="15" customHeight="1">
      <c r="A112" t="inlineStr">
        <is>
          <t>A 49000-2025</t>
        </is>
      </c>
      <c r="B112" s="1" t="n">
        <v>45937.5946412037</v>
      </c>
      <c r="C112" s="1" t="n">
        <v>45998</v>
      </c>
      <c r="D112" t="inlineStr">
        <is>
          <t>VÄSTERBOTTENS LÄN</t>
        </is>
      </c>
      <c r="E112" t="inlineStr">
        <is>
          <t>UMEÅ</t>
        </is>
      </c>
      <c r="G112" t="n">
        <v>12.2</v>
      </c>
      <c r="H112" t="n">
        <v>1</v>
      </c>
      <c r="I112" t="n">
        <v>0</v>
      </c>
      <c r="J112" t="n">
        <v>0</v>
      </c>
      <c r="K112" t="n">
        <v>0</v>
      </c>
      <c r="L112" t="n">
        <v>0</v>
      </c>
      <c r="M112" t="n">
        <v>0</v>
      </c>
      <c r="N112" t="n">
        <v>0</v>
      </c>
      <c r="O112" t="n">
        <v>0</v>
      </c>
      <c r="P112" t="n">
        <v>0</v>
      </c>
      <c r="Q112" t="n">
        <v>1</v>
      </c>
      <c r="R112" s="2" t="inlineStr">
        <is>
          <t>Tjäder</t>
        </is>
      </c>
      <c r="S112">
        <f>HYPERLINK("https://klasma.github.io/Logging_2480/artfynd/A 49000-2025 artfynd.xlsx", "A 49000-2025")</f>
        <v/>
      </c>
      <c r="T112">
        <f>HYPERLINK("https://klasma.github.io/Logging_2480/kartor/A 49000-2025 karta.png", "A 49000-2025")</f>
        <v/>
      </c>
      <c r="V112">
        <f>HYPERLINK("https://klasma.github.io/Logging_2480/klagomål/A 49000-2025 FSC-klagomål.docx", "A 49000-2025")</f>
        <v/>
      </c>
      <c r="W112">
        <f>HYPERLINK("https://klasma.github.io/Logging_2480/klagomålsmail/A 49000-2025 FSC-klagomål mail.docx", "A 49000-2025")</f>
        <v/>
      </c>
      <c r="X112">
        <f>HYPERLINK("https://klasma.github.io/Logging_2480/tillsyn/A 49000-2025 tillsynsbegäran.docx", "A 49000-2025")</f>
        <v/>
      </c>
      <c r="Y112">
        <f>HYPERLINK("https://klasma.github.io/Logging_2480/tillsynsmail/A 49000-2025 tillsynsbegäran mail.docx", "A 49000-2025")</f>
        <v/>
      </c>
      <c r="Z112">
        <f>HYPERLINK("https://klasma.github.io/Logging_2480/fåglar/A 49000-2025 prioriterade fågelarter.docx", "A 49000-2025")</f>
        <v/>
      </c>
    </row>
    <row r="113" ht="15" customHeight="1">
      <c r="A113" t="inlineStr">
        <is>
          <t>A 49497-2025</t>
        </is>
      </c>
      <c r="B113" s="1" t="n">
        <v>45939.36646990741</v>
      </c>
      <c r="C113" s="1" t="n">
        <v>45998</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40851-2024</t>
        </is>
      </c>
      <c r="B114" s="1" t="n">
        <v>45558</v>
      </c>
      <c r="C114" s="1" t="n">
        <v>45998</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29397-2025</t>
        </is>
      </c>
      <c r="B115" s="1" t="n">
        <v>45824.60902777778</v>
      </c>
      <c r="C115" s="1" t="n">
        <v>45998</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45633-2024</t>
        </is>
      </c>
      <c r="B116" s="1" t="n">
        <v>45579</v>
      </c>
      <c r="C116" s="1" t="n">
        <v>45998</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60084-2025</t>
        </is>
      </c>
      <c r="B117" s="1" t="n">
        <v>45993.70097222222</v>
      </c>
      <c r="C117" s="1" t="n">
        <v>45998</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11502-2022</t>
        </is>
      </c>
      <c r="B118" s="1" t="n">
        <v>44631</v>
      </c>
      <c r="C118" s="1" t="n">
        <v>45998</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34496-2025</t>
        </is>
      </c>
      <c r="B119" s="1" t="n">
        <v>45847</v>
      </c>
      <c r="C119" s="1" t="n">
        <v>45998</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26250-2023</t>
        </is>
      </c>
      <c r="B120" s="1" t="n">
        <v>45086</v>
      </c>
      <c r="C120" s="1" t="n">
        <v>45998</v>
      </c>
      <c r="D120" t="inlineStr">
        <is>
          <t>VÄSTERBOTTENS LÄN</t>
        </is>
      </c>
      <c r="E120" t="inlineStr">
        <is>
          <t>UMEÅ</t>
        </is>
      </c>
      <c r="G120" t="n">
        <v>1.3</v>
      </c>
      <c r="H120" t="n">
        <v>1</v>
      </c>
      <c r="I120" t="n">
        <v>0</v>
      </c>
      <c r="J120" t="n">
        <v>0</v>
      </c>
      <c r="K120" t="n">
        <v>0</v>
      </c>
      <c r="L120" t="n">
        <v>0</v>
      </c>
      <c r="M120" t="n">
        <v>0</v>
      </c>
      <c r="N120" t="n">
        <v>0</v>
      </c>
      <c r="O120" t="n">
        <v>0</v>
      </c>
      <c r="P120" t="n">
        <v>0</v>
      </c>
      <c r="Q120" t="n">
        <v>1</v>
      </c>
      <c r="R120" s="2" t="inlineStr">
        <is>
          <t>Huggorm</t>
        </is>
      </c>
      <c r="S120">
        <f>HYPERLINK("https://klasma.github.io/Logging_2480/artfynd/A 26250-2023 artfynd.xlsx", "A 26250-2023")</f>
        <v/>
      </c>
      <c r="T120">
        <f>HYPERLINK("https://klasma.github.io/Logging_2480/kartor/A 26250-2023 karta.png", "A 26250-2023")</f>
        <v/>
      </c>
      <c r="V120">
        <f>HYPERLINK("https://klasma.github.io/Logging_2480/klagomål/A 26250-2023 FSC-klagomål.docx", "A 26250-2023")</f>
        <v/>
      </c>
      <c r="W120">
        <f>HYPERLINK("https://klasma.github.io/Logging_2480/klagomålsmail/A 26250-2023 FSC-klagomål mail.docx", "A 26250-2023")</f>
        <v/>
      </c>
      <c r="X120">
        <f>HYPERLINK("https://klasma.github.io/Logging_2480/tillsyn/A 26250-2023 tillsynsbegäran.docx", "A 26250-2023")</f>
        <v/>
      </c>
      <c r="Y120">
        <f>HYPERLINK("https://klasma.github.io/Logging_2480/tillsynsmail/A 26250-2023 tillsynsbegäran mail.docx", "A 26250-2023")</f>
        <v/>
      </c>
    </row>
    <row r="121" ht="15" customHeight="1">
      <c r="A121" t="inlineStr">
        <is>
          <t>A 43550-2024</t>
        </is>
      </c>
      <c r="B121" s="1" t="n">
        <v>45569.38002314815</v>
      </c>
      <c r="C121" s="1" t="n">
        <v>45998</v>
      </c>
      <c r="D121" t="inlineStr">
        <is>
          <t>VÄSTERBOTTENS LÄN</t>
        </is>
      </c>
      <c r="E121" t="inlineStr">
        <is>
          <t>UMEÅ</t>
        </is>
      </c>
      <c r="F121" t="inlineStr">
        <is>
          <t>Kommuner</t>
        </is>
      </c>
      <c r="G121" t="n">
        <v>3.9</v>
      </c>
      <c r="H121" t="n">
        <v>0</v>
      </c>
      <c r="I121" t="n">
        <v>1</v>
      </c>
      <c r="J121" t="n">
        <v>0</v>
      </c>
      <c r="K121" t="n">
        <v>0</v>
      </c>
      <c r="L121" t="n">
        <v>0</v>
      </c>
      <c r="M121" t="n">
        <v>0</v>
      </c>
      <c r="N121" t="n">
        <v>0</v>
      </c>
      <c r="O121" t="n">
        <v>0</v>
      </c>
      <c r="P121" t="n">
        <v>0</v>
      </c>
      <c r="Q121" t="n">
        <v>1</v>
      </c>
      <c r="R121" s="2" t="inlineStr">
        <is>
          <t>Rävticka</t>
        </is>
      </c>
      <c r="S121">
        <f>HYPERLINK("https://klasma.github.io/Logging_2480/artfynd/A 43550-2024 artfynd.xlsx", "A 43550-2024")</f>
        <v/>
      </c>
      <c r="T121">
        <f>HYPERLINK("https://klasma.github.io/Logging_2480/kartor/A 43550-2024 karta.png", "A 43550-2024")</f>
        <v/>
      </c>
      <c r="V121">
        <f>HYPERLINK("https://klasma.github.io/Logging_2480/klagomål/A 43550-2024 FSC-klagomål.docx", "A 43550-2024")</f>
        <v/>
      </c>
      <c r="W121">
        <f>HYPERLINK("https://klasma.github.io/Logging_2480/klagomålsmail/A 43550-2024 FSC-klagomål mail.docx", "A 43550-2024")</f>
        <v/>
      </c>
      <c r="X121">
        <f>HYPERLINK("https://klasma.github.io/Logging_2480/tillsyn/A 43550-2024 tillsynsbegäran.docx", "A 43550-2024")</f>
        <v/>
      </c>
      <c r="Y121">
        <f>HYPERLINK("https://klasma.github.io/Logging_2480/tillsynsmail/A 43550-2024 tillsynsbegäran mail.docx", "A 43550-2024")</f>
        <v/>
      </c>
    </row>
    <row r="122" ht="15" customHeight="1">
      <c r="A122" t="inlineStr">
        <is>
          <t>A 45659-2024</t>
        </is>
      </c>
      <c r="B122" s="1" t="n">
        <v>45579.495</v>
      </c>
      <c r="C122" s="1" t="n">
        <v>45998</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43519-2022</t>
        </is>
      </c>
      <c r="B123" s="1" t="n">
        <v>44837</v>
      </c>
      <c r="C123" s="1" t="n">
        <v>45998</v>
      </c>
      <c r="D123" t="inlineStr">
        <is>
          <t>VÄSTERBOTTENS LÄN</t>
        </is>
      </c>
      <c r="E123" t="inlineStr">
        <is>
          <t>UMEÅ</t>
        </is>
      </c>
      <c r="G123" t="n">
        <v>4.2</v>
      </c>
      <c r="H123" t="n">
        <v>0</v>
      </c>
      <c r="I123" t="n">
        <v>0</v>
      </c>
      <c r="J123" t="n">
        <v>1</v>
      </c>
      <c r="K123" t="n">
        <v>0</v>
      </c>
      <c r="L123" t="n">
        <v>0</v>
      </c>
      <c r="M123" t="n">
        <v>0</v>
      </c>
      <c r="N123" t="n">
        <v>0</v>
      </c>
      <c r="O123" t="n">
        <v>1</v>
      </c>
      <c r="P123" t="n">
        <v>0</v>
      </c>
      <c r="Q123" t="n">
        <v>1</v>
      </c>
      <c r="R123" s="2" t="inlineStr">
        <is>
          <t>Skogshare</t>
        </is>
      </c>
      <c r="S123">
        <f>HYPERLINK("https://klasma.github.io/Logging_2480/artfynd/A 43519-2022 artfynd.xlsx", "A 43519-2022")</f>
        <v/>
      </c>
      <c r="T123">
        <f>HYPERLINK("https://klasma.github.io/Logging_2480/kartor/A 43519-2022 karta.png", "A 43519-2022")</f>
        <v/>
      </c>
      <c r="V123">
        <f>HYPERLINK("https://klasma.github.io/Logging_2480/klagomål/A 43519-2022 FSC-klagomål.docx", "A 43519-2022")</f>
        <v/>
      </c>
      <c r="W123">
        <f>HYPERLINK("https://klasma.github.io/Logging_2480/klagomålsmail/A 43519-2022 FSC-klagomål mail.docx", "A 43519-2022")</f>
        <v/>
      </c>
      <c r="X123">
        <f>HYPERLINK("https://klasma.github.io/Logging_2480/tillsyn/A 43519-2022 tillsynsbegäran.docx", "A 43519-2022")</f>
        <v/>
      </c>
      <c r="Y123">
        <f>HYPERLINK("https://klasma.github.io/Logging_2480/tillsynsmail/A 43519-2022 tillsynsbegäran mail.docx", "A 43519-2022")</f>
        <v/>
      </c>
    </row>
    <row r="124" ht="15" customHeight="1">
      <c r="A124" t="inlineStr">
        <is>
          <t>A 39233-2022</t>
        </is>
      </c>
      <c r="B124" s="1" t="n">
        <v>44817.5884375</v>
      </c>
      <c r="C124" s="1" t="n">
        <v>45998</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45998</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45998</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45998</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45998</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45998</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45998</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45998</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45998</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45998</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45998</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45998</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45998</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45998</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45998</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45998</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45998</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45998</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45998</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45998</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45998</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45998</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45998</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45998</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45998</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45998</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45998</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45998</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45998</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45998</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45998</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45998</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45998</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45998</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45998</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45998</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45998</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45998</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45998</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45998</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45998</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45998</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45998</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45998</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45998</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2505-2021</t>
        </is>
      </c>
      <c r="B169" s="1" t="n">
        <v>44214</v>
      </c>
      <c r="C169" s="1" t="n">
        <v>45998</v>
      </c>
      <c r="D169" t="inlineStr">
        <is>
          <t>VÄSTERBOTTENS LÄN</t>
        </is>
      </c>
      <c r="E169" t="inlineStr">
        <is>
          <t>UMEÅ</t>
        </is>
      </c>
      <c r="F169" t="inlineStr">
        <is>
          <t>Kommuner</t>
        </is>
      </c>
      <c r="G169" t="n">
        <v>4.8</v>
      </c>
      <c r="H169" t="n">
        <v>0</v>
      </c>
      <c r="I169" t="n">
        <v>0</v>
      </c>
      <c r="J169" t="n">
        <v>0</v>
      </c>
      <c r="K169" t="n">
        <v>0</v>
      </c>
      <c r="L169" t="n">
        <v>0</v>
      </c>
      <c r="M169" t="n">
        <v>0</v>
      </c>
      <c r="N169" t="n">
        <v>0</v>
      </c>
      <c r="O169" t="n">
        <v>0</v>
      </c>
      <c r="P169" t="n">
        <v>0</v>
      </c>
      <c r="Q169" t="n">
        <v>0</v>
      </c>
      <c r="R169" s="2" t="inlineStr"/>
    </row>
    <row r="170" ht="15" customHeight="1">
      <c r="A170" t="inlineStr">
        <is>
          <t>A 23006-2022</t>
        </is>
      </c>
      <c r="B170" s="1" t="n">
        <v>44715</v>
      </c>
      <c r="C170" s="1" t="n">
        <v>45998</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45998</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48779-2022</t>
        </is>
      </c>
      <c r="B172" s="1" t="n">
        <v>44859.60186342592</v>
      </c>
      <c r="C172" s="1" t="n">
        <v>45998</v>
      </c>
      <c r="D172" t="inlineStr">
        <is>
          <t>VÄSTERBOTTENS LÄN</t>
        </is>
      </c>
      <c r="E172" t="inlineStr">
        <is>
          <t>UMEÅ</t>
        </is>
      </c>
      <c r="F172" t="inlineStr">
        <is>
          <t>Holmen skog AB</t>
        </is>
      </c>
      <c r="G172" t="n">
        <v>0.9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45998</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52881-2022</t>
        </is>
      </c>
      <c r="B174" s="1" t="n">
        <v>44872</v>
      </c>
      <c r="C174" s="1" t="n">
        <v>45998</v>
      </c>
      <c r="D174" t="inlineStr">
        <is>
          <t>VÄSTERBOTTENS LÄN</t>
        </is>
      </c>
      <c r="E174" t="inlineStr">
        <is>
          <t>UMEÅ</t>
        </is>
      </c>
      <c r="G174" t="n">
        <v>5.3</v>
      </c>
      <c r="H174" t="n">
        <v>0</v>
      </c>
      <c r="I174" t="n">
        <v>0</v>
      </c>
      <c r="J174" t="n">
        <v>0</v>
      </c>
      <c r="K174" t="n">
        <v>0</v>
      </c>
      <c r="L174" t="n">
        <v>0</v>
      </c>
      <c r="M174" t="n">
        <v>0</v>
      </c>
      <c r="N174" t="n">
        <v>0</v>
      </c>
      <c r="O174" t="n">
        <v>0</v>
      </c>
      <c r="P174" t="n">
        <v>0</v>
      </c>
      <c r="Q174" t="n">
        <v>0</v>
      </c>
      <c r="R174" s="2" t="inlineStr"/>
    </row>
    <row r="175" ht="15" customHeight="1">
      <c r="A175" t="inlineStr">
        <is>
          <t>A 38892-2021</t>
        </is>
      </c>
      <c r="B175" s="1" t="n">
        <v>44410</v>
      </c>
      <c r="C175" s="1" t="n">
        <v>45998</v>
      </c>
      <c r="D175" t="inlineStr">
        <is>
          <t>VÄSTERBOTTENS LÄN</t>
        </is>
      </c>
      <c r="E175" t="inlineStr">
        <is>
          <t>UMEÅ</t>
        </is>
      </c>
      <c r="F175" t="inlineStr">
        <is>
          <t>Övriga statliga verk och myndigheter</t>
        </is>
      </c>
      <c r="G175" t="n">
        <v>0.2</v>
      </c>
      <c r="H175" t="n">
        <v>0</v>
      </c>
      <c r="I175" t="n">
        <v>0</v>
      </c>
      <c r="J175" t="n">
        <v>0</v>
      </c>
      <c r="K175" t="n">
        <v>0</v>
      </c>
      <c r="L175" t="n">
        <v>0</v>
      </c>
      <c r="M175" t="n">
        <v>0</v>
      </c>
      <c r="N175" t="n">
        <v>0</v>
      </c>
      <c r="O175" t="n">
        <v>0</v>
      </c>
      <c r="P175" t="n">
        <v>0</v>
      </c>
      <c r="Q175" t="n">
        <v>0</v>
      </c>
      <c r="R175" s="2" t="inlineStr"/>
    </row>
    <row r="176" ht="15" customHeight="1">
      <c r="A176" t="inlineStr">
        <is>
          <t>A 38920-2021</t>
        </is>
      </c>
      <c r="B176" s="1" t="n">
        <v>44410</v>
      </c>
      <c r="C176" s="1" t="n">
        <v>45998</v>
      </c>
      <c r="D176" t="inlineStr">
        <is>
          <t>VÄSTERBOTTENS LÄN</t>
        </is>
      </c>
      <c r="E176" t="inlineStr">
        <is>
          <t>UMEÅ</t>
        </is>
      </c>
      <c r="F176" t="inlineStr">
        <is>
          <t>Övriga statliga verk och myndigheter</t>
        </is>
      </c>
      <c r="G176" t="n">
        <v>0.9</v>
      </c>
      <c r="H176" t="n">
        <v>0</v>
      </c>
      <c r="I176" t="n">
        <v>0</v>
      </c>
      <c r="J176" t="n">
        <v>0</v>
      </c>
      <c r="K176" t="n">
        <v>0</v>
      </c>
      <c r="L176" t="n">
        <v>0</v>
      </c>
      <c r="M176" t="n">
        <v>0</v>
      </c>
      <c r="N176" t="n">
        <v>0</v>
      </c>
      <c r="O176" t="n">
        <v>0</v>
      </c>
      <c r="P176" t="n">
        <v>0</v>
      </c>
      <c r="Q176" t="n">
        <v>0</v>
      </c>
      <c r="R176" s="2" t="inlineStr"/>
    </row>
    <row r="177" ht="15" customHeight="1">
      <c r="A177" t="inlineStr">
        <is>
          <t>A 38924-2021</t>
        </is>
      </c>
      <c r="B177" s="1" t="n">
        <v>44410</v>
      </c>
      <c r="C177" s="1" t="n">
        <v>45998</v>
      </c>
      <c r="D177" t="inlineStr">
        <is>
          <t>VÄSTERBOTTENS LÄN</t>
        </is>
      </c>
      <c r="E177" t="inlineStr">
        <is>
          <t>UMEÅ</t>
        </is>
      </c>
      <c r="F177" t="inlineStr">
        <is>
          <t>Övriga statliga verk och myndigheter</t>
        </is>
      </c>
      <c r="G177" t="n">
        <v>0.7</v>
      </c>
      <c r="H177" t="n">
        <v>0</v>
      </c>
      <c r="I177" t="n">
        <v>0</v>
      </c>
      <c r="J177" t="n">
        <v>0</v>
      </c>
      <c r="K177" t="n">
        <v>0</v>
      </c>
      <c r="L177" t="n">
        <v>0</v>
      </c>
      <c r="M177" t="n">
        <v>0</v>
      </c>
      <c r="N177" t="n">
        <v>0</v>
      </c>
      <c r="O177" t="n">
        <v>0</v>
      </c>
      <c r="P177" t="n">
        <v>0</v>
      </c>
      <c r="Q177" t="n">
        <v>0</v>
      </c>
      <c r="R177" s="2" t="inlineStr"/>
    </row>
    <row r="178" ht="15" customHeight="1">
      <c r="A178" t="inlineStr">
        <is>
          <t>A 5969-2022</t>
        </is>
      </c>
      <c r="B178" s="1" t="n">
        <v>44599</v>
      </c>
      <c r="C178" s="1" t="n">
        <v>45998</v>
      </c>
      <c r="D178" t="inlineStr">
        <is>
          <t>VÄSTERBOTTENS LÄN</t>
        </is>
      </c>
      <c r="E178" t="inlineStr">
        <is>
          <t>UMEÅ</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45998</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48613-2021</t>
        </is>
      </c>
      <c r="B180" s="1" t="n">
        <v>44452</v>
      </c>
      <c r="C180" s="1" t="n">
        <v>45998</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45998</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52309-2021</t>
        </is>
      </c>
      <c r="B182" s="1" t="n">
        <v>44463</v>
      </c>
      <c r="C182" s="1" t="n">
        <v>45998</v>
      </c>
      <c r="D182" t="inlineStr">
        <is>
          <t>VÄSTERBOTTENS LÄN</t>
        </is>
      </c>
      <c r="E182" t="inlineStr">
        <is>
          <t>UMEÅ</t>
        </is>
      </c>
      <c r="G182" t="n">
        <v>0.7</v>
      </c>
      <c r="H182" t="n">
        <v>0</v>
      </c>
      <c r="I182" t="n">
        <v>0</v>
      </c>
      <c r="J182" t="n">
        <v>0</v>
      </c>
      <c r="K182" t="n">
        <v>0</v>
      </c>
      <c r="L182" t="n">
        <v>0</v>
      </c>
      <c r="M182" t="n">
        <v>0</v>
      </c>
      <c r="N182" t="n">
        <v>0</v>
      </c>
      <c r="O182" t="n">
        <v>0</v>
      </c>
      <c r="P182" t="n">
        <v>0</v>
      </c>
      <c r="Q182" t="n">
        <v>0</v>
      </c>
      <c r="R182" s="2" t="inlineStr"/>
    </row>
    <row r="183" ht="15" customHeight="1">
      <c r="A183" t="inlineStr">
        <is>
          <t>A 47124-2022</t>
        </is>
      </c>
      <c r="B183" s="1" t="n">
        <v>44851</v>
      </c>
      <c r="C183" s="1" t="n">
        <v>45998</v>
      </c>
      <c r="D183" t="inlineStr">
        <is>
          <t>VÄSTERBOTTENS LÄN</t>
        </is>
      </c>
      <c r="E183" t="inlineStr">
        <is>
          <t>UMEÅ</t>
        </is>
      </c>
      <c r="G183" t="n">
        <v>1.7</v>
      </c>
      <c r="H183" t="n">
        <v>0</v>
      </c>
      <c r="I183" t="n">
        <v>0</v>
      </c>
      <c r="J183" t="n">
        <v>0</v>
      </c>
      <c r="K183" t="n">
        <v>0</v>
      </c>
      <c r="L183" t="n">
        <v>0</v>
      </c>
      <c r="M183" t="n">
        <v>0</v>
      </c>
      <c r="N183" t="n">
        <v>0</v>
      </c>
      <c r="O183" t="n">
        <v>0</v>
      </c>
      <c r="P183" t="n">
        <v>0</v>
      </c>
      <c r="Q183" t="n">
        <v>0</v>
      </c>
      <c r="R183" s="2" t="inlineStr"/>
    </row>
    <row r="184" ht="15" customHeight="1">
      <c r="A184" t="inlineStr">
        <is>
          <t>A 4449-2021</t>
        </is>
      </c>
      <c r="B184" s="1" t="n">
        <v>44224</v>
      </c>
      <c r="C184" s="1" t="n">
        <v>45998</v>
      </c>
      <c r="D184" t="inlineStr">
        <is>
          <t>VÄSTERBOTTENS LÄN</t>
        </is>
      </c>
      <c r="E184" t="inlineStr">
        <is>
          <t>UMEÅ</t>
        </is>
      </c>
      <c r="G184" t="n">
        <v>2.5</v>
      </c>
      <c r="H184" t="n">
        <v>0</v>
      </c>
      <c r="I184" t="n">
        <v>0</v>
      </c>
      <c r="J184" t="n">
        <v>0</v>
      </c>
      <c r="K184" t="n">
        <v>0</v>
      </c>
      <c r="L184" t="n">
        <v>0</v>
      </c>
      <c r="M184" t="n">
        <v>0</v>
      </c>
      <c r="N184" t="n">
        <v>0</v>
      </c>
      <c r="O184" t="n">
        <v>0</v>
      </c>
      <c r="P184" t="n">
        <v>0</v>
      </c>
      <c r="Q184" t="n">
        <v>0</v>
      </c>
      <c r="R184" s="2" t="inlineStr"/>
    </row>
    <row r="185" ht="15" customHeight="1">
      <c r="A185" t="inlineStr">
        <is>
          <t>A 4473-2021</t>
        </is>
      </c>
      <c r="B185" s="1" t="n">
        <v>44222</v>
      </c>
      <c r="C185" s="1" t="n">
        <v>45998</v>
      </c>
      <c r="D185" t="inlineStr">
        <is>
          <t>VÄSTERBOTTENS LÄN</t>
        </is>
      </c>
      <c r="E185" t="inlineStr">
        <is>
          <t>UMEÅ</t>
        </is>
      </c>
      <c r="G185" t="n">
        <v>4.9</v>
      </c>
      <c r="H185" t="n">
        <v>0</v>
      </c>
      <c r="I185" t="n">
        <v>0</v>
      </c>
      <c r="J185" t="n">
        <v>0</v>
      </c>
      <c r="K185" t="n">
        <v>0</v>
      </c>
      <c r="L185" t="n">
        <v>0</v>
      </c>
      <c r="M185" t="n">
        <v>0</v>
      </c>
      <c r="N185" t="n">
        <v>0</v>
      </c>
      <c r="O185" t="n">
        <v>0</v>
      </c>
      <c r="P185" t="n">
        <v>0</v>
      </c>
      <c r="Q185" t="n">
        <v>0</v>
      </c>
      <c r="R185" s="2" t="inlineStr"/>
    </row>
    <row r="186" ht="15" customHeight="1">
      <c r="A186" t="inlineStr">
        <is>
          <t>A 11515-2022</t>
        </is>
      </c>
      <c r="B186" s="1" t="n">
        <v>44631</v>
      </c>
      <c r="C186" s="1" t="n">
        <v>45998</v>
      </c>
      <c r="D186" t="inlineStr">
        <is>
          <t>VÄSTERBOTTENS LÄN</t>
        </is>
      </c>
      <c r="E186" t="inlineStr">
        <is>
          <t>UMEÅ</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703-2022</t>
        </is>
      </c>
      <c r="B187" s="1" t="n">
        <v>44566</v>
      </c>
      <c r="C187" s="1" t="n">
        <v>45998</v>
      </c>
      <c r="D187" t="inlineStr">
        <is>
          <t>VÄSTERBOTTENS LÄN</t>
        </is>
      </c>
      <c r="E187" t="inlineStr">
        <is>
          <t>UMEÅ</t>
        </is>
      </c>
      <c r="G187" t="n">
        <v>3.8</v>
      </c>
      <c r="H187" t="n">
        <v>0</v>
      </c>
      <c r="I187" t="n">
        <v>0</v>
      </c>
      <c r="J187" t="n">
        <v>0</v>
      </c>
      <c r="K187" t="n">
        <v>0</v>
      </c>
      <c r="L187" t="n">
        <v>0</v>
      </c>
      <c r="M187" t="n">
        <v>0</v>
      </c>
      <c r="N187" t="n">
        <v>0</v>
      </c>
      <c r="O187" t="n">
        <v>0</v>
      </c>
      <c r="P187" t="n">
        <v>0</v>
      </c>
      <c r="Q187" t="n">
        <v>0</v>
      </c>
      <c r="R187" s="2" t="inlineStr"/>
    </row>
    <row r="188" ht="15" customHeight="1">
      <c r="A188" t="inlineStr">
        <is>
          <t>A 6169-2022</t>
        </is>
      </c>
      <c r="B188" s="1" t="n">
        <v>44599.93688657408</v>
      </c>
      <c r="C188" s="1" t="n">
        <v>45998</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46410-2022</t>
        </is>
      </c>
      <c r="B189" s="1" t="n">
        <v>44846</v>
      </c>
      <c r="C189" s="1" t="n">
        <v>45998</v>
      </c>
      <c r="D189" t="inlineStr">
        <is>
          <t>VÄSTERBOTTENS LÄN</t>
        </is>
      </c>
      <c r="E189" t="inlineStr">
        <is>
          <t>UMEÅ</t>
        </is>
      </c>
      <c r="G189" t="n">
        <v>2.1</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45998</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44830-2022</t>
        </is>
      </c>
      <c r="B191" s="1" t="n">
        <v>44841</v>
      </c>
      <c r="C191" s="1" t="n">
        <v>45998</v>
      </c>
      <c r="D191" t="inlineStr">
        <is>
          <t>VÄSTERBOTTENS LÄN</t>
        </is>
      </c>
      <c r="E191" t="inlineStr">
        <is>
          <t>UMEÅ</t>
        </is>
      </c>
      <c r="G191" t="n">
        <v>1.4</v>
      </c>
      <c r="H191" t="n">
        <v>0</v>
      </c>
      <c r="I191" t="n">
        <v>0</v>
      </c>
      <c r="J191" t="n">
        <v>0</v>
      </c>
      <c r="K191" t="n">
        <v>0</v>
      </c>
      <c r="L191" t="n">
        <v>0</v>
      </c>
      <c r="M191" t="n">
        <v>0</v>
      </c>
      <c r="N191" t="n">
        <v>0</v>
      </c>
      <c r="O191" t="n">
        <v>0</v>
      </c>
      <c r="P191" t="n">
        <v>0</v>
      </c>
      <c r="Q191" t="n">
        <v>0</v>
      </c>
      <c r="R191" s="2" t="inlineStr"/>
    </row>
    <row r="192" ht="15" customHeight="1">
      <c r="A192" t="inlineStr">
        <is>
          <t>A 42043-2022</t>
        </is>
      </c>
      <c r="B192" s="1" t="n">
        <v>44830</v>
      </c>
      <c r="C192" s="1" t="n">
        <v>45998</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49027-2022</t>
        </is>
      </c>
      <c r="B193" s="1" t="n">
        <v>44860</v>
      </c>
      <c r="C193" s="1" t="n">
        <v>45998</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25859-2021</t>
        </is>
      </c>
      <c r="B194" s="1" t="n">
        <v>44343</v>
      </c>
      <c r="C194" s="1" t="n">
        <v>45998</v>
      </c>
      <c r="D194" t="inlineStr">
        <is>
          <t>VÄSTERBOTTENS LÄN</t>
        </is>
      </c>
      <c r="E194" t="inlineStr">
        <is>
          <t>UMEÅ</t>
        </is>
      </c>
      <c r="G194" t="n">
        <v>2.1</v>
      </c>
      <c r="H194" t="n">
        <v>0</v>
      </c>
      <c r="I194" t="n">
        <v>0</v>
      </c>
      <c r="J194" t="n">
        <v>0</v>
      </c>
      <c r="K194" t="n">
        <v>0</v>
      </c>
      <c r="L194" t="n">
        <v>0</v>
      </c>
      <c r="M194" t="n">
        <v>0</v>
      </c>
      <c r="N194" t="n">
        <v>0</v>
      </c>
      <c r="O194" t="n">
        <v>0</v>
      </c>
      <c r="P194" t="n">
        <v>0</v>
      </c>
      <c r="Q194" t="n">
        <v>0</v>
      </c>
      <c r="R194" s="2" t="inlineStr"/>
    </row>
    <row r="195" ht="15" customHeight="1">
      <c r="A195" t="inlineStr">
        <is>
          <t>A 43591-2021</t>
        </is>
      </c>
      <c r="B195" s="1" t="n">
        <v>44433</v>
      </c>
      <c r="C195" s="1" t="n">
        <v>45998</v>
      </c>
      <c r="D195" t="inlineStr">
        <is>
          <t>VÄSTERBOTTENS LÄN</t>
        </is>
      </c>
      <c r="E195" t="inlineStr">
        <is>
          <t>UMEÅ</t>
        </is>
      </c>
      <c r="G195" t="n">
        <v>1.1</v>
      </c>
      <c r="H195" t="n">
        <v>0</v>
      </c>
      <c r="I195" t="n">
        <v>0</v>
      </c>
      <c r="J195" t="n">
        <v>0</v>
      </c>
      <c r="K195" t="n">
        <v>0</v>
      </c>
      <c r="L195" t="n">
        <v>0</v>
      </c>
      <c r="M195" t="n">
        <v>0</v>
      </c>
      <c r="N195" t="n">
        <v>0</v>
      </c>
      <c r="O195" t="n">
        <v>0</v>
      </c>
      <c r="P195" t="n">
        <v>0</v>
      </c>
      <c r="Q195" t="n">
        <v>0</v>
      </c>
      <c r="R195" s="2" t="inlineStr"/>
    </row>
    <row r="196" ht="15" customHeight="1">
      <c r="A196" t="inlineStr">
        <is>
          <t>A 38746-2021</t>
        </is>
      </c>
      <c r="B196" s="1" t="n">
        <v>44410</v>
      </c>
      <c r="C196" s="1" t="n">
        <v>45998</v>
      </c>
      <c r="D196" t="inlineStr">
        <is>
          <t>VÄSTERBOTTENS LÄN</t>
        </is>
      </c>
      <c r="E196" t="inlineStr">
        <is>
          <t>UMEÅ</t>
        </is>
      </c>
      <c r="F196" t="inlineStr">
        <is>
          <t>Övriga statliga verk och myndigheter</t>
        </is>
      </c>
      <c r="G196" t="n">
        <v>0.3</v>
      </c>
      <c r="H196" t="n">
        <v>0</v>
      </c>
      <c r="I196" t="n">
        <v>0</v>
      </c>
      <c r="J196" t="n">
        <v>0</v>
      </c>
      <c r="K196" t="n">
        <v>0</v>
      </c>
      <c r="L196" t="n">
        <v>0</v>
      </c>
      <c r="M196" t="n">
        <v>0</v>
      </c>
      <c r="N196" t="n">
        <v>0</v>
      </c>
      <c r="O196" t="n">
        <v>0</v>
      </c>
      <c r="P196" t="n">
        <v>0</v>
      </c>
      <c r="Q196" t="n">
        <v>0</v>
      </c>
      <c r="R196" s="2" t="inlineStr"/>
    </row>
    <row r="197" ht="15" customHeight="1">
      <c r="A197" t="inlineStr">
        <is>
          <t>A 4084-2022</t>
        </is>
      </c>
      <c r="B197" s="1" t="n">
        <v>44588.39104166667</v>
      </c>
      <c r="C197" s="1" t="n">
        <v>45998</v>
      </c>
      <c r="D197" t="inlineStr">
        <is>
          <t>VÄSTERBOTTENS LÄN</t>
        </is>
      </c>
      <c r="E197" t="inlineStr">
        <is>
          <t>UMEÅ</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38541-2021</t>
        </is>
      </c>
      <c r="B198" s="1" t="n">
        <v>44407</v>
      </c>
      <c r="C198" s="1" t="n">
        <v>45998</v>
      </c>
      <c r="D198" t="inlineStr">
        <is>
          <t>VÄSTERBOTTENS LÄN</t>
        </is>
      </c>
      <c r="E198" t="inlineStr">
        <is>
          <t>UMEÅ</t>
        </is>
      </c>
      <c r="F198" t="inlineStr">
        <is>
          <t>Kommuner</t>
        </is>
      </c>
      <c r="G198" t="n">
        <v>0.6</v>
      </c>
      <c r="H198" t="n">
        <v>0</v>
      </c>
      <c r="I198" t="n">
        <v>0</v>
      </c>
      <c r="J198" t="n">
        <v>0</v>
      </c>
      <c r="K198" t="n">
        <v>0</v>
      </c>
      <c r="L198" t="n">
        <v>0</v>
      </c>
      <c r="M198" t="n">
        <v>0</v>
      </c>
      <c r="N198" t="n">
        <v>0</v>
      </c>
      <c r="O198" t="n">
        <v>0</v>
      </c>
      <c r="P198" t="n">
        <v>0</v>
      </c>
      <c r="Q198" t="n">
        <v>0</v>
      </c>
      <c r="R198" s="2" t="inlineStr"/>
    </row>
    <row r="199" ht="15" customHeight="1">
      <c r="A199" t="inlineStr">
        <is>
          <t>A 44185-2022</t>
        </is>
      </c>
      <c r="B199" s="1" t="n">
        <v>44839.46023148148</v>
      </c>
      <c r="C199" s="1" t="n">
        <v>45998</v>
      </c>
      <c r="D199" t="inlineStr">
        <is>
          <t>VÄSTERBOTTENS LÄN</t>
        </is>
      </c>
      <c r="E199" t="inlineStr">
        <is>
          <t>UMEÅ</t>
        </is>
      </c>
      <c r="G199" t="n">
        <v>0.4</v>
      </c>
      <c r="H199" t="n">
        <v>0</v>
      </c>
      <c r="I199" t="n">
        <v>0</v>
      </c>
      <c r="J199" t="n">
        <v>0</v>
      </c>
      <c r="K199" t="n">
        <v>0</v>
      </c>
      <c r="L199" t="n">
        <v>0</v>
      </c>
      <c r="M199" t="n">
        <v>0</v>
      </c>
      <c r="N199" t="n">
        <v>0</v>
      </c>
      <c r="O199" t="n">
        <v>0</v>
      </c>
      <c r="P199" t="n">
        <v>0</v>
      </c>
      <c r="Q199" t="n">
        <v>0</v>
      </c>
      <c r="R199" s="2" t="inlineStr"/>
    </row>
    <row r="200" ht="15" customHeight="1">
      <c r="A200" t="inlineStr">
        <is>
          <t>A 38398-2021</t>
        </is>
      </c>
      <c r="B200" s="1" t="n">
        <v>44406</v>
      </c>
      <c r="C200" s="1" t="n">
        <v>45998</v>
      </c>
      <c r="D200" t="inlineStr">
        <is>
          <t>VÄSTERBOTTENS LÄN</t>
        </is>
      </c>
      <c r="E200" t="inlineStr">
        <is>
          <t>UMEÅ</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38399-2021</t>
        </is>
      </c>
      <c r="B201" s="1" t="n">
        <v>44406</v>
      </c>
      <c r="C201" s="1" t="n">
        <v>45998</v>
      </c>
      <c r="D201" t="inlineStr">
        <is>
          <t>VÄSTERBOTTENS LÄN</t>
        </is>
      </c>
      <c r="E201" t="inlineStr">
        <is>
          <t>UMEÅ</t>
        </is>
      </c>
      <c r="G201" t="n">
        <v>0.3</v>
      </c>
      <c r="H201" t="n">
        <v>0</v>
      </c>
      <c r="I201" t="n">
        <v>0</v>
      </c>
      <c r="J201" t="n">
        <v>0</v>
      </c>
      <c r="K201" t="n">
        <v>0</v>
      </c>
      <c r="L201" t="n">
        <v>0</v>
      </c>
      <c r="M201" t="n">
        <v>0</v>
      </c>
      <c r="N201" t="n">
        <v>0</v>
      </c>
      <c r="O201" t="n">
        <v>0</v>
      </c>
      <c r="P201" t="n">
        <v>0</v>
      </c>
      <c r="Q201" t="n">
        <v>0</v>
      </c>
      <c r="R201" s="2" t="inlineStr"/>
    </row>
    <row r="202" ht="15" customHeight="1">
      <c r="A202" t="inlineStr">
        <is>
          <t>A 38449-2021</t>
        </is>
      </c>
      <c r="B202" s="1" t="n">
        <v>44406</v>
      </c>
      <c r="C202" s="1" t="n">
        <v>45998</v>
      </c>
      <c r="D202" t="inlineStr">
        <is>
          <t>VÄSTERBOTTENS LÄN</t>
        </is>
      </c>
      <c r="E202" t="inlineStr">
        <is>
          <t>UMEÅ</t>
        </is>
      </c>
      <c r="F202" t="inlineStr">
        <is>
          <t>Kommuner</t>
        </is>
      </c>
      <c r="G202" t="n">
        <v>0.1</v>
      </c>
      <c r="H202" t="n">
        <v>0</v>
      </c>
      <c r="I202" t="n">
        <v>0</v>
      </c>
      <c r="J202" t="n">
        <v>0</v>
      </c>
      <c r="K202" t="n">
        <v>0</v>
      </c>
      <c r="L202" t="n">
        <v>0</v>
      </c>
      <c r="M202" t="n">
        <v>0</v>
      </c>
      <c r="N202" t="n">
        <v>0</v>
      </c>
      <c r="O202" t="n">
        <v>0</v>
      </c>
      <c r="P202" t="n">
        <v>0</v>
      </c>
      <c r="Q202" t="n">
        <v>0</v>
      </c>
      <c r="R202" s="2" t="inlineStr"/>
    </row>
    <row r="203" ht="15" customHeight="1">
      <c r="A203" t="inlineStr">
        <is>
          <t>A 38514-2021</t>
        </is>
      </c>
      <c r="B203" s="1" t="n">
        <v>44407</v>
      </c>
      <c r="C203" s="1" t="n">
        <v>45998</v>
      </c>
      <c r="D203" t="inlineStr">
        <is>
          <t>VÄSTERBOTTENS LÄN</t>
        </is>
      </c>
      <c r="E203" t="inlineStr">
        <is>
          <t>UMEÅ</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52740-2021</t>
        </is>
      </c>
      <c r="B204" s="1" t="n">
        <v>44467</v>
      </c>
      <c r="C204" s="1" t="n">
        <v>45998</v>
      </c>
      <c r="D204" t="inlineStr">
        <is>
          <t>VÄSTERBOTTENS LÄN</t>
        </is>
      </c>
      <c r="E204" t="inlineStr">
        <is>
          <t>UMEÅ</t>
        </is>
      </c>
      <c r="F204" t="inlineStr">
        <is>
          <t>Sveaskog</t>
        </is>
      </c>
      <c r="G204" t="n">
        <v>5.8</v>
      </c>
      <c r="H204" t="n">
        <v>0</v>
      </c>
      <c r="I204" t="n">
        <v>0</v>
      </c>
      <c r="J204" t="n">
        <v>0</v>
      </c>
      <c r="K204" t="n">
        <v>0</v>
      </c>
      <c r="L204" t="n">
        <v>0</v>
      </c>
      <c r="M204" t="n">
        <v>0</v>
      </c>
      <c r="N204" t="n">
        <v>0</v>
      </c>
      <c r="O204" t="n">
        <v>0</v>
      </c>
      <c r="P204" t="n">
        <v>0</v>
      </c>
      <c r="Q204" t="n">
        <v>0</v>
      </c>
      <c r="R204" s="2" t="inlineStr"/>
    </row>
    <row r="205" ht="15" customHeight="1">
      <c r="A205" t="inlineStr">
        <is>
          <t>A 16210-2022</t>
        </is>
      </c>
      <c r="B205" s="1" t="n">
        <v>44670.33633101852</v>
      </c>
      <c r="C205" s="1" t="n">
        <v>45998</v>
      </c>
      <c r="D205" t="inlineStr">
        <is>
          <t>VÄSTERBOTTENS LÄN</t>
        </is>
      </c>
      <c r="E205" t="inlineStr">
        <is>
          <t>UMEÅ</t>
        </is>
      </c>
      <c r="F205" t="inlineStr">
        <is>
          <t>Kommuner</t>
        </is>
      </c>
      <c r="G205" t="n">
        <v>1.3</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45998</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45998</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45998</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45998</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38646-2022</t>
        </is>
      </c>
      <c r="B210" s="1" t="n">
        <v>44813</v>
      </c>
      <c r="C210" s="1" t="n">
        <v>45998</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44730-2022</t>
        </is>
      </c>
      <c r="B211" s="1" t="n">
        <v>44840</v>
      </c>
      <c r="C211" s="1" t="n">
        <v>45998</v>
      </c>
      <c r="D211" t="inlineStr">
        <is>
          <t>VÄSTERBOTTENS LÄN</t>
        </is>
      </c>
      <c r="E211" t="inlineStr">
        <is>
          <t>UMEÅ</t>
        </is>
      </c>
      <c r="G211" t="n">
        <v>3</v>
      </c>
      <c r="H211" t="n">
        <v>0</v>
      </c>
      <c r="I211" t="n">
        <v>0</v>
      </c>
      <c r="J211" t="n">
        <v>0</v>
      </c>
      <c r="K211" t="n">
        <v>0</v>
      </c>
      <c r="L211" t="n">
        <v>0</v>
      </c>
      <c r="M211" t="n">
        <v>0</v>
      </c>
      <c r="N211" t="n">
        <v>0</v>
      </c>
      <c r="O211" t="n">
        <v>0</v>
      </c>
      <c r="P211" t="n">
        <v>0</v>
      </c>
      <c r="Q211" t="n">
        <v>0</v>
      </c>
      <c r="R211" s="2" t="inlineStr"/>
    </row>
    <row r="212" ht="15" customHeight="1">
      <c r="A212" t="inlineStr">
        <is>
          <t>A 33229-2021</t>
        </is>
      </c>
      <c r="B212" s="1" t="n">
        <v>44376</v>
      </c>
      <c r="C212" s="1" t="n">
        <v>45998</v>
      </c>
      <c r="D212" t="inlineStr">
        <is>
          <t>VÄSTERBOTTENS LÄN</t>
        </is>
      </c>
      <c r="E212" t="inlineStr">
        <is>
          <t>UMEÅ</t>
        </is>
      </c>
      <c r="G212" t="n">
        <v>2.5</v>
      </c>
      <c r="H212" t="n">
        <v>0</v>
      </c>
      <c r="I212" t="n">
        <v>0</v>
      </c>
      <c r="J212" t="n">
        <v>0</v>
      </c>
      <c r="K212" t="n">
        <v>0</v>
      </c>
      <c r="L212" t="n">
        <v>0</v>
      </c>
      <c r="M212" t="n">
        <v>0</v>
      </c>
      <c r="N212" t="n">
        <v>0</v>
      </c>
      <c r="O212" t="n">
        <v>0</v>
      </c>
      <c r="P212" t="n">
        <v>0</v>
      </c>
      <c r="Q212" t="n">
        <v>0</v>
      </c>
      <c r="R212" s="2" t="inlineStr"/>
    </row>
    <row r="213" ht="15" customHeight="1">
      <c r="A213" t="inlineStr">
        <is>
          <t>A 38503-2021</t>
        </is>
      </c>
      <c r="B213" s="1" t="n">
        <v>44407</v>
      </c>
      <c r="C213" s="1" t="n">
        <v>45998</v>
      </c>
      <c r="D213" t="inlineStr">
        <is>
          <t>VÄSTERBOTTENS LÄN</t>
        </is>
      </c>
      <c r="E213" t="inlineStr">
        <is>
          <t>UMEÅ</t>
        </is>
      </c>
      <c r="G213" t="n">
        <v>0.9</v>
      </c>
      <c r="H213" t="n">
        <v>0</v>
      </c>
      <c r="I213" t="n">
        <v>0</v>
      </c>
      <c r="J213" t="n">
        <v>0</v>
      </c>
      <c r="K213" t="n">
        <v>0</v>
      </c>
      <c r="L213" t="n">
        <v>0</v>
      </c>
      <c r="M213" t="n">
        <v>0</v>
      </c>
      <c r="N213" t="n">
        <v>0</v>
      </c>
      <c r="O213" t="n">
        <v>0</v>
      </c>
      <c r="P213" t="n">
        <v>0</v>
      </c>
      <c r="Q213" t="n">
        <v>0</v>
      </c>
      <c r="R213" s="2" t="inlineStr"/>
    </row>
    <row r="214" ht="15" customHeight="1">
      <c r="A214" t="inlineStr">
        <is>
          <t>A 38523-2021</t>
        </is>
      </c>
      <c r="B214" s="1" t="n">
        <v>44407</v>
      </c>
      <c r="C214" s="1" t="n">
        <v>45998</v>
      </c>
      <c r="D214" t="inlineStr">
        <is>
          <t>VÄSTERBOTTENS LÄN</t>
        </is>
      </c>
      <c r="E214" t="inlineStr">
        <is>
          <t>UMEÅ</t>
        </is>
      </c>
      <c r="F214" t="inlineStr">
        <is>
          <t>Kommuner</t>
        </is>
      </c>
      <c r="G214" t="n">
        <v>1.8</v>
      </c>
      <c r="H214" t="n">
        <v>0</v>
      </c>
      <c r="I214" t="n">
        <v>0</v>
      </c>
      <c r="J214" t="n">
        <v>0</v>
      </c>
      <c r="K214" t="n">
        <v>0</v>
      </c>
      <c r="L214" t="n">
        <v>0</v>
      </c>
      <c r="M214" t="n">
        <v>0</v>
      </c>
      <c r="N214" t="n">
        <v>0</v>
      </c>
      <c r="O214" t="n">
        <v>0</v>
      </c>
      <c r="P214" t="n">
        <v>0</v>
      </c>
      <c r="Q214" t="n">
        <v>0</v>
      </c>
      <c r="R214" s="2" t="inlineStr"/>
    </row>
    <row r="215" ht="15" customHeight="1">
      <c r="A215" t="inlineStr">
        <is>
          <t>A 27104-2022</t>
        </is>
      </c>
      <c r="B215" s="1" t="n">
        <v>44741</v>
      </c>
      <c r="C215" s="1" t="n">
        <v>45998</v>
      </c>
      <c r="D215" t="inlineStr">
        <is>
          <t>VÄSTERBOTTENS LÄN</t>
        </is>
      </c>
      <c r="E215" t="inlineStr">
        <is>
          <t>UMEÅ</t>
        </is>
      </c>
      <c r="G215" t="n">
        <v>2.5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45998</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38517-2021</t>
        </is>
      </c>
      <c r="B217" s="1" t="n">
        <v>44407</v>
      </c>
      <c r="C217" s="1" t="n">
        <v>45998</v>
      </c>
      <c r="D217" t="inlineStr">
        <is>
          <t>VÄSTERBOTTENS LÄN</t>
        </is>
      </c>
      <c r="E217" t="inlineStr">
        <is>
          <t>UMEÅ</t>
        </is>
      </c>
      <c r="F217" t="inlineStr">
        <is>
          <t>Kommuner</t>
        </is>
      </c>
      <c r="G217" t="n">
        <v>2.4</v>
      </c>
      <c r="H217" t="n">
        <v>0</v>
      </c>
      <c r="I217" t="n">
        <v>0</v>
      </c>
      <c r="J217" t="n">
        <v>0</v>
      </c>
      <c r="K217" t="n">
        <v>0</v>
      </c>
      <c r="L217" t="n">
        <v>0</v>
      </c>
      <c r="M217" t="n">
        <v>0</v>
      </c>
      <c r="N217" t="n">
        <v>0</v>
      </c>
      <c r="O217" t="n">
        <v>0</v>
      </c>
      <c r="P217" t="n">
        <v>0</v>
      </c>
      <c r="Q217" t="n">
        <v>0</v>
      </c>
      <c r="R217" s="2" t="inlineStr"/>
    </row>
    <row r="218" ht="15" customHeight="1">
      <c r="A218" t="inlineStr">
        <is>
          <t>A 38524-2021</t>
        </is>
      </c>
      <c r="B218" s="1" t="n">
        <v>44407</v>
      </c>
      <c r="C218" s="1" t="n">
        <v>45998</v>
      </c>
      <c r="D218" t="inlineStr">
        <is>
          <t>VÄSTERBOTTENS LÄN</t>
        </is>
      </c>
      <c r="E218" t="inlineStr">
        <is>
          <t>UMEÅ</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38537-2021</t>
        </is>
      </c>
      <c r="B219" s="1" t="n">
        <v>44407</v>
      </c>
      <c r="C219" s="1" t="n">
        <v>45998</v>
      </c>
      <c r="D219" t="inlineStr">
        <is>
          <t>VÄSTERBOTTENS LÄN</t>
        </is>
      </c>
      <c r="E219" t="inlineStr">
        <is>
          <t>UMEÅ</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338-2021</t>
        </is>
      </c>
      <c r="B220" s="1" t="n">
        <v>44186</v>
      </c>
      <c r="C220" s="1" t="n">
        <v>45998</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24942-2021</t>
        </is>
      </c>
      <c r="B221" s="1" t="n">
        <v>44341</v>
      </c>
      <c r="C221" s="1" t="n">
        <v>45998</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35878-2022</t>
        </is>
      </c>
      <c r="B222" s="1" t="n">
        <v>44802</v>
      </c>
      <c r="C222" s="1" t="n">
        <v>45998</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27998-2021</t>
        </is>
      </c>
      <c r="B223" s="1" t="n">
        <v>44354</v>
      </c>
      <c r="C223" s="1" t="n">
        <v>45998</v>
      </c>
      <c r="D223" t="inlineStr">
        <is>
          <t>VÄSTERBOTTENS LÄN</t>
        </is>
      </c>
      <c r="E223" t="inlineStr">
        <is>
          <t>UMEÅ</t>
        </is>
      </c>
      <c r="G223" t="n">
        <v>5.1</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45998</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45907-2022</t>
        </is>
      </c>
      <c r="B225" s="1" t="n">
        <v>44846</v>
      </c>
      <c r="C225" s="1" t="n">
        <v>45998</v>
      </c>
      <c r="D225" t="inlineStr">
        <is>
          <t>VÄSTERBOTTENS LÄN</t>
        </is>
      </c>
      <c r="E225" t="inlineStr">
        <is>
          <t>UMEÅ</t>
        </is>
      </c>
      <c r="G225" t="n">
        <v>0.2</v>
      </c>
      <c r="H225" t="n">
        <v>0</v>
      </c>
      <c r="I225" t="n">
        <v>0</v>
      </c>
      <c r="J225" t="n">
        <v>0</v>
      </c>
      <c r="K225" t="n">
        <v>0</v>
      </c>
      <c r="L225" t="n">
        <v>0</v>
      </c>
      <c r="M225" t="n">
        <v>0</v>
      </c>
      <c r="N225" t="n">
        <v>0</v>
      </c>
      <c r="O225" t="n">
        <v>0</v>
      </c>
      <c r="P225" t="n">
        <v>0</v>
      </c>
      <c r="Q225" t="n">
        <v>0</v>
      </c>
      <c r="R225" s="2" t="inlineStr"/>
    </row>
    <row r="226" ht="15" customHeight="1">
      <c r="A226" t="inlineStr">
        <is>
          <t>A 46408-2022</t>
        </is>
      </c>
      <c r="B226" s="1" t="n">
        <v>44846</v>
      </c>
      <c r="C226" s="1" t="n">
        <v>45998</v>
      </c>
      <c r="D226" t="inlineStr">
        <is>
          <t>VÄSTERBOTTENS LÄN</t>
        </is>
      </c>
      <c r="E226" t="inlineStr">
        <is>
          <t>UMEÅ</t>
        </is>
      </c>
      <c r="G226" t="n">
        <v>2.8</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45998</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9308-2021</t>
        </is>
      </c>
      <c r="B228" s="1" t="n">
        <v>44249</v>
      </c>
      <c r="C228" s="1" t="n">
        <v>45998</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8223-2022</t>
        </is>
      </c>
      <c r="B229" s="1" t="n">
        <v>44609</v>
      </c>
      <c r="C229" s="1" t="n">
        <v>45998</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45998</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45998</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45998</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45998</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45998</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11538-2022</t>
        </is>
      </c>
      <c r="B235" s="1" t="n">
        <v>44631</v>
      </c>
      <c r="C235" s="1" t="n">
        <v>45998</v>
      </c>
      <c r="D235" t="inlineStr">
        <is>
          <t>VÄSTERBOTTENS LÄN</t>
        </is>
      </c>
      <c r="E235" t="inlineStr">
        <is>
          <t>UMEÅ</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45998</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45998</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45998</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45998</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70068-2021</t>
        </is>
      </c>
      <c r="B240" s="1" t="n">
        <v>44533</v>
      </c>
      <c r="C240" s="1" t="n">
        <v>45998</v>
      </c>
      <c r="D240" t="inlineStr">
        <is>
          <t>VÄSTERBOTTENS LÄN</t>
        </is>
      </c>
      <c r="E240" t="inlineStr">
        <is>
          <t>UMEÅ</t>
        </is>
      </c>
      <c r="G240" t="n">
        <v>3.6</v>
      </c>
      <c r="H240" t="n">
        <v>0</v>
      </c>
      <c r="I240" t="n">
        <v>0</v>
      </c>
      <c r="J240" t="n">
        <v>0</v>
      </c>
      <c r="K240" t="n">
        <v>0</v>
      </c>
      <c r="L240" t="n">
        <v>0</v>
      </c>
      <c r="M240" t="n">
        <v>0</v>
      </c>
      <c r="N240" t="n">
        <v>0</v>
      </c>
      <c r="O240" t="n">
        <v>0</v>
      </c>
      <c r="P240" t="n">
        <v>0</v>
      </c>
      <c r="Q240" t="n">
        <v>0</v>
      </c>
      <c r="R240" s="2" t="inlineStr"/>
    </row>
    <row r="241" ht="15" customHeight="1">
      <c r="A241" t="inlineStr">
        <is>
          <t>A 35465-2021</t>
        </is>
      </c>
      <c r="B241" s="1" t="n">
        <v>44385</v>
      </c>
      <c r="C241" s="1" t="n">
        <v>45998</v>
      </c>
      <c r="D241" t="inlineStr">
        <is>
          <t>VÄSTERBOTTENS LÄN</t>
        </is>
      </c>
      <c r="E241" t="inlineStr">
        <is>
          <t>UMEÅ</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38543-2021</t>
        </is>
      </c>
      <c r="B242" s="1" t="n">
        <v>44407</v>
      </c>
      <c r="C242" s="1" t="n">
        <v>45998</v>
      </c>
      <c r="D242" t="inlineStr">
        <is>
          <t>VÄSTERBOTTENS LÄN</t>
        </is>
      </c>
      <c r="E242" t="inlineStr">
        <is>
          <t>UMEÅ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38547-2021</t>
        </is>
      </c>
      <c r="B243" s="1" t="n">
        <v>44407</v>
      </c>
      <c r="C243" s="1" t="n">
        <v>45998</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45998</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4478-2021</t>
        </is>
      </c>
      <c r="B245" s="1" t="n">
        <v>44222</v>
      </c>
      <c r="C245" s="1" t="n">
        <v>45998</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27172-2021</t>
        </is>
      </c>
      <c r="B246" s="1" t="n">
        <v>44350</v>
      </c>
      <c r="C246" s="1" t="n">
        <v>45998</v>
      </c>
      <c r="D246" t="inlineStr">
        <is>
          <t>VÄSTERBOTTENS LÄN</t>
        </is>
      </c>
      <c r="E246" t="inlineStr">
        <is>
          <t>UMEÅ</t>
        </is>
      </c>
      <c r="G246" t="n">
        <v>0.4</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45998</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45998</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15160-2025</t>
        </is>
      </c>
      <c r="B249" s="1" t="n">
        <v>45744</v>
      </c>
      <c r="C249" s="1" t="n">
        <v>45998</v>
      </c>
      <c r="D249" t="inlineStr">
        <is>
          <t>VÄSTERBOTTENS LÄN</t>
        </is>
      </c>
      <c r="E249" t="inlineStr">
        <is>
          <t>UMEÅ</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15161-2025</t>
        </is>
      </c>
      <c r="B250" s="1" t="n">
        <v>45744</v>
      </c>
      <c r="C250" s="1" t="n">
        <v>45998</v>
      </c>
      <c r="D250" t="inlineStr">
        <is>
          <t>VÄSTERBOTTENS LÄN</t>
        </is>
      </c>
      <c r="E250" t="inlineStr">
        <is>
          <t>UMEÅ</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45998</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19195-2025</t>
        </is>
      </c>
      <c r="B252" s="1" t="n">
        <v>45769.425625</v>
      </c>
      <c r="C252" s="1" t="n">
        <v>45998</v>
      </c>
      <c r="D252" t="inlineStr">
        <is>
          <t>VÄSTERBOTTENS LÄN</t>
        </is>
      </c>
      <c r="E252" t="inlineStr">
        <is>
          <t>UMEÅ</t>
        </is>
      </c>
      <c r="G252" t="n">
        <v>1.4</v>
      </c>
      <c r="H252" t="n">
        <v>0</v>
      </c>
      <c r="I252" t="n">
        <v>0</v>
      </c>
      <c r="J252" t="n">
        <v>0</v>
      </c>
      <c r="K252" t="n">
        <v>0</v>
      </c>
      <c r="L252" t="n">
        <v>0</v>
      </c>
      <c r="M252" t="n">
        <v>0</v>
      </c>
      <c r="N252" t="n">
        <v>0</v>
      </c>
      <c r="O252" t="n">
        <v>0</v>
      </c>
      <c r="P252" t="n">
        <v>0</v>
      </c>
      <c r="Q252" t="n">
        <v>0</v>
      </c>
      <c r="R252" s="2" t="inlineStr"/>
    </row>
    <row r="253" ht="15" customHeight="1">
      <c r="A253" t="inlineStr">
        <is>
          <t>A 58538-2021</t>
        </is>
      </c>
      <c r="B253" s="1" t="n">
        <v>44488.6871875</v>
      </c>
      <c r="C253" s="1" t="n">
        <v>45998</v>
      </c>
      <c r="D253" t="inlineStr">
        <is>
          <t>VÄSTERBOTTENS LÄN</t>
        </is>
      </c>
      <c r="E253" t="inlineStr">
        <is>
          <t>UMEÅ</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45998</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17949-2023</t>
        </is>
      </c>
      <c r="B255" s="1" t="n">
        <v>45037</v>
      </c>
      <c r="C255" s="1" t="n">
        <v>45998</v>
      </c>
      <c r="D255" t="inlineStr">
        <is>
          <t>VÄSTERBOTTENS LÄN</t>
        </is>
      </c>
      <c r="E255" t="inlineStr">
        <is>
          <t>UMEÅ</t>
        </is>
      </c>
      <c r="G255" t="n">
        <v>4.5</v>
      </c>
      <c r="H255" t="n">
        <v>0</v>
      </c>
      <c r="I255" t="n">
        <v>0</v>
      </c>
      <c r="J255" t="n">
        <v>0</v>
      </c>
      <c r="K255" t="n">
        <v>0</v>
      </c>
      <c r="L255" t="n">
        <v>0</v>
      </c>
      <c r="M255" t="n">
        <v>0</v>
      </c>
      <c r="N255" t="n">
        <v>0</v>
      </c>
      <c r="O255" t="n">
        <v>0</v>
      </c>
      <c r="P255" t="n">
        <v>0</v>
      </c>
      <c r="Q255" t="n">
        <v>0</v>
      </c>
      <c r="R255" s="2" t="inlineStr"/>
    </row>
    <row r="256" ht="15" customHeight="1">
      <c r="A256" t="inlineStr">
        <is>
          <t>A 31442-2024</t>
        </is>
      </c>
      <c r="B256" s="1" t="n">
        <v>45505</v>
      </c>
      <c r="C256" s="1" t="n">
        <v>45998</v>
      </c>
      <c r="D256" t="inlineStr">
        <is>
          <t>VÄSTERBOTTENS LÄN</t>
        </is>
      </c>
      <c r="E256" t="inlineStr">
        <is>
          <t>UMEÅ</t>
        </is>
      </c>
      <c r="G256" t="n">
        <v>0.8</v>
      </c>
      <c r="H256" t="n">
        <v>0</v>
      </c>
      <c r="I256" t="n">
        <v>0</v>
      </c>
      <c r="J256" t="n">
        <v>0</v>
      </c>
      <c r="K256" t="n">
        <v>0</v>
      </c>
      <c r="L256" t="n">
        <v>0</v>
      </c>
      <c r="M256" t="n">
        <v>0</v>
      </c>
      <c r="N256" t="n">
        <v>0</v>
      </c>
      <c r="O256" t="n">
        <v>0</v>
      </c>
      <c r="P256" t="n">
        <v>0</v>
      </c>
      <c r="Q256" t="n">
        <v>0</v>
      </c>
      <c r="R256" s="2" t="inlineStr"/>
    </row>
    <row r="257" ht="15" customHeight="1">
      <c r="A257" t="inlineStr">
        <is>
          <t>A 6279-2025</t>
        </is>
      </c>
      <c r="B257" s="1" t="n">
        <v>45698.62097222222</v>
      </c>
      <c r="C257" s="1" t="n">
        <v>45998</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13768-2023</t>
        </is>
      </c>
      <c r="B258" s="1" t="n">
        <v>45006</v>
      </c>
      <c r="C258" s="1" t="n">
        <v>45998</v>
      </c>
      <c r="D258" t="inlineStr">
        <is>
          <t>VÄSTERBOTTENS LÄN</t>
        </is>
      </c>
      <c r="E258" t="inlineStr">
        <is>
          <t>UMEÅ</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1508-2025</t>
        </is>
      </c>
      <c r="B259" s="1" t="n">
        <v>45670.4403587963</v>
      </c>
      <c r="C259" s="1" t="n">
        <v>45998</v>
      </c>
      <c r="D259" t="inlineStr">
        <is>
          <t>VÄSTERBOTTENS LÄN</t>
        </is>
      </c>
      <c r="E259" t="inlineStr">
        <is>
          <t>UMEÅ</t>
        </is>
      </c>
      <c r="G259" t="n">
        <v>1.4</v>
      </c>
      <c r="H259" t="n">
        <v>0</v>
      </c>
      <c r="I259" t="n">
        <v>0</v>
      </c>
      <c r="J259" t="n">
        <v>0</v>
      </c>
      <c r="K259" t="n">
        <v>0</v>
      </c>
      <c r="L259" t="n">
        <v>0</v>
      </c>
      <c r="M259" t="n">
        <v>0</v>
      </c>
      <c r="N259" t="n">
        <v>0</v>
      </c>
      <c r="O259" t="n">
        <v>0</v>
      </c>
      <c r="P259" t="n">
        <v>0</v>
      </c>
      <c r="Q259" t="n">
        <v>0</v>
      </c>
      <c r="R259" s="2" t="inlineStr"/>
    </row>
    <row r="260" ht="15" customHeight="1">
      <c r="A260" t="inlineStr">
        <is>
          <t>A 7373-2024</t>
        </is>
      </c>
      <c r="B260" s="1" t="n">
        <v>45345</v>
      </c>
      <c r="C260" s="1" t="n">
        <v>45998</v>
      </c>
      <c r="D260" t="inlineStr">
        <is>
          <t>VÄSTERBOTTENS LÄN</t>
        </is>
      </c>
      <c r="E260" t="inlineStr">
        <is>
          <t>UMEÅ</t>
        </is>
      </c>
      <c r="G260" t="n">
        <v>4.1</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45998</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67444-2020</t>
        </is>
      </c>
      <c r="B262" s="1" t="n">
        <v>44179</v>
      </c>
      <c r="C262" s="1" t="n">
        <v>45998</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15375-2025</t>
        </is>
      </c>
      <c r="B263" s="1" t="n">
        <v>45747.40652777778</v>
      </c>
      <c r="C263" s="1" t="n">
        <v>45998</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15886-2023</t>
        </is>
      </c>
      <c r="B264" s="1" t="n">
        <v>45022</v>
      </c>
      <c r="C264" s="1" t="n">
        <v>45998</v>
      </c>
      <c r="D264" t="inlineStr">
        <is>
          <t>VÄSTERBOTTENS LÄN</t>
        </is>
      </c>
      <c r="E264" t="inlineStr">
        <is>
          <t>UMEÅ</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45998</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62538-2023</t>
        </is>
      </c>
      <c r="B266" s="1" t="n">
        <v>45267</v>
      </c>
      <c r="C266" s="1" t="n">
        <v>45998</v>
      </c>
      <c r="D266" t="inlineStr">
        <is>
          <t>VÄSTERBOTTENS LÄN</t>
        </is>
      </c>
      <c r="E266" t="inlineStr">
        <is>
          <t>UMEÅ</t>
        </is>
      </c>
      <c r="G266" t="n">
        <v>2.7</v>
      </c>
      <c r="H266" t="n">
        <v>0</v>
      </c>
      <c r="I266" t="n">
        <v>0</v>
      </c>
      <c r="J266" t="n">
        <v>0</v>
      </c>
      <c r="K266" t="n">
        <v>0</v>
      </c>
      <c r="L266" t="n">
        <v>0</v>
      </c>
      <c r="M266" t="n">
        <v>0</v>
      </c>
      <c r="N266" t="n">
        <v>0</v>
      </c>
      <c r="O266" t="n">
        <v>0</v>
      </c>
      <c r="P266" t="n">
        <v>0</v>
      </c>
      <c r="Q266" t="n">
        <v>0</v>
      </c>
      <c r="R266" s="2" t="inlineStr"/>
    </row>
    <row r="267" ht="15" customHeight="1">
      <c r="A267" t="inlineStr">
        <is>
          <t>A 44481-2022</t>
        </is>
      </c>
      <c r="B267" s="1" t="n">
        <v>44840</v>
      </c>
      <c r="C267" s="1" t="n">
        <v>45998</v>
      </c>
      <c r="D267" t="inlineStr">
        <is>
          <t>VÄSTERBOTTENS LÄN</t>
        </is>
      </c>
      <c r="E267" t="inlineStr">
        <is>
          <t>UMEÅ</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45998</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16003-2024</t>
        </is>
      </c>
      <c r="B269" s="1" t="n">
        <v>45405</v>
      </c>
      <c r="C269" s="1" t="n">
        <v>45998</v>
      </c>
      <c r="D269" t="inlineStr">
        <is>
          <t>VÄSTERBOTTENS LÄN</t>
        </is>
      </c>
      <c r="E269" t="inlineStr">
        <is>
          <t>UMEÅ</t>
        </is>
      </c>
      <c r="G269" t="n">
        <v>1.3</v>
      </c>
      <c r="H269" t="n">
        <v>0</v>
      </c>
      <c r="I269" t="n">
        <v>0</v>
      </c>
      <c r="J269" t="n">
        <v>0</v>
      </c>
      <c r="K269" t="n">
        <v>0</v>
      </c>
      <c r="L269" t="n">
        <v>0</v>
      </c>
      <c r="M269" t="n">
        <v>0</v>
      </c>
      <c r="N269" t="n">
        <v>0</v>
      </c>
      <c r="O269" t="n">
        <v>0</v>
      </c>
      <c r="P269" t="n">
        <v>0</v>
      </c>
      <c r="Q269" t="n">
        <v>0</v>
      </c>
      <c r="R269" s="2" t="inlineStr"/>
    </row>
    <row r="270" ht="15" customHeight="1">
      <c r="A270" t="inlineStr">
        <is>
          <t>A 41213-2022</t>
        </is>
      </c>
      <c r="B270" s="1" t="n">
        <v>44825</v>
      </c>
      <c r="C270" s="1" t="n">
        <v>45998</v>
      </c>
      <c r="D270" t="inlineStr">
        <is>
          <t>VÄSTERBOTTENS LÄN</t>
        </is>
      </c>
      <c r="E270" t="inlineStr">
        <is>
          <t>UMEÅ</t>
        </is>
      </c>
      <c r="G270" t="n">
        <v>3.7</v>
      </c>
      <c r="H270" t="n">
        <v>0</v>
      </c>
      <c r="I270" t="n">
        <v>0</v>
      </c>
      <c r="J270" t="n">
        <v>0</v>
      </c>
      <c r="K270" t="n">
        <v>0</v>
      </c>
      <c r="L270" t="n">
        <v>0</v>
      </c>
      <c r="M270" t="n">
        <v>0</v>
      </c>
      <c r="N270" t="n">
        <v>0</v>
      </c>
      <c r="O270" t="n">
        <v>0</v>
      </c>
      <c r="P270" t="n">
        <v>0</v>
      </c>
      <c r="Q270" t="n">
        <v>0</v>
      </c>
      <c r="R270" s="2" t="inlineStr"/>
    </row>
    <row r="271" ht="15" customHeight="1">
      <c r="A271" t="inlineStr">
        <is>
          <t>A 45881-2022</t>
        </is>
      </c>
      <c r="B271" s="1" t="n">
        <v>44846</v>
      </c>
      <c r="C271" s="1" t="n">
        <v>45998</v>
      </c>
      <c r="D271" t="inlineStr">
        <is>
          <t>VÄSTERBOTTENS LÄN</t>
        </is>
      </c>
      <c r="E271" t="inlineStr">
        <is>
          <t>UMEÅ</t>
        </is>
      </c>
      <c r="G271" t="n">
        <v>5.4</v>
      </c>
      <c r="H271" t="n">
        <v>0</v>
      </c>
      <c r="I271" t="n">
        <v>0</v>
      </c>
      <c r="J271" t="n">
        <v>0</v>
      </c>
      <c r="K271" t="n">
        <v>0</v>
      </c>
      <c r="L271" t="n">
        <v>0</v>
      </c>
      <c r="M271" t="n">
        <v>0</v>
      </c>
      <c r="N271" t="n">
        <v>0</v>
      </c>
      <c r="O271" t="n">
        <v>0</v>
      </c>
      <c r="P271" t="n">
        <v>0</v>
      </c>
      <c r="Q271" t="n">
        <v>0</v>
      </c>
      <c r="R271" s="2" t="inlineStr"/>
    </row>
    <row r="272" ht="15" customHeight="1">
      <c r="A272" t="inlineStr">
        <is>
          <t>A 43974-2024</t>
        </is>
      </c>
      <c r="B272" s="1" t="n">
        <v>45572</v>
      </c>
      <c r="C272" s="1" t="n">
        <v>45998</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41594-2023</t>
        </is>
      </c>
      <c r="B273" s="1" t="n">
        <v>45175</v>
      </c>
      <c r="C273" s="1" t="n">
        <v>45998</v>
      </c>
      <c r="D273" t="inlineStr">
        <is>
          <t>VÄSTERBOTTENS LÄN</t>
        </is>
      </c>
      <c r="E273" t="inlineStr">
        <is>
          <t>UMEÅ</t>
        </is>
      </c>
      <c r="F273" t="inlineStr">
        <is>
          <t>Holmen skog AB</t>
        </is>
      </c>
      <c r="G273" t="n">
        <v>3.1</v>
      </c>
      <c r="H273" t="n">
        <v>0</v>
      </c>
      <c r="I273" t="n">
        <v>0</v>
      </c>
      <c r="J273" t="n">
        <v>0</v>
      </c>
      <c r="K273" t="n">
        <v>0</v>
      </c>
      <c r="L273" t="n">
        <v>0</v>
      </c>
      <c r="M273" t="n">
        <v>0</v>
      </c>
      <c r="N273" t="n">
        <v>0</v>
      </c>
      <c r="O273" t="n">
        <v>0</v>
      </c>
      <c r="P273" t="n">
        <v>0</v>
      </c>
      <c r="Q273" t="n">
        <v>0</v>
      </c>
      <c r="R273" s="2" t="inlineStr"/>
    </row>
    <row r="274" ht="15" customHeight="1">
      <c r="A274" t="inlineStr">
        <is>
          <t>A 19972-2025</t>
        </is>
      </c>
      <c r="B274" s="1" t="n">
        <v>45771.68980324074</v>
      </c>
      <c r="C274" s="1" t="n">
        <v>45998</v>
      </c>
      <c r="D274" t="inlineStr">
        <is>
          <t>VÄSTERBOTTENS LÄN</t>
        </is>
      </c>
      <c r="E274" t="inlineStr">
        <is>
          <t>UMEÅ</t>
        </is>
      </c>
      <c r="G274" t="n">
        <v>4.3</v>
      </c>
      <c r="H274" t="n">
        <v>0</v>
      </c>
      <c r="I274" t="n">
        <v>0</v>
      </c>
      <c r="J274" t="n">
        <v>0</v>
      </c>
      <c r="K274" t="n">
        <v>0</v>
      </c>
      <c r="L274" t="n">
        <v>0</v>
      </c>
      <c r="M274" t="n">
        <v>0</v>
      </c>
      <c r="N274" t="n">
        <v>0</v>
      </c>
      <c r="O274" t="n">
        <v>0</v>
      </c>
      <c r="P274" t="n">
        <v>0</v>
      </c>
      <c r="Q274" t="n">
        <v>0</v>
      </c>
      <c r="R274" s="2" t="inlineStr"/>
    </row>
    <row r="275" ht="15" customHeight="1">
      <c r="A275" t="inlineStr">
        <is>
          <t>A 48631-2023</t>
        </is>
      </c>
      <c r="B275" s="1" t="n">
        <v>45202</v>
      </c>
      <c r="C275" s="1" t="n">
        <v>45998</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12780-2025</t>
        </is>
      </c>
      <c r="B276" s="1" t="n">
        <v>45733.59627314815</v>
      </c>
      <c r="C276" s="1" t="n">
        <v>45998</v>
      </c>
      <c r="D276" t="inlineStr">
        <is>
          <t>VÄSTERBOTTENS LÄN</t>
        </is>
      </c>
      <c r="E276" t="inlineStr">
        <is>
          <t>UMEÅ</t>
        </is>
      </c>
      <c r="G276" t="n">
        <v>2.8</v>
      </c>
      <c r="H276" t="n">
        <v>0</v>
      </c>
      <c r="I276" t="n">
        <v>0</v>
      </c>
      <c r="J276" t="n">
        <v>0</v>
      </c>
      <c r="K276" t="n">
        <v>0</v>
      </c>
      <c r="L276" t="n">
        <v>0</v>
      </c>
      <c r="M276" t="n">
        <v>0</v>
      </c>
      <c r="N276" t="n">
        <v>0</v>
      </c>
      <c r="O276" t="n">
        <v>0</v>
      </c>
      <c r="P276" t="n">
        <v>0</v>
      </c>
      <c r="Q276" t="n">
        <v>0</v>
      </c>
      <c r="R276" s="2" t="inlineStr"/>
    </row>
    <row r="277" ht="15" customHeight="1">
      <c r="A277" t="inlineStr">
        <is>
          <t>A 10265-2025</t>
        </is>
      </c>
      <c r="B277" s="1" t="n">
        <v>45720.38559027778</v>
      </c>
      <c r="C277" s="1" t="n">
        <v>45998</v>
      </c>
      <c r="D277" t="inlineStr">
        <is>
          <t>VÄSTERBOTTENS LÄN</t>
        </is>
      </c>
      <c r="E277" t="inlineStr">
        <is>
          <t>UMEÅ</t>
        </is>
      </c>
      <c r="G277" t="n">
        <v>10.6</v>
      </c>
      <c r="H277" t="n">
        <v>0</v>
      </c>
      <c r="I277" t="n">
        <v>0</v>
      </c>
      <c r="J277" t="n">
        <v>0</v>
      </c>
      <c r="K277" t="n">
        <v>0</v>
      </c>
      <c r="L277" t="n">
        <v>0</v>
      </c>
      <c r="M277" t="n">
        <v>0</v>
      </c>
      <c r="N277" t="n">
        <v>0</v>
      </c>
      <c r="O277" t="n">
        <v>0</v>
      </c>
      <c r="P277" t="n">
        <v>0</v>
      </c>
      <c r="Q277" t="n">
        <v>0</v>
      </c>
      <c r="R277" s="2" t="inlineStr"/>
    </row>
    <row r="278" ht="15" customHeight="1">
      <c r="A278" t="inlineStr">
        <is>
          <t>A 15337-2025</t>
        </is>
      </c>
      <c r="B278" s="1" t="n">
        <v>45747.36483796296</v>
      </c>
      <c r="C278" s="1" t="n">
        <v>45998</v>
      </c>
      <c r="D278" t="inlineStr">
        <is>
          <t>VÄSTERBOTTENS LÄN</t>
        </is>
      </c>
      <c r="E278" t="inlineStr">
        <is>
          <t>UMEÅ</t>
        </is>
      </c>
      <c r="G278" t="n">
        <v>8.6</v>
      </c>
      <c r="H278" t="n">
        <v>0</v>
      </c>
      <c r="I278" t="n">
        <v>0</v>
      </c>
      <c r="J278" t="n">
        <v>0</v>
      </c>
      <c r="K278" t="n">
        <v>0</v>
      </c>
      <c r="L278" t="n">
        <v>0</v>
      </c>
      <c r="M278" t="n">
        <v>0</v>
      </c>
      <c r="N278" t="n">
        <v>0</v>
      </c>
      <c r="O278" t="n">
        <v>0</v>
      </c>
      <c r="P278" t="n">
        <v>0</v>
      </c>
      <c r="Q278" t="n">
        <v>0</v>
      </c>
      <c r="R278" s="2" t="inlineStr"/>
    </row>
    <row r="279" ht="15" customHeight="1">
      <c r="A279" t="inlineStr">
        <is>
          <t>A 57603-2021</t>
        </is>
      </c>
      <c r="B279" s="1" t="n">
        <v>44483</v>
      </c>
      <c r="C279" s="1" t="n">
        <v>45998</v>
      </c>
      <c r="D279" t="inlineStr">
        <is>
          <t>VÄSTERBOTTENS LÄN</t>
        </is>
      </c>
      <c r="E279" t="inlineStr">
        <is>
          <t>UMEÅ</t>
        </is>
      </c>
      <c r="G279" t="n">
        <v>2.8</v>
      </c>
      <c r="H279" t="n">
        <v>0</v>
      </c>
      <c r="I279" t="n">
        <v>0</v>
      </c>
      <c r="J279" t="n">
        <v>0</v>
      </c>
      <c r="K279" t="n">
        <v>0</v>
      </c>
      <c r="L279" t="n">
        <v>0</v>
      </c>
      <c r="M279" t="n">
        <v>0</v>
      </c>
      <c r="N279" t="n">
        <v>0</v>
      </c>
      <c r="O279" t="n">
        <v>0</v>
      </c>
      <c r="P279" t="n">
        <v>0</v>
      </c>
      <c r="Q279" t="n">
        <v>0</v>
      </c>
      <c r="R279" s="2" t="inlineStr"/>
    </row>
    <row r="280" ht="15" customHeight="1">
      <c r="A280" t="inlineStr">
        <is>
          <t>A 30553-2023</t>
        </is>
      </c>
      <c r="B280" s="1" t="n">
        <v>45111</v>
      </c>
      <c r="C280" s="1" t="n">
        <v>45998</v>
      </c>
      <c r="D280" t="inlineStr">
        <is>
          <t>VÄSTERBOTTENS LÄN</t>
        </is>
      </c>
      <c r="E280" t="inlineStr">
        <is>
          <t>UMEÅ</t>
        </is>
      </c>
      <c r="G280" t="n">
        <v>5.1</v>
      </c>
      <c r="H280" t="n">
        <v>0</v>
      </c>
      <c r="I280" t="n">
        <v>0</v>
      </c>
      <c r="J280" t="n">
        <v>0</v>
      </c>
      <c r="K280" t="n">
        <v>0</v>
      </c>
      <c r="L280" t="n">
        <v>0</v>
      </c>
      <c r="M280" t="n">
        <v>0</v>
      </c>
      <c r="N280" t="n">
        <v>0</v>
      </c>
      <c r="O280" t="n">
        <v>0</v>
      </c>
      <c r="P280" t="n">
        <v>0</v>
      </c>
      <c r="Q280" t="n">
        <v>0</v>
      </c>
      <c r="R280" s="2" t="inlineStr"/>
    </row>
    <row r="281" ht="15" customHeight="1">
      <c r="A281" t="inlineStr">
        <is>
          <t>A 33952-2022</t>
        </is>
      </c>
      <c r="B281" s="1" t="n">
        <v>44790</v>
      </c>
      <c r="C281" s="1" t="n">
        <v>45998</v>
      </c>
      <c r="D281" t="inlineStr">
        <is>
          <t>VÄSTERBOTTENS LÄN</t>
        </is>
      </c>
      <c r="E281" t="inlineStr">
        <is>
          <t>UMEÅ</t>
        </is>
      </c>
      <c r="G281" t="n">
        <v>3.6</v>
      </c>
      <c r="H281" t="n">
        <v>0</v>
      </c>
      <c r="I281" t="n">
        <v>0</v>
      </c>
      <c r="J281" t="n">
        <v>0</v>
      </c>
      <c r="K281" t="n">
        <v>0</v>
      </c>
      <c r="L281" t="n">
        <v>0</v>
      </c>
      <c r="M281" t="n">
        <v>0</v>
      </c>
      <c r="N281" t="n">
        <v>0</v>
      </c>
      <c r="O281" t="n">
        <v>0</v>
      </c>
      <c r="P281" t="n">
        <v>0</v>
      </c>
      <c r="Q281" t="n">
        <v>0</v>
      </c>
      <c r="R281" s="2" t="inlineStr"/>
    </row>
    <row r="282" ht="15" customHeight="1">
      <c r="A282" t="inlineStr">
        <is>
          <t>A 44983-2022</t>
        </is>
      </c>
      <c r="B282" s="1" t="n">
        <v>44841</v>
      </c>
      <c r="C282" s="1" t="n">
        <v>45998</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20425-2025</t>
        </is>
      </c>
      <c r="B283" s="1" t="n">
        <v>45775</v>
      </c>
      <c r="C283" s="1" t="n">
        <v>45998</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45998</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26137-2023</t>
        </is>
      </c>
      <c r="B285" s="1" t="n">
        <v>45091</v>
      </c>
      <c r="C285" s="1" t="n">
        <v>45998</v>
      </c>
      <c r="D285" t="inlineStr">
        <is>
          <t>VÄSTERBOTTENS LÄN</t>
        </is>
      </c>
      <c r="E285" t="inlineStr">
        <is>
          <t>UMEÅ</t>
        </is>
      </c>
      <c r="G285" t="n">
        <v>1.5</v>
      </c>
      <c r="H285" t="n">
        <v>0</v>
      </c>
      <c r="I285" t="n">
        <v>0</v>
      </c>
      <c r="J285" t="n">
        <v>0</v>
      </c>
      <c r="K285" t="n">
        <v>0</v>
      </c>
      <c r="L285" t="n">
        <v>0</v>
      </c>
      <c r="M285" t="n">
        <v>0</v>
      </c>
      <c r="N285" t="n">
        <v>0</v>
      </c>
      <c r="O285" t="n">
        <v>0</v>
      </c>
      <c r="P285" t="n">
        <v>0</v>
      </c>
      <c r="Q285" t="n">
        <v>0</v>
      </c>
      <c r="R285" s="2" t="inlineStr"/>
    </row>
    <row r="286" ht="15" customHeight="1">
      <c r="A286" t="inlineStr">
        <is>
          <t>A 26138-2023</t>
        </is>
      </c>
      <c r="B286" s="1" t="n">
        <v>45091</v>
      </c>
      <c r="C286" s="1" t="n">
        <v>45998</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9272-2025</t>
        </is>
      </c>
      <c r="B287" s="1" t="n">
        <v>45714</v>
      </c>
      <c r="C287" s="1" t="n">
        <v>45998</v>
      </c>
      <c r="D287" t="inlineStr">
        <is>
          <t>VÄSTERBOTTENS LÄN</t>
        </is>
      </c>
      <c r="E287" t="inlineStr">
        <is>
          <t>UMEÅ</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21159-2024</t>
        </is>
      </c>
      <c r="B288" s="1" t="n">
        <v>45440.42893518518</v>
      </c>
      <c r="C288" s="1" t="n">
        <v>45998</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18026-2025</t>
        </is>
      </c>
      <c r="B289" s="1" t="n">
        <v>45761</v>
      </c>
      <c r="C289" s="1" t="n">
        <v>45998</v>
      </c>
      <c r="D289" t="inlineStr">
        <is>
          <t>VÄSTERBOTTENS LÄN</t>
        </is>
      </c>
      <c r="E289" t="inlineStr">
        <is>
          <t>UMEÅ</t>
        </is>
      </c>
      <c r="G289" t="n">
        <v>6.3</v>
      </c>
      <c r="H289" t="n">
        <v>0</v>
      </c>
      <c r="I289" t="n">
        <v>0</v>
      </c>
      <c r="J289" t="n">
        <v>0</v>
      </c>
      <c r="K289" t="n">
        <v>0</v>
      </c>
      <c r="L289" t="n">
        <v>0</v>
      </c>
      <c r="M289" t="n">
        <v>0</v>
      </c>
      <c r="N289" t="n">
        <v>0</v>
      </c>
      <c r="O289" t="n">
        <v>0</v>
      </c>
      <c r="P289" t="n">
        <v>0</v>
      </c>
      <c r="Q289" t="n">
        <v>0</v>
      </c>
      <c r="R289" s="2" t="inlineStr"/>
    </row>
    <row r="290" ht="15" customHeight="1">
      <c r="A290" t="inlineStr">
        <is>
          <t>A 17359-2023</t>
        </is>
      </c>
      <c r="B290" s="1" t="n">
        <v>45033</v>
      </c>
      <c r="C290" s="1" t="n">
        <v>45998</v>
      </c>
      <c r="D290" t="inlineStr">
        <is>
          <t>VÄSTERBOTTENS LÄN</t>
        </is>
      </c>
      <c r="E290" t="inlineStr">
        <is>
          <t>UMEÅ</t>
        </is>
      </c>
      <c r="F290" t="inlineStr">
        <is>
          <t>Kommuner</t>
        </is>
      </c>
      <c r="G290" t="n">
        <v>2.6</v>
      </c>
      <c r="H290" t="n">
        <v>0</v>
      </c>
      <c r="I290" t="n">
        <v>0</v>
      </c>
      <c r="J290" t="n">
        <v>0</v>
      </c>
      <c r="K290" t="n">
        <v>0</v>
      </c>
      <c r="L290" t="n">
        <v>0</v>
      </c>
      <c r="M290" t="n">
        <v>0</v>
      </c>
      <c r="N290" t="n">
        <v>0</v>
      </c>
      <c r="O290" t="n">
        <v>0</v>
      </c>
      <c r="P290" t="n">
        <v>0</v>
      </c>
      <c r="Q290" t="n">
        <v>0</v>
      </c>
      <c r="R290" s="2" t="inlineStr"/>
    </row>
    <row r="291" ht="15" customHeight="1">
      <c r="A291" t="inlineStr">
        <is>
          <t>A 68705-2020</t>
        </is>
      </c>
      <c r="B291" s="1" t="n">
        <v>44186</v>
      </c>
      <c r="C291" s="1" t="n">
        <v>45998</v>
      </c>
      <c r="D291" t="inlineStr">
        <is>
          <t>VÄSTERBOTTENS LÄN</t>
        </is>
      </c>
      <c r="E291" t="inlineStr">
        <is>
          <t>UMEÅ</t>
        </is>
      </c>
      <c r="G291" t="n">
        <v>4.1</v>
      </c>
      <c r="H291" t="n">
        <v>0</v>
      </c>
      <c r="I291" t="n">
        <v>0</v>
      </c>
      <c r="J291" t="n">
        <v>0</v>
      </c>
      <c r="K291" t="n">
        <v>0</v>
      </c>
      <c r="L291" t="n">
        <v>0</v>
      </c>
      <c r="M291" t="n">
        <v>0</v>
      </c>
      <c r="N291" t="n">
        <v>0</v>
      </c>
      <c r="O291" t="n">
        <v>0</v>
      </c>
      <c r="P291" t="n">
        <v>0</v>
      </c>
      <c r="Q291" t="n">
        <v>0</v>
      </c>
      <c r="R291" s="2" t="inlineStr"/>
    </row>
    <row r="292" ht="15" customHeight="1">
      <c r="A292" t="inlineStr">
        <is>
          <t>A 21917-2023</t>
        </is>
      </c>
      <c r="B292" s="1" t="n">
        <v>45065</v>
      </c>
      <c r="C292" s="1" t="n">
        <v>45998</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44042-2024</t>
        </is>
      </c>
      <c r="B293" s="1" t="n">
        <v>45572</v>
      </c>
      <c r="C293" s="1" t="n">
        <v>45998</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19061-2024</t>
        </is>
      </c>
      <c r="B294" s="1" t="n">
        <v>45427.93501157407</v>
      </c>
      <c r="C294" s="1" t="n">
        <v>45998</v>
      </c>
      <c r="D294" t="inlineStr">
        <is>
          <t>VÄSTERBOTTENS LÄN</t>
        </is>
      </c>
      <c r="E294" t="inlineStr">
        <is>
          <t>UMEÅ</t>
        </is>
      </c>
      <c r="G294" t="n">
        <v>4.4</v>
      </c>
      <c r="H294" t="n">
        <v>0</v>
      </c>
      <c r="I294" t="n">
        <v>0</v>
      </c>
      <c r="J294" t="n">
        <v>0</v>
      </c>
      <c r="K294" t="n">
        <v>0</v>
      </c>
      <c r="L294" t="n">
        <v>0</v>
      </c>
      <c r="M294" t="n">
        <v>0</v>
      </c>
      <c r="N294" t="n">
        <v>0</v>
      </c>
      <c r="O294" t="n">
        <v>0</v>
      </c>
      <c r="P294" t="n">
        <v>0</v>
      </c>
      <c r="Q294" t="n">
        <v>0</v>
      </c>
      <c r="R294" s="2" t="inlineStr"/>
    </row>
    <row r="295" ht="15" customHeight="1">
      <c r="A295" t="inlineStr">
        <is>
          <t>A 46413-2022</t>
        </is>
      </c>
      <c r="B295" s="1" t="n">
        <v>44846</v>
      </c>
      <c r="C295" s="1" t="n">
        <v>45998</v>
      </c>
      <c r="D295" t="inlineStr">
        <is>
          <t>VÄSTERBOTTENS LÄN</t>
        </is>
      </c>
      <c r="E295" t="inlineStr">
        <is>
          <t>UMEÅ</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17438-2021</t>
        </is>
      </c>
      <c r="B296" s="1" t="n">
        <v>44299</v>
      </c>
      <c r="C296" s="1" t="n">
        <v>45998</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49192-2023</t>
        </is>
      </c>
      <c r="B297" s="1" t="n">
        <v>45210.57967592592</v>
      </c>
      <c r="C297" s="1" t="n">
        <v>45998</v>
      </c>
      <c r="D297" t="inlineStr">
        <is>
          <t>VÄSTERBOTTENS LÄN</t>
        </is>
      </c>
      <c r="E297" t="inlineStr">
        <is>
          <t>UMEÅ</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22755-2024</t>
        </is>
      </c>
      <c r="B298" s="1" t="n">
        <v>45448.42561342593</v>
      </c>
      <c r="C298" s="1" t="n">
        <v>45998</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56676-2021</t>
        </is>
      </c>
      <c r="B299" s="1" t="n">
        <v>44481.32383101852</v>
      </c>
      <c r="C299" s="1" t="n">
        <v>45998</v>
      </c>
      <c r="D299" t="inlineStr">
        <is>
          <t>VÄSTERBOTTENS LÄN</t>
        </is>
      </c>
      <c r="E299" t="inlineStr">
        <is>
          <t>UMEÅ</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44968-2022</t>
        </is>
      </c>
      <c r="B300" s="1" t="n">
        <v>44840</v>
      </c>
      <c r="C300" s="1" t="n">
        <v>45998</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59228-2023</t>
        </is>
      </c>
      <c r="B301" s="1" t="n">
        <v>45252</v>
      </c>
      <c r="C301" s="1" t="n">
        <v>45998</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6120-2025</t>
        </is>
      </c>
      <c r="B302" s="1" t="n">
        <v>45698.34443287037</v>
      </c>
      <c r="C302" s="1" t="n">
        <v>45998</v>
      </c>
      <c r="D302" t="inlineStr">
        <is>
          <t>VÄSTERBOTTENS LÄN</t>
        </is>
      </c>
      <c r="E302" t="inlineStr">
        <is>
          <t>UMEÅ</t>
        </is>
      </c>
      <c r="G302" t="n">
        <v>5.8</v>
      </c>
      <c r="H302" t="n">
        <v>0</v>
      </c>
      <c r="I302" t="n">
        <v>0</v>
      </c>
      <c r="J302" t="n">
        <v>0</v>
      </c>
      <c r="K302" t="n">
        <v>0</v>
      </c>
      <c r="L302" t="n">
        <v>0</v>
      </c>
      <c r="M302" t="n">
        <v>0</v>
      </c>
      <c r="N302" t="n">
        <v>0</v>
      </c>
      <c r="O302" t="n">
        <v>0</v>
      </c>
      <c r="P302" t="n">
        <v>0</v>
      </c>
      <c r="Q302" t="n">
        <v>0</v>
      </c>
      <c r="R302" s="2" t="inlineStr"/>
    </row>
    <row r="303" ht="15" customHeight="1">
      <c r="A303" t="inlineStr">
        <is>
          <t>A 60811-2022</t>
        </is>
      </c>
      <c r="B303" s="1" t="n">
        <v>44914.46180555555</v>
      </c>
      <c r="C303" s="1" t="n">
        <v>45998</v>
      </c>
      <c r="D303" t="inlineStr">
        <is>
          <t>VÄSTERBOTTENS LÄN</t>
        </is>
      </c>
      <c r="E303" t="inlineStr">
        <is>
          <t>UMEÅ</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45998</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34488-2021</t>
        </is>
      </c>
      <c r="B305" s="1" t="n">
        <v>44382.3005787037</v>
      </c>
      <c r="C305" s="1" t="n">
        <v>45998</v>
      </c>
      <c r="D305" t="inlineStr">
        <is>
          <t>VÄSTERBOTTENS LÄN</t>
        </is>
      </c>
      <c r="E305" t="inlineStr">
        <is>
          <t>UMEÅ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10568-2024</t>
        </is>
      </c>
      <c r="B306" s="1" t="n">
        <v>45366</v>
      </c>
      <c r="C306" s="1" t="n">
        <v>45998</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45359-2024</t>
        </is>
      </c>
      <c r="B307" s="1" t="n">
        <v>45576.48241898148</v>
      </c>
      <c r="C307" s="1" t="n">
        <v>45998</v>
      </c>
      <c r="D307" t="inlineStr">
        <is>
          <t>VÄSTERBOTTENS LÄN</t>
        </is>
      </c>
      <c r="E307" t="inlineStr">
        <is>
          <t>UMEÅ</t>
        </is>
      </c>
      <c r="F307" t="inlineStr">
        <is>
          <t>Holmen skog AB</t>
        </is>
      </c>
      <c r="G307" t="n">
        <v>1</v>
      </c>
      <c r="H307" t="n">
        <v>0</v>
      </c>
      <c r="I307" t="n">
        <v>0</v>
      </c>
      <c r="J307" t="n">
        <v>0</v>
      </c>
      <c r="K307" t="n">
        <v>0</v>
      </c>
      <c r="L307" t="n">
        <v>0</v>
      </c>
      <c r="M307" t="n">
        <v>0</v>
      </c>
      <c r="N307" t="n">
        <v>0</v>
      </c>
      <c r="O307" t="n">
        <v>0</v>
      </c>
      <c r="P307" t="n">
        <v>0</v>
      </c>
      <c r="Q307" t="n">
        <v>0</v>
      </c>
      <c r="R307" s="2" t="inlineStr"/>
    </row>
    <row r="308" ht="15" customHeight="1">
      <c r="A308" t="inlineStr">
        <is>
          <t>A 16907-2025</t>
        </is>
      </c>
      <c r="B308" s="1" t="n">
        <v>45755.35048611111</v>
      </c>
      <c r="C308" s="1" t="n">
        <v>45998</v>
      </c>
      <c r="D308" t="inlineStr">
        <is>
          <t>VÄSTERBOTTENS LÄN</t>
        </is>
      </c>
      <c r="E308" t="inlineStr">
        <is>
          <t>UMEÅ</t>
        </is>
      </c>
      <c r="G308" t="n">
        <v>6.4</v>
      </c>
      <c r="H308" t="n">
        <v>0</v>
      </c>
      <c r="I308" t="n">
        <v>0</v>
      </c>
      <c r="J308" t="n">
        <v>0</v>
      </c>
      <c r="K308" t="n">
        <v>0</v>
      </c>
      <c r="L308" t="n">
        <v>0</v>
      </c>
      <c r="M308" t="n">
        <v>0</v>
      </c>
      <c r="N308" t="n">
        <v>0</v>
      </c>
      <c r="O308" t="n">
        <v>0</v>
      </c>
      <c r="P308" t="n">
        <v>0</v>
      </c>
      <c r="Q308" t="n">
        <v>0</v>
      </c>
      <c r="R308" s="2" t="inlineStr"/>
    </row>
    <row r="309" ht="15" customHeight="1">
      <c r="A309" t="inlineStr">
        <is>
          <t>A 16945-2025</t>
        </is>
      </c>
      <c r="B309" s="1" t="n">
        <v>45755.42978009259</v>
      </c>
      <c r="C309" s="1" t="n">
        <v>45998</v>
      </c>
      <c r="D309" t="inlineStr">
        <is>
          <t>VÄSTERBOTTENS LÄN</t>
        </is>
      </c>
      <c r="E309" t="inlineStr">
        <is>
          <t>UMEÅ</t>
        </is>
      </c>
      <c r="F309" t="inlineStr">
        <is>
          <t>Holmen skog AB</t>
        </is>
      </c>
      <c r="G309" t="n">
        <v>1.8</v>
      </c>
      <c r="H309" t="n">
        <v>0</v>
      </c>
      <c r="I309" t="n">
        <v>0</v>
      </c>
      <c r="J309" t="n">
        <v>0</v>
      </c>
      <c r="K309" t="n">
        <v>0</v>
      </c>
      <c r="L309" t="n">
        <v>0</v>
      </c>
      <c r="M309" t="n">
        <v>0</v>
      </c>
      <c r="N309" t="n">
        <v>0</v>
      </c>
      <c r="O309" t="n">
        <v>0</v>
      </c>
      <c r="P309" t="n">
        <v>0</v>
      </c>
      <c r="Q309" t="n">
        <v>0</v>
      </c>
      <c r="R309" s="2" t="inlineStr"/>
    </row>
    <row r="310" ht="15" customHeight="1">
      <c r="A310" t="inlineStr">
        <is>
          <t>A 45872-2024</t>
        </is>
      </c>
      <c r="B310" s="1" t="n">
        <v>45580.37296296296</v>
      </c>
      <c r="C310" s="1" t="n">
        <v>45998</v>
      </c>
      <c r="D310" t="inlineStr">
        <is>
          <t>VÄSTERBOTTENS LÄN</t>
        </is>
      </c>
      <c r="E310" t="inlineStr">
        <is>
          <t>UMEÅ</t>
        </is>
      </c>
      <c r="F310" t="inlineStr">
        <is>
          <t>Holmen skog AB</t>
        </is>
      </c>
      <c r="G310" t="n">
        <v>3.4</v>
      </c>
      <c r="H310" t="n">
        <v>0</v>
      </c>
      <c r="I310" t="n">
        <v>0</v>
      </c>
      <c r="J310" t="n">
        <v>0</v>
      </c>
      <c r="K310" t="n">
        <v>0</v>
      </c>
      <c r="L310" t="n">
        <v>0</v>
      </c>
      <c r="M310" t="n">
        <v>0</v>
      </c>
      <c r="N310" t="n">
        <v>0</v>
      </c>
      <c r="O310" t="n">
        <v>0</v>
      </c>
      <c r="P310" t="n">
        <v>0</v>
      </c>
      <c r="Q310" t="n">
        <v>0</v>
      </c>
      <c r="R310" s="2" t="inlineStr"/>
    </row>
    <row r="311" ht="15" customHeight="1">
      <c r="A311" t="inlineStr">
        <is>
          <t>A 55590-2021</t>
        </is>
      </c>
      <c r="B311" s="1" t="n">
        <v>44475.92033564814</v>
      </c>
      <c r="C311" s="1" t="n">
        <v>45998</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56563-2021</t>
        </is>
      </c>
      <c r="B312" s="1" t="n">
        <v>44480</v>
      </c>
      <c r="C312" s="1" t="n">
        <v>45998</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26351-2024</t>
        </is>
      </c>
      <c r="B313" s="1" t="n">
        <v>45469.36478009259</v>
      </c>
      <c r="C313" s="1" t="n">
        <v>45998</v>
      </c>
      <c r="D313" t="inlineStr">
        <is>
          <t>VÄSTERBOTTENS LÄN</t>
        </is>
      </c>
      <c r="E313" t="inlineStr">
        <is>
          <t>UMEÅ</t>
        </is>
      </c>
      <c r="G313" t="n">
        <v>3.8</v>
      </c>
      <c r="H313" t="n">
        <v>0</v>
      </c>
      <c r="I313" t="n">
        <v>0</v>
      </c>
      <c r="J313" t="n">
        <v>0</v>
      </c>
      <c r="K313" t="n">
        <v>0</v>
      </c>
      <c r="L313" t="n">
        <v>0</v>
      </c>
      <c r="M313" t="n">
        <v>0</v>
      </c>
      <c r="N313" t="n">
        <v>0</v>
      </c>
      <c r="O313" t="n">
        <v>0</v>
      </c>
      <c r="P313" t="n">
        <v>0</v>
      </c>
      <c r="Q313" t="n">
        <v>0</v>
      </c>
      <c r="R313" s="2" t="inlineStr"/>
    </row>
    <row r="314" ht="15" customHeight="1">
      <c r="A314" t="inlineStr">
        <is>
          <t>A 29827-2023</t>
        </is>
      </c>
      <c r="B314" s="1" t="n">
        <v>45107</v>
      </c>
      <c r="C314" s="1" t="n">
        <v>45998</v>
      </c>
      <c r="D314" t="inlineStr">
        <is>
          <t>VÄSTERBOTTENS LÄN</t>
        </is>
      </c>
      <c r="E314" t="inlineStr">
        <is>
          <t>UMEÅ</t>
        </is>
      </c>
      <c r="G314" t="n">
        <v>11.9</v>
      </c>
      <c r="H314" t="n">
        <v>0</v>
      </c>
      <c r="I314" t="n">
        <v>0</v>
      </c>
      <c r="J314" t="n">
        <v>0</v>
      </c>
      <c r="K314" t="n">
        <v>0</v>
      </c>
      <c r="L314" t="n">
        <v>0</v>
      </c>
      <c r="M314" t="n">
        <v>0</v>
      </c>
      <c r="N314" t="n">
        <v>0</v>
      </c>
      <c r="O314" t="n">
        <v>0</v>
      </c>
      <c r="P314" t="n">
        <v>0</v>
      </c>
      <c r="Q314" t="n">
        <v>0</v>
      </c>
      <c r="R314" s="2" t="inlineStr"/>
    </row>
    <row r="315" ht="15" customHeight="1">
      <c r="A315" t="inlineStr">
        <is>
          <t>A 24532-2023</t>
        </is>
      </c>
      <c r="B315" s="1" t="n">
        <v>45082.75269675926</v>
      </c>
      <c r="C315" s="1" t="n">
        <v>45998</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59860-2022</t>
        </is>
      </c>
      <c r="B316" s="1" t="n">
        <v>44908.65792824074</v>
      </c>
      <c r="C316" s="1" t="n">
        <v>45998</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25687-2024</t>
        </is>
      </c>
      <c r="B317" s="1" t="n">
        <v>45463</v>
      </c>
      <c r="C317" s="1" t="n">
        <v>45998</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35434-2024</t>
        </is>
      </c>
      <c r="B318" s="1" t="n">
        <v>45531.41466435185</v>
      </c>
      <c r="C318" s="1" t="n">
        <v>45998</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47141-2021</t>
        </is>
      </c>
      <c r="B319" s="1" t="n">
        <v>44446.91958333334</v>
      </c>
      <c r="C319" s="1" t="n">
        <v>45998</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20795-2023</t>
        </is>
      </c>
      <c r="B320" s="1" t="n">
        <v>45055</v>
      </c>
      <c r="C320" s="1" t="n">
        <v>45998</v>
      </c>
      <c r="D320" t="inlineStr">
        <is>
          <t>VÄSTERBOTTENS LÄN</t>
        </is>
      </c>
      <c r="E320" t="inlineStr">
        <is>
          <t>UMEÅ</t>
        </is>
      </c>
      <c r="G320" t="n">
        <v>1.6</v>
      </c>
      <c r="H320" t="n">
        <v>0</v>
      </c>
      <c r="I320" t="n">
        <v>0</v>
      </c>
      <c r="J320" t="n">
        <v>0</v>
      </c>
      <c r="K320" t="n">
        <v>0</v>
      </c>
      <c r="L320" t="n">
        <v>0</v>
      </c>
      <c r="M320" t="n">
        <v>0</v>
      </c>
      <c r="N320" t="n">
        <v>0</v>
      </c>
      <c r="O320" t="n">
        <v>0</v>
      </c>
      <c r="P320" t="n">
        <v>0</v>
      </c>
      <c r="Q320" t="n">
        <v>0</v>
      </c>
      <c r="R320" s="2" t="inlineStr"/>
    </row>
    <row r="321" ht="15" customHeight="1">
      <c r="A321" t="inlineStr">
        <is>
          <t>A 17928-2023</t>
        </is>
      </c>
      <c r="B321" s="1" t="n">
        <v>45037</v>
      </c>
      <c r="C321" s="1" t="n">
        <v>45998</v>
      </c>
      <c r="D321" t="inlineStr">
        <is>
          <t>VÄSTERBOTTENS LÄN</t>
        </is>
      </c>
      <c r="E321" t="inlineStr">
        <is>
          <t>UMEÅ</t>
        </is>
      </c>
      <c r="F321" t="inlineStr">
        <is>
          <t>Kommuner</t>
        </is>
      </c>
      <c r="G321" t="n">
        <v>1.1</v>
      </c>
      <c r="H321" t="n">
        <v>0</v>
      </c>
      <c r="I321" t="n">
        <v>0</v>
      </c>
      <c r="J321" t="n">
        <v>0</v>
      </c>
      <c r="K321" t="n">
        <v>0</v>
      </c>
      <c r="L321" t="n">
        <v>0</v>
      </c>
      <c r="M321" t="n">
        <v>0</v>
      </c>
      <c r="N321" t="n">
        <v>0</v>
      </c>
      <c r="O321" t="n">
        <v>0</v>
      </c>
      <c r="P321" t="n">
        <v>0</v>
      </c>
      <c r="Q321" t="n">
        <v>0</v>
      </c>
      <c r="R321" s="2" t="inlineStr"/>
    </row>
    <row r="322" ht="15" customHeight="1">
      <c r="A322" t="inlineStr">
        <is>
          <t>A 48635-2024</t>
        </is>
      </c>
      <c r="B322" s="1" t="n">
        <v>45593.46998842592</v>
      </c>
      <c r="C322" s="1" t="n">
        <v>45998</v>
      </c>
      <c r="D322" t="inlineStr">
        <is>
          <t>VÄSTERBOTTENS LÄN</t>
        </is>
      </c>
      <c r="E322" t="inlineStr">
        <is>
          <t>UMEÅ</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31200-2024</t>
        </is>
      </c>
      <c r="B323" s="1" t="n">
        <v>45503</v>
      </c>
      <c r="C323" s="1" t="n">
        <v>45998</v>
      </c>
      <c r="D323" t="inlineStr">
        <is>
          <t>VÄSTERBOTTENS LÄN</t>
        </is>
      </c>
      <c r="E323" t="inlineStr">
        <is>
          <t>UMEÅ</t>
        </is>
      </c>
      <c r="F323" t="inlineStr">
        <is>
          <t>Holmen skog AB</t>
        </is>
      </c>
      <c r="G323" t="n">
        <v>3.7</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45998</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30216-2023</t>
        </is>
      </c>
      <c r="B325" s="1" t="n">
        <v>45110.63961805555</v>
      </c>
      <c r="C325" s="1" t="n">
        <v>45998</v>
      </c>
      <c r="D325" t="inlineStr">
        <is>
          <t>VÄSTERBOTTENS LÄN</t>
        </is>
      </c>
      <c r="E325" t="inlineStr">
        <is>
          <t>UMEÅ</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23751-2024</t>
        </is>
      </c>
      <c r="B326" s="1" t="n">
        <v>45455</v>
      </c>
      <c r="C326" s="1" t="n">
        <v>45998</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489-2024</t>
        </is>
      </c>
      <c r="B327" s="1" t="n">
        <v>45298</v>
      </c>
      <c r="C327" s="1" t="n">
        <v>45998</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34550-2023</t>
        </is>
      </c>
      <c r="B328" s="1" t="n">
        <v>45140.49451388889</v>
      </c>
      <c r="C328" s="1" t="n">
        <v>45998</v>
      </c>
      <c r="D328" t="inlineStr">
        <is>
          <t>VÄSTERBOTTENS LÄN</t>
        </is>
      </c>
      <c r="E328" t="inlineStr">
        <is>
          <t>UMEÅ</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44244-2024</t>
        </is>
      </c>
      <c r="B329" s="1" t="n">
        <v>45573.42783564814</v>
      </c>
      <c r="C329" s="1" t="n">
        <v>45998</v>
      </c>
      <c r="D329" t="inlineStr">
        <is>
          <t>VÄSTERBOTTENS LÄN</t>
        </is>
      </c>
      <c r="E329" t="inlineStr">
        <is>
          <t>UMEÅ</t>
        </is>
      </c>
      <c r="G329" t="n">
        <v>3</v>
      </c>
      <c r="H329" t="n">
        <v>0</v>
      </c>
      <c r="I329" t="n">
        <v>0</v>
      </c>
      <c r="J329" t="n">
        <v>0</v>
      </c>
      <c r="K329" t="n">
        <v>0</v>
      </c>
      <c r="L329" t="n">
        <v>0</v>
      </c>
      <c r="M329" t="n">
        <v>0</v>
      </c>
      <c r="N329" t="n">
        <v>0</v>
      </c>
      <c r="O329" t="n">
        <v>0</v>
      </c>
      <c r="P329" t="n">
        <v>0</v>
      </c>
      <c r="Q329" t="n">
        <v>0</v>
      </c>
      <c r="R329" s="2" t="inlineStr"/>
    </row>
    <row r="330" ht="15" customHeight="1">
      <c r="A330" t="inlineStr">
        <is>
          <t>A 34709-2023</t>
        </is>
      </c>
      <c r="B330" s="1" t="n">
        <v>45141</v>
      </c>
      <c r="C330" s="1" t="n">
        <v>45998</v>
      </c>
      <c r="D330" t="inlineStr">
        <is>
          <t>VÄSTERBOTTENS LÄN</t>
        </is>
      </c>
      <c r="E330" t="inlineStr">
        <is>
          <t>UMEÅ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38144-2024</t>
        </is>
      </c>
      <c r="B331" s="1" t="n">
        <v>45545.42693287037</v>
      </c>
      <c r="C331" s="1" t="n">
        <v>45998</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41267-2022</t>
        </is>
      </c>
      <c r="B332" s="1" t="n">
        <v>44825</v>
      </c>
      <c r="C332" s="1" t="n">
        <v>45998</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27154-2024</t>
        </is>
      </c>
      <c r="B333" s="1" t="n">
        <v>45471.56107638889</v>
      </c>
      <c r="C333" s="1" t="n">
        <v>45998</v>
      </c>
      <c r="D333" t="inlineStr">
        <is>
          <t>VÄSTERBOTTENS LÄN</t>
        </is>
      </c>
      <c r="E333" t="inlineStr">
        <is>
          <t>UMEÅ</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59343-2023</t>
        </is>
      </c>
      <c r="B334" s="1" t="n">
        <v>45253</v>
      </c>
      <c r="C334" s="1" t="n">
        <v>45998</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44817-2021</t>
        </is>
      </c>
      <c r="B335" s="1" t="n">
        <v>44438</v>
      </c>
      <c r="C335" s="1" t="n">
        <v>45998</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22365-2024</t>
        </is>
      </c>
      <c r="B336" s="1" t="n">
        <v>45446</v>
      </c>
      <c r="C336" s="1" t="n">
        <v>45998</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11954-2024</t>
        </is>
      </c>
      <c r="B337" s="1" t="n">
        <v>45376</v>
      </c>
      <c r="C337" s="1" t="n">
        <v>45998</v>
      </c>
      <c r="D337" t="inlineStr">
        <is>
          <t>VÄSTERBOTTENS LÄN</t>
        </is>
      </c>
      <c r="E337" t="inlineStr">
        <is>
          <t>UMEÅ</t>
        </is>
      </c>
      <c r="G337" t="n">
        <v>4</v>
      </c>
      <c r="H337" t="n">
        <v>0</v>
      </c>
      <c r="I337" t="n">
        <v>0</v>
      </c>
      <c r="J337" t="n">
        <v>0</v>
      </c>
      <c r="K337" t="n">
        <v>0</v>
      </c>
      <c r="L337" t="n">
        <v>0</v>
      </c>
      <c r="M337" t="n">
        <v>0</v>
      </c>
      <c r="N337" t="n">
        <v>0</v>
      </c>
      <c r="O337" t="n">
        <v>0</v>
      </c>
      <c r="P337" t="n">
        <v>0</v>
      </c>
      <c r="Q337" t="n">
        <v>0</v>
      </c>
      <c r="R337" s="2" t="inlineStr"/>
    </row>
    <row r="338" ht="15" customHeight="1">
      <c r="A338" t="inlineStr">
        <is>
          <t>A 34411-2024</t>
        </is>
      </c>
      <c r="B338" s="1" t="n">
        <v>45525.48208333334</v>
      </c>
      <c r="C338" s="1" t="n">
        <v>45998</v>
      </c>
      <c r="D338" t="inlineStr">
        <is>
          <t>VÄSTERBOTTENS LÄN</t>
        </is>
      </c>
      <c r="E338" t="inlineStr">
        <is>
          <t>UMEÅ</t>
        </is>
      </c>
      <c r="F338" t="inlineStr">
        <is>
          <t>Holmen skog AB</t>
        </is>
      </c>
      <c r="G338" t="n">
        <v>2.9</v>
      </c>
      <c r="H338" t="n">
        <v>0</v>
      </c>
      <c r="I338" t="n">
        <v>0</v>
      </c>
      <c r="J338" t="n">
        <v>0</v>
      </c>
      <c r="K338" t="n">
        <v>0</v>
      </c>
      <c r="L338" t="n">
        <v>0</v>
      </c>
      <c r="M338" t="n">
        <v>0</v>
      </c>
      <c r="N338" t="n">
        <v>0</v>
      </c>
      <c r="O338" t="n">
        <v>0</v>
      </c>
      <c r="P338" t="n">
        <v>0</v>
      </c>
      <c r="Q338" t="n">
        <v>0</v>
      </c>
      <c r="R338" s="2" t="inlineStr"/>
    </row>
    <row r="339" ht="15" customHeight="1">
      <c r="A339" t="inlineStr">
        <is>
          <t>A 52312-2022</t>
        </is>
      </c>
      <c r="B339" s="1" t="n">
        <v>44873</v>
      </c>
      <c r="C339" s="1" t="n">
        <v>45998</v>
      </c>
      <c r="D339" t="inlineStr">
        <is>
          <t>VÄSTERBOTTENS LÄN</t>
        </is>
      </c>
      <c r="E339" t="inlineStr">
        <is>
          <t>UMEÅ</t>
        </is>
      </c>
      <c r="G339" t="n">
        <v>1.4</v>
      </c>
      <c r="H339" t="n">
        <v>0</v>
      </c>
      <c r="I339" t="n">
        <v>0</v>
      </c>
      <c r="J339" t="n">
        <v>0</v>
      </c>
      <c r="K339" t="n">
        <v>0</v>
      </c>
      <c r="L339" t="n">
        <v>0</v>
      </c>
      <c r="M339" t="n">
        <v>0</v>
      </c>
      <c r="N339" t="n">
        <v>0</v>
      </c>
      <c r="O339" t="n">
        <v>0</v>
      </c>
      <c r="P339" t="n">
        <v>0</v>
      </c>
      <c r="Q339" t="n">
        <v>0</v>
      </c>
      <c r="R339" s="2" t="inlineStr"/>
    </row>
    <row r="340" ht="15" customHeight="1">
      <c r="A340" t="inlineStr">
        <is>
          <t>A 52126-2022</t>
        </is>
      </c>
      <c r="B340" s="1" t="n">
        <v>44873.43465277777</v>
      </c>
      <c r="C340" s="1" t="n">
        <v>45998</v>
      </c>
      <c r="D340" t="inlineStr">
        <is>
          <t>VÄSTERBOTTENS LÄN</t>
        </is>
      </c>
      <c r="E340" t="inlineStr">
        <is>
          <t>UMEÅ</t>
        </is>
      </c>
      <c r="G340" t="n">
        <v>3.3</v>
      </c>
      <c r="H340" t="n">
        <v>0</v>
      </c>
      <c r="I340" t="n">
        <v>0</v>
      </c>
      <c r="J340" t="n">
        <v>0</v>
      </c>
      <c r="K340" t="n">
        <v>0</v>
      </c>
      <c r="L340" t="n">
        <v>0</v>
      </c>
      <c r="M340" t="n">
        <v>0</v>
      </c>
      <c r="N340" t="n">
        <v>0</v>
      </c>
      <c r="O340" t="n">
        <v>0</v>
      </c>
      <c r="P340" t="n">
        <v>0</v>
      </c>
      <c r="Q340" t="n">
        <v>0</v>
      </c>
      <c r="R340" s="2" t="inlineStr"/>
    </row>
    <row r="341" ht="15" customHeight="1">
      <c r="A341" t="inlineStr">
        <is>
          <t>A 7430-2022</t>
        </is>
      </c>
      <c r="B341" s="1" t="n">
        <v>44606.933125</v>
      </c>
      <c r="C341" s="1" t="n">
        <v>45998</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28628-2023</t>
        </is>
      </c>
      <c r="B342" s="1" t="n">
        <v>45103</v>
      </c>
      <c r="C342" s="1" t="n">
        <v>45998</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25505-2023</t>
        </is>
      </c>
      <c r="B343" s="1" t="n">
        <v>45089.49538194444</v>
      </c>
      <c r="C343" s="1" t="n">
        <v>45998</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45998</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29656-2024</t>
        </is>
      </c>
      <c r="B345" s="1" t="n">
        <v>45484.92354166666</v>
      </c>
      <c r="C345" s="1" t="n">
        <v>45998</v>
      </c>
      <c r="D345" t="inlineStr">
        <is>
          <t>VÄSTERBOTTENS LÄN</t>
        </is>
      </c>
      <c r="E345" t="inlineStr">
        <is>
          <t>UMEÅ</t>
        </is>
      </c>
      <c r="G345" t="n">
        <v>1.2</v>
      </c>
      <c r="H345" t="n">
        <v>0</v>
      </c>
      <c r="I345" t="n">
        <v>0</v>
      </c>
      <c r="J345" t="n">
        <v>0</v>
      </c>
      <c r="K345" t="n">
        <v>0</v>
      </c>
      <c r="L345" t="n">
        <v>0</v>
      </c>
      <c r="M345" t="n">
        <v>0</v>
      </c>
      <c r="N345" t="n">
        <v>0</v>
      </c>
      <c r="O345" t="n">
        <v>0</v>
      </c>
      <c r="P345" t="n">
        <v>0</v>
      </c>
      <c r="Q345" t="n">
        <v>0</v>
      </c>
      <c r="R345" s="2" t="inlineStr"/>
    </row>
    <row r="346" ht="15" customHeight="1">
      <c r="A346" t="inlineStr">
        <is>
          <t>A 29640-2023</t>
        </is>
      </c>
      <c r="B346" s="1" t="n">
        <v>45106</v>
      </c>
      <c r="C346" s="1" t="n">
        <v>45998</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28855-2024</t>
        </is>
      </c>
      <c r="B347" s="1" t="n">
        <v>45478</v>
      </c>
      <c r="C347" s="1" t="n">
        <v>45998</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28997-2024</t>
        </is>
      </c>
      <c r="B348" s="1" t="n">
        <v>45481</v>
      </c>
      <c r="C348" s="1" t="n">
        <v>45998</v>
      </c>
      <c r="D348" t="inlineStr">
        <is>
          <t>VÄSTERBOTTENS LÄN</t>
        </is>
      </c>
      <c r="E348" t="inlineStr">
        <is>
          <t>UMEÅ</t>
        </is>
      </c>
      <c r="G348" t="n">
        <v>2.3</v>
      </c>
      <c r="H348" t="n">
        <v>0</v>
      </c>
      <c r="I348" t="n">
        <v>0</v>
      </c>
      <c r="J348" t="n">
        <v>0</v>
      </c>
      <c r="K348" t="n">
        <v>0</v>
      </c>
      <c r="L348" t="n">
        <v>0</v>
      </c>
      <c r="M348" t="n">
        <v>0</v>
      </c>
      <c r="N348" t="n">
        <v>0</v>
      </c>
      <c r="O348" t="n">
        <v>0</v>
      </c>
      <c r="P348" t="n">
        <v>0</v>
      </c>
      <c r="Q348" t="n">
        <v>0</v>
      </c>
      <c r="R348" s="2" t="inlineStr"/>
    </row>
    <row r="349" ht="15" customHeight="1">
      <c r="A349" t="inlineStr">
        <is>
          <t>A 52679-2022</t>
        </is>
      </c>
      <c r="B349" s="1" t="n">
        <v>44874</v>
      </c>
      <c r="C349" s="1" t="n">
        <v>45998</v>
      </c>
      <c r="D349" t="inlineStr">
        <is>
          <t>VÄSTERBOTTENS LÄN</t>
        </is>
      </c>
      <c r="E349" t="inlineStr">
        <is>
          <t>UMEÅ</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36816-2022</t>
        </is>
      </c>
      <c r="B350" s="1" t="n">
        <v>44805.5507175926</v>
      </c>
      <c r="C350" s="1" t="n">
        <v>45998</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19678-2024</t>
        </is>
      </c>
      <c r="B351" s="1" t="n">
        <v>45432.48533564815</v>
      </c>
      <c r="C351" s="1" t="n">
        <v>45998</v>
      </c>
      <c r="D351" t="inlineStr">
        <is>
          <t>VÄSTERBOTTENS LÄN</t>
        </is>
      </c>
      <c r="E351" t="inlineStr">
        <is>
          <t>UMEÅ</t>
        </is>
      </c>
      <c r="G351" t="n">
        <v>3.5</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45998</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6998-2024</t>
        </is>
      </c>
      <c r="B353" s="1" t="n">
        <v>45343</v>
      </c>
      <c r="C353" s="1" t="n">
        <v>45998</v>
      </c>
      <c r="D353" t="inlineStr">
        <is>
          <t>VÄSTERBOTTENS LÄN</t>
        </is>
      </c>
      <c r="E353" t="inlineStr">
        <is>
          <t>UMEÅ</t>
        </is>
      </c>
      <c r="G353" t="n">
        <v>1.4</v>
      </c>
      <c r="H353" t="n">
        <v>0</v>
      </c>
      <c r="I353" t="n">
        <v>0</v>
      </c>
      <c r="J353" t="n">
        <v>0</v>
      </c>
      <c r="K353" t="n">
        <v>0</v>
      </c>
      <c r="L353" t="n">
        <v>0</v>
      </c>
      <c r="M353" t="n">
        <v>0</v>
      </c>
      <c r="N353" t="n">
        <v>0</v>
      </c>
      <c r="O353" t="n">
        <v>0</v>
      </c>
      <c r="P353" t="n">
        <v>0</v>
      </c>
      <c r="Q353" t="n">
        <v>0</v>
      </c>
      <c r="R353" s="2" t="inlineStr"/>
    </row>
    <row r="354" ht="15" customHeight="1">
      <c r="A354" t="inlineStr">
        <is>
          <t>A 27307-2022</t>
        </is>
      </c>
      <c r="B354" s="1" t="n">
        <v>44742.3241550926</v>
      </c>
      <c r="C354" s="1" t="n">
        <v>45998</v>
      </c>
      <c r="D354" t="inlineStr">
        <is>
          <t>VÄSTERBOTTENS LÄN</t>
        </is>
      </c>
      <c r="E354" t="inlineStr">
        <is>
          <t>UMEÅ</t>
        </is>
      </c>
      <c r="G354" t="n">
        <v>1.2</v>
      </c>
      <c r="H354" t="n">
        <v>0</v>
      </c>
      <c r="I354" t="n">
        <v>0</v>
      </c>
      <c r="J354" t="n">
        <v>0</v>
      </c>
      <c r="K354" t="n">
        <v>0</v>
      </c>
      <c r="L354" t="n">
        <v>0</v>
      </c>
      <c r="M354" t="n">
        <v>0</v>
      </c>
      <c r="N354" t="n">
        <v>0</v>
      </c>
      <c r="O354" t="n">
        <v>0</v>
      </c>
      <c r="P354" t="n">
        <v>0</v>
      </c>
      <c r="Q354" t="n">
        <v>0</v>
      </c>
      <c r="R354" s="2" t="inlineStr"/>
    </row>
    <row r="355" ht="15" customHeight="1">
      <c r="A355" t="inlineStr">
        <is>
          <t>A 17081-2025</t>
        </is>
      </c>
      <c r="B355" s="1" t="n">
        <v>45755</v>
      </c>
      <c r="C355" s="1" t="n">
        <v>45998</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62648-2021</t>
        </is>
      </c>
      <c r="B356" s="1" t="n">
        <v>44503</v>
      </c>
      <c r="C356" s="1" t="n">
        <v>45998</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32628-2023</t>
        </is>
      </c>
      <c r="B357" s="1" t="n">
        <v>45112</v>
      </c>
      <c r="C357" s="1" t="n">
        <v>45998</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7910-2024</t>
        </is>
      </c>
      <c r="B358" s="1" t="n">
        <v>45349</v>
      </c>
      <c r="C358" s="1" t="n">
        <v>45998</v>
      </c>
      <c r="D358" t="inlineStr">
        <is>
          <t>VÄSTERBOTTENS LÄN</t>
        </is>
      </c>
      <c r="E358" t="inlineStr">
        <is>
          <t>UMEÅ</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50084-2021</t>
        </is>
      </c>
      <c r="B359" s="1" t="n">
        <v>44456.59263888889</v>
      </c>
      <c r="C359" s="1" t="n">
        <v>45998</v>
      </c>
      <c r="D359" t="inlineStr">
        <is>
          <t>VÄSTERBOTTENS LÄN</t>
        </is>
      </c>
      <c r="E359" t="inlineStr">
        <is>
          <t>UMEÅ</t>
        </is>
      </c>
      <c r="G359" t="n">
        <v>10.7</v>
      </c>
      <c r="H359" t="n">
        <v>0</v>
      </c>
      <c r="I359" t="n">
        <v>0</v>
      </c>
      <c r="J359" t="n">
        <v>0</v>
      </c>
      <c r="K359" t="n">
        <v>0</v>
      </c>
      <c r="L359" t="n">
        <v>0</v>
      </c>
      <c r="M359" t="n">
        <v>0</v>
      </c>
      <c r="N359" t="n">
        <v>0</v>
      </c>
      <c r="O359" t="n">
        <v>0</v>
      </c>
      <c r="P359" t="n">
        <v>0</v>
      </c>
      <c r="Q359" t="n">
        <v>0</v>
      </c>
      <c r="R359" s="2" t="inlineStr"/>
    </row>
    <row r="360" ht="15" customHeight="1">
      <c r="A360" t="inlineStr">
        <is>
          <t>A 3366-2024</t>
        </is>
      </c>
      <c r="B360" s="1" t="n">
        <v>45317</v>
      </c>
      <c r="C360" s="1" t="n">
        <v>45998</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61225-2024</t>
        </is>
      </c>
      <c r="B361" s="1" t="n">
        <v>45645.66707175926</v>
      </c>
      <c r="C361" s="1" t="n">
        <v>45998</v>
      </c>
      <c r="D361" t="inlineStr">
        <is>
          <t>VÄSTERBOTTENS LÄN</t>
        </is>
      </c>
      <c r="E361" t="inlineStr">
        <is>
          <t>UMEÅ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30258-2023</t>
        </is>
      </c>
      <c r="B362" s="1" t="n">
        <v>45110.70980324074</v>
      </c>
      <c r="C362" s="1" t="n">
        <v>45998</v>
      </c>
      <c r="D362" t="inlineStr">
        <is>
          <t>VÄSTERBOTTENS LÄN</t>
        </is>
      </c>
      <c r="E362" t="inlineStr">
        <is>
          <t>UMEÅ</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32464-2023</t>
        </is>
      </c>
      <c r="B363" s="1" t="n">
        <v>45120.92650462963</v>
      </c>
      <c r="C363" s="1" t="n">
        <v>45998</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44836-2024</t>
        </is>
      </c>
      <c r="B364" s="1" t="n">
        <v>45574.70622685185</v>
      </c>
      <c r="C364" s="1" t="n">
        <v>45998</v>
      </c>
      <c r="D364" t="inlineStr">
        <is>
          <t>VÄSTERBOTTENS LÄN</t>
        </is>
      </c>
      <c r="E364" t="inlineStr">
        <is>
          <t>UMEÅ</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46287-2022</t>
        </is>
      </c>
      <c r="B365" s="1" t="n">
        <v>44847</v>
      </c>
      <c r="C365" s="1" t="n">
        <v>45998</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13090-2024</t>
        </is>
      </c>
      <c r="B366" s="1" t="n">
        <v>45385</v>
      </c>
      <c r="C366" s="1" t="n">
        <v>45998</v>
      </c>
      <c r="D366" t="inlineStr">
        <is>
          <t>VÄSTERBOTTENS LÄN</t>
        </is>
      </c>
      <c r="E366" t="inlineStr">
        <is>
          <t>UMEÅ</t>
        </is>
      </c>
      <c r="G366" t="n">
        <v>2.1</v>
      </c>
      <c r="H366" t="n">
        <v>0</v>
      </c>
      <c r="I366" t="n">
        <v>0</v>
      </c>
      <c r="J366" t="n">
        <v>0</v>
      </c>
      <c r="K366" t="n">
        <v>0</v>
      </c>
      <c r="L366" t="n">
        <v>0</v>
      </c>
      <c r="M366" t="n">
        <v>0</v>
      </c>
      <c r="N366" t="n">
        <v>0</v>
      </c>
      <c r="O366" t="n">
        <v>0</v>
      </c>
      <c r="P366" t="n">
        <v>0</v>
      </c>
      <c r="Q366" t="n">
        <v>0</v>
      </c>
      <c r="R366" s="2" t="inlineStr"/>
    </row>
    <row r="367" ht="15" customHeight="1">
      <c r="A367" t="inlineStr">
        <is>
          <t>A 14928-2023</t>
        </is>
      </c>
      <c r="B367" s="1" t="n">
        <v>45014</v>
      </c>
      <c r="C367" s="1" t="n">
        <v>45998</v>
      </c>
      <c r="D367" t="inlineStr">
        <is>
          <t>VÄSTERBOTTENS LÄN</t>
        </is>
      </c>
      <c r="E367" t="inlineStr">
        <is>
          <t>UMEÅ</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14286-2025</t>
        </is>
      </c>
      <c r="B368" s="1" t="n">
        <v>45740.66287037037</v>
      </c>
      <c r="C368" s="1" t="n">
        <v>45998</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11184-2024</t>
        </is>
      </c>
      <c r="B369" s="1" t="n">
        <v>45371</v>
      </c>
      <c r="C369" s="1" t="n">
        <v>45998</v>
      </c>
      <c r="D369" t="inlineStr">
        <is>
          <t>VÄSTERBOTTENS LÄN</t>
        </is>
      </c>
      <c r="E369" t="inlineStr">
        <is>
          <t>UMEÅ</t>
        </is>
      </c>
      <c r="F369" t="inlineStr">
        <is>
          <t>Övriga statliga verk och myndigheter</t>
        </is>
      </c>
      <c r="G369" t="n">
        <v>4.5</v>
      </c>
      <c r="H369" t="n">
        <v>0</v>
      </c>
      <c r="I369" t="n">
        <v>0</v>
      </c>
      <c r="J369" t="n">
        <v>0</v>
      </c>
      <c r="K369" t="n">
        <v>0</v>
      </c>
      <c r="L369" t="n">
        <v>0</v>
      </c>
      <c r="M369" t="n">
        <v>0</v>
      </c>
      <c r="N369" t="n">
        <v>0</v>
      </c>
      <c r="O369" t="n">
        <v>0</v>
      </c>
      <c r="P369" t="n">
        <v>0</v>
      </c>
      <c r="Q369" t="n">
        <v>0</v>
      </c>
      <c r="R369" s="2" t="inlineStr"/>
    </row>
    <row r="370" ht="15" customHeight="1">
      <c r="A370" t="inlineStr">
        <is>
          <t>A 40024-2022</t>
        </is>
      </c>
      <c r="B370" s="1" t="n">
        <v>44820.41207175926</v>
      </c>
      <c r="C370" s="1" t="n">
        <v>45998</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7437-2024</t>
        </is>
      </c>
      <c r="B371" s="1" t="n">
        <v>45345</v>
      </c>
      <c r="C371" s="1" t="n">
        <v>45998</v>
      </c>
      <c r="D371" t="inlineStr">
        <is>
          <t>VÄSTERBOTTENS LÄN</t>
        </is>
      </c>
      <c r="E371" t="inlineStr">
        <is>
          <t>UMEÅ</t>
        </is>
      </c>
      <c r="G371" t="n">
        <v>2.3</v>
      </c>
      <c r="H371" t="n">
        <v>0</v>
      </c>
      <c r="I371" t="n">
        <v>0</v>
      </c>
      <c r="J371" t="n">
        <v>0</v>
      </c>
      <c r="K371" t="n">
        <v>0</v>
      </c>
      <c r="L371" t="n">
        <v>0</v>
      </c>
      <c r="M371" t="n">
        <v>0</v>
      </c>
      <c r="N371" t="n">
        <v>0</v>
      </c>
      <c r="O371" t="n">
        <v>0</v>
      </c>
      <c r="P371" t="n">
        <v>0</v>
      </c>
      <c r="Q371" t="n">
        <v>0</v>
      </c>
      <c r="R371" s="2" t="inlineStr"/>
    </row>
    <row r="372" ht="15" customHeight="1">
      <c r="A372" t="inlineStr">
        <is>
          <t>A 7440-2024</t>
        </is>
      </c>
      <c r="B372" s="1" t="n">
        <v>45345</v>
      </c>
      <c r="C372" s="1" t="n">
        <v>45998</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31068-2023</t>
        </is>
      </c>
      <c r="B373" s="1" t="n">
        <v>45113</v>
      </c>
      <c r="C373" s="1" t="n">
        <v>45998</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14043-2024</t>
        </is>
      </c>
      <c r="B374" s="1" t="n">
        <v>45392</v>
      </c>
      <c r="C374" s="1" t="n">
        <v>45998</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37023-2024</t>
        </is>
      </c>
      <c r="B375" s="1" t="n">
        <v>45539</v>
      </c>
      <c r="C375" s="1" t="n">
        <v>45998</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751-2023</t>
        </is>
      </c>
      <c r="B376" s="1" t="n">
        <v>44931.3587962963</v>
      </c>
      <c r="C376" s="1" t="n">
        <v>45998</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23840-2024</t>
        </is>
      </c>
      <c r="B377" s="1" t="n">
        <v>45455</v>
      </c>
      <c r="C377" s="1" t="n">
        <v>45998</v>
      </c>
      <c r="D377" t="inlineStr">
        <is>
          <t>VÄSTERBOTTENS LÄN</t>
        </is>
      </c>
      <c r="E377" t="inlineStr">
        <is>
          <t>UMEÅ</t>
        </is>
      </c>
      <c r="G377" t="n">
        <v>10.8</v>
      </c>
      <c r="H377" t="n">
        <v>0</v>
      </c>
      <c r="I377" t="n">
        <v>0</v>
      </c>
      <c r="J377" t="n">
        <v>0</v>
      </c>
      <c r="K377" t="n">
        <v>0</v>
      </c>
      <c r="L377" t="n">
        <v>0</v>
      </c>
      <c r="M377" t="n">
        <v>0</v>
      </c>
      <c r="N377" t="n">
        <v>0</v>
      </c>
      <c r="O377" t="n">
        <v>0</v>
      </c>
      <c r="P377" t="n">
        <v>0</v>
      </c>
      <c r="Q377" t="n">
        <v>0</v>
      </c>
      <c r="R377" s="2" t="inlineStr"/>
    </row>
    <row r="378" ht="15" customHeight="1">
      <c r="A378" t="inlineStr">
        <is>
          <t>A 23842-2024</t>
        </is>
      </c>
      <c r="B378" s="1" t="n">
        <v>45455.52168981481</v>
      </c>
      <c r="C378" s="1" t="n">
        <v>45998</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65242-2021</t>
        </is>
      </c>
      <c r="B379" s="1" t="n">
        <v>44515.55709490741</v>
      </c>
      <c r="C379" s="1" t="n">
        <v>45998</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41525-2023</t>
        </is>
      </c>
      <c r="B380" s="1" t="n">
        <v>45173</v>
      </c>
      <c r="C380" s="1" t="n">
        <v>45998</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60088-2021</t>
        </is>
      </c>
      <c r="B381" s="1" t="n">
        <v>44495</v>
      </c>
      <c r="C381" s="1" t="n">
        <v>45998</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19189-2024</t>
        </is>
      </c>
      <c r="B382" s="1" t="n">
        <v>45428</v>
      </c>
      <c r="C382" s="1" t="n">
        <v>45998</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26924-2024</t>
        </is>
      </c>
      <c r="B383" s="1" t="n">
        <v>45470.93101851852</v>
      </c>
      <c r="C383" s="1" t="n">
        <v>45998</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63188-2023</t>
        </is>
      </c>
      <c r="B384" s="1" t="n">
        <v>45272</v>
      </c>
      <c r="C384" s="1" t="n">
        <v>45998</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13820-2025</t>
        </is>
      </c>
      <c r="B385" s="1" t="n">
        <v>45737.5315625</v>
      </c>
      <c r="C385" s="1" t="n">
        <v>45998</v>
      </c>
      <c r="D385" t="inlineStr">
        <is>
          <t>VÄSTERBOTTENS LÄN</t>
        </is>
      </c>
      <c r="E385" t="inlineStr">
        <is>
          <t>UMEÅ</t>
        </is>
      </c>
      <c r="G385" t="n">
        <v>5.3</v>
      </c>
      <c r="H385" t="n">
        <v>0</v>
      </c>
      <c r="I385" t="n">
        <v>0</v>
      </c>
      <c r="J385" t="n">
        <v>0</v>
      </c>
      <c r="K385" t="n">
        <v>0</v>
      </c>
      <c r="L385" t="n">
        <v>0</v>
      </c>
      <c r="M385" t="n">
        <v>0</v>
      </c>
      <c r="N385" t="n">
        <v>0</v>
      </c>
      <c r="O385" t="n">
        <v>0</v>
      </c>
      <c r="P385" t="n">
        <v>0</v>
      </c>
      <c r="Q385" t="n">
        <v>0</v>
      </c>
      <c r="R385" s="2" t="inlineStr"/>
    </row>
    <row r="386" ht="15" customHeight="1">
      <c r="A386" t="inlineStr">
        <is>
          <t>A 13195-2025</t>
        </is>
      </c>
      <c r="B386" s="1" t="n">
        <v>45735</v>
      </c>
      <c r="C386" s="1" t="n">
        <v>45998</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40032-2023</t>
        </is>
      </c>
      <c r="B387" s="1" t="n">
        <v>45167</v>
      </c>
      <c r="C387" s="1" t="n">
        <v>45998</v>
      </c>
      <c r="D387" t="inlineStr">
        <is>
          <t>VÄSTERBOTTENS LÄN</t>
        </is>
      </c>
      <c r="E387" t="inlineStr">
        <is>
          <t>UMEÅ</t>
        </is>
      </c>
      <c r="G387" t="n">
        <v>5.5</v>
      </c>
      <c r="H387" t="n">
        <v>0</v>
      </c>
      <c r="I387" t="n">
        <v>0</v>
      </c>
      <c r="J387" t="n">
        <v>0</v>
      </c>
      <c r="K387" t="n">
        <v>0</v>
      </c>
      <c r="L387" t="n">
        <v>0</v>
      </c>
      <c r="M387" t="n">
        <v>0</v>
      </c>
      <c r="N387" t="n">
        <v>0</v>
      </c>
      <c r="O387" t="n">
        <v>0</v>
      </c>
      <c r="P387" t="n">
        <v>0</v>
      </c>
      <c r="Q387" t="n">
        <v>0</v>
      </c>
      <c r="R387" s="2" t="inlineStr"/>
    </row>
    <row r="388" ht="15" customHeight="1">
      <c r="A388" t="inlineStr">
        <is>
          <t>A 50287-2023</t>
        </is>
      </c>
      <c r="B388" s="1" t="n">
        <v>45216</v>
      </c>
      <c r="C388" s="1" t="n">
        <v>45998</v>
      </c>
      <c r="D388" t="inlineStr">
        <is>
          <t>VÄSTERBOTTENS LÄN</t>
        </is>
      </c>
      <c r="E388" t="inlineStr">
        <is>
          <t>UMEÅ</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27941-2024</t>
        </is>
      </c>
      <c r="B389" s="1" t="n">
        <v>45475</v>
      </c>
      <c r="C389" s="1" t="n">
        <v>45998</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43945-2024</t>
        </is>
      </c>
      <c r="B390" s="1" t="n">
        <v>45572.47104166666</v>
      </c>
      <c r="C390" s="1" t="n">
        <v>45998</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14403-2025</t>
        </is>
      </c>
      <c r="B391" s="1" t="n">
        <v>45741.46083333333</v>
      </c>
      <c r="C391" s="1" t="n">
        <v>45998</v>
      </c>
      <c r="D391" t="inlineStr">
        <is>
          <t>VÄSTERBOTTENS LÄN</t>
        </is>
      </c>
      <c r="E391" t="inlineStr">
        <is>
          <t>UMEÅ</t>
        </is>
      </c>
      <c r="G391" t="n">
        <v>1.8</v>
      </c>
      <c r="H391" t="n">
        <v>0</v>
      </c>
      <c r="I391" t="n">
        <v>0</v>
      </c>
      <c r="J391" t="n">
        <v>0</v>
      </c>
      <c r="K391" t="n">
        <v>0</v>
      </c>
      <c r="L391" t="n">
        <v>0</v>
      </c>
      <c r="M391" t="n">
        <v>0</v>
      </c>
      <c r="N391" t="n">
        <v>0</v>
      </c>
      <c r="O391" t="n">
        <v>0</v>
      </c>
      <c r="P391" t="n">
        <v>0</v>
      </c>
      <c r="Q391" t="n">
        <v>0</v>
      </c>
      <c r="R391" s="2" t="inlineStr"/>
    </row>
    <row r="392" ht="15" customHeight="1">
      <c r="A392" t="inlineStr">
        <is>
          <t>A 12723-2025</t>
        </is>
      </c>
      <c r="B392" s="1" t="n">
        <v>45733.49011574074</v>
      </c>
      <c r="C392" s="1" t="n">
        <v>45998</v>
      </c>
      <c r="D392" t="inlineStr">
        <is>
          <t>VÄSTERBOTTENS LÄN</t>
        </is>
      </c>
      <c r="E392" t="inlineStr">
        <is>
          <t>UMEÅ</t>
        </is>
      </c>
      <c r="G392" t="n">
        <v>5.3</v>
      </c>
      <c r="H392" t="n">
        <v>0</v>
      </c>
      <c r="I392" t="n">
        <v>0</v>
      </c>
      <c r="J392" t="n">
        <v>0</v>
      </c>
      <c r="K392" t="n">
        <v>0</v>
      </c>
      <c r="L392" t="n">
        <v>0</v>
      </c>
      <c r="M392" t="n">
        <v>0</v>
      </c>
      <c r="N392" t="n">
        <v>0</v>
      </c>
      <c r="O392" t="n">
        <v>0</v>
      </c>
      <c r="P392" t="n">
        <v>0</v>
      </c>
      <c r="Q392" t="n">
        <v>0</v>
      </c>
      <c r="R392" s="2" t="inlineStr"/>
    </row>
    <row r="393" ht="15" customHeight="1">
      <c r="A393" t="inlineStr">
        <is>
          <t>A 49525-2023</t>
        </is>
      </c>
      <c r="B393" s="1" t="n">
        <v>45205</v>
      </c>
      <c r="C393" s="1" t="n">
        <v>45998</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15904-2025</t>
        </is>
      </c>
      <c r="B394" s="1" t="n">
        <v>45749.43325231481</v>
      </c>
      <c r="C394" s="1" t="n">
        <v>45998</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61034-2022</t>
        </is>
      </c>
      <c r="B395" s="1" t="n">
        <v>44914</v>
      </c>
      <c r="C395" s="1" t="n">
        <v>45998</v>
      </c>
      <c r="D395" t="inlineStr">
        <is>
          <t>VÄSTERBOTTENS LÄN</t>
        </is>
      </c>
      <c r="E395" t="inlineStr">
        <is>
          <t>UMEÅ</t>
        </is>
      </c>
      <c r="G395" t="n">
        <v>16.7</v>
      </c>
      <c r="H395" t="n">
        <v>0</v>
      </c>
      <c r="I395" t="n">
        <v>0</v>
      </c>
      <c r="J395" t="n">
        <v>0</v>
      </c>
      <c r="K395" t="n">
        <v>0</v>
      </c>
      <c r="L395" t="n">
        <v>0</v>
      </c>
      <c r="M395" t="n">
        <v>0</v>
      </c>
      <c r="N395" t="n">
        <v>0</v>
      </c>
      <c r="O395" t="n">
        <v>0</v>
      </c>
      <c r="P395" t="n">
        <v>0</v>
      </c>
      <c r="Q395" t="n">
        <v>0</v>
      </c>
      <c r="R395" s="2" t="inlineStr"/>
    </row>
    <row r="396" ht="15" customHeight="1">
      <c r="A396" t="inlineStr">
        <is>
          <t>A 26861-2024</t>
        </is>
      </c>
      <c r="B396" s="1" t="n">
        <v>45470</v>
      </c>
      <c r="C396" s="1" t="n">
        <v>45998</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72125-2021</t>
        </is>
      </c>
      <c r="B397" s="1" t="n">
        <v>44543</v>
      </c>
      <c r="C397" s="1" t="n">
        <v>45998</v>
      </c>
      <c r="D397" t="inlineStr">
        <is>
          <t>VÄSTERBOTTENS LÄN</t>
        </is>
      </c>
      <c r="E397" t="inlineStr">
        <is>
          <t>UMEÅ</t>
        </is>
      </c>
      <c r="G397" t="n">
        <v>4.4</v>
      </c>
      <c r="H397" t="n">
        <v>0</v>
      </c>
      <c r="I397" t="n">
        <v>0</v>
      </c>
      <c r="J397" t="n">
        <v>0</v>
      </c>
      <c r="K397" t="n">
        <v>0</v>
      </c>
      <c r="L397" t="n">
        <v>0</v>
      </c>
      <c r="M397" t="n">
        <v>0</v>
      </c>
      <c r="N397" t="n">
        <v>0</v>
      </c>
      <c r="O397" t="n">
        <v>0</v>
      </c>
      <c r="P397" t="n">
        <v>0</v>
      </c>
      <c r="Q397" t="n">
        <v>0</v>
      </c>
      <c r="R397" s="2" t="inlineStr"/>
    </row>
    <row r="398" ht="15" customHeight="1">
      <c r="A398" t="inlineStr">
        <is>
          <t>A 31903-2024</t>
        </is>
      </c>
      <c r="B398" s="1" t="n">
        <v>45510.32447916667</v>
      </c>
      <c r="C398" s="1" t="n">
        <v>45998</v>
      </c>
      <c r="D398" t="inlineStr">
        <is>
          <t>VÄSTERBOTTENS LÄN</t>
        </is>
      </c>
      <c r="E398" t="inlineStr">
        <is>
          <t>UMEÅ</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35630-2024</t>
        </is>
      </c>
      <c r="B399" s="1" t="n">
        <v>45531</v>
      </c>
      <c r="C399" s="1" t="n">
        <v>45998</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45259-2024</t>
        </is>
      </c>
      <c r="B400" s="1" t="n">
        <v>45576</v>
      </c>
      <c r="C400" s="1" t="n">
        <v>45998</v>
      </c>
      <c r="D400" t="inlineStr">
        <is>
          <t>VÄSTERBOTTENS LÄN</t>
        </is>
      </c>
      <c r="E400" t="inlineStr">
        <is>
          <t>UMEÅ</t>
        </is>
      </c>
      <c r="G400" t="n">
        <v>5.1</v>
      </c>
      <c r="H400" t="n">
        <v>0</v>
      </c>
      <c r="I400" t="n">
        <v>0</v>
      </c>
      <c r="J400" t="n">
        <v>0</v>
      </c>
      <c r="K400" t="n">
        <v>0</v>
      </c>
      <c r="L400" t="n">
        <v>0</v>
      </c>
      <c r="M400" t="n">
        <v>0</v>
      </c>
      <c r="N400" t="n">
        <v>0</v>
      </c>
      <c r="O400" t="n">
        <v>0</v>
      </c>
      <c r="P400" t="n">
        <v>0</v>
      </c>
      <c r="Q400" t="n">
        <v>0</v>
      </c>
      <c r="R400" s="2" t="inlineStr"/>
    </row>
    <row r="401" ht="15" customHeight="1">
      <c r="A401" t="inlineStr">
        <is>
          <t>A 45770-2024</t>
        </is>
      </c>
      <c r="B401" s="1" t="n">
        <v>45579.64884259259</v>
      </c>
      <c r="C401" s="1" t="n">
        <v>45998</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32462-2023</t>
        </is>
      </c>
      <c r="B402" s="1" t="n">
        <v>45120.92637731481</v>
      </c>
      <c r="C402" s="1" t="n">
        <v>45998</v>
      </c>
      <c r="D402" t="inlineStr">
        <is>
          <t>VÄSTERBOTTENS LÄN</t>
        </is>
      </c>
      <c r="E402" t="inlineStr">
        <is>
          <t>UMEÅ</t>
        </is>
      </c>
      <c r="G402" t="n">
        <v>1.3</v>
      </c>
      <c r="H402" t="n">
        <v>0</v>
      </c>
      <c r="I402" t="n">
        <v>0</v>
      </c>
      <c r="J402" t="n">
        <v>0</v>
      </c>
      <c r="K402" t="n">
        <v>0</v>
      </c>
      <c r="L402" t="n">
        <v>0</v>
      </c>
      <c r="M402" t="n">
        <v>0</v>
      </c>
      <c r="N402" t="n">
        <v>0</v>
      </c>
      <c r="O402" t="n">
        <v>0</v>
      </c>
      <c r="P402" t="n">
        <v>0</v>
      </c>
      <c r="Q402" t="n">
        <v>0</v>
      </c>
      <c r="R402" s="2" t="inlineStr"/>
    </row>
    <row r="403" ht="15" customHeight="1">
      <c r="A403" t="inlineStr">
        <is>
          <t>A 57914-2022</t>
        </is>
      </c>
      <c r="B403" s="1" t="n">
        <v>44900.36453703704</v>
      </c>
      <c r="C403" s="1" t="n">
        <v>45998</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54150-2024</t>
        </is>
      </c>
      <c r="B404" s="1" t="n">
        <v>45616</v>
      </c>
      <c r="C404" s="1" t="n">
        <v>45998</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14407-2023</t>
        </is>
      </c>
      <c r="B405" s="1" t="n">
        <v>45012.50180555556</v>
      </c>
      <c r="C405" s="1" t="n">
        <v>45998</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19831-2025</t>
        </is>
      </c>
      <c r="B406" s="1" t="n">
        <v>45771.46961805555</v>
      </c>
      <c r="C406" s="1" t="n">
        <v>45998</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5280-2025</t>
        </is>
      </c>
      <c r="B407" s="1" t="n">
        <v>45692.43077546296</v>
      </c>
      <c r="C407" s="1" t="n">
        <v>45998</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10587-2023</t>
        </is>
      </c>
      <c r="B408" s="1" t="n">
        <v>44984</v>
      </c>
      <c r="C408" s="1" t="n">
        <v>45998</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18108-2025</t>
        </is>
      </c>
      <c r="B409" s="1" t="n">
        <v>45761.56107638889</v>
      </c>
      <c r="C409" s="1" t="n">
        <v>45998</v>
      </c>
      <c r="D409" t="inlineStr">
        <is>
          <t>VÄSTERBOTTENS LÄN</t>
        </is>
      </c>
      <c r="E409" t="inlineStr">
        <is>
          <t>UMEÅ</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16903-2025</t>
        </is>
      </c>
      <c r="B410" s="1" t="n">
        <v>45755.34568287037</v>
      </c>
      <c r="C410" s="1" t="n">
        <v>45998</v>
      </c>
      <c r="D410" t="inlineStr">
        <is>
          <t>VÄSTERBOTTENS LÄN</t>
        </is>
      </c>
      <c r="E410" t="inlineStr">
        <is>
          <t>UMEÅ</t>
        </is>
      </c>
      <c r="G410" t="n">
        <v>0.7</v>
      </c>
      <c r="H410" t="n">
        <v>0</v>
      </c>
      <c r="I410" t="n">
        <v>0</v>
      </c>
      <c r="J410" t="n">
        <v>0</v>
      </c>
      <c r="K410" t="n">
        <v>0</v>
      </c>
      <c r="L410" t="n">
        <v>0</v>
      </c>
      <c r="M410" t="n">
        <v>0</v>
      </c>
      <c r="N410" t="n">
        <v>0</v>
      </c>
      <c r="O410" t="n">
        <v>0</v>
      </c>
      <c r="P410" t="n">
        <v>0</v>
      </c>
      <c r="Q410" t="n">
        <v>0</v>
      </c>
      <c r="R410" s="2" t="inlineStr"/>
    </row>
    <row r="411" ht="15" customHeight="1">
      <c r="A411" t="inlineStr">
        <is>
          <t>A 17945-2023</t>
        </is>
      </c>
      <c r="B411" s="1" t="n">
        <v>45037</v>
      </c>
      <c r="C411" s="1" t="n">
        <v>45998</v>
      </c>
      <c r="D411" t="inlineStr">
        <is>
          <t>VÄSTERBOTTENS LÄN</t>
        </is>
      </c>
      <c r="E411" t="inlineStr">
        <is>
          <t>UMEÅ</t>
        </is>
      </c>
      <c r="F411" t="inlineStr">
        <is>
          <t>Kommuner</t>
        </is>
      </c>
      <c r="G411" t="n">
        <v>5.7</v>
      </c>
      <c r="H411" t="n">
        <v>0</v>
      </c>
      <c r="I411" t="n">
        <v>0</v>
      </c>
      <c r="J411" t="n">
        <v>0</v>
      </c>
      <c r="K411" t="n">
        <v>0</v>
      </c>
      <c r="L411" t="n">
        <v>0</v>
      </c>
      <c r="M411" t="n">
        <v>0</v>
      </c>
      <c r="N411" t="n">
        <v>0</v>
      </c>
      <c r="O411" t="n">
        <v>0</v>
      </c>
      <c r="P411" t="n">
        <v>0</v>
      </c>
      <c r="Q411" t="n">
        <v>0</v>
      </c>
      <c r="R411" s="2" t="inlineStr"/>
    </row>
    <row r="412" ht="15" customHeight="1">
      <c r="A412" t="inlineStr">
        <is>
          <t>A 18861-2024</t>
        </is>
      </c>
      <c r="B412" s="1" t="n">
        <v>45426</v>
      </c>
      <c r="C412" s="1" t="n">
        <v>45998</v>
      </c>
      <c r="D412" t="inlineStr">
        <is>
          <t>VÄSTERBOTTENS LÄN</t>
        </is>
      </c>
      <c r="E412" t="inlineStr">
        <is>
          <t>UMEÅ</t>
        </is>
      </c>
      <c r="G412" t="n">
        <v>7.4</v>
      </c>
      <c r="H412" t="n">
        <v>0</v>
      </c>
      <c r="I412" t="n">
        <v>0</v>
      </c>
      <c r="J412" t="n">
        <v>0</v>
      </c>
      <c r="K412" t="n">
        <v>0</v>
      </c>
      <c r="L412" t="n">
        <v>0</v>
      </c>
      <c r="M412" t="n">
        <v>0</v>
      </c>
      <c r="N412" t="n">
        <v>0</v>
      </c>
      <c r="O412" t="n">
        <v>0</v>
      </c>
      <c r="P412" t="n">
        <v>0</v>
      </c>
      <c r="Q412" t="n">
        <v>0</v>
      </c>
      <c r="R412" s="2" t="inlineStr"/>
    </row>
    <row r="413" ht="15" customHeight="1">
      <c r="A413" t="inlineStr">
        <is>
          <t>A 27052-2024</t>
        </is>
      </c>
      <c r="B413" s="1" t="n">
        <v>45471</v>
      </c>
      <c r="C413" s="1" t="n">
        <v>45998</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32221-2024</t>
        </is>
      </c>
      <c r="B414" s="1" t="n">
        <v>45511</v>
      </c>
      <c r="C414" s="1" t="n">
        <v>45998</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56083-2024</t>
        </is>
      </c>
      <c r="B415" s="1" t="n">
        <v>45623</v>
      </c>
      <c r="C415" s="1" t="n">
        <v>45998</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9170-2021</t>
        </is>
      </c>
      <c r="B416" s="1" t="n">
        <v>44249</v>
      </c>
      <c r="C416" s="1" t="n">
        <v>45998</v>
      </c>
      <c r="D416" t="inlineStr">
        <is>
          <t>VÄSTERBOTTENS LÄN</t>
        </is>
      </c>
      <c r="E416" t="inlineStr">
        <is>
          <t>UMEÅ</t>
        </is>
      </c>
      <c r="G416" t="n">
        <v>4.1</v>
      </c>
      <c r="H416" t="n">
        <v>0</v>
      </c>
      <c r="I416" t="n">
        <v>0</v>
      </c>
      <c r="J416" t="n">
        <v>0</v>
      </c>
      <c r="K416" t="n">
        <v>0</v>
      </c>
      <c r="L416" t="n">
        <v>0</v>
      </c>
      <c r="M416" t="n">
        <v>0</v>
      </c>
      <c r="N416" t="n">
        <v>0</v>
      </c>
      <c r="O416" t="n">
        <v>0</v>
      </c>
      <c r="P416" t="n">
        <v>0</v>
      </c>
      <c r="Q416" t="n">
        <v>0</v>
      </c>
      <c r="R416" s="2" t="inlineStr"/>
    </row>
    <row r="417" ht="15" customHeight="1">
      <c r="A417" t="inlineStr">
        <is>
          <t>A 34991-2023</t>
        </is>
      </c>
      <c r="B417" s="1" t="n">
        <v>45142.80528935185</v>
      </c>
      <c r="C417" s="1" t="n">
        <v>45998</v>
      </c>
      <c r="D417" t="inlineStr">
        <is>
          <t>VÄSTERBOTTENS LÄN</t>
        </is>
      </c>
      <c r="E417" t="inlineStr">
        <is>
          <t>UMEÅ</t>
        </is>
      </c>
      <c r="G417" t="n">
        <v>6.9</v>
      </c>
      <c r="H417" t="n">
        <v>0</v>
      </c>
      <c r="I417" t="n">
        <v>0</v>
      </c>
      <c r="J417" t="n">
        <v>0</v>
      </c>
      <c r="K417" t="n">
        <v>0</v>
      </c>
      <c r="L417" t="n">
        <v>0</v>
      </c>
      <c r="M417" t="n">
        <v>0</v>
      </c>
      <c r="N417" t="n">
        <v>0</v>
      </c>
      <c r="O417" t="n">
        <v>0</v>
      </c>
      <c r="P417" t="n">
        <v>0</v>
      </c>
      <c r="Q417" t="n">
        <v>0</v>
      </c>
      <c r="R417" s="2" t="inlineStr"/>
    </row>
    <row r="418" ht="15" customHeight="1">
      <c r="A418" t="inlineStr">
        <is>
          <t>A 9671-2024</t>
        </is>
      </c>
      <c r="B418" s="1" t="n">
        <v>45362.46013888889</v>
      </c>
      <c r="C418" s="1" t="n">
        <v>45998</v>
      </c>
      <c r="D418" t="inlineStr">
        <is>
          <t>VÄSTERBOTTENS LÄN</t>
        </is>
      </c>
      <c r="E418" t="inlineStr">
        <is>
          <t>UMEÅ</t>
        </is>
      </c>
      <c r="G418" t="n">
        <v>0.8</v>
      </c>
      <c r="H418" t="n">
        <v>0</v>
      </c>
      <c r="I418" t="n">
        <v>0</v>
      </c>
      <c r="J418" t="n">
        <v>0</v>
      </c>
      <c r="K418" t="n">
        <v>0</v>
      </c>
      <c r="L418" t="n">
        <v>0</v>
      </c>
      <c r="M418" t="n">
        <v>0</v>
      </c>
      <c r="N418" t="n">
        <v>0</v>
      </c>
      <c r="O418" t="n">
        <v>0</v>
      </c>
      <c r="P418" t="n">
        <v>0</v>
      </c>
      <c r="Q418" t="n">
        <v>0</v>
      </c>
      <c r="R418" s="2" t="inlineStr"/>
    </row>
    <row r="419" ht="15" customHeight="1">
      <c r="A419" t="inlineStr">
        <is>
          <t>A 28860-2024</t>
        </is>
      </c>
      <c r="B419" s="1" t="n">
        <v>45478.92875</v>
      </c>
      <c r="C419" s="1" t="n">
        <v>45998</v>
      </c>
      <c r="D419" t="inlineStr">
        <is>
          <t>VÄSTERBOTTENS LÄN</t>
        </is>
      </c>
      <c r="E419" t="inlineStr">
        <is>
          <t>UMEÅ</t>
        </is>
      </c>
      <c r="G419" t="n">
        <v>1.3</v>
      </c>
      <c r="H419" t="n">
        <v>0</v>
      </c>
      <c r="I419" t="n">
        <v>0</v>
      </c>
      <c r="J419" t="n">
        <v>0</v>
      </c>
      <c r="K419" t="n">
        <v>0</v>
      </c>
      <c r="L419" t="n">
        <v>0</v>
      </c>
      <c r="M419" t="n">
        <v>0</v>
      </c>
      <c r="N419" t="n">
        <v>0</v>
      </c>
      <c r="O419" t="n">
        <v>0</v>
      </c>
      <c r="P419" t="n">
        <v>0</v>
      </c>
      <c r="Q419" t="n">
        <v>0</v>
      </c>
      <c r="R419" s="2" t="inlineStr"/>
    </row>
    <row r="420" ht="15" customHeight="1">
      <c r="A420" t="inlineStr">
        <is>
          <t>A 29000-2024</t>
        </is>
      </c>
      <c r="B420" s="1" t="n">
        <v>45481.50622685185</v>
      </c>
      <c r="C420" s="1" t="n">
        <v>45998</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7384-2022</t>
        </is>
      </c>
      <c r="B421" s="1" t="n">
        <v>44606.62334490741</v>
      </c>
      <c r="C421" s="1" t="n">
        <v>45998</v>
      </c>
      <c r="D421" t="inlineStr">
        <is>
          <t>VÄSTERBOTTENS LÄN</t>
        </is>
      </c>
      <c r="E421" t="inlineStr">
        <is>
          <t>UMEÅ</t>
        </is>
      </c>
      <c r="G421" t="n">
        <v>1</v>
      </c>
      <c r="H421" t="n">
        <v>0</v>
      </c>
      <c r="I421" t="n">
        <v>0</v>
      </c>
      <c r="J421" t="n">
        <v>0</v>
      </c>
      <c r="K421" t="n">
        <v>0</v>
      </c>
      <c r="L421" t="n">
        <v>0</v>
      </c>
      <c r="M421" t="n">
        <v>0</v>
      </c>
      <c r="N421" t="n">
        <v>0</v>
      </c>
      <c r="O421" t="n">
        <v>0</v>
      </c>
      <c r="P421" t="n">
        <v>0</v>
      </c>
      <c r="Q421" t="n">
        <v>0</v>
      </c>
      <c r="R421" s="2" t="inlineStr"/>
    </row>
    <row r="422" ht="15" customHeight="1">
      <c r="A422" t="inlineStr">
        <is>
          <t>A 23718-2024</t>
        </is>
      </c>
      <c r="B422" s="1" t="n">
        <v>45454.81177083333</v>
      </c>
      <c r="C422" s="1" t="n">
        <v>45998</v>
      </c>
      <c r="D422" t="inlineStr">
        <is>
          <t>VÄSTERBOTTENS LÄN</t>
        </is>
      </c>
      <c r="E422" t="inlineStr">
        <is>
          <t>UMEÅ</t>
        </is>
      </c>
      <c r="F422" t="inlineStr">
        <is>
          <t>Holmen skog AB</t>
        </is>
      </c>
      <c r="G422" t="n">
        <v>3.3</v>
      </c>
      <c r="H422" t="n">
        <v>0</v>
      </c>
      <c r="I422" t="n">
        <v>0</v>
      </c>
      <c r="J422" t="n">
        <v>0</v>
      </c>
      <c r="K422" t="n">
        <v>0</v>
      </c>
      <c r="L422" t="n">
        <v>0</v>
      </c>
      <c r="M422" t="n">
        <v>0</v>
      </c>
      <c r="N422" t="n">
        <v>0</v>
      </c>
      <c r="O422" t="n">
        <v>0</v>
      </c>
      <c r="P422" t="n">
        <v>0</v>
      </c>
      <c r="Q422" t="n">
        <v>0</v>
      </c>
      <c r="R422" s="2" t="inlineStr"/>
    </row>
    <row r="423" ht="15" customHeight="1">
      <c r="A423" t="inlineStr">
        <is>
          <t>A 43976-2024</t>
        </is>
      </c>
      <c r="B423" s="1" t="n">
        <v>45572</v>
      </c>
      <c r="C423" s="1" t="n">
        <v>45998</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43977-2024</t>
        </is>
      </c>
      <c r="B424" s="1" t="n">
        <v>45572.49082175926</v>
      </c>
      <c r="C424" s="1" t="n">
        <v>45998</v>
      </c>
      <c r="D424" t="inlineStr">
        <is>
          <t>VÄSTERBOTTENS LÄN</t>
        </is>
      </c>
      <c r="E424" t="inlineStr">
        <is>
          <t>UMEÅ</t>
        </is>
      </c>
      <c r="G424" t="n">
        <v>3.3</v>
      </c>
      <c r="H424" t="n">
        <v>0</v>
      </c>
      <c r="I424" t="n">
        <v>0</v>
      </c>
      <c r="J424" t="n">
        <v>0</v>
      </c>
      <c r="K424" t="n">
        <v>0</v>
      </c>
      <c r="L424" t="n">
        <v>0</v>
      </c>
      <c r="M424" t="n">
        <v>0</v>
      </c>
      <c r="N424" t="n">
        <v>0</v>
      </c>
      <c r="O424" t="n">
        <v>0</v>
      </c>
      <c r="P424" t="n">
        <v>0</v>
      </c>
      <c r="Q424" t="n">
        <v>0</v>
      </c>
      <c r="R424" s="2" t="inlineStr"/>
    </row>
    <row r="425" ht="15" customHeight="1">
      <c r="A425" t="inlineStr">
        <is>
          <t>A 38750-2021</t>
        </is>
      </c>
      <c r="B425" s="1" t="n">
        <v>44410</v>
      </c>
      <c r="C425" s="1" t="n">
        <v>45998</v>
      </c>
      <c r="D425" t="inlineStr">
        <is>
          <t>VÄSTERBOTTENS LÄN</t>
        </is>
      </c>
      <c r="E425" t="inlineStr">
        <is>
          <t>UMEÅ</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17989-2023</t>
        </is>
      </c>
      <c r="B426" s="1" t="n">
        <v>45040</v>
      </c>
      <c r="C426" s="1" t="n">
        <v>45998</v>
      </c>
      <c r="D426" t="inlineStr">
        <is>
          <t>VÄSTERBOTTENS LÄN</t>
        </is>
      </c>
      <c r="E426" t="inlineStr">
        <is>
          <t>UMEÅ</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43975-2024</t>
        </is>
      </c>
      <c r="B427" s="1" t="n">
        <v>45572.49075231481</v>
      </c>
      <c r="C427" s="1" t="n">
        <v>45998</v>
      </c>
      <c r="D427" t="inlineStr">
        <is>
          <t>VÄSTERBOTTENS LÄN</t>
        </is>
      </c>
      <c r="E427" t="inlineStr">
        <is>
          <t>UMEÅ</t>
        </is>
      </c>
      <c r="G427" t="n">
        <v>6.8</v>
      </c>
      <c r="H427" t="n">
        <v>0</v>
      </c>
      <c r="I427" t="n">
        <v>0</v>
      </c>
      <c r="J427" t="n">
        <v>0</v>
      </c>
      <c r="K427" t="n">
        <v>0</v>
      </c>
      <c r="L427" t="n">
        <v>0</v>
      </c>
      <c r="M427" t="n">
        <v>0</v>
      </c>
      <c r="N427" t="n">
        <v>0</v>
      </c>
      <c r="O427" t="n">
        <v>0</v>
      </c>
      <c r="P427" t="n">
        <v>0</v>
      </c>
      <c r="Q427" t="n">
        <v>0</v>
      </c>
      <c r="R427" s="2" t="inlineStr"/>
    </row>
    <row r="428" ht="15" customHeight="1">
      <c r="A428" t="inlineStr">
        <is>
          <t>A 45343-2024</t>
        </is>
      </c>
      <c r="B428" s="1" t="n">
        <v>45576.47199074074</v>
      </c>
      <c r="C428" s="1" t="n">
        <v>45998</v>
      </c>
      <c r="D428" t="inlineStr">
        <is>
          <t>VÄSTERBOTTENS LÄN</t>
        </is>
      </c>
      <c r="E428" t="inlineStr">
        <is>
          <t>UMEÅ</t>
        </is>
      </c>
      <c r="F428" t="inlineStr">
        <is>
          <t>Holmen skog AB</t>
        </is>
      </c>
      <c r="G428" t="n">
        <v>6.1</v>
      </c>
      <c r="H428" t="n">
        <v>0</v>
      </c>
      <c r="I428" t="n">
        <v>0</v>
      </c>
      <c r="J428" t="n">
        <v>0</v>
      </c>
      <c r="K428" t="n">
        <v>0</v>
      </c>
      <c r="L428" t="n">
        <v>0</v>
      </c>
      <c r="M428" t="n">
        <v>0</v>
      </c>
      <c r="N428" t="n">
        <v>0</v>
      </c>
      <c r="O428" t="n">
        <v>0</v>
      </c>
      <c r="P428" t="n">
        <v>0</v>
      </c>
      <c r="Q428" t="n">
        <v>0</v>
      </c>
      <c r="R428" s="2" t="inlineStr"/>
    </row>
    <row r="429" ht="15" customHeight="1">
      <c r="A429" t="inlineStr">
        <is>
          <t>A 64355-2021</t>
        </is>
      </c>
      <c r="B429" s="1" t="n">
        <v>44511</v>
      </c>
      <c r="C429" s="1" t="n">
        <v>45998</v>
      </c>
      <c r="D429" t="inlineStr">
        <is>
          <t>VÄSTERBOTTENS LÄN</t>
        </is>
      </c>
      <c r="E429" t="inlineStr">
        <is>
          <t>UMEÅ</t>
        </is>
      </c>
      <c r="G429" t="n">
        <v>2.3</v>
      </c>
      <c r="H429" t="n">
        <v>0</v>
      </c>
      <c r="I429" t="n">
        <v>0</v>
      </c>
      <c r="J429" t="n">
        <v>0</v>
      </c>
      <c r="K429" t="n">
        <v>0</v>
      </c>
      <c r="L429" t="n">
        <v>0</v>
      </c>
      <c r="M429" t="n">
        <v>0</v>
      </c>
      <c r="N429" t="n">
        <v>0</v>
      </c>
      <c r="O429" t="n">
        <v>0</v>
      </c>
      <c r="P429" t="n">
        <v>0</v>
      </c>
      <c r="Q429" t="n">
        <v>0</v>
      </c>
      <c r="R429" s="2" t="inlineStr"/>
    </row>
    <row r="430" ht="15" customHeight="1">
      <c r="A430" t="inlineStr">
        <is>
          <t>A 52900-2023</t>
        </is>
      </c>
      <c r="B430" s="1" t="n">
        <v>45226</v>
      </c>
      <c r="C430" s="1" t="n">
        <v>45998</v>
      </c>
      <c r="D430" t="inlineStr">
        <is>
          <t>VÄSTERBOTTENS LÄN</t>
        </is>
      </c>
      <c r="E430" t="inlineStr">
        <is>
          <t>UMEÅ</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54152-2024</t>
        </is>
      </c>
      <c r="B431" s="1" t="n">
        <v>45616</v>
      </c>
      <c r="C431" s="1" t="n">
        <v>45998</v>
      </c>
      <c r="D431" t="inlineStr">
        <is>
          <t>VÄSTERBOTTENS LÄN</t>
        </is>
      </c>
      <c r="E431" t="inlineStr">
        <is>
          <t>UMEÅ</t>
        </is>
      </c>
      <c r="G431" t="n">
        <v>0.4</v>
      </c>
      <c r="H431" t="n">
        <v>0</v>
      </c>
      <c r="I431" t="n">
        <v>0</v>
      </c>
      <c r="J431" t="n">
        <v>0</v>
      </c>
      <c r="K431" t="n">
        <v>0</v>
      </c>
      <c r="L431" t="n">
        <v>0</v>
      </c>
      <c r="M431" t="n">
        <v>0</v>
      </c>
      <c r="N431" t="n">
        <v>0</v>
      </c>
      <c r="O431" t="n">
        <v>0</v>
      </c>
      <c r="P431" t="n">
        <v>0</v>
      </c>
      <c r="Q431" t="n">
        <v>0</v>
      </c>
      <c r="R431" s="2" t="inlineStr"/>
    </row>
    <row r="432" ht="15" customHeight="1">
      <c r="A432" t="inlineStr">
        <is>
          <t>A 3411-2023</t>
        </is>
      </c>
      <c r="B432" s="1" t="n">
        <v>44949.55421296296</v>
      </c>
      <c r="C432" s="1" t="n">
        <v>45998</v>
      </c>
      <c r="D432" t="inlineStr">
        <is>
          <t>VÄSTERBOTTENS LÄN</t>
        </is>
      </c>
      <c r="E432" t="inlineStr">
        <is>
          <t>UMEÅ</t>
        </is>
      </c>
      <c r="G432" t="n">
        <v>2</v>
      </c>
      <c r="H432" t="n">
        <v>0</v>
      </c>
      <c r="I432" t="n">
        <v>0</v>
      </c>
      <c r="J432" t="n">
        <v>0</v>
      </c>
      <c r="K432" t="n">
        <v>0</v>
      </c>
      <c r="L432" t="n">
        <v>0</v>
      </c>
      <c r="M432" t="n">
        <v>0</v>
      </c>
      <c r="N432" t="n">
        <v>0</v>
      </c>
      <c r="O432" t="n">
        <v>0</v>
      </c>
      <c r="P432" t="n">
        <v>0</v>
      </c>
      <c r="Q432" t="n">
        <v>0</v>
      </c>
      <c r="R432" s="2" t="inlineStr"/>
    </row>
    <row r="433" ht="15" customHeight="1">
      <c r="A433" t="inlineStr">
        <is>
          <t>A 48448-2024</t>
        </is>
      </c>
      <c r="B433" s="1" t="n">
        <v>45590.70138888889</v>
      </c>
      <c r="C433" s="1" t="n">
        <v>45998</v>
      </c>
      <c r="D433" t="inlineStr">
        <is>
          <t>VÄSTERBOTTENS LÄN</t>
        </is>
      </c>
      <c r="E433" t="inlineStr">
        <is>
          <t>UMEÅ</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42010-2024</t>
        </is>
      </c>
      <c r="B434" s="1" t="n">
        <v>45561</v>
      </c>
      <c r="C434" s="1" t="n">
        <v>45998</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8409-2022</t>
        </is>
      </c>
      <c r="B435" s="1" t="n">
        <v>44610.92238425926</v>
      </c>
      <c r="C435" s="1" t="n">
        <v>45998</v>
      </c>
      <c r="D435" t="inlineStr">
        <is>
          <t>VÄSTERBOTTENS LÄN</t>
        </is>
      </c>
      <c r="E435" t="inlineStr">
        <is>
          <t>UMEÅ</t>
        </is>
      </c>
      <c r="G435" t="n">
        <v>1.3</v>
      </c>
      <c r="H435" t="n">
        <v>0</v>
      </c>
      <c r="I435" t="n">
        <v>0</v>
      </c>
      <c r="J435" t="n">
        <v>0</v>
      </c>
      <c r="K435" t="n">
        <v>0</v>
      </c>
      <c r="L435" t="n">
        <v>0</v>
      </c>
      <c r="M435" t="n">
        <v>0</v>
      </c>
      <c r="N435" t="n">
        <v>0</v>
      </c>
      <c r="O435" t="n">
        <v>0</v>
      </c>
      <c r="P435" t="n">
        <v>0</v>
      </c>
      <c r="Q435" t="n">
        <v>0</v>
      </c>
      <c r="R435" s="2" t="inlineStr"/>
    </row>
    <row r="436" ht="15" customHeight="1">
      <c r="A436" t="inlineStr">
        <is>
          <t>A 41177-2024</t>
        </is>
      </c>
      <c r="B436" s="1" t="n">
        <v>45559.49118055555</v>
      </c>
      <c r="C436" s="1" t="n">
        <v>45998</v>
      </c>
      <c r="D436" t="inlineStr">
        <is>
          <t>VÄSTERBOTTENS LÄN</t>
        </is>
      </c>
      <c r="E436" t="inlineStr">
        <is>
          <t>UMEÅ</t>
        </is>
      </c>
      <c r="G436" t="n">
        <v>9.6</v>
      </c>
      <c r="H436" t="n">
        <v>0</v>
      </c>
      <c r="I436" t="n">
        <v>0</v>
      </c>
      <c r="J436" t="n">
        <v>0</v>
      </c>
      <c r="K436" t="n">
        <v>0</v>
      </c>
      <c r="L436" t="n">
        <v>0</v>
      </c>
      <c r="M436" t="n">
        <v>0</v>
      </c>
      <c r="N436" t="n">
        <v>0</v>
      </c>
      <c r="O436" t="n">
        <v>0</v>
      </c>
      <c r="P436" t="n">
        <v>0</v>
      </c>
      <c r="Q436" t="n">
        <v>0</v>
      </c>
      <c r="R436" s="2" t="inlineStr"/>
    </row>
    <row r="437" ht="15" customHeight="1">
      <c r="A437" t="inlineStr">
        <is>
          <t>A 1502-2025</t>
        </is>
      </c>
      <c r="B437" s="1" t="n">
        <v>45670.42223379629</v>
      </c>
      <c r="C437" s="1" t="n">
        <v>45998</v>
      </c>
      <c r="D437" t="inlineStr">
        <is>
          <t>VÄSTERBOTTENS LÄN</t>
        </is>
      </c>
      <c r="E437" t="inlineStr">
        <is>
          <t>UMEÅ</t>
        </is>
      </c>
      <c r="G437" t="n">
        <v>8.9</v>
      </c>
      <c r="H437" t="n">
        <v>0</v>
      </c>
      <c r="I437" t="n">
        <v>0</v>
      </c>
      <c r="J437" t="n">
        <v>0</v>
      </c>
      <c r="K437" t="n">
        <v>0</v>
      </c>
      <c r="L437" t="n">
        <v>0</v>
      </c>
      <c r="M437" t="n">
        <v>0</v>
      </c>
      <c r="N437" t="n">
        <v>0</v>
      </c>
      <c r="O437" t="n">
        <v>0</v>
      </c>
      <c r="P437" t="n">
        <v>0</v>
      </c>
      <c r="Q437" t="n">
        <v>0</v>
      </c>
      <c r="R437" s="2" t="inlineStr"/>
    </row>
    <row r="438" ht="15" customHeight="1">
      <c r="A438" t="inlineStr">
        <is>
          <t>A 16999-2023</t>
        </is>
      </c>
      <c r="B438" s="1" t="n">
        <v>45033.92614583333</v>
      </c>
      <c r="C438" s="1" t="n">
        <v>45998</v>
      </c>
      <c r="D438" t="inlineStr">
        <is>
          <t>VÄSTERBOTTENS LÄN</t>
        </is>
      </c>
      <c r="E438" t="inlineStr">
        <is>
          <t>UMEÅ</t>
        </is>
      </c>
      <c r="G438" t="n">
        <v>20.1</v>
      </c>
      <c r="H438" t="n">
        <v>0</v>
      </c>
      <c r="I438" t="n">
        <v>0</v>
      </c>
      <c r="J438" t="n">
        <v>0</v>
      </c>
      <c r="K438" t="n">
        <v>0</v>
      </c>
      <c r="L438" t="n">
        <v>0</v>
      </c>
      <c r="M438" t="n">
        <v>0</v>
      </c>
      <c r="N438" t="n">
        <v>0</v>
      </c>
      <c r="O438" t="n">
        <v>0</v>
      </c>
      <c r="P438" t="n">
        <v>0</v>
      </c>
      <c r="Q438" t="n">
        <v>0</v>
      </c>
      <c r="R438" s="2" t="inlineStr"/>
    </row>
    <row r="439" ht="15" customHeight="1">
      <c r="A439" t="inlineStr">
        <is>
          <t>A 58256-2023</t>
        </is>
      </c>
      <c r="B439" s="1" t="n">
        <v>45250.48440972222</v>
      </c>
      <c r="C439" s="1" t="n">
        <v>45998</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17484-2022</t>
        </is>
      </c>
      <c r="B440" s="1" t="n">
        <v>44679</v>
      </c>
      <c r="C440" s="1" t="n">
        <v>45998</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51415-2024</t>
        </is>
      </c>
      <c r="B441" s="1" t="n">
        <v>45604</v>
      </c>
      <c r="C441" s="1" t="n">
        <v>45998</v>
      </c>
      <c r="D441" t="inlineStr">
        <is>
          <t>VÄSTERBOTTENS LÄN</t>
        </is>
      </c>
      <c r="E441" t="inlineStr">
        <is>
          <t>UMEÅ</t>
        </is>
      </c>
      <c r="G441" t="n">
        <v>3.4</v>
      </c>
      <c r="H441" t="n">
        <v>0</v>
      </c>
      <c r="I441" t="n">
        <v>0</v>
      </c>
      <c r="J441" t="n">
        <v>0</v>
      </c>
      <c r="K441" t="n">
        <v>0</v>
      </c>
      <c r="L441" t="n">
        <v>0</v>
      </c>
      <c r="M441" t="n">
        <v>0</v>
      </c>
      <c r="N441" t="n">
        <v>0</v>
      </c>
      <c r="O441" t="n">
        <v>0</v>
      </c>
      <c r="P441" t="n">
        <v>0</v>
      </c>
      <c r="Q441" t="n">
        <v>0</v>
      </c>
      <c r="R441" s="2" t="inlineStr"/>
    </row>
    <row r="442" ht="15" customHeight="1">
      <c r="A442" t="inlineStr">
        <is>
          <t>A 48714-2024</t>
        </is>
      </c>
      <c r="B442" s="1" t="n">
        <v>45593.54328703704</v>
      </c>
      <c r="C442" s="1" t="n">
        <v>45998</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18010-2025</t>
        </is>
      </c>
      <c r="B443" s="1" t="n">
        <v>45761.43072916667</v>
      </c>
      <c r="C443" s="1" t="n">
        <v>45998</v>
      </c>
      <c r="D443" t="inlineStr">
        <is>
          <t>VÄSTERBOTTENS LÄN</t>
        </is>
      </c>
      <c r="E443" t="inlineStr">
        <is>
          <t>UMEÅ</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26933-2024</t>
        </is>
      </c>
      <c r="B444" s="1" t="n">
        <v>45470</v>
      </c>
      <c r="C444" s="1" t="n">
        <v>45998</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60645-2023</t>
        </is>
      </c>
      <c r="B445" s="1" t="n">
        <v>45260.41273148148</v>
      </c>
      <c r="C445" s="1" t="n">
        <v>45998</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52364-2024</t>
        </is>
      </c>
      <c r="B446" s="1" t="n">
        <v>45609.38349537037</v>
      </c>
      <c r="C446" s="1" t="n">
        <v>45998</v>
      </c>
      <c r="D446" t="inlineStr">
        <is>
          <t>VÄSTERBOTTENS LÄN</t>
        </is>
      </c>
      <c r="E446" t="inlineStr">
        <is>
          <t>UMEÅ</t>
        </is>
      </c>
      <c r="F446" t="inlineStr">
        <is>
          <t>Holmen skog AB</t>
        </is>
      </c>
      <c r="G446" t="n">
        <v>5.1</v>
      </c>
      <c r="H446" t="n">
        <v>0</v>
      </c>
      <c r="I446" t="n">
        <v>0</v>
      </c>
      <c r="J446" t="n">
        <v>0</v>
      </c>
      <c r="K446" t="n">
        <v>0</v>
      </c>
      <c r="L446" t="n">
        <v>0</v>
      </c>
      <c r="M446" t="n">
        <v>0</v>
      </c>
      <c r="N446" t="n">
        <v>0</v>
      </c>
      <c r="O446" t="n">
        <v>0</v>
      </c>
      <c r="P446" t="n">
        <v>0</v>
      </c>
      <c r="Q446" t="n">
        <v>0</v>
      </c>
      <c r="R446" s="2" t="inlineStr"/>
    </row>
    <row r="447" ht="15" customHeight="1">
      <c r="A447" t="inlineStr">
        <is>
          <t>A 8575-2025</t>
        </is>
      </c>
      <c r="B447" s="1" t="n">
        <v>45709.66362268518</v>
      </c>
      <c r="C447" s="1" t="n">
        <v>45998</v>
      </c>
      <c r="D447" t="inlineStr">
        <is>
          <t>VÄSTERBOTTENS LÄN</t>
        </is>
      </c>
      <c r="E447" t="inlineStr">
        <is>
          <t>UMEÅ</t>
        </is>
      </c>
      <c r="G447" t="n">
        <v>2.4</v>
      </c>
      <c r="H447" t="n">
        <v>0</v>
      </c>
      <c r="I447" t="n">
        <v>0</v>
      </c>
      <c r="J447" t="n">
        <v>0</v>
      </c>
      <c r="K447" t="n">
        <v>0</v>
      </c>
      <c r="L447" t="n">
        <v>0</v>
      </c>
      <c r="M447" t="n">
        <v>0</v>
      </c>
      <c r="N447" t="n">
        <v>0</v>
      </c>
      <c r="O447" t="n">
        <v>0</v>
      </c>
      <c r="P447" t="n">
        <v>0</v>
      </c>
      <c r="Q447" t="n">
        <v>0</v>
      </c>
      <c r="R447" s="2" t="inlineStr"/>
    </row>
    <row r="448" ht="15" customHeight="1">
      <c r="A448" t="inlineStr">
        <is>
          <t>A 5374-2022</t>
        </is>
      </c>
      <c r="B448" s="1" t="n">
        <v>44594.92151620371</v>
      </c>
      <c r="C448" s="1" t="n">
        <v>45998</v>
      </c>
      <c r="D448" t="inlineStr">
        <is>
          <t>VÄSTERBOTTENS LÄN</t>
        </is>
      </c>
      <c r="E448" t="inlineStr">
        <is>
          <t>UMEÅ</t>
        </is>
      </c>
      <c r="G448" t="n">
        <v>4.6</v>
      </c>
      <c r="H448" t="n">
        <v>0</v>
      </c>
      <c r="I448" t="n">
        <v>0</v>
      </c>
      <c r="J448" t="n">
        <v>0</v>
      </c>
      <c r="K448" t="n">
        <v>0</v>
      </c>
      <c r="L448" t="n">
        <v>0</v>
      </c>
      <c r="M448" t="n">
        <v>0</v>
      </c>
      <c r="N448" t="n">
        <v>0</v>
      </c>
      <c r="O448" t="n">
        <v>0</v>
      </c>
      <c r="P448" t="n">
        <v>0</v>
      </c>
      <c r="Q448" t="n">
        <v>0</v>
      </c>
      <c r="R448" s="2" t="inlineStr"/>
    </row>
    <row r="449" ht="15" customHeight="1">
      <c r="A449" t="inlineStr">
        <is>
          <t>A 42000-2024</t>
        </is>
      </c>
      <c r="B449" s="1" t="n">
        <v>45561.65799768519</v>
      </c>
      <c r="C449" s="1" t="n">
        <v>45998</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11109-2022</t>
        </is>
      </c>
      <c r="B450" s="1" t="n">
        <v>44628.92515046296</v>
      </c>
      <c r="C450" s="1" t="n">
        <v>45998</v>
      </c>
      <c r="D450" t="inlineStr">
        <is>
          <t>VÄSTERBOTTENS LÄN</t>
        </is>
      </c>
      <c r="E450" t="inlineStr">
        <is>
          <t>UMEÅ</t>
        </is>
      </c>
      <c r="G450" t="n">
        <v>3.8</v>
      </c>
      <c r="H450" t="n">
        <v>0</v>
      </c>
      <c r="I450" t="n">
        <v>0</v>
      </c>
      <c r="J450" t="n">
        <v>0</v>
      </c>
      <c r="K450" t="n">
        <v>0</v>
      </c>
      <c r="L450" t="n">
        <v>0</v>
      </c>
      <c r="M450" t="n">
        <v>0</v>
      </c>
      <c r="N450" t="n">
        <v>0</v>
      </c>
      <c r="O450" t="n">
        <v>0</v>
      </c>
      <c r="P450" t="n">
        <v>0</v>
      </c>
      <c r="Q450" t="n">
        <v>0</v>
      </c>
      <c r="R450" s="2" t="inlineStr"/>
    </row>
    <row r="451" ht="15" customHeight="1">
      <c r="A451" t="inlineStr">
        <is>
          <t>A 32791-2024</t>
        </is>
      </c>
      <c r="B451" s="1" t="n">
        <v>45516.54195601852</v>
      </c>
      <c r="C451" s="1" t="n">
        <v>45998</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26872-2022</t>
        </is>
      </c>
      <c r="B452" s="1" t="n">
        <v>44740</v>
      </c>
      <c r="C452" s="1" t="n">
        <v>45998</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60179-2024</t>
        </is>
      </c>
      <c r="B453" s="1" t="n">
        <v>45642.63862268518</v>
      </c>
      <c r="C453" s="1" t="n">
        <v>45998</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16330-2023</t>
        </is>
      </c>
      <c r="B454" s="1" t="n">
        <v>45028</v>
      </c>
      <c r="C454" s="1" t="n">
        <v>45998</v>
      </c>
      <c r="D454" t="inlineStr">
        <is>
          <t>VÄSTERBOTTENS LÄN</t>
        </is>
      </c>
      <c r="E454" t="inlineStr">
        <is>
          <t>UMEÅ</t>
        </is>
      </c>
      <c r="F454" t="inlineStr">
        <is>
          <t>Holmen skog AB</t>
        </is>
      </c>
      <c r="G454" t="n">
        <v>3.7</v>
      </c>
      <c r="H454" t="n">
        <v>0</v>
      </c>
      <c r="I454" t="n">
        <v>0</v>
      </c>
      <c r="J454" t="n">
        <v>0</v>
      </c>
      <c r="K454" t="n">
        <v>0</v>
      </c>
      <c r="L454" t="n">
        <v>0</v>
      </c>
      <c r="M454" t="n">
        <v>0</v>
      </c>
      <c r="N454" t="n">
        <v>0</v>
      </c>
      <c r="O454" t="n">
        <v>0</v>
      </c>
      <c r="P454" t="n">
        <v>0</v>
      </c>
      <c r="Q454" t="n">
        <v>0</v>
      </c>
      <c r="R454" s="2" t="inlineStr"/>
    </row>
    <row r="455" ht="15" customHeight="1">
      <c r="A455" t="inlineStr">
        <is>
          <t>A 46849-2023</t>
        </is>
      </c>
      <c r="B455" s="1" t="n">
        <v>45199.87405092592</v>
      </c>
      <c r="C455" s="1" t="n">
        <v>45998</v>
      </c>
      <c r="D455" t="inlineStr">
        <is>
          <t>VÄSTERBOTTENS LÄN</t>
        </is>
      </c>
      <c r="E455" t="inlineStr">
        <is>
          <t>UMEÅ</t>
        </is>
      </c>
      <c r="G455" t="n">
        <v>1.6</v>
      </c>
      <c r="H455" t="n">
        <v>0</v>
      </c>
      <c r="I455" t="n">
        <v>0</v>
      </c>
      <c r="J455" t="n">
        <v>0</v>
      </c>
      <c r="K455" t="n">
        <v>0</v>
      </c>
      <c r="L455" t="n">
        <v>0</v>
      </c>
      <c r="M455" t="n">
        <v>0</v>
      </c>
      <c r="N455" t="n">
        <v>0</v>
      </c>
      <c r="O455" t="n">
        <v>0</v>
      </c>
      <c r="P455" t="n">
        <v>0</v>
      </c>
      <c r="Q455" t="n">
        <v>0</v>
      </c>
      <c r="R455" s="2" t="inlineStr"/>
    </row>
    <row r="456" ht="15" customHeight="1">
      <c r="A456" t="inlineStr">
        <is>
          <t>A 9924-2022</t>
        </is>
      </c>
      <c r="B456" s="1" t="n">
        <v>44620.92203703704</v>
      </c>
      <c r="C456" s="1" t="n">
        <v>45998</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25367-2023</t>
        </is>
      </c>
      <c r="B457" s="1" t="n">
        <v>45088.92412037037</v>
      </c>
      <c r="C457" s="1" t="n">
        <v>45998</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22632-2024</t>
        </is>
      </c>
      <c r="B458" s="1" t="n">
        <v>45447.67429398148</v>
      </c>
      <c r="C458" s="1" t="n">
        <v>45998</v>
      </c>
      <c r="D458" t="inlineStr">
        <is>
          <t>VÄSTERBOTTENS LÄN</t>
        </is>
      </c>
      <c r="E458" t="inlineStr">
        <is>
          <t>UMEÅ</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44132-2022</t>
        </is>
      </c>
      <c r="B459" s="1" t="n">
        <v>44839.40086805556</v>
      </c>
      <c r="C459" s="1" t="n">
        <v>45998</v>
      </c>
      <c r="D459" t="inlineStr">
        <is>
          <t>VÄSTERBOTTENS LÄN</t>
        </is>
      </c>
      <c r="E459" t="inlineStr">
        <is>
          <t>UMEÅ</t>
        </is>
      </c>
      <c r="G459" t="n">
        <v>1.3</v>
      </c>
      <c r="H459" t="n">
        <v>0</v>
      </c>
      <c r="I459" t="n">
        <v>0</v>
      </c>
      <c r="J459" t="n">
        <v>0</v>
      </c>
      <c r="K459" t="n">
        <v>0</v>
      </c>
      <c r="L459" t="n">
        <v>0</v>
      </c>
      <c r="M459" t="n">
        <v>0</v>
      </c>
      <c r="N459" t="n">
        <v>0</v>
      </c>
      <c r="O459" t="n">
        <v>0</v>
      </c>
      <c r="P459" t="n">
        <v>0</v>
      </c>
      <c r="Q459" t="n">
        <v>0</v>
      </c>
      <c r="R459" s="2" t="inlineStr"/>
    </row>
    <row r="460" ht="15" customHeight="1">
      <c r="A460" t="inlineStr">
        <is>
          <t>A 57497-2024</t>
        </is>
      </c>
      <c r="B460" s="1" t="n">
        <v>45630</v>
      </c>
      <c r="C460" s="1" t="n">
        <v>45998</v>
      </c>
      <c r="D460" t="inlineStr">
        <is>
          <t>VÄSTERBOTTENS LÄN</t>
        </is>
      </c>
      <c r="E460" t="inlineStr">
        <is>
          <t>UMEÅ</t>
        </is>
      </c>
      <c r="G460" t="n">
        <v>1.2</v>
      </c>
      <c r="H460" t="n">
        <v>0</v>
      </c>
      <c r="I460" t="n">
        <v>0</v>
      </c>
      <c r="J460" t="n">
        <v>0</v>
      </c>
      <c r="K460" t="n">
        <v>0</v>
      </c>
      <c r="L460" t="n">
        <v>0</v>
      </c>
      <c r="M460" t="n">
        <v>0</v>
      </c>
      <c r="N460" t="n">
        <v>0</v>
      </c>
      <c r="O460" t="n">
        <v>0</v>
      </c>
      <c r="P460" t="n">
        <v>0</v>
      </c>
      <c r="Q460" t="n">
        <v>0</v>
      </c>
      <c r="R460" s="2" t="inlineStr"/>
    </row>
    <row r="461" ht="15" customHeight="1">
      <c r="A461" t="inlineStr">
        <is>
          <t>A 20459-2021</t>
        </is>
      </c>
      <c r="B461" s="1" t="n">
        <v>44314</v>
      </c>
      <c r="C461" s="1" t="n">
        <v>45998</v>
      </c>
      <c r="D461" t="inlineStr">
        <is>
          <t>VÄSTERBOTTENS LÄN</t>
        </is>
      </c>
      <c r="E461" t="inlineStr">
        <is>
          <t>UMEÅ</t>
        </is>
      </c>
      <c r="G461" t="n">
        <v>0.3</v>
      </c>
      <c r="H461" t="n">
        <v>0</v>
      </c>
      <c r="I461" t="n">
        <v>0</v>
      </c>
      <c r="J461" t="n">
        <v>0</v>
      </c>
      <c r="K461" t="n">
        <v>0</v>
      </c>
      <c r="L461" t="n">
        <v>0</v>
      </c>
      <c r="M461" t="n">
        <v>0</v>
      </c>
      <c r="N461" t="n">
        <v>0</v>
      </c>
      <c r="O461" t="n">
        <v>0</v>
      </c>
      <c r="P461" t="n">
        <v>0</v>
      </c>
      <c r="Q461" t="n">
        <v>0</v>
      </c>
      <c r="R461" s="2" t="inlineStr"/>
    </row>
    <row r="462" ht="15" customHeight="1">
      <c r="A462" t="inlineStr">
        <is>
          <t>A 48586-2024</t>
        </is>
      </c>
      <c r="B462" s="1" t="n">
        <v>45593.42652777778</v>
      </c>
      <c r="C462" s="1" t="n">
        <v>45998</v>
      </c>
      <c r="D462" t="inlineStr">
        <is>
          <t>VÄSTERBOTTENS LÄN</t>
        </is>
      </c>
      <c r="E462" t="inlineStr">
        <is>
          <t>UMEÅ</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2737-2023</t>
        </is>
      </c>
      <c r="B463" s="1" t="n">
        <v>44944</v>
      </c>
      <c r="C463" s="1" t="n">
        <v>45998</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35209-2024</t>
        </is>
      </c>
      <c r="B464" s="1" t="n">
        <v>45530</v>
      </c>
      <c r="C464" s="1" t="n">
        <v>45998</v>
      </c>
      <c r="D464" t="inlineStr">
        <is>
          <t>VÄSTERBOTTENS LÄN</t>
        </is>
      </c>
      <c r="E464" t="inlineStr">
        <is>
          <t>UMEÅ</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35228-2024</t>
        </is>
      </c>
      <c r="B465" s="1" t="n">
        <v>45530.52100694444</v>
      </c>
      <c r="C465" s="1" t="n">
        <v>45998</v>
      </c>
      <c r="D465" t="inlineStr">
        <is>
          <t>VÄSTERBOTTENS LÄN</t>
        </is>
      </c>
      <c r="E465" t="inlineStr">
        <is>
          <t>UMEÅ</t>
        </is>
      </c>
      <c r="G465" t="n">
        <v>1.9</v>
      </c>
      <c r="H465" t="n">
        <v>0</v>
      </c>
      <c r="I465" t="n">
        <v>0</v>
      </c>
      <c r="J465" t="n">
        <v>0</v>
      </c>
      <c r="K465" t="n">
        <v>0</v>
      </c>
      <c r="L465" t="n">
        <v>0</v>
      </c>
      <c r="M465" t="n">
        <v>0</v>
      </c>
      <c r="N465" t="n">
        <v>0</v>
      </c>
      <c r="O465" t="n">
        <v>0</v>
      </c>
      <c r="P465" t="n">
        <v>0</v>
      </c>
      <c r="Q465" t="n">
        <v>0</v>
      </c>
      <c r="R465" s="2" t="inlineStr"/>
    </row>
    <row r="466" ht="15" customHeight="1">
      <c r="A466" t="inlineStr">
        <is>
          <t>A 61280-2023</t>
        </is>
      </c>
      <c r="B466" s="1" t="n">
        <v>45260</v>
      </c>
      <c r="C466" s="1" t="n">
        <v>45998</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21084-2024</t>
        </is>
      </c>
      <c r="B467" s="1" t="n">
        <v>45439</v>
      </c>
      <c r="C467" s="1" t="n">
        <v>45998</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37260-2024</t>
        </is>
      </c>
      <c r="B468" s="1" t="n">
        <v>45540.37623842592</v>
      </c>
      <c r="C468" s="1" t="n">
        <v>45998</v>
      </c>
      <c r="D468" t="inlineStr">
        <is>
          <t>VÄSTERBOTTENS LÄN</t>
        </is>
      </c>
      <c r="E468" t="inlineStr">
        <is>
          <t>UMEÅ</t>
        </is>
      </c>
      <c r="G468" t="n">
        <v>2.7</v>
      </c>
      <c r="H468" t="n">
        <v>0</v>
      </c>
      <c r="I468" t="n">
        <v>0</v>
      </c>
      <c r="J468" t="n">
        <v>0</v>
      </c>
      <c r="K468" t="n">
        <v>0</v>
      </c>
      <c r="L468" t="n">
        <v>0</v>
      </c>
      <c r="M468" t="n">
        <v>0</v>
      </c>
      <c r="N468" t="n">
        <v>0</v>
      </c>
      <c r="O468" t="n">
        <v>0</v>
      </c>
      <c r="P468" t="n">
        <v>0</v>
      </c>
      <c r="Q468" t="n">
        <v>0</v>
      </c>
      <c r="R468" s="2" t="inlineStr"/>
    </row>
    <row r="469" ht="15" customHeight="1">
      <c r="A469" t="inlineStr">
        <is>
          <t>A 14316-2025</t>
        </is>
      </c>
      <c r="B469" s="1" t="n">
        <v>45740</v>
      </c>
      <c r="C469" s="1" t="n">
        <v>45998</v>
      </c>
      <c r="D469" t="inlineStr">
        <is>
          <t>VÄSTERBOTTENS LÄN</t>
        </is>
      </c>
      <c r="E469" t="inlineStr">
        <is>
          <t>UMEÅ</t>
        </is>
      </c>
      <c r="G469" t="n">
        <v>10</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45998</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24586-2022</t>
        </is>
      </c>
      <c r="B471" s="1" t="n">
        <v>44727.45271990741</v>
      </c>
      <c r="C471" s="1" t="n">
        <v>45998</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9531-2023</t>
        </is>
      </c>
      <c r="B472" s="1" t="n">
        <v>44981</v>
      </c>
      <c r="C472" s="1" t="n">
        <v>45998</v>
      </c>
      <c r="D472" t="inlineStr">
        <is>
          <t>VÄSTERBOTTENS LÄN</t>
        </is>
      </c>
      <c r="E472" t="inlineStr">
        <is>
          <t>UMEÅ</t>
        </is>
      </c>
      <c r="G472" t="n">
        <v>3.7</v>
      </c>
      <c r="H472" t="n">
        <v>0</v>
      </c>
      <c r="I472" t="n">
        <v>0</v>
      </c>
      <c r="J472" t="n">
        <v>0</v>
      </c>
      <c r="K472" t="n">
        <v>0</v>
      </c>
      <c r="L472" t="n">
        <v>0</v>
      </c>
      <c r="M472" t="n">
        <v>0</v>
      </c>
      <c r="N472" t="n">
        <v>0</v>
      </c>
      <c r="O472" t="n">
        <v>0</v>
      </c>
      <c r="P472" t="n">
        <v>0</v>
      </c>
      <c r="Q472" t="n">
        <v>0</v>
      </c>
      <c r="R472" s="2" t="inlineStr"/>
    </row>
    <row r="473" ht="15" customHeight="1">
      <c r="A473" t="inlineStr">
        <is>
          <t>A 2632-2023</t>
        </is>
      </c>
      <c r="B473" s="1" t="n">
        <v>44944</v>
      </c>
      <c r="C473" s="1" t="n">
        <v>45998</v>
      </c>
      <c r="D473" t="inlineStr">
        <is>
          <t>VÄSTERBOTTENS LÄN</t>
        </is>
      </c>
      <c r="E473" t="inlineStr">
        <is>
          <t>UMEÅ</t>
        </is>
      </c>
      <c r="G473" t="n">
        <v>0.3</v>
      </c>
      <c r="H473" t="n">
        <v>0</v>
      </c>
      <c r="I473" t="n">
        <v>0</v>
      </c>
      <c r="J473" t="n">
        <v>0</v>
      </c>
      <c r="K473" t="n">
        <v>0</v>
      </c>
      <c r="L473" t="n">
        <v>0</v>
      </c>
      <c r="M473" t="n">
        <v>0</v>
      </c>
      <c r="N473" t="n">
        <v>0</v>
      </c>
      <c r="O473" t="n">
        <v>0</v>
      </c>
      <c r="P473" t="n">
        <v>0</v>
      </c>
      <c r="Q473" t="n">
        <v>0</v>
      </c>
      <c r="R473" s="2" t="inlineStr"/>
    </row>
    <row r="474" ht="15" customHeight="1">
      <c r="A474" t="inlineStr">
        <is>
          <t>A 2634-2023</t>
        </is>
      </c>
      <c r="B474" s="1" t="n">
        <v>44944.4013425926</v>
      </c>
      <c r="C474" s="1" t="n">
        <v>45998</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15459-2025</t>
        </is>
      </c>
      <c r="B475" s="1" t="n">
        <v>45747.50991898148</v>
      </c>
      <c r="C475" s="1" t="n">
        <v>45998</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22000-2023</t>
        </is>
      </c>
      <c r="B476" s="1" t="n">
        <v>45068.92700231481</v>
      </c>
      <c r="C476" s="1" t="n">
        <v>45998</v>
      </c>
      <c r="D476" t="inlineStr">
        <is>
          <t>VÄSTERBOTTENS LÄN</t>
        </is>
      </c>
      <c r="E476" t="inlineStr">
        <is>
          <t>UMEÅ</t>
        </is>
      </c>
      <c r="G476" t="n">
        <v>4.4</v>
      </c>
      <c r="H476" t="n">
        <v>0</v>
      </c>
      <c r="I476" t="n">
        <v>0</v>
      </c>
      <c r="J476" t="n">
        <v>0</v>
      </c>
      <c r="K476" t="n">
        <v>0</v>
      </c>
      <c r="L476" t="n">
        <v>0</v>
      </c>
      <c r="M476" t="n">
        <v>0</v>
      </c>
      <c r="N476" t="n">
        <v>0</v>
      </c>
      <c r="O476" t="n">
        <v>0</v>
      </c>
      <c r="P476" t="n">
        <v>0</v>
      </c>
      <c r="Q476" t="n">
        <v>0</v>
      </c>
      <c r="R476" s="2" t="inlineStr"/>
    </row>
    <row r="477" ht="15" customHeight="1">
      <c r="A477" t="inlineStr">
        <is>
          <t>A 2148-2024</t>
        </is>
      </c>
      <c r="B477" s="1" t="n">
        <v>45309</v>
      </c>
      <c r="C477" s="1" t="n">
        <v>45998</v>
      </c>
      <c r="D477" t="inlineStr">
        <is>
          <t>VÄSTERBOTTENS LÄN</t>
        </is>
      </c>
      <c r="E477" t="inlineStr">
        <is>
          <t>UMEÅ</t>
        </is>
      </c>
      <c r="G477" t="n">
        <v>2.9</v>
      </c>
      <c r="H477" t="n">
        <v>0</v>
      </c>
      <c r="I477" t="n">
        <v>0</v>
      </c>
      <c r="J477" t="n">
        <v>0</v>
      </c>
      <c r="K477" t="n">
        <v>0</v>
      </c>
      <c r="L477" t="n">
        <v>0</v>
      </c>
      <c r="M477" t="n">
        <v>0</v>
      </c>
      <c r="N477" t="n">
        <v>0</v>
      </c>
      <c r="O477" t="n">
        <v>0</v>
      </c>
      <c r="P477" t="n">
        <v>0</v>
      </c>
      <c r="Q477" t="n">
        <v>0</v>
      </c>
      <c r="R477" s="2" t="inlineStr"/>
    </row>
    <row r="478" ht="15" customHeight="1">
      <c r="A478" t="inlineStr">
        <is>
          <t>A 73537-2021</t>
        </is>
      </c>
      <c r="B478" s="1" t="n">
        <v>44550</v>
      </c>
      <c r="C478" s="1" t="n">
        <v>45998</v>
      </c>
      <c r="D478" t="inlineStr">
        <is>
          <t>VÄSTERBOTTENS LÄN</t>
        </is>
      </c>
      <c r="E478" t="inlineStr">
        <is>
          <t>UMEÅ</t>
        </is>
      </c>
      <c r="G478" t="n">
        <v>2.6</v>
      </c>
      <c r="H478" t="n">
        <v>0</v>
      </c>
      <c r="I478" t="n">
        <v>0</v>
      </c>
      <c r="J478" t="n">
        <v>0</v>
      </c>
      <c r="K478" t="n">
        <v>0</v>
      </c>
      <c r="L478" t="n">
        <v>0</v>
      </c>
      <c r="M478" t="n">
        <v>0</v>
      </c>
      <c r="N478" t="n">
        <v>0</v>
      </c>
      <c r="O478" t="n">
        <v>0</v>
      </c>
      <c r="P478" t="n">
        <v>0</v>
      </c>
      <c r="Q478" t="n">
        <v>0</v>
      </c>
      <c r="R478" s="2" t="inlineStr"/>
    </row>
    <row r="479" ht="15" customHeight="1">
      <c r="A479" t="inlineStr">
        <is>
          <t>A 14432-2022</t>
        </is>
      </c>
      <c r="B479" s="1" t="n">
        <v>44652.92743055556</v>
      </c>
      <c r="C479" s="1" t="n">
        <v>45998</v>
      </c>
      <c r="D479" t="inlineStr">
        <is>
          <t>VÄSTERBOTTENS LÄN</t>
        </is>
      </c>
      <c r="E479" t="inlineStr">
        <is>
          <t>UMEÅ</t>
        </is>
      </c>
      <c r="G479" t="n">
        <v>1.4</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45998</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33883-2024</t>
        </is>
      </c>
      <c r="B481" s="1" t="n">
        <v>45522.81311342592</v>
      </c>
      <c r="C481" s="1" t="n">
        <v>45998</v>
      </c>
      <c r="D481" t="inlineStr">
        <is>
          <t>VÄSTERBOTTENS LÄN</t>
        </is>
      </c>
      <c r="E481" t="inlineStr">
        <is>
          <t>UMEÅ</t>
        </is>
      </c>
      <c r="F481" t="inlineStr">
        <is>
          <t>Holmen skog AB</t>
        </is>
      </c>
      <c r="G481" t="n">
        <v>2.8</v>
      </c>
      <c r="H481" t="n">
        <v>0</v>
      </c>
      <c r="I481" t="n">
        <v>0</v>
      </c>
      <c r="J481" t="n">
        <v>0</v>
      </c>
      <c r="K481" t="n">
        <v>0</v>
      </c>
      <c r="L481" t="n">
        <v>0</v>
      </c>
      <c r="M481" t="n">
        <v>0</v>
      </c>
      <c r="N481" t="n">
        <v>0</v>
      </c>
      <c r="O481" t="n">
        <v>0</v>
      </c>
      <c r="P481" t="n">
        <v>0</v>
      </c>
      <c r="Q481" t="n">
        <v>0</v>
      </c>
      <c r="R481" s="2" t="inlineStr"/>
    </row>
    <row r="482" ht="15" customHeight="1">
      <c r="A482" t="inlineStr">
        <is>
          <t>A 58899-2024</t>
        </is>
      </c>
      <c r="B482" s="1" t="n">
        <v>45636.4705787037</v>
      </c>
      <c r="C482" s="1" t="n">
        <v>45998</v>
      </c>
      <c r="D482" t="inlineStr">
        <is>
          <t>VÄSTERBOTTENS LÄN</t>
        </is>
      </c>
      <c r="E482" t="inlineStr">
        <is>
          <t>UMEÅ</t>
        </is>
      </c>
      <c r="G482" t="n">
        <v>2</v>
      </c>
      <c r="H482" t="n">
        <v>0</v>
      </c>
      <c r="I482" t="n">
        <v>0</v>
      </c>
      <c r="J482" t="n">
        <v>0</v>
      </c>
      <c r="K482" t="n">
        <v>0</v>
      </c>
      <c r="L482" t="n">
        <v>0</v>
      </c>
      <c r="M482" t="n">
        <v>0</v>
      </c>
      <c r="N482" t="n">
        <v>0</v>
      </c>
      <c r="O482" t="n">
        <v>0</v>
      </c>
      <c r="P482" t="n">
        <v>0</v>
      </c>
      <c r="Q482" t="n">
        <v>0</v>
      </c>
      <c r="R482" s="2" t="inlineStr"/>
    </row>
    <row r="483" ht="15" customHeight="1">
      <c r="A483" t="inlineStr">
        <is>
          <t>A 29454-2023</t>
        </is>
      </c>
      <c r="B483" s="1" t="n">
        <v>45098</v>
      </c>
      <c r="C483" s="1" t="n">
        <v>45998</v>
      </c>
      <c r="D483" t="inlineStr">
        <is>
          <t>VÄSTERBOTTENS LÄN</t>
        </is>
      </c>
      <c r="E483" t="inlineStr">
        <is>
          <t>UMEÅ</t>
        </is>
      </c>
      <c r="G483" t="n">
        <v>5.7</v>
      </c>
      <c r="H483" t="n">
        <v>0</v>
      </c>
      <c r="I483" t="n">
        <v>0</v>
      </c>
      <c r="J483" t="n">
        <v>0</v>
      </c>
      <c r="K483" t="n">
        <v>0</v>
      </c>
      <c r="L483" t="n">
        <v>0</v>
      </c>
      <c r="M483" t="n">
        <v>0</v>
      </c>
      <c r="N483" t="n">
        <v>0</v>
      </c>
      <c r="O483" t="n">
        <v>0</v>
      </c>
      <c r="P483" t="n">
        <v>0</v>
      </c>
      <c r="Q483" t="n">
        <v>0</v>
      </c>
      <c r="R483" s="2" t="inlineStr"/>
    </row>
    <row r="484" ht="15" customHeight="1">
      <c r="A484" t="inlineStr">
        <is>
          <t>A 20981-2025</t>
        </is>
      </c>
      <c r="B484" s="1" t="n">
        <v>45777.46688657408</v>
      </c>
      <c r="C484" s="1" t="n">
        <v>45998</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19200-2023</t>
        </is>
      </c>
      <c r="B485" s="1" t="n">
        <v>45048</v>
      </c>
      <c r="C485" s="1" t="n">
        <v>45998</v>
      </c>
      <c r="D485" t="inlineStr">
        <is>
          <t>VÄSTERBOTTENS LÄN</t>
        </is>
      </c>
      <c r="E485" t="inlineStr">
        <is>
          <t>UMEÅ</t>
        </is>
      </c>
      <c r="G485" t="n">
        <v>0.2</v>
      </c>
      <c r="H485" t="n">
        <v>0</v>
      </c>
      <c r="I485" t="n">
        <v>0</v>
      </c>
      <c r="J485" t="n">
        <v>0</v>
      </c>
      <c r="K485" t="n">
        <v>0</v>
      </c>
      <c r="L485" t="n">
        <v>0</v>
      </c>
      <c r="M485" t="n">
        <v>0</v>
      </c>
      <c r="N485" t="n">
        <v>0</v>
      </c>
      <c r="O485" t="n">
        <v>0</v>
      </c>
      <c r="P485" t="n">
        <v>0</v>
      </c>
      <c r="Q485" t="n">
        <v>0</v>
      </c>
      <c r="R485" s="2" t="inlineStr"/>
    </row>
    <row r="486" ht="15" customHeight="1">
      <c r="A486" t="inlineStr">
        <is>
          <t>A 34121-2021</t>
        </is>
      </c>
      <c r="B486" s="1" t="n">
        <v>44379</v>
      </c>
      <c r="C486" s="1" t="n">
        <v>45998</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26617-2024</t>
        </is>
      </c>
      <c r="B487" s="1" t="n">
        <v>45469.73981481481</v>
      </c>
      <c r="C487" s="1" t="n">
        <v>45998</v>
      </c>
      <c r="D487" t="inlineStr">
        <is>
          <t>VÄSTERBOTTENS LÄN</t>
        </is>
      </c>
      <c r="E487" t="inlineStr">
        <is>
          <t>UMEÅ</t>
        </is>
      </c>
      <c r="F487" t="inlineStr">
        <is>
          <t>Holmen skog AB</t>
        </is>
      </c>
      <c r="G487" t="n">
        <v>6.2</v>
      </c>
      <c r="H487" t="n">
        <v>0</v>
      </c>
      <c r="I487" t="n">
        <v>0</v>
      </c>
      <c r="J487" t="n">
        <v>0</v>
      </c>
      <c r="K487" t="n">
        <v>0</v>
      </c>
      <c r="L487" t="n">
        <v>0</v>
      </c>
      <c r="M487" t="n">
        <v>0</v>
      </c>
      <c r="N487" t="n">
        <v>0</v>
      </c>
      <c r="O487" t="n">
        <v>0</v>
      </c>
      <c r="P487" t="n">
        <v>0</v>
      </c>
      <c r="Q487" t="n">
        <v>0</v>
      </c>
      <c r="R487" s="2" t="inlineStr"/>
    </row>
    <row r="488" ht="15" customHeight="1">
      <c r="A488" t="inlineStr">
        <is>
          <t>A 38135-2024</t>
        </is>
      </c>
      <c r="B488" s="1" t="n">
        <v>45545.41424768518</v>
      </c>
      <c r="C488" s="1" t="n">
        <v>45998</v>
      </c>
      <c r="D488" t="inlineStr">
        <is>
          <t>VÄSTERBOTTENS LÄN</t>
        </is>
      </c>
      <c r="E488" t="inlineStr">
        <is>
          <t>UMEÅ</t>
        </is>
      </c>
      <c r="G488" t="n">
        <v>8.6</v>
      </c>
      <c r="H488" t="n">
        <v>0</v>
      </c>
      <c r="I488" t="n">
        <v>0</v>
      </c>
      <c r="J488" t="n">
        <v>0</v>
      </c>
      <c r="K488" t="n">
        <v>0</v>
      </c>
      <c r="L488" t="n">
        <v>0</v>
      </c>
      <c r="M488" t="n">
        <v>0</v>
      </c>
      <c r="N488" t="n">
        <v>0</v>
      </c>
      <c r="O488" t="n">
        <v>0</v>
      </c>
      <c r="P488" t="n">
        <v>0</v>
      </c>
      <c r="Q488" t="n">
        <v>0</v>
      </c>
      <c r="R488" s="2" t="inlineStr"/>
    </row>
    <row r="489" ht="15" customHeight="1">
      <c r="A489" t="inlineStr">
        <is>
          <t>A 21228-2025</t>
        </is>
      </c>
      <c r="B489" s="1" t="n">
        <v>45779.52741898148</v>
      </c>
      <c r="C489" s="1" t="n">
        <v>45998</v>
      </c>
      <c r="D489" t="inlineStr">
        <is>
          <t>VÄSTERBOTTENS LÄN</t>
        </is>
      </c>
      <c r="E489" t="inlineStr">
        <is>
          <t>UMEÅ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2695-2023</t>
        </is>
      </c>
      <c r="B490" s="1" t="n">
        <v>44944</v>
      </c>
      <c r="C490" s="1" t="n">
        <v>45998</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18455-2021</t>
        </is>
      </c>
      <c r="B491" s="1" t="n">
        <v>44305</v>
      </c>
      <c r="C491" s="1" t="n">
        <v>45998</v>
      </c>
      <c r="D491" t="inlineStr">
        <is>
          <t>VÄSTERBOTTENS LÄN</t>
        </is>
      </c>
      <c r="E491" t="inlineStr">
        <is>
          <t>UMEÅ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36901-2024</t>
        </is>
      </c>
      <c r="B492" s="1" t="n">
        <v>45538.62810185185</v>
      </c>
      <c r="C492" s="1" t="n">
        <v>45998</v>
      </c>
      <c r="D492" t="inlineStr">
        <is>
          <t>VÄSTERBOTTENS LÄN</t>
        </is>
      </c>
      <c r="E492" t="inlineStr">
        <is>
          <t>UMEÅ</t>
        </is>
      </c>
      <c r="F492" t="inlineStr">
        <is>
          <t>Holmen skog AB</t>
        </is>
      </c>
      <c r="G492" t="n">
        <v>4.4</v>
      </c>
      <c r="H492" t="n">
        <v>0</v>
      </c>
      <c r="I492" t="n">
        <v>0</v>
      </c>
      <c r="J492" t="n">
        <v>0</v>
      </c>
      <c r="K492" t="n">
        <v>0</v>
      </c>
      <c r="L492" t="n">
        <v>0</v>
      </c>
      <c r="M492" t="n">
        <v>0</v>
      </c>
      <c r="N492" t="n">
        <v>0</v>
      </c>
      <c r="O492" t="n">
        <v>0</v>
      </c>
      <c r="P492" t="n">
        <v>0</v>
      </c>
      <c r="Q492" t="n">
        <v>0</v>
      </c>
      <c r="R492" s="2" t="inlineStr"/>
    </row>
    <row r="493" ht="15" customHeight="1">
      <c r="A493" t="inlineStr">
        <is>
          <t>A 36932-2024</t>
        </is>
      </c>
      <c r="B493" s="1" t="n">
        <v>45538</v>
      </c>
      <c r="C493" s="1" t="n">
        <v>45998</v>
      </c>
      <c r="D493" t="inlineStr">
        <is>
          <t>VÄSTERBOTTENS LÄN</t>
        </is>
      </c>
      <c r="E493" t="inlineStr">
        <is>
          <t>UMEÅ</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37014-2024</t>
        </is>
      </c>
      <c r="B494" s="1" t="n">
        <v>45539</v>
      </c>
      <c r="C494" s="1" t="n">
        <v>45998</v>
      </c>
      <c r="D494" t="inlineStr">
        <is>
          <t>VÄSTERBOTTENS LÄN</t>
        </is>
      </c>
      <c r="E494" t="inlineStr">
        <is>
          <t>UMEÅ</t>
        </is>
      </c>
      <c r="G494" t="n">
        <v>3.2</v>
      </c>
      <c r="H494" t="n">
        <v>0</v>
      </c>
      <c r="I494" t="n">
        <v>0</v>
      </c>
      <c r="J494" t="n">
        <v>0</v>
      </c>
      <c r="K494" t="n">
        <v>0</v>
      </c>
      <c r="L494" t="n">
        <v>0</v>
      </c>
      <c r="M494" t="n">
        <v>0</v>
      </c>
      <c r="N494" t="n">
        <v>0</v>
      </c>
      <c r="O494" t="n">
        <v>0</v>
      </c>
      <c r="P494" t="n">
        <v>0</v>
      </c>
      <c r="Q494" t="n">
        <v>0</v>
      </c>
      <c r="R494" s="2" t="inlineStr"/>
    </row>
    <row r="495" ht="15" customHeight="1">
      <c r="A495" t="inlineStr">
        <is>
          <t>A 43357-2021</t>
        </is>
      </c>
      <c r="B495" s="1" t="n">
        <v>44432</v>
      </c>
      <c r="C495" s="1" t="n">
        <v>45998</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29652-2024</t>
        </is>
      </c>
      <c r="B496" s="1" t="n">
        <v>45484.92328703704</v>
      </c>
      <c r="C496" s="1" t="n">
        <v>45998</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36955-2023</t>
        </is>
      </c>
      <c r="B497" s="1" t="n">
        <v>45154</v>
      </c>
      <c r="C497" s="1" t="n">
        <v>45998</v>
      </c>
      <c r="D497" t="inlineStr">
        <is>
          <t>VÄSTERBOTTENS LÄN</t>
        </is>
      </c>
      <c r="E497" t="inlineStr">
        <is>
          <t>UMEÅ</t>
        </is>
      </c>
      <c r="G497" t="n">
        <v>2.4</v>
      </c>
      <c r="H497" t="n">
        <v>0</v>
      </c>
      <c r="I497" t="n">
        <v>0</v>
      </c>
      <c r="J497" t="n">
        <v>0</v>
      </c>
      <c r="K497" t="n">
        <v>0</v>
      </c>
      <c r="L497" t="n">
        <v>0</v>
      </c>
      <c r="M497" t="n">
        <v>0</v>
      </c>
      <c r="N497" t="n">
        <v>0</v>
      </c>
      <c r="O497" t="n">
        <v>0</v>
      </c>
      <c r="P497" t="n">
        <v>0</v>
      </c>
      <c r="Q497" t="n">
        <v>0</v>
      </c>
      <c r="R497" s="2" t="inlineStr"/>
    </row>
    <row r="498" ht="15" customHeight="1">
      <c r="A498" t="inlineStr">
        <is>
          <t>A 15903-2025</t>
        </is>
      </c>
      <c r="B498" s="1" t="n">
        <v>45749</v>
      </c>
      <c r="C498" s="1" t="n">
        <v>45998</v>
      </c>
      <c r="D498" t="inlineStr">
        <is>
          <t>VÄSTERBOTTENS LÄN</t>
        </is>
      </c>
      <c r="E498" t="inlineStr">
        <is>
          <t>UMEÅ</t>
        </is>
      </c>
      <c r="G498" t="n">
        <v>0.7</v>
      </c>
      <c r="H498" t="n">
        <v>0</v>
      </c>
      <c r="I498" t="n">
        <v>0</v>
      </c>
      <c r="J498" t="n">
        <v>0</v>
      </c>
      <c r="K498" t="n">
        <v>0</v>
      </c>
      <c r="L498" t="n">
        <v>0</v>
      </c>
      <c r="M498" t="n">
        <v>0</v>
      </c>
      <c r="N498" t="n">
        <v>0</v>
      </c>
      <c r="O498" t="n">
        <v>0</v>
      </c>
      <c r="P498" t="n">
        <v>0</v>
      </c>
      <c r="Q498" t="n">
        <v>0</v>
      </c>
      <c r="R498" s="2" t="inlineStr"/>
    </row>
    <row r="499" ht="15" customHeight="1">
      <c r="A499" t="inlineStr">
        <is>
          <t>A 37443-2023</t>
        </is>
      </c>
      <c r="B499" s="1" t="n">
        <v>45147</v>
      </c>
      <c r="C499" s="1" t="n">
        <v>45998</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22007-2025</t>
        </is>
      </c>
      <c r="B500" s="1" t="n">
        <v>45784</v>
      </c>
      <c r="C500" s="1" t="n">
        <v>45998</v>
      </c>
      <c r="D500" t="inlineStr">
        <is>
          <t>VÄSTERBOTTENS LÄN</t>
        </is>
      </c>
      <c r="E500" t="inlineStr">
        <is>
          <t>UMEÅ</t>
        </is>
      </c>
      <c r="G500" t="n">
        <v>2.2</v>
      </c>
      <c r="H500" t="n">
        <v>0</v>
      </c>
      <c r="I500" t="n">
        <v>0</v>
      </c>
      <c r="J500" t="n">
        <v>0</v>
      </c>
      <c r="K500" t="n">
        <v>0</v>
      </c>
      <c r="L500" t="n">
        <v>0</v>
      </c>
      <c r="M500" t="n">
        <v>0</v>
      </c>
      <c r="N500" t="n">
        <v>0</v>
      </c>
      <c r="O500" t="n">
        <v>0</v>
      </c>
      <c r="P500" t="n">
        <v>0</v>
      </c>
      <c r="Q500" t="n">
        <v>0</v>
      </c>
      <c r="R500" s="2" t="inlineStr"/>
    </row>
    <row r="501" ht="15" customHeight="1">
      <c r="A501" t="inlineStr">
        <is>
          <t>A 2073-2024</t>
        </is>
      </c>
      <c r="B501" s="1" t="n">
        <v>45309</v>
      </c>
      <c r="C501" s="1" t="n">
        <v>45998</v>
      </c>
      <c r="D501" t="inlineStr">
        <is>
          <t>VÄSTERBOTTENS LÄN</t>
        </is>
      </c>
      <c r="E501" t="inlineStr">
        <is>
          <t>UMEÅ</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61604-2024</t>
        </is>
      </c>
      <c r="B502" s="1" t="n">
        <v>45646.64148148148</v>
      </c>
      <c r="C502" s="1" t="n">
        <v>45998</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8716-2024</t>
        </is>
      </c>
      <c r="B503" s="1" t="n">
        <v>45356</v>
      </c>
      <c r="C503" s="1" t="n">
        <v>45998</v>
      </c>
      <c r="D503" t="inlineStr">
        <is>
          <t>VÄSTERBOTTENS LÄN</t>
        </is>
      </c>
      <c r="E503" t="inlineStr">
        <is>
          <t>UMEÅ</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8717-2024</t>
        </is>
      </c>
      <c r="B504" s="1" t="n">
        <v>45356.4062962963</v>
      </c>
      <c r="C504" s="1" t="n">
        <v>45998</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10357-2023</t>
        </is>
      </c>
      <c r="B505" s="1" t="n">
        <v>44980</v>
      </c>
      <c r="C505" s="1" t="n">
        <v>45998</v>
      </c>
      <c r="D505" t="inlineStr">
        <is>
          <t>VÄSTERBOTTENS LÄN</t>
        </is>
      </c>
      <c r="E505" t="inlineStr">
        <is>
          <t>UMEÅ</t>
        </is>
      </c>
      <c r="F505" t="inlineStr">
        <is>
          <t>Kommuner</t>
        </is>
      </c>
      <c r="G505" t="n">
        <v>0.7</v>
      </c>
      <c r="H505" t="n">
        <v>0</v>
      </c>
      <c r="I505" t="n">
        <v>0</v>
      </c>
      <c r="J505" t="n">
        <v>0</v>
      </c>
      <c r="K505" t="n">
        <v>0</v>
      </c>
      <c r="L505" t="n">
        <v>0</v>
      </c>
      <c r="M505" t="n">
        <v>0</v>
      </c>
      <c r="N505" t="n">
        <v>0</v>
      </c>
      <c r="O505" t="n">
        <v>0</v>
      </c>
      <c r="P505" t="n">
        <v>0</v>
      </c>
      <c r="Q505" t="n">
        <v>0</v>
      </c>
      <c r="R505" s="2" t="inlineStr"/>
    </row>
    <row r="506" ht="15" customHeight="1">
      <c r="A506" t="inlineStr">
        <is>
          <t>A 18448-2023</t>
        </is>
      </c>
      <c r="B506" s="1" t="n">
        <v>45042</v>
      </c>
      <c r="C506" s="1" t="n">
        <v>45998</v>
      </c>
      <c r="D506" t="inlineStr">
        <is>
          <t>VÄSTERBOTTENS LÄN</t>
        </is>
      </c>
      <c r="E506" t="inlineStr">
        <is>
          <t>UMEÅ</t>
        </is>
      </c>
      <c r="G506" t="n">
        <v>7.3</v>
      </c>
      <c r="H506" t="n">
        <v>0</v>
      </c>
      <c r="I506" t="n">
        <v>0</v>
      </c>
      <c r="J506" t="n">
        <v>0</v>
      </c>
      <c r="K506" t="n">
        <v>0</v>
      </c>
      <c r="L506" t="n">
        <v>0</v>
      </c>
      <c r="M506" t="n">
        <v>0</v>
      </c>
      <c r="N506" t="n">
        <v>0</v>
      </c>
      <c r="O506" t="n">
        <v>0</v>
      </c>
      <c r="P506" t="n">
        <v>0</v>
      </c>
      <c r="Q506" t="n">
        <v>0</v>
      </c>
      <c r="R506" s="2" t="inlineStr"/>
    </row>
    <row r="507" ht="15" customHeight="1">
      <c r="A507" t="inlineStr">
        <is>
          <t>A 2767-2025</t>
        </is>
      </c>
      <c r="B507" s="1" t="n">
        <v>45677</v>
      </c>
      <c r="C507" s="1" t="n">
        <v>45998</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43649-2024</t>
        </is>
      </c>
      <c r="B508" s="1" t="n">
        <v>45569.53054398148</v>
      </c>
      <c r="C508" s="1" t="n">
        <v>45998</v>
      </c>
      <c r="D508" t="inlineStr">
        <is>
          <t>VÄSTERBOTTENS LÄN</t>
        </is>
      </c>
      <c r="E508" t="inlineStr">
        <is>
          <t>UMEÅ</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48751-2023</t>
        </is>
      </c>
      <c r="B509" s="1" t="n">
        <v>45208.89429398148</v>
      </c>
      <c r="C509" s="1" t="n">
        <v>45998</v>
      </c>
      <c r="D509" t="inlineStr">
        <is>
          <t>VÄSTERBOTTENS LÄN</t>
        </is>
      </c>
      <c r="E509" t="inlineStr">
        <is>
          <t>UMEÅ</t>
        </is>
      </c>
      <c r="G509" t="n">
        <v>5.9</v>
      </c>
      <c r="H509" t="n">
        <v>0</v>
      </c>
      <c r="I509" t="n">
        <v>0</v>
      </c>
      <c r="J509" t="n">
        <v>0</v>
      </c>
      <c r="K509" t="n">
        <v>0</v>
      </c>
      <c r="L509" t="n">
        <v>0</v>
      </c>
      <c r="M509" t="n">
        <v>0</v>
      </c>
      <c r="N509" t="n">
        <v>0</v>
      </c>
      <c r="O509" t="n">
        <v>0</v>
      </c>
      <c r="P509" t="n">
        <v>0</v>
      </c>
      <c r="Q509" t="n">
        <v>0</v>
      </c>
      <c r="R509" s="2" t="inlineStr"/>
    </row>
    <row r="510" ht="15" customHeight="1">
      <c r="A510" t="inlineStr">
        <is>
          <t>A 44166-2024</t>
        </is>
      </c>
      <c r="B510" s="1" t="n">
        <v>45572.73465277778</v>
      </c>
      <c r="C510" s="1" t="n">
        <v>45998</v>
      </c>
      <c r="D510" t="inlineStr">
        <is>
          <t>VÄSTERBOTTENS LÄN</t>
        </is>
      </c>
      <c r="E510" t="inlineStr">
        <is>
          <t>UMEÅ</t>
        </is>
      </c>
      <c r="G510" t="n">
        <v>3.2</v>
      </c>
      <c r="H510" t="n">
        <v>0</v>
      </c>
      <c r="I510" t="n">
        <v>0</v>
      </c>
      <c r="J510" t="n">
        <v>0</v>
      </c>
      <c r="K510" t="n">
        <v>0</v>
      </c>
      <c r="L510" t="n">
        <v>0</v>
      </c>
      <c r="M510" t="n">
        <v>0</v>
      </c>
      <c r="N510" t="n">
        <v>0</v>
      </c>
      <c r="O510" t="n">
        <v>0</v>
      </c>
      <c r="P510" t="n">
        <v>0</v>
      </c>
      <c r="Q510" t="n">
        <v>0</v>
      </c>
      <c r="R510" s="2" t="inlineStr"/>
    </row>
    <row r="511" ht="15" customHeight="1">
      <c r="A511" t="inlineStr">
        <is>
          <t>A 32282-2024</t>
        </is>
      </c>
      <c r="B511" s="1" t="n">
        <v>45512</v>
      </c>
      <c r="C511" s="1" t="n">
        <v>45998</v>
      </c>
      <c r="D511" t="inlineStr">
        <is>
          <t>VÄSTERBOTTENS LÄN</t>
        </is>
      </c>
      <c r="E511" t="inlineStr">
        <is>
          <t>UMEÅ</t>
        </is>
      </c>
      <c r="G511" t="n">
        <v>9.5</v>
      </c>
      <c r="H511" t="n">
        <v>0</v>
      </c>
      <c r="I511" t="n">
        <v>0</v>
      </c>
      <c r="J511" t="n">
        <v>0</v>
      </c>
      <c r="K511" t="n">
        <v>0</v>
      </c>
      <c r="L511" t="n">
        <v>0</v>
      </c>
      <c r="M511" t="n">
        <v>0</v>
      </c>
      <c r="N511" t="n">
        <v>0</v>
      </c>
      <c r="O511" t="n">
        <v>0</v>
      </c>
      <c r="P511" t="n">
        <v>0</v>
      </c>
      <c r="Q511" t="n">
        <v>0</v>
      </c>
      <c r="R511" s="2" t="inlineStr"/>
    </row>
    <row r="512" ht="15" customHeight="1">
      <c r="A512" t="inlineStr">
        <is>
          <t>A 13822-2025</t>
        </is>
      </c>
      <c r="B512" s="1" t="n">
        <v>45737.53160879629</v>
      </c>
      <c r="C512" s="1" t="n">
        <v>45998</v>
      </c>
      <c r="D512" t="inlineStr">
        <is>
          <t>VÄSTERBOTTENS LÄN</t>
        </is>
      </c>
      <c r="E512" t="inlineStr">
        <is>
          <t>UMEÅ</t>
        </is>
      </c>
      <c r="G512" t="n">
        <v>3.4</v>
      </c>
      <c r="H512" t="n">
        <v>0</v>
      </c>
      <c r="I512" t="n">
        <v>0</v>
      </c>
      <c r="J512" t="n">
        <v>0</v>
      </c>
      <c r="K512" t="n">
        <v>0</v>
      </c>
      <c r="L512" t="n">
        <v>0</v>
      </c>
      <c r="M512" t="n">
        <v>0</v>
      </c>
      <c r="N512" t="n">
        <v>0</v>
      </c>
      <c r="O512" t="n">
        <v>0</v>
      </c>
      <c r="P512" t="n">
        <v>0</v>
      </c>
      <c r="Q512" t="n">
        <v>0</v>
      </c>
      <c r="R512" s="2" t="inlineStr"/>
    </row>
    <row r="513" ht="15" customHeight="1">
      <c r="A513" t="inlineStr">
        <is>
          <t>A 37629-2024</t>
        </is>
      </c>
      <c r="B513" s="1" t="n">
        <v>45541.53135416667</v>
      </c>
      <c r="C513" s="1" t="n">
        <v>45998</v>
      </c>
      <c r="D513" t="inlineStr">
        <is>
          <t>VÄSTERBOTTENS LÄN</t>
        </is>
      </c>
      <c r="E513" t="inlineStr">
        <is>
          <t>UMEÅ</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26967-2023</t>
        </is>
      </c>
      <c r="B514" s="1" t="n">
        <v>45091</v>
      </c>
      <c r="C514" s="1" t="n">
        <v>45998</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30266-2023</t>
        </is>
      </c>
      <c r="B515" s="1" t="n">
        <v>45110</v>
      </c>
      <c r="C515" s="1" t="n">
        <v>45998</v>
      </c>
      <c r="D515" t="inlineStr">
        <is>
          <t>VÄSTERBOTTENS LÄN</t>
        </is>
      </c>
      <c r="E515" t="inlineStr">
        <is>
          <t>UMEÅ</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49793-2024</t>
        </is>
      </c>
      <c r="B516" s="1" t="n">
        <v>45597.3706712963</v>
      </c>
      <c r="C516" s="1" t="n">
        <v>45998</v>
      </c>
      <c r="D516" t="inlineStr">
        <is>
          <t>VÄSTERBOTTENS LÄN</t>
        </is>
      </c>
      <c r="E516" t="inlineStr">
        <is>
          <t>UMEÅ</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13190-2025</t>
        </is>
      </c>
      <c r="B517" s="1" t="n">
        <v>45735.39761574074</v>
      </c>
      <c r="C517" s="1" t="n">
        <v>45998</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13197-2025</t>
        </is>
      </c>
      <c r="B518" s="1" t="n">
        <v>45735</v>
      </c>
      <c r="C518" s="1" t="n">
        <v>45998</v>
      </c>
      <c r="D518" t="inlineStr">
        <is>
          <t>VÄSTERBOTTENS LÄN</t>
        </is>
      </c>
      <c r="E518" t="inlineStr">
        <is>
          <t>UMEÅ</t>
        </is>
      </c>
      <c r="G518" t="n">
        <v>2.3</v>
      </c>
      <c r="H518" t="n">
        <v>0</v>
      </c>
      <c r="I518" t="n">
        <v>0</v>
      </c>
      <c r="J518" t="n">
        <v>0</v>
      </c>
      <c r="K518" t="n">
        <v>0</v>
      </c>
      <c r="L518" t="n">
        <v>0</v>
      </c>
      <c r="M518" t="n">
        <v>0</v>
      </c>
      <c r="N518" t="n">
        <v>0</v>
      </c>
      <c r="O518" t="n">
        <v>0</v>
      </c>
      <c r="P518" t="n">
        <v>0</v>
      </c>
      <c r="Q518" t="n">
        <v>0</v>
      </c>
      <c r="R518" s="2" t="inlineStr"/>
    </row>
    <row r="519" ht="15" customHeight="1">
      <c r="A519" t="inlineStr">
        <is>
          <t>A 45603-2023</t>
        </is>
      </c>
      <c r="B519" s="1" t="n">
        <v>45194.64578703704</v>
      </c>
      <c r="C519" s="1" t="n">
        <v>45998</v>
      </c>
      <c r="D519" t="inlineStr">
        <is>
          <t>VÄSTERBOTTENS LÄN</t>
        </is>
      </c>
      <c r="E519" t="inlineStr">
        <is>
          <t>UMEÅ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21800-2025</t>
        </is>
      </c>
      <c r="B520" s="1" t="n">
        <v>45783.68863425926</v>
      </c>
      <c r="C520" s="1" t="n">
        <v>45998</v>
      </c>
      <c r="D520" t="inlineStr">
        <is>
          <t>VÄSTERBOTTENS LÄN</t>
        </is>
      </c>
      <c r="E520" t="inlineStr">
        <is>
          <t>UMEÅ</t>
        </is>
      </c>
      <c r="F520" t="inlineStr">
        <is>
          <t>Kyrkan</t>
        </is>
      </c>
      <c r="G520" t="n">
        <v>2.4</v>
      </c>
      <c r="H520" t="n">
        <v>0</v>
      </c>
      <c r="I520" t="n">
        <v>0</v>
      </c>
      <c r="J520" t="n">
        <v>0</v>
      </c>
      <c r="K520" t="n">
        <v>0</v>
      </c>
      <c r="L520" t="n">
        <v>0</v>
      </c>
      <c r="M520" t="n">
        <v>0</v>
      </c>
      <c r="N520" t="n">
        <v>0</v>
      </c>
      <c r="O520" t="n">
        <v>0</v>
      </c>
      <c r="P520" t="n">
        <v>0</v>
      </c>
      <c r="Q520" t="n">
        <v>0</v>
      </c>
      <c r="R520" s="2" t="inlineStr"/>
    </row>
    <row r="521" ht="15" customHeight="1">
      <c r="A521" t="inlineStr">
        <is>
          <t>A 5078-2025</t>
        </is>
      </c>
      <c r="B521" s="1" t="n">
        <v>45691.50020833333</v>
      </c>
      <c r="C521" s="1" t="n">
        <v>45998</v>
      </c>
      <c r="D521" t="inlineStr">
        <is>
          <t>VÄSTERBOTTENS LÄN</t>
        </is>
      </c>
      <c r="E521" t="inlineStr">
        <is>
          <t>UMEÅ</t>
        </is>
      </c>
      <c r="G521" t="n">
        <v>1.2</v>
      </c>
      <c r="H521" t="n">
        <v>0</v>
      </c>
      <c r="I521" t="n">
        <v>0</v>
      </c>
      <c r="J521" t="n">
        <v>0</v>
      </c>
      <c r="K521" t="n">
        <v>0</v>
      </c>
      <c r="L521" t="n">
        <v>0</v>
      </c>
      <c r="M521" t="n">
        <v>0</v>
      </c>
      <c r="N521" t="n">
        <v>0</v>
      </c>
      <c r="O521" t="n">
        <v>0</v>
      </c>
      <c r="P521" t="n">
        <v>0</v>
      </c>
      <c r="Q521" t="n">
        <v>0</v>
      </c>
      <c r="R521" s="2" t="inlineStr"/>
    </row>
    <row r="522" ht="15" customHeight="1">
      <c r="A522" t="inlineStr">
        <is>
          <t>A 21794-2025</t>
        </is>
      </c>
      <c r="B522" s="1" t="n">
        <v>45783.67894675926</v>
      </c>
      <c r="C522" s="1" t="n">
        <v>45998</v>
      </c>
      <c r="D522" t="inlineStr">
        <is>
          <t>VÄSTERBOTTENS LÄN</t>
        </is>
      </c>
      <c r="E522" t="inlineStr">
        <is>
          <t>UMEÅ</t>
        </is>
      </c>
      <c r="G522" t="n">
        <v>6</v>
      </c>
      <c r="H522" t="n">
        <v>0</v>
      </c>
      <c r="I522" t="n">
        <v>0</v>
      </c>
      <c r="J522" t="n">
        <v>0</v>
      </c>
      <c r="K522" t="n">
        <v>0</v>
      </c>
      <c r="L522" t="n">
        <v>0</v>
      </c>
      <c r="M522" t="n">
        <v>0</v>
      </c>
      <c r="N522" t="n">
        <v>0</v>
      </c>
      <c r="O522" t="n">
        <v>0</v>
      </c>
      <c r="P522" t="n">
        <v>0</v>
      </c>
      <c r="Q522" t="n">
        <v>0</v>
      </c>
      <c r="R522" s="2" t="inlineStr"/>
    </row>
    <row r="523" ht="15" customHeight="1">
      <c r="A523" t="inlineStr">
        <is>
          <t>A 57883-2023</t>
        </is>
      </c>
      <c r="B523" s="1" t="n">
        <v>45247.47055555556</v>
      </c>
      <c r="C523" s="1" t="n">
        <v>45998</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17110-2023</t>
        </is>
      </c>
      <c r="B524" s="1" t="n">
        <v>45030</v>
      </c>
      <c r="C524" s="1" t="n">
        <v>45998</v>
      </c>
      <c r="D524" t="inlineStr">
        <is>
          <t>VÄSTERBOTTENS LÄN</t>
        </is>
      </c>
      <c r="E524" t="inlineStr">
        <is>
          <t>UMEÅ</t>
        </is>
      </c>
      <c r="G524" t="n">
        <v>3.1</v>
      </c>
      <c r="H524" t="n">
        <v>0</v>
      </c>
      <c r="I524" t="n">
        <v>0</v>
      </c>
      <c r="J524" t="n">
        <v>0</v>
      </c>
      <c r="K524" t="n">
        <v>0</v>
      </c>
      <c r="L524" t="n">
        <v>0</v>
      </c>
      <c r="M524" t="n">
        <v>0</v>
      </c>
      <c r="N524" t="n">
        <v>0</v>
      </c>
      <c r="O524" t="n">
        <v>0</v>
      </c>
      <c r="P524" t="n">
        <v>0</v>
      </c>
      <c r="Q524" t="n">
        <v>0</v>
      </c>
      <c r="R524" s="2" t="inlineStr"/>
    </row>
    <row r="525" ht="15" customHeight="1">
      <c r="A525" t="inlineStr">
        <is>
          <t>A 8317-2025</t>
        </is>
      </c>
      <c r="B525" s="1" t="n">
        <v>45708</v>
      </c>
      <c r="C525" s="1" t="n">
        <v>45998</v>
      </c>
      <c r="D525" t="inlineStr">
        <is>
          <t>VÄSTERBOTTENS LÄN</t>
        </is>
      </c>
      <c r="E525" t="inlineStr">
        <is>
          <t>UMEÅ</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16453-2024</t>
        </is>
      </c>
      <c r="B526" s="1" t="n">
        <v>45407</v>
      </c>
      <c r="C526" s="1" t="n">
        <v>45998</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24875-2023</t>
        </is>
      </c>
      <c r="B527" s="1" t="n">
        <v>45078</v>
      </c>
      <c r="C527" s="1" t="n">
        <v>45998</v>
      </c>
      <c r="D527" t="inlineStr">
        <is>
          <t>VÄSTERBOTTENS LÄN</t>
        </is>
      </c>
      <c r="E527" t="inlineStr">
        <is>
          <t>UMEÅ</t>
        </is>
      </c>
      <c r="G527" t="n">
        <v>3.6</v>
      </c>
      <c r="H527" t="n">
        <v>0</v>
      </c>
      <c r="I527" t="n">
        <v>0</v>
      </c>
      <c r="J527" t="n">
        <v>0</v>
      </c>
      <c r="K527" t="n">
        <v>0</v>
      </c>
      <c r="L527" t="n">
        <v>0</v>
      </c>
      <c r="M527" t="n">
        <v>0</v>
      </c>
      <c r="N527" t="n">
        <v>0</v>
      </c>
      <c r="O527" t="n">
        <v>0</v>
      </c>
      <c r="P527" t="n">
        <v>0</v>
      </c>
      <c r="Q527" t="n">
        <v>0</v>
      </c>
      <c r="R527" s="2" t="inlineStr"/>
    </row>
    <row r="528" ht="15" customHeight="1">
      <c r="A528" t="inlineStr">
        <is>
          <t>A 22004-2025</t>
        </is>
      </c>
      <c r="B528" s="1" t="n">
        <v>45784</v>
      </c>
      <c r="C528" s="1" t="n">
        <v>45998</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53731-2024</t>
        </is>
      </c>
      <c r="B529" s="1" t="n">
        <v>45615</v>
      </c>
      <c r="C529" s="1" t="n">
        <v>45998</v>
      </c>
      <c r="D529" t="inlineStr">
        <is>
          <t>VÄSTERBOTTENS LÄN</t>
        </is>
      </c>
      <c r="E529" t="inlineStr">
        <is>
          <t>UMEÅ</t>
        </is>
      </c>
      <c r="G529" t="n">
        <v>2.7</v>
      </c>
      <c r="H529" t="n">
        <v>0</v>
      </c>
      <c r="I529" t="n">
        <v>0</v>
      </c>
      <c r="J529" t="n">
        <v>0</v>
      </c>
      <c r="K529" t="n">
        <v>0</v>
      </c>
      <c r="L529" t="n">
        <v>0</v>
      </c>
      <c r="M529" t="n">
        <v>0</v>
      </c>
      <c r="N529" t="n">
        <v>0</v>
      </c>
      <c r="O529" t="n">
        <v>0</v>
      </c>
      <c r="P529" t="n">
        <v>0</v>
      </c>
      <c r="Q529" t="n">
        <v>0</v>
      </c>
      <c r="R529" s="2" t="inlineStr"/>
    </row>
    <row r="530" ht="15" customHeight="1">
      <c r="A530" t="inlineStr">
        <is>
          <t>A 58440-2024</t>
        </is>
      </c>
      <c r="B530" s="1" t="n">
        <v>45635.31018518518</v>
      </c>
      <c r="C530" s="1" t="n">
        <v>45998</v>
      </c>
      <c r="D530" t="inlineStr">
        <is>
          <t>VÄSTERBOTTENS LÄN</t>
        </is>
      </c>
      <c r="E530" t="inlineStr">
        <is>
          <t>UMEÅ</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21610-2025</t>
        </is>
      </c>
      <c r="B531" s="1" t="n">
        <v>45783.39127314815</v>
      </c>
      <c r="C531" s="1" t="n">
        <v>45998</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21612-2025</t>
        </is>
      </c>
      <c r="B532" s="1" t="n">
        <v>45783.39449074074</v>
      </c>
      <c r="C532" s="1" t="n">
        <v>45998</v>
      </c>
      <c r="D532" t="inlineStr">
        <is>
          <t>VÄSTERBOTTENS LÄN</t>
        </is>
      </c>
      <c r="E532" t="inlineStr">
        <is>
          <t>UMEÅ</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15430-2024</t>
        </is>
      </c>
      <c r="B533" s="1" t="n">
        <v>45401</v>
      </c>
      <c r="C533" s="1" t="n">
        <v>45998</v>
      </c>
      <c r="D533" t="inlineStr">
        <is>
          <t>VÄSTERBOTTENS LÄN</t>
        </is>
      </c>
      <c r="E533" t="inlineStr">
        <is>
          <t>UMEÅ</t>
        </is>
      </c>
      <c r="F533" t="inlineStr">
        <is>
          <t>Holmen skog AB</t>
        </is>
      </c>
      <c r="G533" t="n">
        <v>37.4</v>
      </c>
      <c r="H533" t="n">
        <v>0</v>
      </c>
      <c r="I533" t="n">
        <v>0</v>
      </c>
      <c r="J533" t="n">
        <v>0</v>
      </c>
      <c r="K533" t="n">
        <v>0</v>
      </c>
      <c r="L533" t="n">
        <v>0</v>
      </c>
      <c r="M533" t="n">
        <v>0</v>
      </c>
      <c r="N533" t="n">
        <v>0</v>
      </c>
      <c r="O533" t="n">
        <v>0</v>
      </c>
      <c r="P533" t="n">
        <v>0</v>
      </c>
      <c r="Q533" t="n">
        <v>0</v>
      </c>
      <c r="R533" s="2" t="inlineStr"/>
    </row>
    <row r="534" ht="15" customHeight="1">
      <c r="A534" t="inlineStr">
        <is>
          <t>A 54509-2024</t>
        </is>
      </c>
      <c r="B534" s="1" t="n">
        <v>45617.58597222222</v>
      </c>
      <c r="C534" s="1" t="n">
        <v>45998</v>
      </c>
      <c r="D534" t="inlineStr">
        <is>
          <t>VÄSTERBOTTENS LÄN</t>
        </is>
      </c>
      <c r="E534" t="inlineStr">
        <is>
          <t>UMEÅ</t>
        </is>
      </c>
      <c r="F534" t="inlineStr">
        <is>
          <t>Holmen skog AB</t>
        </is>
      </c>
      <c r="G534" t="n">
        <v>7.2</v>
      </c>
      <c r="H534" t="n">
        <v>0</v>
      </c>
      <c r="I534" t="n">
        <v>0</v>
      </c>
      <c r="J534" t="n">
        <v>0</v>
      </c>
      <c r="K534" t="n">
        <v>0</v>
      </c>
      <c r="L534" t="n">
        <v>0</v>
      </c>
      <c r="M534" t="n">
        <v>0</v>
      </c>
      <c r="N534" t="n">
        <v>0</v>
      </c>
      <c r="O534" t="n">
        <v>0</v>
      </c>
      <c r="P534" t="n">
        <v>0</v>
      </c>
      <c r="Q534" t="n">
        <v>0</v>
      </c>
      <c r="R534" s="2" t="inlineStr"/>
    </row>
    <row r="535" ht="15" customHeight="1">
      <c r="A535" t="inlineStr">
        <is>
          <t>A 39445-2023</t>
        </is>
      </c>
      <c r="B535" s="1" t="n">
        <v>45166</v>
      </c>
      <c r="C535" s="1" t="n">
        <v>45998</v>
      </c>
      <c r="D535" t="inlineStr">
        <is>
          <t>VÄSTERBOTTENS LÄN</t>
        </is>
      </c>
      <c r="E535" t="inlineStr">
        <is>
          <t>UMEÅ</t>
        </is>
      </c>
      <c r="G535" t="n">
        <v>33.4</v>
      </c>
      <c r="H535" t="n">
        <v>0</v>
      </c>
      <c r="I535" t="n">
        <v>0</v>
      </c>
      <c r="J535" t="n">
        <v>0</v>
      </c>
      <c r="K535" t="n">
        <v>0</v>
      </c>
      <c r="L535" t="n">
        <v>0</v>
      </c>
      <c r="M535" t="n">
        <v>0</v>
      </c>
      <c r="N535" t="n">
        <v>0</v>
      </c>
      <c r="O535" t="n">
        <v>0</v>
      </c>
      <c r="P535" t="n">
        <v>0</v>
      </c>
      <c r="Q535" t="n">
        <v>0</v>
      </c>
      <c r="R535" s="2" t="inlineStr"/>
    </row>
    <row r="536" ht="15" customHeight="1">
      <c r="A536" t="inlineStr">
        <is>
          <t>A 8184-2025</t>
        </is>
      </c>
      <c r="B536" s="1" t="n">
        <v>45708</v>
      </c>
      <c r="C536" s="1" t="n">
        <v>45998</v>
      </c>
      <c r="D536" t="inlineStr">
        <is>
          <t>VÄSTERBOTTENS LÄN</t>
        </is>
      </c>
      <c r="E536" t="inlineStr">
        <is>
          <t>UMEÅ</t>
        </is>
      </c>
      <c r="F536" t="inlineStr">
        <is>
          <t>Holmen skog AB</t>
        </is>
      </c>
      <c r="G536" t="n">
        <v>3</v>
      </c>
      <c r="H536" t="n">
        <v>0</v>
      </c>
      <c r="I536" t="n">
        <v>0</v>
      </c>
      <c r="J536" t="n">
        <v>0</v>
      </c>
      <c r="K536" t="n">
        <v>0</v>
      </c>
      <c r="L536" t="n">
        <v>0</v>
      </c>
      <c r="M536" t="n">
        <v>0</v>
      </c>
      <c r="N536" t="n">
        <v>0</v>
      </c>
      <c r="O536" t="n">
        <v>0</v>
      </c>
      <c r="P536" t="n">
        <v>0</v>
      </c>
      <c r="Q536" t="n">
        <v>0</v>
      </c>
      <c r="R536" s="2" t="inlineStr"/>
    </row>
    <row r="537" ht="15" customHeight="1">
      <c r="A537" t="inlineStr">
        <is>
          <t>A 8581-2025</t>
        </is>
      </c>
      <c r="B537" s="1" t="n">
        <v>45709.67219907408</v>
      </c>
      <c r="C537" s="1" t="n">
        <v>45998</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8584-2025</t>
        </is>
      </c>
      <c r="B538" s="1" t="n">
        <v>45709.67657407407</v>
      </c>
      <c r="C538" s="1" t="n">
        <v>45998</v>
      </c>
      <c r="D538" t="inlineStr">
        <is>
          <t>VÄSTERBOTTENS LÄN</t>
        </is>
      </c>
      <c r="E538" t="inlineStr">
        <is>
          <t>UMEÅ</t>
        </is>
      </c>
      <c r="G538" t="n">
        <v>1.2</v>
      </c>
      <c r="H538" t="n">
        <v>0</v>
      </c>
      <c r="I538" t="n">
        <v>0</v>
      </c>
      <c r="J538" t="n">
        <v>0</v>
      </c>
      <c r="K538" t="n">
        <v>0</v>
      </c>
      <c r="L538" t="n">
        <v>0</v>
      </c>
      <c r="M538" t="n">
        <v>0</v>
      </c>
      <c r="N538" t="n">
        <v>0</v>
      </c>
      <c r="O538" t="n">
        <v>0</v>
      </c>
      <c r="P538" t="n">
        <v>0</v>
      </c>
      <c r="Q538" t="n">
        <v>0</v>
      </c>
      <c r="R538" s="2" t="inlineStr"/>
    </row>
    <row r="539" ht="15" customHeight="1">
      <c r="A539" t="inlineStr">
        <is>
          <t>A 8586-2025</t>
        </is>
      </c>
      <c r="B539" s="1" t="n">
        <v>45709.67998842592</v>
      </c>
      <c r="C539" s="1" t="n">
        <v>45998</v>
      </c>
      <c r="D539" t="inlineStr">
        <is>
          <t>VÄSTERBOTTENS LÄN</t>
        </is>
      </c>
      <c r="E539" t="inlineStr">
        <is>
          <t>UMEÅ</t>
        </is>
      </c>
      <c r="G539" t="n">
        <v>0.3</v>
      </c>
      <c r="H539" t="n">
        <v>0</v>
      </c>
      <c r="I539" t="n">
        <v>0</v>
      </c>
      <c r="J539" t="n">
        <v>0</v>
      </c>
      <c r="K539" t="n">
        <v>0</v>
      </c>
      <c r="L539" t="n">
        <v>0</v>
      </c>
      <c r="M539" t="n">
        <v>0</v>
      </c>
      <c r="N539" t="n">
        <v>0</v>
      </c>
      <c r="O539" t="n">
        <v>0</v>
      </c>
      <c r="P539" t="n">
        <v>0</v>
      </c>
      <c r="Q539" t="n">
        <v>0</v>
      </c>
      <c r="R539" s="2" t="inlineStr"/>
    </row>
    <row r="540" ht="15" customHeight="1">
      <c r="A540" t="inlineStr">
        <is>
          <t>A 8618-2025</t>
        </is>
      </c>
      <c r="B540" s="1" t="n">
        <v>45711</v>
      </c>
      <c r="C540" s="1" t="n">
        <v>45998</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5302-2025</t>
        </is>
      </c>
      <c r="B541" s="1" t="n">
        <v>45692.47335648148</v>
      </c>
      <c r="C541" s="1" t="n">
        <v>45998</v>
      </c>
      <c r="D541" t="inlineStr">
        <is>
          <t>VÄSTERBOTTENS LÄN</t>
        </is>
      </c>
      <c r="E541" t="inlineStr">
        <is>
          <t>UMEÅ</t>
        </is>
      </c>
      <c r="G541" t="n">
        <v>1.3</v>
      </c>
      <c r="H541" t="n">
        <v>0</v>
      </c>
      <c r="I541" t="n">
        <v>0</v>
      </c>
      <c r="J541" t="n">
        <v>0</v>
      </c>
      <c r="K541" t="n">
        <v>0</v>
      </c>
      <c r="L541" t="n">
        <v>0</v>
      </c>
      <c r="M541" t="n">
        <v>0</v>
      </c>
      <c r="N541" t="n">
        <v>0</v>
      </c>
      <c r="O541" t="n">
        <v>0</v>
      </c>
      <c r="P541" t="n">
        <v>0</v>
      </c>
      <c r="Q541" t="n">
        <v>0</v>
      </c>
      <c r="R541" s="2" t="inlineStr"/>
    </row>
    <row r="542" ht="15" customHeight="1">
      <c r="A542" t="inlineStr">
        <is>
          <t>A 14039-2024</t>
        </is>
      </c>
      <c r="B542" s="1" t="n">
        <v>45392</v>
      </c>
      <c r="C542" s="1" t="n">
        <v>45998</v>
      </c>
      <c r="D542" t="inlineStr">
        <is>
          <t>VÄSTERBOTTENS LÄN</t>
        </is>
      </c>
      <c r="E542" t="inlineStr">
        <is>
          <t>UMEÅ</t>
        </is>
      </c>
      <c r="G542" t="n">
        <v>6.1</v>
      </c>
      <c r="H542" t="n">
        <v>0</v>
      </c>
      <c r="I542" t="n">
        <v>0</v>
      </c>
      <c r="J542" t="n">
        <v>0</v>
      </c>
      <c r="K542" t="n">
        <v>0</v>
      </c>
      <c r="L542" t="n">
        <v>0</v>
      </c>
      <c r="M542" t="n">
        <v>0</v>
      </c>
      <c r="N542" t="n">
        <v>0</v>
      </c>
      <c r="O542" t="n">
        <v>0</v>
      </c>
      <c r="P542" t="n">
        <v>0</v>
      </c>
      <c r="Q542" t="n">
        <v>0</v>
      </c>
      <c r="R542" s="2" t="inlineStr"/>
    </row>
    <row r="543" ht="15" customHeight="1">
      <c r="A543" t="inlineStr">
        <is>
          <t>A 21795-2025</t>
        </is>
      </c>
      <c r="B543" s="1" t="n">
        <v>45783.68131944445</v>
      </c>
      <c r="C543" s="1" t="n">
        <v>45998</v>
      </c>
      <c r="D543" t="inlineStr">
        <is>
          <t>VÄSTERBOTTENS LÄN</t>
        </is>
      </c>
      <c r="E543" t="inlineStr">
        <is>
          <t>UMEÅ</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45325-2024</t>
        </is>
      </c>
      <c r="B544" s="1" t="n">
        <v>45576.45346064815</v>
      </c>
      <c r="C544" s="1" t="n">
        <v>45998</v>
      </c>
      <c r="D544" t="inlineStr">
        <is>
          <t>VÄSTERBOTTENS LÄN</t>
        </is>
      </c>
      <c r="E544" t="inlineStr">
        <is>
          <t>UMEÅ</t>
        </is>
      </c>
      <c r="F544" t="inlineStr">
        <is>
          <t>Holmen skog AB</t>
        </is>
      </c>
      <c r="G544" t="n">
        <v>7.1</v>
      </c>
      <c r="H544" t="n">
        <v>0</v>
      </c>
      <c r="I544" t="n">
        <v>0</v>
      </c>
      <c r="J544" t="n">
        <v>0</v>
      </c>
      <c r="K544" t="n">
        <v>0</v>
      </c>
      <c r="L544" t="n">
        <v>0</v>
      </c>
      <c r="M544" t="n">
        <v>0</v>
      </c>
      <c r="N544" t="n">
        <v>0</v>
      </c>
      <c r="O544" t="n">
        <v>0</v>
      </c>
      <c r="P544" t="n">
        <v>0</v>
      </c>
      <c r="Q544" t="n">
        <v>0</v>
      </c>
      <c r="R544" s="2" t="inlineStr"/>
    </row>
    <row r="545" ht="15" customHeight="1">
      <c r="A545" t="inlineStr">
        <is>
          <t>A 28099-2023</t>
        </is>
      </c>
      <c r="B545" s="1" t="n">
        <v>45099</v>
      </c>
      <c r="C545" s="1" t="n">
        <v>45998</v>
      </c>
      <c r="D545" t="inlineStr">
        <is>
          <t>VÄSTERBOTTENS LÄN</t>
        </is>
      </c>
      <c r="E545" t="inlineStr">
        <is>
          <t>UMEÅ</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7438-2022</t>
        </is>
      </c>
      <c r="B546" s="1" t="n">
        <v>44606.93429398148</v>
      </c>
      <c r="C546" s="1" t="n">
        <v>45998</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759-2023</t>
        </is>
      </c>
      <c r="B547" s="1" t="n">
        <v>44931</v>
      </c>
      <c r="C547" s="1" t="n">
        <v>45998</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17352-2023</t>
        </is>
      </c>
      <c r="B548" s="1" t="n">
        <v>45033</v>
      </c>
      <c r="C548" s="1" t="n">
        <v>45998</v>
      </c>
      <c r="D548" t="inlineStr">
        <is>
          <t>VÄSTERBOTTENS LÄN</t>
        </is>
      </c>
      <c r="E548" t="inlineStr">
        <is>
          <t>UMEÅ</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23983-2023</t>
        </is>
      </c>
      <c r="B549" s="1" t="n">
        <v>45078</v>
      </c>
      <c r="C549" s="1" t="n">
        <v>45998</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58130-2023</t>
        </is>
      </c>
      <c r="B550" s="1" t="n">
        <v>45249.95226851852</v>
      </c>
      <c r="C550" s="1" t="n">
        <v>45998</v>
      </c>
      <c r="D550" t="inlineStr">
        <is>
          <t>VÄSTERBOTTENS LÄN</t>
        </is>
      </c>
      <c r="E550" t="inlineStr">
        <is>
          <t>UMEÅ</t>
        </is>
      </c>
      <c r="G550" t="n">
        <v>0.5</v>
      </c>
      <c r="H550" t="n">
        <v>0</v>
      </c>
      <c r="I550" t="n">
        <v>0</v>
      </c>
      <c r="J550" t="n">
        <v>0</v>
      </c>
      <c r="K550" t="n">
        <v>0</v>
      </c>
      <c r="L550" t="n">
        <v>0</v>
      </c>
      <c r="M550" t="n">
        <v>0</v>
      </c>
      <c r="N550" t="n">
        <v>0</v>
      </c>
      <c r="O550" t="n">
        <v>0</v>
      </c>
      <c r="P550" t="n">
        <v>0</v>
      </c>
      <c r="Q550" t="n">
        <v>0</v>
      </c>
      <c r="R550" s="2" t="inlineStr"/>
    </row>
    <row r="551" ht="15" customHeight="1">
      <c r="A551" t="inlineStr">
        <is>
          <t>A 9169-2025</t>
        </is>
      </c>
      <c r="B551" s="1" t="n">
        <v>45714.39142361111</v>
      </c>
      <c r="C551" s="1" t="n">
        <v>45998</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46372-2023</t>
        </is>
      </c>
      <c r="B552" s="1" t="n">
        <v>45197</v>
      </c>
      <c r="C552" s="1" t="n">
        <v>45998</v>
      </c>
      <c r="D552" t="inlineStr">
        <is>
          <t>VÄSTERBOTTENS LÄN</t>
        </is>
      </c>
      <c r="E552" t="inlineStr">
        <is>
          <t>UMEÅ</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4650-2025</t>
        </is>
      </c>
      <c r="B553" s="1" t="n">
        <v>45687.66449074074</v>
      </c>
      <c r="C553" s="1" t="n">
        <v>45998</v>
      </c>
      <c r="D553" t="inlineStr">
        <is>
          <t>VÄSTERBOTTENS LÄN</t>
        </is>
      </c>
      <c r="E553" t="inlineStr">
        <is>
          <t>UMEÅ</t>
        </is>
      </c>
      <c r="F553" t="inlineStr">
        <is>
          <t>Holmen skog AB</t>
        </is>
      </c>
      <c r="G553" t="n">
        <v>20.8</v>
      </c>
      <c r="H553" t="n">
        <v>0</v>
      </c>
      <c r="I553" t="n">
        <v>0</v>
      </c>
      <c r="J553" t="n">
        <v>0</v>
      </c>
      <c r="K553" t="n">
        <v>0</v>
      </c>
      <c r="L553" t="n">
        <v>0</v>
      </c>
      <c r="M553" t="n">
        <v>0</v>
      </c>
      <c r="N553" t="n">
        <v>0</v>
      </c>
      <c r="O553" t="n">
        <v>0</v>
      </c>
      <c r="P553" t="n">
        <v>0</v>
      </c>
      <c r="Q553" t="n">
        <v>0</v>
      </c>
      <c r="R553" s="2" t="inlineStr"/>
    </row>
    <row r="554" ht="15" customHeight="1">
      <c r="A554" t="inlineStr">
        <is>
          <t>A 59333-2023</t>
        </is>
      </c>
      <c r="B554" s="1" t="n">
        <v>45252</v>
      </c>
      <c r="C554" s="1" t="n">
        <v>45998</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21440-2024</t>
        </is>
      </c>
      <c r="B555" s="1" t="n">
        <v>45441</v>
      </c>
      <c r="C555" s="1" t="n">
        <v>45998</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11063-2025</t>
        </is>
      </c>
      <c r="B556" s="1" t="n">
        <v>45723.52046296297</v>
      </c>
      <c r="C556" s="1" t="n">
        <v>45998</v>
      </c>
      <c r="D556" t="inlineStr">
        <is>
          <t>VÄSTERBOTTENS LÄN</t>
        </is>
      </c>
      <c r="E556" t="inlineStr">
        <is>
          <t>UMEÅ</t>
        </is>
      </c>
      <c r="G556" t="n">
        <v>3.8</v>
      </c>
      <c r="H556" t="n">
        <v>0</v>
      </c>
      <c r="I556" t="n">
        <v>0</v>
      </c>
      <c r="J556" t="n">
        <v>0</v>
      </c>
      <c r="K556" t="n">
        <v>0</v>
      </c>
      <c r="L556" t="n">
        <v>0</v>
      </c>
      <c r="M556" t="n">
        <v>0</v>
      </c>
      <c r="N556" t="n">
        <v>0</v>
      </c>
      <c r="O556" t="n">
        <v>0</v>
      </c>
      <c r="P556" t="n">
        <v>0</v>
      </c>
      <c r="Q556" t="n">
        <v>0</v>
      </c>
      <c r="R556" s="2" t="inlineStr"/>
    </row>
    <row r="557" ht="15" customHeight="1">
      <c r="A557" t="inlineStr">
        <is>
          <t>A 2258-2025</t>
        </is>
      </c>
      <c r="B557" s="1" t="n">
        <v>45673.51619212963</v>
      </c>
      <c r="C557" s="1" t="n">
        <v>45998</v>
      </c>
      <c r="D557" t="inlineStr">
        <is>
          <t>VÄSTERBOTTENS LÄN</t>
        </is>
      </c>
      <c r="E557" t="inlineStr">
        <is>
          <t>UMEÅ</t>
        </is>
      </c>
      <c r="G557" t="n">
        <v>2.4</v>
      </c>
      <c r="H557" t="n">
        <v>0</v>
      </c>
      <c r="I557" t="n">
        <v>0</v>
      </c>
      <c r="J557" t="n">
        <v>0</v>
      </c>
      <c r="K557" t="n">
        <v>0</v>
      </c>
      <c r="L557" t="n">
        <v>0</v>
      </c>
      <c r="M557" t="n">
        <v>0</v>
      </c>
      <c r="N557" t="n">
        <v>0</v>
      </c>
      <c r="O557" t="n">
        <v>0</v>
      </c>
      <c r="P557" t="n">
        <v>0</v>
      </c>
      <c r="Q557" t="n">
        <v>0</v>
      </c>
      <c r="R557" s="2" t="inlineStr"/>
    </row>
    <row r="558" ht="15" customHeight="1">
      <c r="A558" t="inlineStr">
        <is>
          <t>A 3828-2025</t>
        </is>
      </c>
      <c r="B558" s="1" t="n">
        <v>45681.82818287037</v>
      </c>
      <c r="C558" s="1" t="n">
        <v>45998</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3829-2025</t>
        </is>
      </c>
      <c r="B559" s="1" t="n">
        <v>45681.83350694444</v>
      </c>
      <c r="C559" s="1" t="n">
        <v>45998</v>
      </c>
      <c r="D559" t="inlineStr">
        <is>
          <t>VÄSTERBOTTENS LÄN</t>
        </is>
      </c>
      <c r="E559" t="inlineStr">
        <is>
          <t>UMEÅ</t>
        </is>
      </c>
      <c r="G559" t="n">
        <v>0.5</v>
      </c>
      <c r="H559" t="n">
        <v>0</v>
      </c>
      <c r="I559" t="n">
        <v>0</v>
      </c>
      <c r="J559" t="n">
        <v>0</v>
      </c>
      <c r="K559" t="n">
        <v>0</v>
      </c>
      <c r="L559" t="n">
        <v>0</v>
      </c>
      <c r="M559" t="n">
        <v>0</v>
      </c>
      <c r="N559" t="n">
        <v>0</v>
      </c>
      <c r="O559" t="n">
        <v>0</v>
      </c>
      <c r="P559" t="n">
        <v>0</v>
      </c>
      <c r="Q559" t="n">
        <v>0</v>
      </c>
      <c r="R559" s="2" t="inlineStr"/>
    </row>
    <row r="560" ht="15" customHeight="1">
      <c r="A560" t="inlineStr">
        <is>
          <t>A 9769-2022</t>
        </is>
      </c>
      <c r="B560" s="1" t="n">
        <v>44619.71880787037</v>
      </c>
      <c r="C560" s="1" t="n">
        <v>45998</v>
      </c>
      <c r="D560" t="inlineStr">
        <is>
          <t>VÄSTERBOTTENS LÄN</t>
        </is>
      </c>
      <c r="E560" t="inlineStr">
        <is>
          <t>UMEÅ</t>
        </is>
      </c>
      <c r="G560" t="n">
        <v>12.6</v>
      </c>
      <c r="H560" t="n">
        <v>0</v>
      </c>
      <c r="I560" t="n">
        <v>0</v>
      </c>
      <c r="J560" t="n">
        <v>0</v>
      </c>
      <c r="K560" t="n">
        <v>0</v>
      </c>
      <c r="L560" t="n">
        <v>0</v>
      </c>
      <c r="M560" t="n">
        <v>0</v>
      </c>
      <c r="N560" t="n">
        <v>0</v>
      </c>
      <c r="O560" t="n">
        <v>0</v>
      </c>
      <c r="P560" t="n">
        <v>0</v>
      </c>
      <c r="Q560" t="n">
        <v>0</v>
      </c>
      <c r="R560" s="2" t="inlineStr"/>
    </row>
    <row r="561" ht="15" customHeight="1">
      <c r="A561" t="inlineStr">
        <is>
          <t>A 57510-2024</t>
        </is>
      </c>
      <c r="B561" s="1" t="n">
        <v>45630.3946875</v>
      </c>
      <c r="C561" s="1" t="n">
        <v>45998</v>
      </c>
      <c r="D561" t="inlineStr">
        <is>
          <t>VÄSTERBOTTENS LÄN</t>
        </is>
      </c>
      <c r="E561" t="inlineStr">
        <is>
          <t>UMEÅ</t>
        </is>
      </c>
      <c r="G561" t="n">
        <v>1.9</v>
      </c>
      <c r="H561" t="n">
        <v>0</v>
      </c>
      <c r="I561" t="n">
        <v>0</v>
      </c>
      <c r="J561" t="n">
        <v>0</v>
      </c>
      <c r="K561" t="n">
        <v>0</v>
      </c>
      <c r="L561" t="n">
        <v>0</v>
      </c>
      <c r="M561" t="n">
        <v>0</v>
      </c>
      <c r="N561" t="n">
        <v>0</v>
      </c>
      <c r="O561" t="n">
        <v>0</v>
      </c>
      <c r="P561" t="n">
        <v>0</v>
      </c>
      <c r="Q561" t="n">
        <v>0</v>
      </c>
      <c r="R561" s="2" t="inlineStr"/>
    </row>
    <row r="562" ht="15" customHeight="1">
      <c r="A562" t="inlineStr">
        <is>
          <t>A 7263-2022</t>
        </is>
      </c>
      <c r="B562" s="1" t="n">
        <v>44606.44032407407</v>
      </c>
      <c r="C562" s="1" t="n">
        <v>45998</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39594-2023</t>
        </is>
      </c>
      <c r="B563" s="1" t="n">
        <v>45167</v>
      </c>
      <c r="C563" s="1" t="n">
        <v>45998</v>
      </c>
      <c r="D563" t="inlineStr">
        <is>
          <t>VÄSTERBOTTENS LÄN</t>
        </is>
      </c>
      <c r="E563" t="inlineStr">
        <is>
          <t>UMEÅ</t>
        </is>
      </c>
      <c r="F563" t="inlineStr">
        <is>
          <t>Sveaskog</t>
        </is>
      </c>
      <c r="G563" t="n">
        <v>8.6</v>
      </c>
      <c r="H563" t="n">
        <v>0</v>
      </c>
      <c r="I563" t="n">
        <v>0</v>
      </c>
      <c r="J563" t="n">
        <v>0</v>
      </c>
      <c r="K563" t="n">
        <v>0</v>
      </c>
      <c r="L563" t="n">
        <v>0</v>
      </c>
      <c r="M563" t="n">
        <v>0</v>
      </c>
      <c r="N563" t="n">
        <v>0</v>
      </c>
      <c r="O563" t="n">
        <v>0</v>
      </c>
      <c r="P563" t="n">
        <v>0</v>
      </c>
      <c r="Q563" t="n">
        <v>0</v>
      </c>
      <c r="R563" s="2" t="inlineStr"/>
    </row>
    <row r="564" ht="15" customHeight="1">
      <c r="A564" t="inlineStr">
        <is>
          <t>A 10532-2023</t>
        </is>
      </c>
      <c r="B564" s="1" t="n">
        <v>44987</v>
      </c>
      <c r="C564" s="1" t="n">
        <v>45998</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22291-2023</t>
        </is>
      </c>
      <c r="B565" s="1" t="n">
        <v>45070</v>
      </c>
      <c r="C565" s="1" t="n">
        <v>45998</v>
      </c>
      <c r="D565" t="inlineStr">
        <is>
          <t>VÄSTERBOTTENS LÄN</t>
        </is>
      </c>
      <c r="E565" t="inlineStr">
        <is>
          <t>UMEÅ</t>
        </is>
      </c>
      <c r="G565" t="n">
        <v>1.5</v>
      </c>
      <c r="H565" t="n">
        <v>0</v>
      </c>
      <c r="I565" t="n">
        <v>0</v>
      </c>
      <c r="J565" t="n">
        <v>0</v>
      </c>
      <c r="K565" t="n">
        <v>0</v>
      </c>
      <c r="L565" t="n">
        <v>0</v>
      </c>
      <c r="M565" t="n">
        <v>0</v>
      </c>
      <c r="N565" t="n">
        <v>0</v>
      </c>
      <c r="O565" t="n">
        <v>0</v>
      </c>
      <c r="P565" t="n">
        <v>0</v>
      </c>
      <c r="Q565" t="n">
        <v>0</v>
      </c>
      <c r="R565" s="2" t="inlineStr"/>
    </row>
    <row r="566" ht="15" customHeight="1">
      <c r="A566" t="inlineStr">
        <is>
          <t>A 53787-2024</t>
        </is>
      </c>
      <c r="B566" s="1" t="n">
        <v>45615</v>
      </c>
      <c r="C566" s="1" t="n">
        <v>45998</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44121-2022</t>
        </is>
      </c>
      <c r="B567" s="1" t="n">
        <v>44839</v>
      </c>
      <c r="C567" s="1" t="n">
        <v>45998</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2766-2025</t>
        </is>
      </c>
      <c r="B568" s="1" t="n">
        <v>45677.49140046296</v>
      </c>
      <c r="C568" s="1" t="n">
        <v>45998</v>
      </c>
      <c r="D568" t="inlineStr">
        <is>
          <t>VÄSTERBOTTENS LÄN</t>
        </is>
      </c>
      <c r="E568" t="inlineStr">
        <is>
          <t>UMEÅ</t>
        </is>
      </c>
      <c r="G568" t="n">
        <v>6.7</v>
      </c>
      <c r="H568" t="n">
        <v>0</v>
      </c>
      <c r="I568" t="n">
        <v>0</v>
      </c>
      <c r="J568" t="n">
        <v>0</v>
      </c>
      <c r="K568" t="n">
        <v>0</v>
      </c>
      <c r="L568" t="n">
        <v>0</v>
      </c>
      <c r="M568" t="n">
        <v>0</v>
      </c>
      <c r="N568" t="n">
        <v>0</v>
      </c>
      <c r="O568" t="n">
        <v>0</v>
      </c>
      <c r="P568" t="n">
        <v>0</v>
      </c>
      <c r="Q568" t="n">
        <v>0</v>
      </c>
      <c r="R568" s="2" t="inlineStr"/>
    </row>
    <row r="569" ht="15" customHeight="1">
      <c r="A569" t="inlineStr">
        <is>
          <t>A 55082-2023</t>
        </is>
      </c>
      <c r="B569" s="1" t="n">
        <v>45230</v>
      </c>
      <c r="C569" s="1" t="n">
        <v>45998</v>
      </c>
      <c r="D569" t="inlineStr">
        <is>
          <t>VÄSTERBOTTENS LÄN</t>
        </is>
      </c>
      <c r="E569" t="inlineStr">
        <is>
          <t>UMEÅ</t>
        </is>
      </c>
      <c r="G569" t="n">
        <v>1.3</v>
      </c>
      <c r="H569" t="n">
        <v>0</v>
      </c>
      <c r="I569" t="n">
        <v>0</v>
      </c>
      <c r="J569" t="n">
        <v>0</v>
      </c>
      <c r="K569" t="n">
        <v>0</v>
      </c>
      <c r="L569" t="n">
        <v>0</v>
      </c>
      <c r="M569" t="n">
        <v>0</v>
      </c>
      <c r="N569" t="n">
        <v>0</v>
      </c>
      <c r="O569" t="n">
        <v>0</v>
      </c>
      <c r="P569" t="n">
        <v>0</v>
      </c>
      <c r="Q569" t="n">
        <v>0</v>
      </c>
      <c r="R569" s="2" t="inlineStr"/>
    </row>
    <row r="570" ht="15" customHeight="1">
      <c r="A570" t="inlineStr">
        <is>
          <t>A 22145-2025</t>
        </is>
      </c>
      <c r="B570" s="1" t="n">
        <v>45785.55422453704</v>
      </c>
      <c r="C570" s="1" t="n">
        <v>45998</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22146-2025</t>
        </is>
      </c>
      <c r="B571" s="1" t="n">
        <v>45785.55462962963</v>
      </c>
      <c r="C571" s="1" t="n">
        <v>45998</v>
      </c>
      <c r="D571" t="inlineStr">
        <is>
          <t>VÄSTERBOTTENS LÄN</t>
        </is>
      </c>
      <c r="E571" t="inlineStr">
        <is>
          <t>UMEÅ</t>
        </is>
      </c>
      <c r="G571" t="n">
        <v>1.6</v>
      </c>
      <c r="H571" t="n">
        <v>0</v>
      </c>
      <c r="I571" t="n">
        <v>0</v>
      </c>
      <c r="J571" t="n">
        <v>0</v>
      </c>
      <c r="K571" t="n">
        <v>0</v>
      </c>
      <c r="L571" t="n">
        <v>0</v>
      </c>
      <c r="M571" t="n">
        <v>0</v>
      </c>
      <c r="N571" t="n">
        <v>0</v>
      </c>
      <c r="O571" t="n">
        <v>0</v>
      </c>
      <c r="P571" t="n">
        <v>0</v>
      </c>
      <c r="Q571" t="n">
        <v>0</v>
      </c>
      <c r="R571" s="2" t="inlineStr"/>
    </row>
    <row r="572" ht="15" customHeight="1">
      <c r="A572" t="inlineStr">
        <is>
          <t>A 61105-2023</t>
        </is>
      </c>
      <c r="B572" s="1" t="n">
        <v>45261.66517361111</v>
      </c>
      <c r="C572" s="1" t="n">
        <v>45998</v>
      </c>
      <c r="D572" t="inlineStr">
        <is>
          <t>VÄSTERBOTTENS LÄN</t>
        </is>
      </c>
      <c r="E572" t="inlineStr">
        <is>
          <t>UMEÅ</t>
        </is>
      </c>
      <c r="G572" t="n">
        <v>4</v>
      </c>
      <c r="H572" t="n">
        <v>0</v>
      </c>
      <c r="I572" t="n">
        <v>0</v>
      </c>
      <c r="J572" t="n">
        <v>0</v>
      </c>
      <c r="K572" t="n">
        <v>0</v>
      </c>
      <c r="L572" t="n">
        <v>0</v>
      </c>
      <c r="M572" t="n">
        <v>0</v>
      </c>
      <c r="N572" t="n">
        <v>0</v>
      </c>
      <c r="O572" t="n">
        <v>0</v>
      </c>
      <c r="P572" t="n">
        <v>0</v>
      </c>
      <c r="Q572" t="n">
        <v>0</v>
      </c>
      <c r="R572" s="2" t="inlineStr"/>
    </row>
    <row r="573" ht="15" customHeight="1">
      <c r="A573" t="inlineStr">
        <is>
          <t>A 7853-2025</t>
        </is>
      </c>
      <c r="B573" s="1" t="n">
        <v>45706.67732638889</v>
      </c>
      <c r="C573" s="1" t="n">
        <v>45998</v>
      </c>
      <c r="D573" t="inlineStr">
        <is>
          <t>VÄSTERBOTTENS LÄN</t>
        </is>
      </c>
      <c r="E573" t="inlineStr">
        <is>
          <t>UMEÅ</t>
        </is>
      </c>
      <c r="G573" t="n">
        <v>1.6</v>
      </c>
      <c r="H573" t="n">
        <v>0</v>
      </c>
      <c r="I573" t="n">
        <v>0</v>
      </c>
      <c r="J573" t="n">
        <v>0</v>
      </c>
      <c r="K573" t="n">
        <v>0</v>
      </c>
      <c r="L573" t="n">
        <v>0</v>
      </c>
      <c r="M573" t="n">
        <v>0</v>
      </c>
      <c r="N573" t="n">
        <v>0</v>
      </c>
      <c r="O573" t="n">
        <v>0</v>
      </c>
      <c r="P573" t="n">
        <v>0</v>
      </c>
      <c r="Q573" t="n">
        <v>0</v>
      </c>
      <c r="R573" s="2" t="inlineStr"/>
    </row>
    <row r="574" ht="15" customHeight="1">
      <c r="A574" t="inlineStr">
        <is>
          <t>A 14380-2025</t>
        </is>
      </c>
      <c r="B574" s="1" t="n">
        <v>45741.41429398148</v>
      </c>
      <c r="C574" s="1" t="n">
        <v>45998</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46727-2023</t>
        </is>
      </c>
      <c r="B575" s="1" t="n">
        <v>45198</v>
      </c>
      <c r="C575" s="1" t="n">
        <v>45998</v>
      </c>
      <c r="D575" t="inlineStr">
        <is>
          <t>VÄSTERBOTTENS LÄN</t>
        </is>
      </c>
      <c r="E575" t="inlineStr">
        <is>
          <t>UMEÅ</t>
        </is>
      </c>
      <c r="G575" t="n">
        <v>4.3</v>
      </c>
      <c r="H575" t="n">
        <v>0</v>
      </c>
      <c r="I575" t="n">
        <v>0</v>
      </c>
      <c r="J575" t="n">
        <v>0</v>
      </c>
      <c r="K575" t="n">
        <v>0</v>
      </c>
      <c r="L575" t="n">
        <v>0</v>
      </c>
      <c r="M575" t="n">
        <v>0</v>
      </c>
      <c r="N575" t="n">
        <v>0</v>
      </c>
      <c r="O575" t="n">
        <v>0</v>
      </c>
      <c r="P575" t="n">
        <v>0</v>
      </c>
      <c r="Q575" t="n">
        <v>0</v>
      </c>
      <c r="R575" s="2" t="inlineStr"/>
    </row>
    <row r="576" ht="15" customHeight="1">
      <c r="A576" t="inlineStr">
        <is>
          <t>A 43163-2023</t>
        </is>
      </c>
      <c r="B576" s="1" t="n">
        <v>45183</v>
      </c>
      <c r="C576" s="1" t="n">
        <v>45998</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16606-2022</t>
        </is>
      </c>
      <c r="B577" s="1" t="n">
        <v>44672</v>
      </c>
      <c r="C577" s="1" t="n">
        <v>45998</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25966-2022</t>
        </is>
      </c>
      <c r="B578" s="1" t="n">
        <v>44734</v>
      </c>
      <c r="C578" s="1" t="n">
        <v>45998</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37007-2024</t>
        </is>
      </c>
      <c r="B579" s="1" t="n">
        <v>45539</v>
      </c>
      <c r="C579" s="1" t="n">
        <v>45998</v>
      </c>
      <c r="D579" t="inlineStr">
        <is>
          <t>VÄSTERBOTTENS LÄN</t>
        </is>
      </c>
      <c r="E579" t="inlineStr">
        <is>
          <t>UMEÅ</t>
        </is>
      </c>
      <c r="G579" t="n">
        <v>6.2</v>
      </c>
      <c r="H579" t="n">
        <v>0</v>
      </c>
      <c r="I579" t="n">
        <v>0</v>
      </c>
      <c r="J579" t="n">
        <v>0</v>
      </c>
      <c r="K579" t="n">
        <v>0</v>
      </c>
      <c r="L579" t="n">
        <v>0</v>
      </c>
      <c r="M579" t="n">
        <v>0</v>
      </c>
      <c r="N579" t="n">
        <v>0</v>
      </c>
      <c r="O579" t="n">
        <v>0</v>
      </c>
      <c r="P579" t="n">
        <v>0</v>
      </c>
      <c r="Q579" t="n">
        <v>0</v>
      </c>
      <c r="R579" s="2" t="inlineStr"/>
    </row>
    <row r="580" ht="15" customHeight="1">
      <c r="A580" t="inlineStr">
        <is>
          <t>A 59289-2023</t>
        </is>
      </c>
      <c r="B580" s="1" t="n">
        <v>45252</v>
      </c>
      <c r="C580" s="1" t="n">
        <v>45998</v>
      </c>
      <c r="D580" t="inlineStr">
        <is>
          <t>VÄSTERBOTTENS LÄN</t>
        </is>
      </c>
      <c r="E580" t="inlineStr">
        <is>
          <t>UMEÅ</t>
        </is>
      </c>
      <c r="G580" t="n">
        <v>2</v>
      </c>
      <c r="H580" t="n">
        <v>0</v>
      </c>
      <c r="I580" t="n">
        <v>0</v>
      </c>
      <c r="J580" t="n">
        <v>0</v>
      </c>
      <c r="K580" t="n">
        <v>0</v>
      </c>
      <c r="L580" t="n">
        <v>0</v>
      </c>
      <c r="M580" t="n">
        <v>0</v>
      </c>
      <c r="N580" t="n">
        <v>0</v>
      </c>
      <c r="O580" t="n">
        <v>0</v>
      </c>
      <c r="P580" t="n">
        <v>0</v>
      </c>
      <c r="Q580" t="n">
        <v>0</v>
      </c>
      <c r="R580" s="2" t="inlineStr"/>
    </row>
    <row r="581" ht="15" customHeight="1">
      <c r="A581" t="inlineStr">
        <is>
          <t>A 7213-2025</t>
        </is>
      </c>
      <c r="B581" s="1" t="n">
        <v>45702.47341435185</v>
      </c>
      <c r="C581" s="1" t="n">
        <v>45998</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42463-2023</t>
        </is>
      </c>
      <c r="B582" s="1" t="n">
        <v>45180.67883101852</v>
      </c>
      <c r="C582" s="1" t="n">
        <v>45998</v>
      </c>
      <c r="D582" t="inlineStr">
        <is>
          <t>VÄSTERBOTTENS LÄN</t>
        </is>
      </c>
      <c r="E582" t="inlineStr">
        <is>
          <t>UMEÅ</t>
        </is>
      </c>
      <c r="G582" t="n">
        <v>3.5</v>
      </c>
      <c r="H582" t="n">
        <v>0</v>
      </c>
      <c r="I582" t="n">
        <v>0</v>
      </c>
      <c r="J582" t="n">
        <v>0</v>
      </c>
      <c r="K582" t="n">
        <v>0</v>
      </c>
      <c r="L582" t="n">
        <v>0</v>
      </c>
      <c r="M582" t="n">
        <v>0</v>
      </c>
      <c r="N582" t="n">
        <v>0</v>
      </c>
      <c r="O582" t="n">
        <v>0</v>
      </c>
      <c r="P582" t="n">
        <v>0</v>
      </c>
      <c r="Q582" t="n">
        <v>0</v>
      </c>
      <c r="R582" s="2" t="inlineStr"/>
    </row>
    <row r="583" ht="15" customHeight="1">
      <c r="A583" t="inlineStr">
        <is>
          <t>A 6130-2025</t>
        </is>
      </c>
      <c r="B583" s="1" t="n">
        <v>45698.36478009259</v>
      </c>
      <c r="C583" s="1" t="n">
        <v>45998</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20142-2025</t>
        </is>
      </c>
      <c r="B584" s="1" t="n">
        <v>45772.52554398148</v>
      </c>
      <c r="C584" s="1" t="n">
        <v>45998</v>
      </c>
      <c r="D584" t="inlineStr">
        <is>
          <t>VÄSTERBOTTENS LÄN</t>
        </is>
      </c>
      <c r="E584" t="inlineStr">
        <is>
          <t>UMEÅ</t>
        </is>
      </c>
      <c r="G584" t="n">
        <v>2.1</v>
      </c>
      <c r="H584" t="n">
        <v>0</v>
      </c>
      <c r="I584" t="n">
        <v>0</v>
      </c>
      <c r="J584" t="n">
        <v>0</v>
      </c>
      <c r="K584" t="n">
        <v>0</v>
      </c>
      <c r="L584" t="n">
        <v>0</v>
      </c>
      <c r="M584" t="n">
        <v>0</v>
      </c>
      <c r="N584" t="n">
        <v>0</v>
      </c>
      <c r="O584" t="n">
        <v>0</v>
      </c>
      <c r="P584" t="n">
        <v>0</v>
      </c>
      <c r="Q584" t="n">
        <v>0</v>
      </c>
      <c r="R584" s="2" t="inlineStr"/>
    </row>
    <row r="585" ht="15" customHeight="1">
      <c r="A585" t="inlineStr">
        <is>
          <t>A 29658-2024</t>
        </is>
      </c>
      <c r="B585" s="1" t="n">
        <v>45484.9237037037</v>
      </c>
      <c r="C585" s="1" t="n">
        <v>45998</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39945-2023</t>
        </is>
      </c>
      <c r="B586" s="1" t="n">
        <v>45168</v>
      </c>
      <c r="C586" s="1" t="n">
        <v>45998</v>
      </c>
      <c r="D586" t="inlineStr">
        <is>
          <t>VÄSTERBOTTENS LÄN</t>
        </is>
      </c>
      <c r="E586" t="inlineStr">
        <is>
          <t>UMEÅ</t>
        </is>
      </c>
      <c r="G586" t="n">
        <v>4.9</v>
      </c>
      <c r="H586" t="n">
        <v>0</v>
      </c>
      <c r="I586" t="n">
        <v>0</v>
      </c>
      <c r="J586" t="n">
        <v>0</v>
      </c>
      <c r="K586" t="n">
        <v>0</v>
      </c>
      <c r="L586" t="n">
        <v>0</v>
      </c>
      <c r="M586" t="n">
        <v>0</v>
      </c>
      <c r="N586" t="n">
        <v>0</v>
      </c>
      <c r="O586" t="n">
        <v>0</v>
      </c>
      <c r="P586" t="n">
        <v>0</v>
      </c>
      <c r="Q586" t="n">
        <v>0</v>
      </c>
      <c r="R586" s="2" t="inlineStr"/>
    </row>
    <row r="587" ht="15" customHeight="1">
      <c r="A587" t="inlineStr">
        <is>
          <t>A 2048-2023</t>
        </is>
      </c>
      <c r="B587" s="1" t="n">
        <v>44939</v>
      </c>
      <c r="C587" s="1" t="n">
        <v>45998</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26738-2024</t>
        </is>
      </c>
      <c r="B588" s="1" t="n">
        <v>45470.44721064815</v>
      </c>
      <c r="C588" s="1" t="n">
        <v>45998</v>
      </c>
      <c r="D588" t="inlineStr">
        <is>
          <t>VÄSTERBOTTENS LÄN</t>
        </is>
      </c>
      <c r="E588" t="inlineStr">
        <is>
          <t>UMEÅ</t>
        </is>
      </c>
      <c r="G588" t="n">
        <v>4.1</v>
      </c>
      <c r="H588" t="n">
        <v>0</v>
      </c>
      <c r="I588" t="n">
        <v>0</v>
      </c>
      <c r="J588" t="n">
        <v>0</v>
      </c>
      <c r="K588" t="n">
        <v>0</v>
      </c>
      <c r="L588" t="n">
        <v>0</v>
      </c>
      <c r="M588" t="n">
        <v>0</v>
      </c>
      <c r="N588" t="n">
        <v>0</v>
      </c>
      <c r="O588" t="n">
        <v>0</v>
      </c>
      <c r="P588" t="n">
        <v>0</v>
      </c>
      <c r="Q588" t="n">
        <v>0</v>
      </c>
      <c r="R588" s="2" t="inlineStr"/>
    </row>
    <row r="589" ht="15" customHeight="1">
      <c r="A589" t="inlineStr">
        <is>
          <t>A 4629-2022</t>
        </is>
      </c>
      <c r="B589" s="1" t="n">
        <v>44592.40050925926</v>
      </c>
      <c r="C589" s="1" t="n">
        <v>45998</v>
      </c>
      <c r="D589" t="inlineStr">
        <is>
          <t>VÄSTERBOTTENS LÄN</t>
        </is>
      </c>
      <c r="E589" t="inlineStr">
        <is>
          <t>UMEÅ</t>
        </is>
      </c>
      <c r="G589" t="n">
        <v>1.4</v>
      </c>
      <c r="H589" t="n">
        <v>0</v>
      </c>
      <c r="I589" t="n">
        <v>0</v>
      </c>
      <c r="J589" t="n">
        <v>0</v>
      </c>
      <c r="K589" t="n">
        <v>0</v>
      </c>
      <c r="L589" t="n">
        <v>0</v>
      </c>
      <c r="M589" t="n">
        <v>0</v>
      </c>
      <c r="N589" t="n">
        <v>0</v>
      </c>
      <c r="O589" t="n">
        <v>0</v>
      </c>
      <c r="P589" t="n">
        <v>0</v>
      </c>
      <c r="Q589" t="n">
        <v>0</v>
      </c>
      <c r="R589" s="2" t="inlineStr"/>
    </row>
    <row r="590" ht="15" customHeight="1">
      <c r="A590" t="inlineStr">
        <is>
          <t>A 18907-2023</t>
        </is>
      </c>
      <c r="B590" s="1" t="n">
        <v>45043</v>
      </c>
      <c r="C590" s="1" t="n">
        <v>45998</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29027-2022</t>
        </is>
      </c>
      <c r="B591" s="1" t="n">
        <v>44749.9266087963</v>
      </c>
      <c r="C591" s="1" t="n">
        <v>45998</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51390-2024</t>
        </is>
      </c>
      <c r="B592" s="1" t="n">
        <v>45604.40876157407</v>
      </c>
      <c r="C592" s="1" t="n">
        <v>45998</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35808-2022</t>
        </is>
      </c>
      <c r="B593" s="1" t="n">
        <v>44802.31871527778</v>
      </c>
      <c r="C593" s="1" t="n">
        <v>45998</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51544-2023</t>
        </is>
      </c>
      <c r="B594" s="1" t="n">
        <v>45222.41521990741</v>
      </c>
      <c r="C594" s="1" t="n">
        <v>45998</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45797-2024</t>
        </is>
      </c>
      <c r="B595" s="1" t="n">
        <v>45579.67520833333</v>
      </c>
      <c r="C595" s="1" t="n">
        <v>45998</v>
      </c>
      <c r="D595" t="inlineStr">
        <is>
          <t>VÄSTERBOTTENS LÄN</t>
        </is>
      </c>
      <c r="E595" t="inlineStr">
        <is>
          <t>UMEÅ</t>
        </is>
      </c>
      <c r="F595" t="inlineStr">
        <is>
          <t>Holmen skog AB</t>
        </is>
      </c>
      <c r="G595" t="n">
        <v>2.2</v>
      </c>
      <c r="H595" t="n">
        <v>0</v>
      </c>
      <c r="I595" t="n">
        <v>0</v>
      </c>
      <c r="J595" t="n">
        <v>0</v>
      </c>
      <c r="K595" t="n">
        <v>0</v>
      </c>
      <c r="L595" t="n">
        <v>0</v>
      </c>
      <c r="M595" t="n">
        <v>0</v>
      </c>
      <c r="N595" t="n">
        <v>0</v>
      </c>
      <c r="O595" t="n">
        <v>0</v>
      </c>
      <c r="P595" t="n">
        <v>0</v>
      </c>
      <c r="Q595" t="n">
        <v>0</v>
      </c>
      <c r="R595" s="2" t="inlineStr"/>
    </row>
    <row r="596" ht="15" customHeight="1">
      <c r="A596" t="inlineStr">
        <is>
          <t>A 15767-2024</t>
        </is>
      </c>
      <c r="B596" s="1" t="n">
        <v>45404</v>
      </c>
      <c r="C596" s="1" t="n">
        <v>45998</v>
      </c>
      <c r="D596" t="inlineStr">
        <is>
          <t>VÄSTERBOTTENS LÄN</t>
        </is>
      </c>
      <c r="E596" t="inlineStr">
        <is>
          <t>UMEÅ</t>
        </is>
      </c>
      <c r="G596" t="n">
        <v>7.8</v>
      </c>
      <c r="H596" t="n">
        <v>0</v>
      </c>
      <c r="I596" t="n">
        <v>0</v>
      </c>
      <c r="J596" t="n">
        <v>0</v>
      </c>
      <c r="K596" t="n">
        <v>0</v>
      </c>
      <c r="L596" t="n">
        <v>0</v>
      </c>
      <c r="M596" t="n">
        <v>0</v>
      </c>
      <c r="N596" t="n">
        <v>0</v>
      </c>
      <c r="O596" t="n">
        <v>0</v>
      </c>
      <c r="P596" t="n">
        <v>0</v>
      </c>
      <c r="Q596" t="n">
        <v>0</v>
      </c>
      <c r="R596" s="2" t="inlineStr"/>
    </row>
    <row r="597" ht="15" customHeight="1">
      <c r="A597" t="inlineStr">
        <is>
          <t>A 52529-2023</t>
        </is>
      </c>
      <c r="B597" s="1" t="n">
        <v>45225.53422453703</v>
      </c>
      <c r="C597" s="1" t="n">
        <v>45998</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1089-2024</t>
        </is>
      </c>
      <c r="B598" s="1" t="n">
        <v>45301</v>
      </c>
      <c r="C598" s="1" t="n">
        <v>45998</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26352-2024</t>
        </is>
      </c>
      <c r="B599" s="1" t="n">
        <v>45469.36628472222</v>
      </c>
      <c r="C599" s="1" t="n">
        <v>45998</v>
      </c>
      <c r="D599" t="inlineStr">
        <is>
          <t>VÄSTERBOTTENS LÄN</t>
        </is>
      </c>
      <c r="E599" t="inlineStr">
        <is>
          <t>UMEÅ</t>
        </is>
      </c>
      <c r="G599" t="n">
        <v>0.5</v>
      </c>
      <c r="H599" t="n">
        <v>0</v>
      </c>
      <c r="I599" t="n">
        <v>0</v>
      </c>
      <c r="J599" t="n">
        <v>0</v>
      </c>
      <c r="K599" t="n">
        <v>0</v>
      </c>
      <c r="L599" t="n">
        <v>0</v>
      </c>
      <c r="M599" t="n">
        <v>0</v>
      </c>
      <c r="N599" t="n">
        <v>0</v>
      </c>
      <c r="O599" t="n">
        <v>0</v>
      </c>
      <c r="P599" t="n">
        <v>0</v>
      </c>
      <c r="Q599" t="n">
        <v>0</v>
      </c>
      <c r="R599" s="2" t="inlineStr"/>
    </row>
    <row r="600" ht="15" customHeight="1">
      <c r="A600" t="inlineStr">
        <is>
          <t>A 25346-2024</t>
        </is>
      </c>
      <c r="B600" s="1" t="n">
        <v>45462</v>
      </c>
      <c r="C600" s="1" t="n">
        <v>45998</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10422-2025</t>
        </is>
      </c>
      <c r="B601" s="1" t="n">
        <v>45720.64917824074</v>
      </c>
      <c r="C601" s="1" t="n">
        <v>45998</v>
      </c>
      <c r="D601" t="inlineStr">
        <is>
          <t>VÄSTERBOTTENS LÄN</t>
        </is>
      </c>
      <c r="E601" t="inlineStr">
        <is>
          <t>UMEÅ</t>
        </is>
      </c>
      <c r="G601" t="n">
        <v>1.7</v>
      </c>
      <c r="H601" t="n">
        <v>0</v>
      </c>
      <c r="I601" t="n">
        <v>0</v>
      </c>
      <c r="J601" t="n">
        <v>0</v>
      </c>
      <c r="K601" t="n">
        <v>0</v>
      </c>
      <c r="L601" t="n">
        <v>0</v>
      </c>
      <c r="M601" t="n">
        <v>0</v>
      </c>
      <c r="N601" t="n">
        <v>0</v>
      </c>
      <c r="O601" t="n">
        <v>0</v>
      </c>
      <c r="P601" t="n">
        <v>0</v>
      </c>
      <c r="Q601" t="n">
        <v>0</v>
      </c>
      <c r="R601" s="2" t="inlineStr"/>
    </row>
    <row r="602" ht="15" customHeight="1">
      <c r="A602" t="inlineStr">
        <is>
          <t>A 9159-2025</t>
        </is>
      </c>
      <c r="B602" s="1" t="n">
        <v>45714.35774305555</v>
      </c>
      <c r="C602" s="1" t="n">
        <v>45998</v>
      </c>
      <c r="D602" t="inlineStr">
        <is>
          <t>VÄSTERBOTTENS LÄN</t>
        </is>
      </c>
      <c r="E602" t="inlineStr">
        <is>
          <t>UMEÅ</t>
        </is>
      </c>
      <c r="G602" t="n">
        <v>3.2</v>
      </c>
      <c r="H602" t="n">
        <v>0</v>
      </c>
      <c r="I602" t="n">
        <v>0</v>
      </c>
      <c r="J602" t="n">
        <v>0</v>
      </c>
      <c r="K602" t="n">
        <v>0</v>
      </c>
      <c r="L602" t="n">
        <v>0</v>
      </c>
      <c r="M602" t="n">
        <v>0</v>
      </c>
      <c r="N602" t="n">
        <v>0</v>
      </c>
      <c r="O602" t="n">
        <v>0</v>
      </c>
      <c r="P602" t="n">
        <v>0</v>
      </c>
      <c r="Q602" t="n">
        <v>0</v>
      </c>
      <c r="R602" s="2" t="inlineStr"/>
    </row>
    <row r="603" ht="15" customHeight="1">
      <c r="A603" t="inlineStr">
        <is>
          <t>A 15701-2025</t>
        </is>
      </c>
      <c r="B603" s="1" t="n">
        <v>45748.47508101852</v>
      </c>
      <c r="C603" s="1" t="n">
        <v>45998</v>
      </c>
      <c r="D603" t="inlineStr">
        <is>
          <t>VÄSTERBOTTENS LÄN</t>
        </is>
      </c>
      <c r="E603" t="inlineStr">
        <is>
          <t>UMEÅ</t>
        </is>
      </c>
      <c r="G603" t="n">
        <v>7.9</v>
      </c>
      <c r="H603" t="n">
        <v>0</v>
      </c>
      <c r="I603" t="n">
        <v>0</v>
      </c>
      <c r="J603" t="n">
        <v>0</v>
      </c>
      <c r="K603" t="n">
        <v>0</v>
      </c>
      <c r="L603" t="n">
        <v>0</v>
      </c>
      <c r="M603" t="n">
        <v>0</v>
      </c>
      <c r="N603" t="n">
        <v>0</v>
      </c>
      <c r="O603" t="n">
        <v>0</v>
      </c>
      <c r="P603" t="n">
        <v>0</v>
      </c>
      <c r="Q603" t="n">
        <v>0</v>
      </c>
      <c r="R603" s="2" t="inlineStr"/>
    </row>
    <row r="604" ht="15" customHeight="1">
      <c r="A604" t="inlineStr">
        <is>
          <t>A 63136-2023</t>
        </is>
      </c>
      <c r="B604" s="1" t="n">
        <v>45273.46479166667</v>
      </c>
      <c r="C604" s="1" t="n">
        <v>45998</v>
      </c>
      <c r="D604" t="inlineStr">
        <is>
          <t>VÄSTERBOTTENS LÄN</t>
        </is>
      </c>
      <c r="E604" t="inlineStr">
        <is>
          <t>UMEÅ</t>
        </is>
      </c>
      <c r="G604" t="n">
        <v>0.4</v>
      </c>
      <c r="H604" t="n">
        <v>0</v>
      </c>
      <c r="I604" t="n">
        <v>0</v>
      </c>
      <c r="J604" t="n">
        <v>0</v>
      </c>
      <c r="K604" t="n">
        <v>0</v>
      </c>
      <c r="L604" t="n">
        <v>0</v>
      </c>
      <c r="M604" t="n">
        <v>0</v>
      </c>
      <c r="N604" t="n">
        <v>0</v>
      </c>
      <c r="O604" t="n">
        <v>0</v>
      </c>
      <c r="P604" t="n">
        <v>0</v>
      </c>
      <c r="Q604" t="n">
        <v>0</v>
      </c>
      <c r="R604" s="2" t="inlineStr"/>
    </row>
    <row r="605" ht="15" customHeight="1">
      <c r="A605" t="inlineStr">
        <is>
          <t>A 51709-2023</t>
        </is>
      </c>
      <c r="B605" s="1" t="n">
        <v>45215</v>
      </c>
      <c r="C605" s="1" t="n">
        <v>45998</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17345-2025</t>
        </is>
      </c>
      <c r="B606" s="1" t="n">
        <v>45756.67292824074</v>
      </c>
      <c r="C606" s="1" t="n">
        <v>45998</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3830-2025</t>
        </is>
      </c>
      <c r="B607" s="1" t="n">
        <v>45681.84473379629</v>
      </c>
      <c r="C607" s="1" t="n">
        <v>45998</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4251-2025</t>
        </is>
      </c>
      <c r="B608" s="1" t="n">
        <v>45685.60450231482</v>
      </c>
      <c r="C608" s="1" t="n">
        <v>45998</v>
      </c>
      <c r="D608" t="inlineStr">
        <is>
          <t>VÄSTERBOTTENS LÄN</t>
        </is>
      </c>
      <c r="E608" t="inlineStr">
        <is>
          <t>UMEÅ</t>
        </is>
      </c>
      <c r="G608" t="n">
        <v>2</v>
      </c>
      <c r="H608" t="n">
        <v>0</v>
      </c>
      <c r="I608" t="n">
        <v>0</v>
      </c>
      <c r="J608" t="n">
        <v>0</v>
      </c>
      <c r="K608" t="n">
        <v>0</v>
      </c>
      <c r="L608" t="n">
        <v>0</v>
      </c>
      <c r="M608" t="n">
        <v>0</v>
      </c>
      <c r="N608" t="n">
        <v>0</v>
      </c>
      <c r="O608" t="n">
        <v>0</v>
      </c>
      <c r="P608" t="n">
        <v>0</v>
      </c>
      <c r="Q608" t="n">
        <v>0</v>
      </c>
      <c r="R608" s="2" t="inlineStr"/>
    </row>
    <row r="609" ht="15" customHeight="1">
      <c r="A609" t="inlineStr">
        <is>
          <t>A 7693-2025</t>
        </is>
      </c>
      <c r="B609" s="1" t="n">
        <v>45706.39457175926</v>
      </c>
      <c r="C609" s="1" t="n">
        <v>45998</v>
      </c>
      <c r="D609" t="inlineStr">
        <is>
          <t>VÄSTERBOTTENS LÄN</t>
        </is>
      </c>
      <c r="E609" t="inlineStr">
        <is>
          <t>UMEÅ</t>
        </is>
      </c>
      <c r="G609" t="n">
        <v>19.7</v>
      </c>
      <c r="H609" t="n">
        <v>0</v>
      </c>
      <c r="I609" t="n">
        <v>0</v>
      </c>
      <c r="J609" t="n">
        <v>0</v>
      </c>
      <c r="K609" t="n">
        <v>0</v>
      </c>
      <c r="L609" t="n">
        <v>0</v>
      </c>
      <c r="M609" t="n">
        <v>0</v>
      </c>
      <c r="N609" t="n">
        <v>0</v>
      </c>
      <c r="O609" t="n">
        <v>0</v>
      </c>
      <c r="P609" t="n">
        <v>0</v>
      </c>
      <c r="Q609" t="n">
        <v>0</v>
      </c>
      <c r="R609" s="2" t="inlineStr"/>
    </row>
    <row r="610" ht="15" customHeight="1">
      <c r="A610" t="inlineStr">
        <is>
          <t>A 7696-2025</t>
        </is>
      </c>
      <c r="B610" s="1" t="n">
        <v>45706.39914351852</v>
      </c>
      <c r="C610" s="1" t="n">
        <v>45998</v>
      </c>
      <c r="D610" t="inlineStr">
        <is>
          <t>VÄSTERBOTTENS LÄN</t>
        </is>
      </c>
      <c r="E610" t="inlineStr">
        <is>
          <t>UMEÅ</t>
        </is>
      </c>
      <c r="G610" t="n">
        <v>5.2</v>
      </c>
      <c r="H610" t="n">
        <v>0</v>
      </c>
      <c r="I610" t="n">
        <v>0</v>
      </c>
      <c r="J610" t="n">
        <v>0</v>
      </c>
      <c r="K610" t="n">
        <v>0</v>
      </c>
      <c r="L610" t="n">
        <v>0</v>
      </c>
      <c r="M610" t="n">
        <v>0</v>
      </c>
      <c r="N610" t="n">
        <v>0</v>
      </c>
      <c r="O610" t="n">
        <v>0</v>
      </c>
      <c r="P610" t="n">
        <v>0</v>
      </c>
      <c r="Q610" t="n">
        <v>0</v>
      </c>
      <c r="R610" s="2" t="inlineStr"/>
    </row>
    <row r="611" ht="15" customHeight="1">
      <c r="A611" t="inlineStr">
        <is>
          <t>A 61749-2023</t>
        </is>
      </c>
      <c r="B611" s="1" t="n">
        <v>45264</v>
      </c>
      <c r="C611" s="1" t="n">
        <v>45998</v>
      </c>
      <c r="D611" t="inlineStr">
        <is>
          <t>VÄSTERBOTTENS LÄN</t>
        </is>
      </c>
      <c r="E611" t="inlineStr">
        <is>
          <t>UMEÅ</t>
        </is>
      </c>
      <c r="G611" t="n">
        <v>2.4</v>
      </c>
      <c r="H611" t="n">
        <v>0</v>
      </c>
      <c r="I611" t="n">
        <v>0</v>
      </c>
      <c r="J611" t="n">
        <v>0</v>
      </c>
      <c r="K611" t="n">
        <v>0</v>
      </c>
      <c r="L611" t="n">
        <v>0</v>
      </c>
      <c r="M611" t="n">
        <v>0</v>
      </c>
      <c r="N611" t="n">
        <v>0</v>
      </c>
      <c r="O611" t="n">
        <v>0</v>
      </c>
      <c r="P611" t="n">
        <v>0</v>
      </c>
      <c r="Q611" t="n">
        <v>0</v>
      </c>
      <c r="R611" s="2" t="inlineStr"/>
    </row>
    <row r="612" ht="15" customHeight="1">
      <c r="A612" t="inlineStr">
        <is>
          <t>A 13766-2025</t>
        </is>
      </c>
      <c r="B612" s="1" t="n">
        <v>45737.43314814815</v>
      </c>
      <c r="C612" s="1" t="n">
        <v>45998</v>
      </c>
      <c r="D612" t="inlineStr">
        <is>
          <t>VÄSTERBOTTENS LÄN</t>
        </is>
      </c>
      <c r="E612" t="inlineStr">
        <is>
          <t>UMEÅ</t>
        </is>
      </c>
      <c r="G612" t="n">
        <v>2</v>
      </c>
      <c r="H612" t="n">
        <v>0</v>
      </c>
      <c r="I612" t="n">
        <v>0</v>
      </c>
      <c r="J612" t="n">
        <v>0</v>
      </c>
      <c r="K612" t="n">
        <v>0</v>
      </c>
      <c r="L612" t="n">
        <v>0</v>
      </c>
      <c r="M612" t="n">
        <v>0</v>
      </c>
      <c r="N612" t="n">
        <v>0</v>
      </c>
      <c r="O612" t="n">
        <v>0</v>
      </c>
      <c r="P612" t="n">
        <v>0</v>
      </c>
      <c r="Q612" t="n">
        <v>0</v>
      </c>
      <c r="R612" s="2" t="inlineStr"/>
    </row>
    <row r="613" ht="15" customHeight="1">
      <c r="A613" t="inlineStr">
        <is>
          <t>A 44459-2023</t>
        </is>
      </c>
      <c r="B613" s="1" t="n">
        <v>45189</v>
      </c>
      <c r="C613" s="1" t="n">
        <v>45998</v>
      </c>
      <c r="D613" t="inlineStr">
        <is>
          <t>VÄSTERBOTTENS LÄN</t>
        </is>
      </c>
      <c r="E613" t="inlineStr">
        <is>
          <t>UMEÅ</t>
        </is>
      </c>
      <c r="F613" t="inlineStr">
        <is>
          <t>Holmen skog AB</t>
        </is>
      </c>
      <c r="G613" t="n">
        <v>2.5</v>
      </c>
      <c r="H613" t="n">
        <v>0</v>
      </c>
      <c r="I613" t="n">
        <v>0</v>
      </c>
      <c r="J613" t="n">
        <v>0</v>
      </c>
      <c r="K613" t="n">
        <v>0</v>
      </c>
      <c r="L613" t="n">
        <v>0</v>
      </c>
      <c r="M613" t="n">
        <v>0</v>
      </c>
      <c r="N613" t="n">
        <v>0</v>
      </c>
      <c r="O613" t="n">
        <v>0</v>
      </c>
      <c r="P613" t="n">
        <v>0</v>
      </c>
      <c r="Q613" t="n">
        <v>0</v>
      </c>
      <c r="R613" s="2" t="inlineStr"/>
    </row>
    <row r="614" ht="15" customHeight="1">
      <c r="A614" t="inlineStr">
        <is>
          <t>A 5232-2025</t>
        </is>
      </c>
      <c r="B614" s="1" t="n">
        <v>45691</v>
      </c>
      <c r="C614" s="1" t="n">
        <v>45998</v>
      </c>
      <c r="D614" t="inlineStr">
        <is>
          <t>VÄSTERBOTTENS LÄN</t>
        </is>
      </c>
      <c r="E614" t="inlineStr">
        <is>
          <t>UMEÅ</t>
        </is>
      </c>
      <c r="G614" t="n">
        <v>4</v>
      </c>
      <c r="H614" t="n">
        <v>0</v>
      </c>
      <c r="I614" t="n">
        <v>0</v>
      </c>
      <c r="J614" t="n">
        <v>0</v>
      </c>
      <c r="K614" t="n">
        <v>0</v>
      </c>
      <c r="L614" t="n">
        <v>0</v>
      </c>
      <c r="M614" t="n">
        <v>0</v>
      </c>
      <c r="N614" t="n">
        <v>0</v>
      </c>
      <c r="O614" t="n">
        <v>0</v>
      </c>
      <c r="P614" t="n">
        <v>0</v>
      </c>
      <c r="Q614" t="n">
        <v>0</v>
      </c>
      <c r="R614" s="2" t="inlineStr"/>
    </row>
    <row r="615" ht="15" customHeight="1">
      <c r="A615" t="inlineStr">
        <is>
          <t>A 62106-2022</t>
        </is>
      </c>
      <c r="B615" s="1" t="n">
        <v>44920</v>
      </c>
      <c r="C615" s="1" t="n">
        <v>45998</v>
      </c>
      <c r="D615" t="inlineStr">
        <is>
          <t>VÄSTERBOTTENS LÄN</t>
        </is>
      </c>
      <c r="E615" t="inlineStr">
        <is>
          <t>UMEÅ</t>
        </is>
      </c>
      <c r="G615" t="n">
        <v>5.5</v>
      </c>
      <c r="H615" t="n">
        <v>0</v>
      </c>
      <c r="I615" t="n">
        <v>0</v>
      </c>
      <c r="J615" t="n">
        <v>0</v>
      </c>
      <c r="K615" t="n">
        <v>0</v>
      </c>
      <c r="L615" t="n">
        <v>0</v>
      </c>
      <c r="M615" t="n">
        <v>0</v>
      </c>
      <c r="N615" t="n">
        <v>0</v>
      </c>
      <c r="O615" t="n">
        <v>0</v>
      </c>
      <c r="P615" t="n">
        <v>0</v>
      </c>
      <c r="Q615" t="n">
        <v>0</v>
      </c>
      <c r="R615" s="2" t="inlineStr"/>
    </row>
    <row r="616" ht="15" customHeight="1">
      <c r="A616" t="inlineStr">
        <is>
          <t>A 31031-2024</t>
        </is>
      </c>
      <c r="B616" s="1" t="n">
        <v>45501.40922453703</v>
      </c>
      <c r="C616" s="1" t="n">
        <v>45998</v>
      </c>
      <c r="D616" t="inlineStr">
        <is>
          <t>VÄSTERBOTTENS LÄN</t>
        </is>
      </c>
      <c r="E616" t="inlineStr">
        <is>
          <t>UMEÅ</t>
        </is>
      </c>
      <c r="G616" t="n">
        <v>2.1</v>
      </c>
      <c r="H616" t="n">
        <v>0</v>
      </c>
      <c r="I616" t="n">
        <v>0</v>
      </c>
      <c r="J616" t="n">
        <v>0</v>
      </c>
      <c r="K616" t="n">
        <v>0</v>
      </c>
      <c r="L616" t="n">
        <v>0</v>
      </c>
      <c r="M616" t="n">
        <v>0</v>
      </c>
      <c r="N616" t="n">
        <v>0</v>
      </c>
      <c r="O616" t="n">
        <v>0</v>
      </c>
      <c r="P616" t="n">
        <v>0</v>
      </c>
      <c r="Q616" t="n">
        <v>0</v>
      </c>
      <c r="R616" s="2" t="inlineStr"/>
    </row>
    <row r="617" ht="15" customHeight="1">
      <c r="A617" t="inlineStr">
        <is>
          <t>A 59080-2022</t>
        </is>
      </c>
      <c r="B617" s="1" t="n">
        <v>44904</v>
      </c>
      <c r="C617" s="1" t="n">
        <v>45998</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23718-2023</t>
        </is>
      </c>
      <c r="B618" s="1" t="n">
        <v>45077.66282407408</v>
      </c>
      <c r="C618" s="1" t="n">
        <v>45998</v>
      </c>
      <c r="D618" t="inlineStr">
        <is>
          <t>VÄSTERBOTTENS LÄN</t>
        </is>
      </c>
      <c r="E618" t="inlineStr">
        <is>
          <t>UMEÅ</t>
        </is>
      </c>
      <c r="G618" t="n">
        <v>2.6</v>
      </c>
      <c r="H618" t="n">
        <v>0</v>
      </c>
      <c r="I618" t="n">
        <v>0</v>
      </c>
      <c r="J618" t="n">
        <v>0</v>
      </c>
      <c r="K618" t="n">
        <v>0</v>
      </c>
      <c r="L618" t="n">
        <v>0</v>
      </c>
      <c r="M618" t="n">
        <v>0</v>
      </c>
      <c r="N618" t="n">
        <v>0</v>
      </c>
      <c r="O618" t="n">
        <v>0</v>
      </c>
      <c r="P618" t="n">
        <v>0</v>
      </c>
      <c r="Q618" t="n">
        <v>0</v>
      </c>
      <c r="R618" s="2" t="inlineStr"/>
    </row>
    <row r="619" ht="15" customHeight="1">
      <c r="A619" t="inlineStr">
        <is>
          <t>A 54143-2024</t>
        </is>
      </c>
      <c r="B619" s="1" t="n">
        <v>45616</v>
      </c>
      <c r="C619" s="1" t="n">
        <v>45998</v>
      </c>
      <c r="D619" t="inlineStr">
        <is>
          <t>VÄSTERBOTTENS LÄN</t>
        </is>
      </c>
      <c r="E619" t="inlineStr">
        <is>
          <t>UMEÅ</t>
        </is>
      </c>
      <c r="G619" t="n">
        <v>0.3</v>
      </c>
      <c r="H619" t="n">
        <v>0</v>
      </c>
      <c r="I619" t="n">
        <v>0</v>
      </c>
      <c r="J619" t="n">
        <v>0</v>
      </c>
      <c r="K619" t="n">
        <v>0</v>
      </c>
      <c r="L619" t="n">
        <v>0</v>
      </c>
      <c r="M619" t="n">
        <v>0</v>
      </c>
      <c r="N619" t="n">
        <v>0</v>
      </c>
      <c r="O619" t="n">
        <v>0</v>
      </c>
      <c r="P619" t="n">
        <v>0</v>
      </c>
      <c r="Q619" t="n">
        <v>0</v>
      </c>
      <c r="R619" s="2" t="inlineStr"/>
    </row>
    <row r="620" ht="15" customHeight="1">
      <c r="A620" t="inlineStr">
        <is>
          <t>A 10899-2025</t>
        </is>
      </c>
      <c r="B620" s="1" t="n">
        <v>45722</v>
      </c>
      <c r="C620" s="1" t="n">
        <v>45998</v>
      </c>
      <c r="D620" t="inlineStr">
        <is>
          <t>VÄSTERBOTTENS LÄN</t>
        </is>
      </c>
      <c r="E620" t="inlineStr">
        <is>
          <t>UMEÅ</t>
        </is>
      </c>
      <c r="G620" t="n">
        <v>6.8</v>
      </c>
      <c r="H620" t="n">
        <v>0</v>
      </c>
      <c r="I620" t="n">
        <v>0</v>
      </c>
      <c r="J620" t="n">
        <v>0</v>
      </c>
      <c r="K620" t="n">
        <v>0</v>
      </c>
      <c r="L620" t="n">
        <v>0</v>
      </c>
      <c r="M620" t="n">
        <v>0</v>
      </c>
      <c r="N620" t="n">
        <v>0</v>
      </c>
      <c r="O620" t="n">
        <v>0</v>
      </c>
      <c r="P620" t="n">
        <v>0</v>
      </c>
      <c r="Q620" t="n">
        <v>0</v>
      </c>
      <c r="R620" s="2" t="inlineStr"/>
    </row>
    <row r="621" ht="15" customHeight="1">
      <c r="A621" t="inlineStr">
        <is>
          <t>A 12971-2025</t>
        </is>
      </c>
      <c r="B621" s="1" t="n">
        <v>45734</v>
      </c>
      <c r="C621" s="1" t="n">
        <v>45998</v>
      </c>
      <c r="D621" t="inlineStr">
        <is>
          <t>VÄSTERBOTTENS LÄN</t>
        </is>
      </c>
      <c r="E621" t="inlineStr">
        <is>
          <t>UMEÅ</t>
        </is>
      </c>
      <c r="G621" t="n">
        <v>4.1</v>
      </c>
      <c r="H621" t="n">
        <v>0</v>
      </c>
      <c r="I621" t="n">
        <v>0</v>
      </c>
      <c r="J621" t="n">
        <v>0</v>
      </c>
      <c r="K621" t="n">
        <v>0</v>
      </c>
      <c r="L621" t="n">
        <v>0</v>
      </c>
      <c r="M621" t="n">
        <v>0</v>
      </c>
      <c r="N621" t="n">
        <v>0</v>
      </c>
      <c r="O621" t="n">
        <v>0</v>
      </c>
      <c r="P621" t="n">
        <v>0</v>
      </c>
      <c r="Q621" t="n">
        <v>0</v>
      </c>
      <c r="R621" s="2" t="inlineStr"/>
    </row>
    <row r="622" ht="15" customHeight="1">
      <c r="A622" t="inlineStr">
        <is>
          <t>A 15358-2023</t>
        </is>
      </c>
      <c r="B622" s="1" t="n">
        <v>45016</v>
      </c>
      <c r="C622" s="1" t="n">
        <v>45998</v>
      </c>
      <c r="D622" t="inlineStr">
        <is>
          <t>VÄSTERBOTTENS LÄN</t>
        </is>
      </c>
      <c r="E622" t="inlineStr">
        <is>
          <t>UMEÅ</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35625-2024</t>
        </is>
      </c>
      <c r="B623" s="1" t="n">
        <v>45531.73709490741</v>
      </c>
      <c r="C623" s="1" t="n">
        <v>45998</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25690-2025</t>
        </is>
      </c>
      <c r="B624" s="1" t="n">
        <v>45803.66153935185</v>
      </c>
      <c r="C624" s="1" t="n">
        <v>45998</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50725-2023</t>
        </is>
      </c>
      <c r="B625" s="1" t="n">
        <v>45217</v>
      </c>
      <c r="C625" s="1" t="n">
        <v>45998</v>
      </c>
      <c r="D625" t="inlineStr">
        <is>
          <t>VÄSTERBOTTENS LÄN</t>
        </is>
      </c>
      <c r="E625" t="inlineStr">
        <is>
          <t>UMEÅ</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50726-2023</t>
        </is>
      </c>
      <c r="B626" s="1" t="n">
        <v>45217</v>
      </c>
      <c r="C626" s="1" t="n">
        <v>45998</v>
      </c>
      <c r="D626" t="inlineStr">
        <is>
          <t>VÄSTERBOTTENS LÄN</t>
        </is>
      </c>
      <c r="E626" t="inlineStr">
        <is>
          <t>UMEÅ</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25683-2025</t>
        </is>
      </c>
      <c r="B627" s="1" t="n">
        <v>45803.65159722222</v>
      </c>
      <c r="C627" s="1" t="n">
        <v>45998</v>
      </c>
      <c r="D627" t="inlineStr">
        <is>
          <t>VÄSTERBOTTENS LÄN</t>
        </is>
      </c>
      <c r="E627" t="inlineStr">
        <is>
          <t>UMEÅ</t>
        </is>
      </c>
      <c r="G627" t="n">
        <v>4.9</v>
      </c>
      <c r="H627" t="n">
        <v>0</v>
      </c>
      <c r="I627" t="n">
        <v>0</v>
      </c>
      <c r="J627" t="n">
        <v>0</v>
      </c>
      <c r="K627" t="n">
        <v>0</v>
      </c>
      <c r="L627" t="n">
        <v>0</v>
      </c>
      <c r="M627" t="n">
        <v>0</v>
      </c>
      <c r="N627" t="n">
        <v>0</v>
      </c>
      <c r="O627" t="n">
        <v>0</v>
      </c>
      <c r="P627" t="n">
        <v>0</v>
      </c>
      <c r="Q627" t="n">
        <v>0</v>
      </c>
      <c r="R627" s="2" t="inlineStr"/>
    </row>
    <row r="628" ht="15" customHeight="1">
      <c r="A628" t="inlineStr">
        <is>
          <t>A 36056-2025</t>
        </is>
      </c>
      <c r="B628" s="1" t="n">
        <v>45866.39083333333</v>
      </c>
      <c r="C628" s="1" t="n">
        <v>45998</v>
      </c>
      <c r="D628" t="inlineStr">
        <is>
          <t>VÄSTERBOTTENS LÄN</t>
        </is>
      </c>
      <c r="E628" t="inlineStr">
        <is>
          <t>UMEÅ</t>
        </is>
      </c>
      <c r="F628" t="inlineStr">
        <is>
          <t>Holmen skog AB</t>
        </is>
      </c>
      <c r="G628" t="n">
        <v>4.1</v>
      </c>
      <c r="H628" t="n">
        <v>0</v>
      </c>
      <c r="I628" t="n">
        <v>0</v>
      </c>
      <c r="J628" t="n">
        <v>0</v>
      </c>
      <c r="K628" t="n">
        <v>0</v>
      </c>
      <c r="L628" t="n">
        <v>0</v>
      </c>
      <c r="M628" t="n">
        <v>0</v>
      </c>
      <c r="N628" t="n">
        <v>0</v>
      </c>
      <c r="O628" t="n">
        <v>0</v>
      </c>
      <c r="P628" t="n">
        <v>0</v>
      </c>
      <c r="Q628" t="n">
        <v>0</v>
      </c>
      <c r="R628" s="2" t="inlineStr"/>
    </row>
    <row r="629" ht="15" customHeight="1">
      <c r="A629" t="inlineStr">
        <is>
          <t>A 36084-2025</t>
        </is>
      </c>
      <c r="B629" s="1" t="n">
        <v>45866.460625</v>
      </c>
      <c r="C629" s="1" t="n">
        <v>45998</v>
      </c>
      <c r="D629" t="inlineStr">
        <is>
          <t>VÄSTERBOTTENS LÄN</t>
        </is>
      </c>
      <c r="E629" t="inlineStr">
        <is>
          <t>UMEÅ</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36114-2025</t>
        </is>
      </c>
      <c r="B630" s="1" t="n">
        <v>45866.57740740741</v>
      </c>
      <c r="C630" s="1" t="n">
        <v>45998</v>
      </c>
      <c r="D630" t="inlineStr">
        <is>
          <t>VÄSTERBOTTENS LÄN</t>
        </is>
      </c>
      <c r="E630" t="inlineStr">
        <is>
          <t>UMEÅ</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22161-2025</t>
        </is>
      </c>
      <c r="B631" s="1" t="n">
        <v>45785.58844907407</v>
      </c>
      <c r="C631" s="1" t="n">
        <v>45998</v>
      </c>
      <c r="D631" t="inlineStr">
        <is>
          <t>VÄSTERBOTTENS LÄN</t>
        </is>
      </c>
      <c r="E631" t="inlineStr">
        <is>
          <t>UMEÅ</t>
        </is>
      </c>
      <c r="G631" t="n">
        <v>0.8</v>
      </c>
      <c r="H631" t="n">
        <v>0</v>
      </c>
      <c r="I631" t="n">
        <v>0</v>
      </c>
      <c r="J631" t="n">
        <v>0</v>
      </c>
      <c r="K631" t="n">
        <v>0</v>
      </c>
      <c r="L631" t="n">
        <v>0</v>
      </c>
      <c r="M631" t="n">
        <v>0</v>
      </c>
      <c r="N631" t="n">
        <v>0</v>
      </c>
      <c r="O631" t="n">
        <v>0</v>
      </c>
      <c r="P631" t="n">
        <v>0</v>
      </c>
      <c r="Q631" t="n">
        <v>0</v>
      </c>
      <c r="R631" s="2" t="inlineStr"/>
    </row>
    <row r="632" ht="15" customHeight="1">
      <c r="A632" t="inlineStr">
        <is>
          <t>A 38669-2025</t>
        </is>
      </c>
      <c r="B632" s="1" t="n">
        <v>45884.62400462963</v>
      </c>
      <c r="C632" s="1" t="n">
        <v>45998</v>
      </c>
      <c r="D632" t="inlineStr">
        <is>
          <t>VÄSTERBOTTENS LÄN</t>
        </is>
      </c>
      <c r="E632" t="inlineStr">
        <is>
          <t>UMEÅ</t>
        </is>
      </c>
      <c r="G632" t="n">
        <v>4.9</v>
      </c>
      <c r="H632" t="n">
        <v>0</v>
      </c>
      <c r="I632" t="n">
        <v>0</v>
      </c>
      <c r="J632" t="n">
        <v>0</v>
      </c>
      <c r="K632" t="n">
        <v>0</v>
      </c>
      <c r="L632" t="n">
        <v>0</v>
      </c>
      <c r="M632" t="n">
        <v>0</v>
      </c>
      <c r="N632" t="n">
        <v>0</v>
      </c>
      <c r="O632" t="n">
        <v>0</v>
      </c>
      <c r="P632" t="n">
        <v>0</v>
      </c>
      <c r="Q632" t="n">
        <v>0</v>
      </c>
      <c r="R632" s="2" t="inlineStr"/>
    </row>
    <row r="633" ht="15" customHeight="1">
      <c r="A633" t="inlineStr">
        <is>
          <t>A 36334-2025</t>
        </is>
      </c>
      <c r="B633" s="1" t="n">
        <v>45868.43071759259</v>
      </c>
      <c r="C633" s="1" t="n">
        <v>45998</v>
      </c>
      <c r="D633" t="inlineStr">
        <is>
          <t>VÄSTERBOTTENS LÄN</t>
        </is>
      </c>
      <c r="E633" t="inlineStr">
        <is>
          <t>UMEÅ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36309-2025</t>
        </is>
      </c>
      <c r="B634" s="1" t="n">
        <v>45868.33694444445</v>
      </c>
      <c r="C634" s="1" t="n">
        <v>45998</v>
      </c>
      <c r="D634" t="inlineStr">
        <is>
          <t>VÄSTERBOTTENS LÄN</t>
        </is>
      </c>
      <c r="E634" t="inlineStr">
        <is>
          <t>UMEÅ</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36217-2025</t>
        </is>
      </c>
      <c r="B635" s="1" t="n">
        <v>45867.49550925926</v>
      </c>
      <c r="C635" s="1" t="n">
        <v>45998</v>
      </c>
      <c r="D635" t="inlineStr">
        <is>
          <t>VÄSTERBOTTENS LÄN</t>
        </is>
      </c>
      <c r="E635" t="inlineStr">
        <is>
          <t>UMEÅ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36233-2025</t>
        </is>
      </c>
      <c r="B636" s="1" t="n">
        <v>45867.54707175926</v>
      </c>
      <c r="C636" s="1" t="n">
        <v>45998</v>
      </c>
      <c r="D636" t="inlineStr">
        <is>
          <t>VÄSTERBOTTENS LÄN</t>
        </is>
      </c>
      <c r="E636" t="inlineStr">
        <is>
          <t>UMEÅ</t>
        </is>
      </c>
      <c r="F636" t="inlineStr">
        <is>
          <t>Holmen skog AB</t>
        </is>
      </c>
      <c r="G636" t="n">
        <v>3.9</v>
      </c>
      <c r="H636" t="n">
        <v>0</v>
      </c>
      <c r="I636" t="n">
        <v>0</v>
      </c>
      <c r="J636" t="n">
        <v>0</v>
      </c>
      <c r="K636" t="n">
        <v>0</v>
      </c>
      <c r="L636" t="n">
        <v>0</v>
      </c>
      <c r="M636" t="n">
        <v>0</v>
      </c>
      <c r="N636" t="n">
        <v>0</v>
      </c>
      <c r="O636" t="n">
        <v>0</v>
      </c>
      <c r="P636" t="n">
        <v>0</v>
      </c>
      <c r="Q636" t="n">
        <v>0</v>
      </c>
      <c r="R636" s="2" t="inlineStr"/>
    </row>
    <row r="637" ht="15" customHeight="1">
      <c r="A637" t="inlineStr">
        <is>
          <t>A 36578-2025</t>
        </is>
      </c>
      <c r="B637" s="1" t="n">
        <v>45870.41876157407</v>
      </c>
      <c r="C637" s="1" t="n">
        <v>45998</v>
      </c>
      <c r="D637" t="inlineStr">
        <is>
          <t>VÄSTERBOTTENS LÄN</t>
        </is>
      </c>
      <c r="E637" t="inlineStr">
        <is>
          <t>UMEÅ</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38236-2025</t>
        </is>
      </c>
      <c r="B638" s="1" t="n">
        <v>45883.36202546296</v>
      </c>
      <c r="C638" s="1" t="n">
        <v>45998</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36905-2025</t>
        </is>
      </c>
      <c r="B639" s="1" t="n">
        <v>45874.49083333334</v>
      </c>
      <c r="C639" s="1" t="n">
        <v>45998</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36739-2025</t>
        </is>
      </c>
      <c r="B640" s="1" t="n">
        <v>45873.53224537037</v>
      </c>
      <c r="C640" s="1" t="n">
        <v>45998</v>
      </c>
      <c r="D640" t="inlineStr">
        <is>
          <t>VÄSTERBOTTENS LÄN</t>
        </is>
      </c>
      <c r="E640" t="inlineStr">
        <is>
          <t>UMEÅ</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36902-2025</t>
        </is>
      </c>
      <c r="B641" s="1" t="n">
        <v>45874.48899305556</v>
      </c>
      <c r="C641" s="1" t="n">
        <v>45998</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45998</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38424-2025</t>
        </is>
      </c>
      <c r="B643" s="1" t="n">
        <v>45883.63340277778</v>
      </c>
      <c r="C643" s="1" t="n">
        <v>45998</v>
      </c>
      <c r="D643" t="inlineStr">
        <is>
          <t>VÄSTERBOTTENS LÄN</t>
        </is>
      </c>
      <c r="E643" t="inlineStr">
        <is>
          <t>UMEÅ</t>
        </is>
      </c>
      <c r="G643" t="n">
        <v>11.9</v>
      </c>
      <c r="H643" t="n">
        <v>0</v>
      </c>
      <c r="I643" t="n">
        <v>0</v>
      </c>
      <c r="J643" t="n">
        <v>0</v>
      </c>
      <c r="K643" t="n">
        <v>0</v>
      </c>
      <c r="L643" t="n">
        <v>0</v>
      </c>
      <c r="M643" t="n">
        <v>0</v>
      </c>
      <c r="N643" t="n">
        <v>0</v>
      </c>
      <c r="O643" t="n">
        <v>0</v>
      </c>
      <c r="P643" t="n">
        <v>0</v>
      </c>
      <c r="Q643" t="n">
        <v>0</v>
      </c>
      <c r="R643" s="2" t="inlineStr"/>
    </row>
    <row r="644" ht="15" customHeight="1">
      <c r="A644" t="inlineStr">
        <is>
          <t>A 58708-2024</t>
        </is>
      </c>
      <c r="B644" s="1" t="n">
        <v>45635</v>
      </c>
      <c r="C644" s="1" t="n">
        <v>45998</v>
      </c>
      <c r="D644" t="inlineStr">
        <is>
          <t>VÄSTERBOTTENS LÄN</t>
        </is>
      </c>
      <c r="E644" t="inlineStr">
        <is>
          <t>UMEÅ</t>
        </is>
      </c>
      <c r="G644" t="n">
        <v>10.8</v>
      </c>
      <c r="H644" t="n">
        <v>0</v>
      </c>
      <c r="I644" t="n">
        <v>0</v>
      </c>
      <c r="J644" t="n">
        <v>0</v>
      </c>
      <c r="K644" t="n">
        <v>0</v>
      </c>
      <c r="L644" t="n">
        <v>0</v>
      </c>
      <c r="M644" t="n">
        <v>0</v>
      </c>
      <c r="N644" t="n">
        <v>0</v>
      </c>
      <c r="O644" t="n">
        <v>0</v>
      </c>
      <c r="P644" t="n">
        <v>0</v>
      </c>
      <c r="Q644" t="n">
        <v>0</v>
      </c>
      <c r="R644" s="2" t="inlineStr"/>
    </row>
    <row r="645" ht="15" customHeight="1">
      <c r="A645" t="inlineStr">
        <is>
          <t>A 58605-2022</t>
        </is>
      </c>
      <c r="B645" s="1" t="n">
        <v>44902.57146990741</v>
      </c>
      <c r="C645" s="1" t="n">
        <v>45998</v>
      </c>
      <c r="D645" t="inlineStr">
        <is>
          <t>VÄSTERBOTTENS LÄN</t>
        </is>
      </c>
      <c r="E645" t="inlineStr">
        <is>
          <t>UMEÅ</t>
        </is>
      </c>
      <c r="F645" t="inlineStr">
        <is>
          <t>Holmen skog AB</t>
        </is>
      </c>
      <c r="G645" t="n">
        <v>3.2</v>
      </c>
      <c r="H645" t="n">
        <v>0</v>
      </c>
      <c r="I645" t="n">
        <v>0</v>
      </c>
      <c r="J645" t="n">
        <v>0</v>
      </c>
      <c r="K645" t="n">
        <v>0</v>
      </c>
      <c r="L645" t="n">
        <v>0</v>
      </c>
      <c r="M645" t="n">
        <v>0</v>
      </c>
      <c r="N645" t="n">
        <v>0</v>
      </c>
      <c r="O645" t="n">
        <v>0</v>
      </c>
      <c r="P645" t="n">
        <v>0</v>
      </c>
      <c r="Q645" t="n">
        <v>0</v>
      </c>
      <c r="R645" s="2" t="inlineStr"/>
    </row>
    <row r="646" ht="15" customHeight="1">
      <c r="A646" t="inlineStr">
        <is>
          <t>A 22657-2025</t>
        </is>
      </c>
      <c r="B646" s="1" t="n">
        <v>45789.47297453704</v>
      </c>
      <c r="C646" s="1" t="n">
        <v>45998</v>
      </c>
      <c r="D646" t="inlineStr">
        <is>
          <t>VÄSTERBOTTENS LÄN</t>
        </is>
      </c>
      <c r="E646" t="inlineStr">
        <is>
          <t>UMEÅ</t>
        </is>
      </c>
      <c r="G646" t="n">
        <v>1.6</v>
      </c>
      <c r="H646" t="n">
        <v>0</v>
      </c>
      <c r="I646" t="n">
        <v>0</v>
      </c>
      <c r="J646" t="n">
        <v>0</v>
      </c>
      <c r="K646" t="n">
        <v>0</v>
      </c>
      <c r="L646" t="n">
        <v>0</v>
      </c>
      <c r="M646" t="n">
        <v>0</v>
      </c>
      <c r="N646" t="n">
        <v>0</v>
      </c>
      <c r="O646" t="n">
        <v>0</v>
      </c>
      <c r="P646" t="n">
        <v>0</v>
      </c>
      <c r="Q646" t="n">
        <v>0</v>
      </c>
      <c r="R646" s="2" t="inlineStr"/>
    </row>
    <row r="647" ht="15" customHeight="1">
      <c r="A647" t="inlineStr">
        <is>
          <t>A 15979-2024</t>
        </is>
      </c>
      <c r="B647" s="1" t="n">
        <v>45405</v>
      </c>
      <c r="C647" s="1" t="n">
        <v>45998</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38434-2021</t>
        </is>
      </c>
      <c r="B648" s="1" t="n">
        <v>44406</v>
      </c>
      <c r="C648" s="1" t="n">
        <v>45998</v>
      </c>
      <c r="D648" t="inlineStr">
        <is>
          <t>VÄSTERBOTTENS LÄN</t>
        </is>
      </c>
      <c r="E648" t="inlineStr">
        <is>
          <t>UMEÅ</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40348-2021</t>
        </is>
      </c>
      <c r="B649" s="1" t="n">
        <v>44419.57832175926</v>
      </c>
      <c r="C649" s="1" t="n">
        <v>45998</v>
      </c>
      <c r="D649" t="inlineStr">
        <is>
          <t>VÄSTERBOTTENS LÄN</t>
        </is>
      </c>
      <c r="E649" t="inlineStr">
        <is>
          <t>UMEÅ</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45998</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45998</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22912-2025</t>
        </is>
      </c>
      <c r="B652" s="1" t="n">
        <v>45790</v>
      </c>
      <c r="C652" s="1" t="n">
        <v>45998</v>
      </c>
      <c r="D652" t="inlineStr">
        <is>
          <t>VÄSTERBOTTENS LÄN</t>
        </is>
      </c>
      <c r="E652" t="inlineStr">
        <is>
          <t>UMEÅ</t>
        </is>
      </c>
      <c r="G652" t="n">
        <v>2.4</v>
      </c>
      <c r="H652" t="n">
        <v>0</v>
      </c>
      <c r="I652" t="n">
        <v>0</v>
      </c>
      <c r="J652" t="n">
        <v>0</v>
      </c>
      <c r="K652" t="n">
        <v>0</v>
      </c>
      <c r="L652" t="n">
        <v>0</v>
      </c>
      <c r="M652" t="n">
        <v>0</v>
      </c>
      <c r="N652" t="n">
        <v>0</v>
      </c>
      <c r="O652" t="n">
        <v>0</v>
      </c>
      <c r="P652" t="n">
        <v>0</v>
      </c>
      <c r="Q652" t="n">
        <v>0</v>
      </c>
      <c r="R652" s="2" t="inlineStr"/>
    </row>
    <row r="653" ht="15" customHeight="1">
      <c r="A653" t="inlineStr">
        <is>
          <t>A 2659-2023</t>
        </is>
      </c>
      <c r="B653" s="1" t="n">
        <v>44944</v>
      </c>
      <c r="C653" s="1" t="n">
        <v>45998</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15664-2025</t>
        </is>
      </c>
      <c r="B654" s="1" t="n">
        <v>45748</v>
      </c>
      <c r="C654" s="1" t="n">
        <v>45998</v>
      </c>
      <c r="D654" t="inlineStr">
        <is>
          <t>VÄSTERBOTTENS LÄN</t>
        </is>
      </c>
      <c r="E654" t="inlineStr">
        <is>
          <t>UMEÅ</t>
        </is>
      </c>
      <c r="G654" t="n">
        <v>1.2</v>
      </c>
      <c r="H654" t="n">
        <v>0</v>
      </c>
      <c r="I654" t="n">
        <v>0</v>
      </c>
      <c r="J654" t="n">
        <v>0</v>
      </c>
      <c r="K654" t="n">
        <v>0</v>
      </c>
      <c r="L654" t="n">
        <v>0</v>
      </c>
      <c r="M654" t="n">
        <v>0</v>
      </c>
      <c r="N654" t="n">
        <v>0</v>
      </c>
      <c r="O654" t="n">
        <v>0</v>
      </c>
      <c r="P654" t="n">
        <v>0</v>
      </c>
      <c r="Q654" t="n">
        <v>0</v>
      </c>
      <c r="R654" s="2" t="inlineStr"/>
    </row>
    <row r="655" ht="15" customHeight="1">
      <c r="A655" t="inlineStr">
        <is>
          <t>A 34320-2024</t>
        </is>
      </c>
      <c r="B655" s="1" t="n">
        <v>45524</v>
      </c>
      <c r="C655" s="1" t="n">
        <v>45998</v>
      </c>
      <c r="D655" t="inlineStr">
        <is>
          <t>VÄSTERBOTTENS LÄN</t>
        </is>
      </c>
      <c r="E655" t="inlineStr">
        <is>
          <t>UMEÅ</t>
        </is>
      </c>
      <c r="G655" t="n">
        <v>0.5</v>
      </c>
      <c r="H655" t="n">
        <v>0</v>
      </c>
      <c r="I655" t="n">
        <v>0</v>
      </c>
      <c r="J655" t="n">
        <v>0</v>
      </c>
      <c r="K655" t="n">
        <v>0</v>
      </c>
      <c r="L655" t="n">
        <v>0</v>
      </c>
      <c r="M655" t="n">
        <v>0</v>
      </c>
      <c r="N655" t="n">
        <v>0</v>
      </c>
      <c r="O655" t="n">
        <v>0</v>
      </c>
      <c r="P655" t="n">
        <v>0</v>
      </c>
      <c r="Q655" t="n">
        <v>0</v>
      </c>
      <c r="R655" s="2" t="inlineStr"/>
    </row>
    <row r="656" ht="15" customHeight="1">
      <c r="A656" t="inlineStr">
        <is>
          <t>A 11511-2022</t>
        </is>
      </c>
      <c r="B656" s="1" t="n">
        <v>44631.33300925926</v>
      </c>
      <c r="C656" s="1" t="n">
        <v>45998</v>
      </c>
      <c r="D656" t="inlineStr">
        <is>
          <t>VÄSTERBOTTENS LÄN</t>
        </is>
      </c>
      <c r="E656" t="inlineStr">
        <is>
          <t>UMEÅ</t>
        </is>
      </c>
      <c r="F656" t="inlineStr">
        <is>
          <t>Kommuner</t>
        </is>
      </c>
      <c r="G656" t="n">
        <v>3.2</v>
      </c>
      <c r="H656" t="n">
        <v>0</v>
      </c>
      <c r="I656" t="n">
        <v>0</v>
      </c>
      <c r="J656" t="n">
        <v>0</v>
      </c>
      <c r="K656" t="n">
        <v>0</v>
      </c>
      <c r="L656" t="n">
        <v>0</v>
      </c>
      <c r="M656" t="n">
        <v>0</v>
      </c>
      <c r="N656" t="n">
        <v>0</v>
      </c>
      <c r="O656" t="n">
        <v>0</v>
      </c>
      <c r="P656" t="n">
        <v>0</v>
      </c>
      <c r="Q656" t="n">
        <v>0</v>
      </c>
      <c r="R656" s="2" t="inlineStr"/>
    </row>
    <row r="657" ht="15" customHeight="1">
      <c r="A657" t="inlineStr">
        <is>
          <t>A 37309-2025</t>
        </is>
      </c>
      <c r="B657" s="1" t="n">
        <v>45876.595</v>
      </c>
      <c r="C657" s="1" t="n">
        <v>45998</v>
      </c>
      <c r="D657" t="inlineStr">
        <is>
          <t>VÄSTERBOTTENS LÄN</t>
        </is>
      </c>
      <c r="E657" t="inlineStr">
        <is>
          <t>UMEÅ</t>
        </is>
      </c>
      <c r="G657" t="n">
        <v>1.7</v>
      </c>
      <c r="H657" t="n">
        <v>0</v>
      </c>
      <c r="I657" t="n">
        <v>0</v>
      </c>
      <c r="J657" t="n">
        <v>0</v>
      </c>
      <c r="K657" t="n">
        <v>0</v>
      </c>
      <c r="L657" t="n">
        <v>0</v>
      </c>
      <c r="M657" t="n">
        <v>0</v>
      </c>
      <c r="N657" t="n">
        <v>0</v>
      </c>
      <c r="O657" t="n">
        <v>0</v>
      </c>
      <c r="P657" t="n">
        <v>0</v>
      </c>
      <c r="Q657" t="n">
        <v>0</v>
      </c>
      <c r="R657" s="2" t="inlineStr"/>
    </row>
    <row r="658" ht="15" customHeight="1">
      <c r="A658" t="inlineStr">
        <is>
          <t>A 37039-2025</t>
        </is>
      </c>
      <c r="B658" s="1" t="n">
        <v>45875.32471064815</v>
      </c>
      <c r="C658" s="1" t="n">
        <v>45998</v>
      </c>
      <c r="D658" t="inlineStr">
        <is>
          <t>VÄSTERBOTTENS LÄN</t>
        </is>
      </c>
      <c r="E658" t="inlineStr">
        <is>
          <t>UMEÅ</t>
        </is>
      </c>
      <c r="F658" t="inlineStr">
        <is>
          <t>Holmen skog AB</t>
        </is>
      </c>
      <c r="G658" t="n">
        <v>4.8</v>
      </c>
      <c r="H658" t="n">
        <v>0</v>
      </c>
      <c r="I658" t="n">
        <v>0</v>
      </c>
      <c r="J658" t="n">
        <v>0</v>
      </c>
      <c r="K658" t="n">
        <v>0</v>
      </c>
      <c r="L658" t="n">
        <v>0</v>
      </c>
      <c r="M658" t="n">
        <v>0</v>
      </c>
      <c r="N658" t="n">
        <v>0</v>
      </c>
      <c r="O658" t="n">
        <v>0</v>
      </c>
      <c r="P658" t="n">
        <v>0</v>
      </c>
      <c r="Q658" t="n">
        <v>0</v>
      </c>
      <c r="R658" s="2" t="inlineStr"/>
    </row>
    <row r="659" ht="15" customHeight="1">
      <c r="A659" t="inlineStr">
        <is>
          <t>A 36814-2025</t>
        </is>
      </c>
      <c r="B659" s="1" t="n">
        <v>45872</v>
      </c>
      <c r="C659" s="1" t="n">
        <v>45998</v>
      </c>
      <c r="D659" t="inlineStr">
        <is>
          <t>VÄSTERBOTTENS LÄN</t>
        </is>
      </c>
      <c r="E659" t="inlineStr">
        <is>
          <t>UMEÅ</t>
        </is>
      </c>
      <c r="G659" t="n">
        <v>1.7</v>
      </c>
      <c r="H659" t="n">
        <v>0</v>
      </c>
      <c r="I659" t="n">
        <v>0</v>
      </c>
      <c r="J659" t="n">
        <v>0</v>
      </c>
      <c r="K659" t="n">
        <v>0</v>
      </c>
      <c r="L659" t="n">
        <v>0</v>
      </c>
      <c r="M659" t="n">
        <v>0</v>
      </c>
      <c r="N659" t="n">
        <v>0</v>
      </c>
      <c r="O659" t="n">
        <v>0</v>
      </c>
      <c r="P659" t="n">
        <v>0</v>
      </c>
      <c r="Q659" t="n">
        <v>0</v>
      </c>
      <c r="R659" s="2" t="inlineStr"/>
    </row>
    <row r="660" ht="15" customHeight="1">
      <c r="A660" t="inlineStr">
        <is>
          <t>A 22851-2025</t>
        </is>
      </c>
      <c r="B660" s="1" t="n">
        <v>45790.34162037037</v>
      </c>
      <c r="C660" s="1" t="n">
        <v>45998</v>
      </c>
      <c r="D660" t="inlineStr">
        <is>
          <t>VÄSTERBOTTENS LÄN</t>
        </is>
      </c>
      <c r="E660" t="inlineStr">
        <is>
          <t>UMEÅ</t>
        </is>
      </c>
      <c r="F660" t="inlineStr">
        <is>
          <t>Holmen skog AB</t>
        </is>
      </c>
      <c r="G660" t="n">
        <v>20.6</v>
      </c>
      <c r="H660" t="n">
        <v>0</v>
      </c>
      <c r="I660" t="n">
        <v>0</v>
      </c>
      <c r="J660" t="n">
        <v>0</v>
      </c>
      <c r="K660" t="n">
        <v>0</v>
      </c>
      <c r="L660" t="n">
        <v>0</v>
      </c>
      <c r="M660" t="n">
        <v>0</v>
      </c>
      <c r="N660" t="n">
        <v>0</v>
      </c>
      <c r="O660" t="n">
        <v>0</v>
      </c>
      <c r="P660" t="n">
        <v>0</v>
      </c>
      <c r="Q660" t="n">
        <v>0</v>
      </c>
      <c r="R660" s="2" t="inlineStr"/>
    </row>
    <row r="661" ht="15" customHeight="1">
      <c r="A661" t="inlineStr">
        <is>
          <t>A 16021-2025</t>
        </is>
      </c>
      <c r="B661" s="1" t="n">
        <v>45749</v>
      </c>
      <c r="C661" s="1" t="n">
        <v>45998</v>
      </c>
      <c r="D661" t="inlineStr">
        <is>
          <t>VÄSTERBOTTENS LÄN</t>
        </is>
      </c>
      <c r="E661" t="inlineStr">
        <is>
          <t>UMEÅ</t>
        </is>
      </c>
      <c r="G661" t="n">
        <v>4.5</v>
      </c>
      <c r="H661" t="n">
        <v>0</v>
      </c>
      <c r="I661" t="n">
        <v>0</v>
      </c>
      <c r="J661" t="n">
        <v>0</v>
      </c>
      <c r="K661" t="n">
        <v>0</v>
      </c>
      <c r="L661" t="n">
        <v>0</v>
      </c>
      <c r="M661" t="n">
        <v>0</v>
      </c>
      <c r="N661" t="n">
        <v>0</v>
      </c>
      <c r="O661" t="n">
        <v>0</v>
      </c>
      <c r="P661" t="n">
        <v>0</v>
      </c>
      <c r="Q661" t="n">
        <v>0</v>
      </c>
      <c r="R661" s="2" t="inlineStr"/>
    </row>
    <row r="662" ht="15" customHeight="1">
      <c r="A662" t="inlineStr">
        <is>
          <t>A 37038-2025</t>
        </is>
      </c>
      <c r="B662" s="1" t="n">
        <v>45875.31435185186</v>
      </c>
      <c r="C662" s="1" t="n">
        <v>45998</v>
      </c>
      <c r="D662" t="inlineStr">
        <is>
          <t>VÄSTERBOTTENS LÄN</t>
        </is>
      </c>
      <c r="E662" t="inlineStr">
        <is>
          <t>UMEÅ</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45998</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42160-2024</t>
        </is>
      </c>
      <c r="B664" s="1" t="n">
        <v>45562.45623842593</v>
      </c>
      <c r="C664" s="1" t="n">
        <v>45998</v>
      </c>
      <c r="D664" t="inlineStr">
        <is>
          <t>VÄSTERBOTTENS LÄN</t>
        </is>
      </c>
      <c r="E664" t="inlineStr">
        <is>
          <t>UMEÅ</t>
        </is>
      </c>
      <c r="G664" t="n">
        <v>2.1</v>
      </c>
      <c r="H664" t="n">
        <v>0</v>
      </c>
      <c r="I664" t="n">
        <v>0</v>
      </c>
      <c r="J664" t="n">
        <v>0</v>
      </c>
      <c r="K664" t="n">
        <v>0</v>
      </c>
      <c r="L664" t="n">
        <v>0</v>
      </c>
      <c r="M664" t="n">
        <v>0</v>
      </c>
      <c r="N664" t="n">
        <v>0</v>
      </c>
      <c r="O664" t="n">
        <v>0</v>
      </c>
      <c r="P664" t="n">
        <v>0</v>
      </c>
      <c r="Q664" t="n">
        <v>0</v>
      </c>
      <c r="R664" s="2" t="inlineStr"/>
    </row>
    <row r="665" ht="15" customHeight="1">
      <c r="A665" t="inlineStr">
        <is>
          <t>A 42014-2024</t>
        </is>
      </c>
      <c r="B665" s="1" t="n">
        <v>45561.69625</v>
      </c>
      <c r="C665" s="1" t="n">
        <v>45998</v>
      </c>
      <c r="D665" t="inlineStr">
        <is>
          <t>VÄSTERBOTTENS LÄN</t>
        </is>
      </c>
      <c r="E665" t="inlineStr">
        <is>
          <t>UMEÅ</t>
        </is>
      </c>
      <c r="G665" t="n">
        <v>3.5</v>
      </c>
      <c r="H665" t="n">
        <v>0</v>
      </c>
      <c r="I665" t="n">
        <v>0</v>
      </c>
      <c r="J665" t="n">
        <v>0</v>
      </c>
      <c r="K665" t="n">
        <v>0</v>
      </c>
      <c r="L665" t="n">
        <v>0</v>
      </c>
      <c r="M665" t="n">
        <v>0</v>
      </c>
      <c r="N665" t="n">
        <v>0</v>
      </c>
      <c r="O665" t="n">
        <v>0</v>
      </c>
      <c r="P665" t="n">
        <v>0</v>
      </c>
      <c r="Q665" t="n">
        <v>0</v>
      </c>
      <c r="R665" s="2" t="inlineStr"/>
    </row>
    <row r="666" ht="15" customHeight="1">
      <c r="A666" t="inlineStr">
        <is>
          <t>A 5994-2025</t>
        </is>
      </c>
      <c r="B666" s="1" t="n">
        <v>45695</v>
      </c>
      <c r="C666" s="1" t="n">
        <v>45998</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28436-2025</t>
        </is>
      </c>
      <c r="B667" s="1" t="n">
        <v>45819.38614583333</v>
      </c>
      <c r="C667" s="1" t="n">
        <v>45998</v>
      </c>
      <c r="D667" t="inlineStr">
        <is>
          <t>VÄSTERBOTTENS LÄN</t>
        </is>
      </c>
      <c r="E667" t="inlineStr">
        <is>
          <t>UMEÅ</t>
        </is>
      </c>
      <c r="G667" t="n">
        <v>5.2</v>
      </c>
      <c r="H667" t="n">
        <v>0</v>
      </c>
      <c r="I667" t="n">
        <v>0</v>
      </c>
      <c r="J667" t="n">
        <v>0</v>
      </c>
      <c r="K667" t="n">
        <v>0</v>
      </c>
      <c r="L667" t="n">
        <v>0</v>
      </c>
      <c r="M667" t="n">
        <v>0</v>
      </c>
      <c r="N667" t="n">
        <v>0</v>
      </c>
      <c r="O667" t="n">
        <v>0</v>
      </c>
      <c r="P667" t="n">
        <v>0</v>
      </c>
      <c r="Q667" t="n">
        <v>0</v>
      </c>
      <c r="R667" s="2" t="inlineStr"/>
    </row>
    <row r="668" ht="15" customHeight="1">
      <c r="A668" t="inlineStr">
        <is>
          <t>A 1821-2022</t>
        </is>
      </c>
      <c r="B668" s="1" t="n">
        <v>44574.65519675926</v>
      </c>
      <c r="C668" s="1" t="n">
        <v>45998</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14242-2023</t>
        </is>
      </c>
      <c r="B669" s="1" t="n">
        <v>45009</v>
      </c>
      <c r="C669" s="1" t="n">
        <v>45998</v>
      </c>
      <c r="D669" t="inlineStr">
        <is>
          <t>VÄSTERBOTTENS LÄN</t>
        </is>
      </c>
      <c r="E669" t="inlineStr">
        <is>
          <t>UMEÅ</t>
        </is>
      </c>
      <c r="G669" t="n">
        <v>1.3</v>
      </c>
      <c r="H669" t="n">
        <v>0</v>
      </c>
      <c r="I669" t="n">
        <v>0</v>
      </c>
      <c r="J669" t="n">
        <v>0</v>
      </c>
      <c r="K669" t="n">
        <v>0</v>
      </c>
      <c r="L669" t="n">
        <v>0</v>
      </c>
      <c r="M669" t="n">
        <v>0</v>
      </c>
      <c r="N669" t="n">
        <v>0</v>
      </c>
      <c r="O669" t="n">
        <v>0</v>
      </c>
      <c r="P669" t="n">
        <v>0</v>
      </c>
      <c r="Q669" t="n">
        <v>0</v>
      </c>
      <c r="R669" s="2" t="inlineStr"/>
    </row>
    <row r="670" ht="15" customHeight="1">
      <c r="A670" t="inlineStr">
        <is>
          <t>A 37482-2025</t>
        </is>
      </c>
      <c r="B670" s="1" t="n">
        <v>45877.61789351852</v>
      </c>
      <c r="C670" s="1" t="n">
        <v>45998</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25699-2025</t>
        </is>
      </c>
      <c r="B671" s="1" t="n">
        <v>45803.66822916667</v>
      </c>
      <c r="C671" s="1" t="n">
        <v>45998</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52679-2022</t>
        </is>
      </c>
      <c r="B672" s="1" t="n">
        <v>44874</v>
      </c>
      <c r="C672" s="1" t="n">
        <v>45998</v>
      </c>
      <c r="D672" t="inlineStr">
        <is>
          <t>VÄSTERBOTTENS LÄN</t>
        </is>
      </c>
      <c r="E672" t="inlineStr">
        <is>
          <t>UMEÅ</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38235-2025</t>
        </is>
      </c>
      <c r="B673" s="1" t="n">
        <v>45883.36050925926</v>
      </c>
      <c r="C673" s="1" t="n">
        <v>45998</v>
      </c>
      <c r="D673" t="inlineStr">
        <is>
          <t>VÄSTERBOTTENS LÄN</t>
        </is>
      </c>
      <c r="E673" t="inlineStr">
        <is>
          <t>UMEÅ</t>
        </is>
      </c>
      <c r="G673" t="n">
        <v>7.7</v>
      </c>
      <c r="H673" t="n">
        <v>0</v>
      </c>
      <c r="I673" t="n">
        <v>0</v>
      </c>
      <c r="J673" t="n">
        <v>0</v>
      </c>
      <c r="K673" t="n">
        <v>0</v>
      </c>
      <c r="L673" t="n">
        <v>0</v>
      </c>
      <c r="M673" t="n">
        <v>0</v>
      </c>
      <c r="N673" t="n">
        <v>0</v>
      </c>
      <c r="O673" t="n">
        <v>0</v>
      </c>
      <c r="P673" t="n">
        <v>0</v>
      </c>
      <c r="Q673" t="n">
        <v>0</v>
      </c>
      <c r="R673" s="2" t="inlineStr"/>
    </row>
    <row r="674" ht="15" customHeight="1">
      <c r="A674" t="inlineStr">
        <is>
          <t>A 23271-2025</t>
        </is>
      </c>
      <c r="B674" s="1" t="n">
        <v>45791.5622337963</v>
      </c>
      <c r="C674" s="1" t="n">
        <v>45998</v>
      </c>
      <c r="D674" t="inlineStr">
        <is>
          <t>VÄSTERBOTTENS LÄN</t>
        </is>
      </c>
      <c r="E674" t="inlineStr">
        <is>
          <t>UMEÅ</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23442-2025</t>
        </is>
      </c>
      <c r="B675" s="1" t="n">
        <v>45792.3788425926</v>
      </c>
      <c r="C675" s="1" t="n">
        <v>45998</v>
      </c>
      <c r="D675" t="inlineStr">
        <is>
          <t>VÄSTERBOTTENS LÄN</t>
        </is>
      </c>
      <c r="E675" t="inlineStr">
        <is>
          <t>UMEÅ</t>
        </is>
      </c>
      <c r="G675" t="n">
        <v>4.7</v>
      </c>
      <c r="H675" t="n">
        <v>0</v>
      </c>
      <c r="I675" t="n">
        <v>0</v>
      </c>
      <c r="J675" t="n">
        <v>0</v>
      </c>
      <c r="K675" t="n">
        <v>0</v>
      </c>
      <c r="L675" t="n">
        <v>0</v>
      </c>
      <c r="M675" t="n">
        <v>0</v>
      </c>
      <c r="N675" t="n">
        <v>0</v>
      </c>
      <c r="O675" t="n">
        <v>0</v>
      </c>
      <c r="P675" t="n">
        <v>0</v>
      </c>
      <c r="Q675" t="n">
        <v>0</v>
      </c>
      <c r="R675" s="2" t="inlineStr"/>
    </row>
    <row r="676" ht="15" customHeight="1">
      <c r="A676" t="inlineStr">
        <is>
          <t>A 23500-2025</t>
        </is>
      </c>
      <c r="B676" s="1" t="n">
        <v>45792.48252314814</v>
      </c>
      <c r="C676" s="1" t="n">
        <v>45998</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23563-2025</t>
        </is>
      </c>
      <c r="B677" s="1" t="n">
        <v>45792.58780092592</v>
      </c>
      <c r="C677" s="1" t="n">
        <v>45998</v>
      </c>
      <c r="D677" t="inlineStr">
        <is>
          <t>VÄSTERBOTTENS LÄN</t>
        </is>
      </c>
      <c r="E677" t="inlineStr">
        <is>
          <t>UMEÅ</t>
        </is>
      </c>
      <c r="G677" t="n">
        <v>8.5</v>
      </c>
      <c r="H677" t="n">
        <v>0</v>
      </c>
      <c r="I677" t="n">
        <v>0</v>
      </c>
      <c r="J677" t="n">
        <v>0</v>
      </c>
      <c r="K677" t="n">
        <v>0</v>
      </c>
      <c r="L677" t="n">
        <v>0</v>
      </c>
      <c r="M677" t="n">
        <v>0</v>
      </c>
      <c r="N677" t="n">
        <v>0</v>
      </c>
      <c r="O677" t="n">
        <v>0</v>
      </c>
      <c r="P677" t="n">
        <v>0</v>
      </c>
      <c r="Q677" t="n">
        <v>0</v>
      </c>
      <c r="R677" s="2" t="inlineStr"/>
    </row>
    <row r="678" ht="15" customHeight="1">
      <c r="A678" t="inlineStr">
        <is>
          <t>A 25691-2025</t>
        </is>
      </c>
      <c r="B678" s="1" t="n">
        <v>45803.66194444444</v>
      </c>
      <c r="C678" s="1" t="n">
        <v>45998</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19074-2021</t>
        </is>
      </c>
      <c r="B679" s="1" t="n">
        <v>44308</v>
      </c>
      <c r="C679" s="1" t="n">
        <v>45998</v>
      </c>
      <c r="D679" t="inlineStr">
        <is>
          <t>VÄSTERBOTTENS LÄN</t>
        </is>
      </c>
      <c r="E679" t="inlineStr">
        <is>
          <t>UMEÅ</t>
        </is>
      </c>
      <c r="G679" t="n">
        <v>2.6</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45998</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54354-2021</t>
        </is>
      </c>
      <c r="B681" s="1" t="n">
        <v>44473</v>
      </c>
      <c r="C681" s="1" t="n">
        <v>45998</v>
      </c>
      <c r="D681" t="inlineStr">
        <is>
          <t>VÄSTERBOTTENS LÄN</t>
        </is>
      </c>
      <c r="E681" t="inlineStr">
        <is>
          <t>UMEÅ</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38887-2025</t>
        </is>
      </c>
      <c r="B682" s="1" t="n">
        <v>45887.58591435185</v>
      </c>
      <c r="C682" s="1" t="n">
        <v>45998</v>
      </c>
      <c r="D682" t="inlineStr">
        <is>
          <t>VÄSTERBOTTENS LÄN</t>
        </is>
      </c>
      <c r="E682" t="inlineStr">
        <is>
          <t>UMEÅ</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54439-2021</t>
        </is>
      </c>
      <c r="B683" s="1" t="n">
        <v>44473</v>
      </c>
      <c r="C683" s="1" t="n">
        <v>45998</v>
      </c>
      <c r="D683" t="inlineStr">
        <is>
          <t>VÄSTERBOTTENS LÄN</t>
        </is>
      </c>
      <c r="E683" t="inlineStr">
        <is>
          <t>UMEÅ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34331-2024</t>
        </is>
      </c>
      <c r="B684" s="1" t="n">
        <v>45524</v>
      </c>
      <c r="C684" s="1" t="n">
        <v>45998</v>
      </c>
      <c r="D684" t="inlineStr">
        <is>
          <t>VÄSTERBOTTENS LÄN</t>
        </is>
      </c>
      <c r="E684" t="inlineStr">
        <is>
          <t>UMEÅ</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37814-2025</t>
        </is>
      </c>
      <c r="B685" s="1" t="n">
        <v>45881.3749537037</v>
      </c>
      <c r="C685" s="1" t="n">
        <v>45998</v>
      </c>
      <c r="D685" t="inlineStr">
        <is>
          <t>VÄSTERBOTTENS LÄN</t>
        </is>
      </c>
      <c r="E685" t="inlineStr">
        <is>
          <t>UMEÅ</t>
        </is>
      </c>
      <c r="G685" t="n">
        <v>6</v>
      </c>
      <c r="H685" t="n">
        <v>0</v>
      </c>
      <c r="I685" t="n">
        <v>0</v>
      </c>
      <c r="J685" t="n">
        <v>0</v>
      </c>
      <c r="K685" t="n">
        <v>0</v>
      </c>
      <c r="L685" t="n">
        <v>0</v>
      </c>
      <c r="M685" t="n">
        <v>0</v>
      </c>
      <c r="N685" t="n">
        <v>0</v>
      </c>
      <c r="O685" t="n">
        <v>0</v>
      </c>
      <c r="P685" t="n">
        <v>0</v>
      </c>
      <c r="Q685" t="n">
        <v>0</v>
      </c>
      <c r="R685" s="2" t="inlineStr"/>
    </row>
    <row r="686" ht="15" customHeight="1">
      <c r="A686" t="inlineStr">
        <is>
          <t>A 47179-2025</t>
        </is>
      </c>
      <c r="B686" s="1" t="n">
        <v>45930.30091435185</v>
      </c>
      <c r="C686" s="1" t="n">
        <v>45998</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59029-2024</t>
        </is>
      </c>
      <c r="B687" s="1" t="n">
        <v>45636</v>
      </c>
      <c r="C687" s="1" t="n">
        <v>45998</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39523-2025</t>
        </is>
      </c>
      <c r="B688" s="1" t="n">
        <v>45890.43826388889</v>
      </c>
      <c r="C688" s="1" t="n">
        <v>45998</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39373-2025</t>
        </is>
      </c>
      <c r="B689" s="1" t="n">
        <v>45889.58655092592</v>
      </c>
      <c r="C689" s="1" t="n">
        <v>45998</v>
      </c>
      <c r="D689" t="inlineStr">
        <is>
          <t>VÄSTERBOTTENS LÄN</t>
        </is>
      </c>
      <c r="E689" t="inlineStr">
        <is>
          <t>UMEÅ</t>
        </is>
      </c>
      <c r="G689" t="n">
        <v>7.3</v>
      </c>
      <c r="H689" t="n">
        <v>0</v>
      </c>
      <c r="I689" t="n">
        <v>0</v>
      </c>
      <c r="J689" t="n">
        <v>0</v>
      </c>
      <c r="K689" t="n">
        <v>0</v>
      </c>
      <c r="L689" t="n">
        <v>0</v>
      </c>
      <c r="M689" t="n">
        <v>0</v>
      </c>
      <c r="N689" t="n">
        <v>0</v>
      </c>
      <c r="O689" t="n">
        <v>0</v>
      </c>
      <c r="P689" t="n">
        <v>0</v>
      </c>
      <c r="Q689" t="n">
        <v>0</v>
      </c>
      <c r="R689" s="2" t="inlineStr"/>
    </row>
    <row r="690" ht="15" customHeight="1">
      <c r="A690" t="inlineStr">
        <is>
          <t>A 47421-2025</t>
        </is>
      </c>
      <c r="B690" s="1" t="n">
        <v>45930.62444444445</v>
      </c>
      <c r="C690" s="1" t="n">
        <v>45998</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15656-2023</t>
        </is>
      </c>
      <c r="B691" s="1" t="n">
        <v>45019</v>
      </c>
      <c r="C691" s="1" t="n">
        <v>45998</v>
      </c>
      <c r="D691" t="inlineStr">
        <is>
          <t>VÄSTERBOTTENS LÄN</t>
        </is>
      </c>
      <c r="E691" t="inlineStr">
        <is>
          <t>UMEÅ</t>
        </is>
      </c>
      <c r="F691" t="inlineStr">
        <is>
          <t>Kommuner</t>
        </is>
      </c>
      <c r="G691" t="n">
        <v>2.8</v>
      </c>
      <c r="H691" t="n">
        <v>0</v>
      </c>
      <c r="I691" t="n">
        <v>0</v>
      </c>
      <c r="J691" t="n">
        <v>0</v>
      </c>
      <c r="K691" t="n">
        <v>0</v>
      </c>
      <c r="L691" t="n">
        <v>0</v>
      </c>
      <c r="M691" t="n">
        <v>0</v>
      </c>
      <c r="N691" t="n">
        <v>0</v>
      </c>
      <c r="O691" t="n">
        <v>0</v>
      </c>
      <c r="P691" t="n">
        <v>0</v>
      </c>
      <c r="Q691" t="n">
        <v>0</v>
      </c>
      <c r="R691" s="2" t="inlineStr"/>
    </row>
    <row r="692" ht="15" customHeight="1">
      <c r="A692" t="inlineStr">
        <is>
          <t>A 39820-2025</t>
        </is>
      </c>
      <c r="B692" s="1" t="n">
        <v>45891.53517361111</v>
      </c>
      <c r="C692" s="1" t="n">
        <v>45998</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32510-2025</t>
        </is>
      </c>
      <c r="B693" s="1" t="n">
        <v>45838.47287037037</v>
      </c>
      <c r="C693" s="1" t="n">
        <v>45998</v>
      </c>
      <c r="D693" t="inlineStr">
        <is>
          <t>VÄSTERBOTTENS LÄN</t>
        </is>
      </c>
      <c r="E693" t="inlineStr">
        <is>
          <t>UMEÅ</t>
        </is>
      </c>
      <c r="G693" t="n">
        <v>7.1</v>
      </c>
      <c r="H693" t="n">
        <v>0</v>
      </c>
      <c r="I693" t="n">
        <v>0</v>
      </c>
      <c r="J693" t="n">
        <v>0</v>
      </c>
      <c r="K693" t="n">
        <v>0</v>
      </c>
      <c r="L693" t="n">
        <v>0</v>
      </c>
      <c r="M693" t="n">
        <v>0</v>
      </c>
      <c r="N693" t="n">
        <v>0</v>
      </c>
      <c r="O693" t="n">
        <v>0</v>
      </c>
      <c r="P693" t="n">
        <v>0</v>
      </c>
      <c r="Q693" t="n">
        <v>0</v>
      </c>
      <c r="R693" s="2" t="inlineStr"/>
    </row>
    <row r="694" ht="15" customHeight="1">
      <c r="A694" t="inlineStr">
        <is>
          <t>A 30215-2025</t>
        </is>
      </c>
      <c r="B694" s="1" t="n">
        <v>45827.36939814815</v>
      </c>
      <c r="C694" s="1" t="n">
        <v>45998</v>
      </c>
      <c r="D694" t="inlineStr">
        <is>
          <t>VÄSTERBOTTENS LÄN</t>
        </is>
      </c>
      <c r="E694" t="inlineStr">
        <is>
          <t>UMEÅ</t>
        </is>
      </c>
      <c r="G694" t="n">
        <v>2.5</v>
      </c>
      <c r="H694" t="n">
        <v>0</v>
      </c>
      <c r="I694" t="n">
        <v>0</v>
      </c>
      <c r="J694" t="n">
        <v>0</v>
      </c>
      <c r="K694" t="n">
        <v>0</v>
      </c>
      <c r="L694" t="n">
        <v>0</v>
      </c>
      <c r="M694" t="n">
        <v>0</v>
      </c>
      <c r="N694" t="n">
        <v>0</v>
      </c>
      <c r="O694" t="n">
        <v>0</v>
      </c>
      <c r="P694" t="n">
        <v>0</v>
      </c>
      <c r="Q694" t="n">
        <v>0</v>
      </c>
      <c r="R694" s="2" t="inlineStr"/>
    </row>
    <row r="695" ht="15" customHeight="1">
      <c r="A695" t="inlineStr">
        <is>
          <t>A 29932-2025</t>
        </is>
      </c>
      <c r="B695" s="1" t="n">
        <v>45826.43984953704</v>
      </c>
      <c r="C695" s="1" t="n">
        <v>45998</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40039-2025</t>
        </is>
      </c>
      <c r="B696" s="1" t="n">
        <v>45894.39484953704</v>
      </c>
      <c r="C696" s="1" t="n">
        <v>45998</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40040-2025</t>
        </is>
      </c>
      <c r="B697" s="1" t="n">
        <v>45894.39736111111</v>
      </c>
      <c r="C697" s="1" t="n">
        <v>45998</v>
      </c>
      <c r="D697" t="inlineStr">
        <is>
          <t>VÄSTERBOTTENS LÄN</t>
        </is>
      </c>
      <c r="E697" t="inlineStr">
        <is>
          <t>UMEÅ</t>
        </is>
      </c>
      <c r="G697" t="n">
        <v>6.5</v>
      </c>
      <c r="H697" t="n">
        <v>0</v>
      </c>
      <c r="I697" t="n">
        <v>0</v>
      </c>
      <c r="J697" t="n">
        <v>0</v>
      </c>
      <c r="K697" t="n">
        <v>0</v>
      </c>
      <c r="L697" t="n">
        <v>0</v>
      </c>
      <c r="M697" t="n">
        <v>0</v>
      </c>
      <c r="N697" t="n">
        <v>0</v>
      </c>
      <c r="O697" t="n">
        <v>0</v>
      </c>
      <c r="P697" t="n">
        <v>0</v>
      </c>
      <c r="Q697" t="n">
        <v>0</v>
      </c>
      <c r="R697" s="2" t="inlineStr"/>
    </row>
    <row r="698" ht="15" customHeight="1">
      <c r="A698" t="inlineStr">
        <is>
          <t>A 46864-2025</t>
        </is>
      </c>
      <c r="B698" s="1" t="n">
        <v>45929.32023148148</v>
      </c>
      <c r="C698" s="1" t="n">
        <v>45998</v>
      </c>
      <c r="D698" t="inlineStr">
        <is>
          <t>VÄSTERBOTTENS LÄN</t>
        </is>
      </c>
      <c r="E698" t="inlineStr">
        <is>
          <t>UMEÅ</t>
        </is>
      </c>
      <c r="G698" t="n">
        <v>9.5</v>
      </c>
      <c r="H698" t="n">
        <v>0</v>
      </c>
      <c r="I698" t="n">
        <v>0</v>
      </c>
      <c r="J698" t="n">
        <v>0</v>
      </c>
      <c r="K698" t="n">
        <v>0</v>
      </c>
      <c r="L698" t="n">
        <v>0</v>
      </c>
      <c r="M698" t="n">
        <v>0</v>
      </c>
      <c r="N698" t="n">
        <v>0</v>
      </c>
      <c r="O698" t="n">
        <v>0</v>
      </c>
      <c r="P698" t="n">
        <v>0</v>
      </c>
      <c r="Q698" t="n">
        <v>0</v>
      </c>
      <c r="R698" s="2" t="inlineStr"/>
    </row>
    <row r="699" ht="15" customHeight="1">
      <c r="A699" t="inlineStr">
        <is>
          <t>A 46990-2025</t>
        </is>
      </c>
      <c r="B699" s="1" t="n">
        <v>45929.54004629629</v>
      </c>
      <c r="C699" s="1" t="n">
        <v>45998</v>
      </c>
      <c r="D699" t="inlineStr">
        <is>
          <t>VÄSTERBOTTENS LÄN</t>
        </is>
      </c>
      <c r="E699" t="inlineStr">
        <is>
          <t>UMEÅ</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39836-2025</t>
        </is>
      </c>
      <c r="B700" s="1" t="n">
        <v>45891.56422453704</v>
      </c>
      <c r="C700" s="1" t="n">
        <v>45998</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46962-2025</t>
        </is>
      </c>
      <c r="B701" s="1" t="n">
        <v>45929.48913194444</v>
      </c>
      <c r="C701" s="1" t="n">
        <v>45998</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55658-2025</t>
        </is>
      </c>
      <c r="B702" s="1" t="n">
        <v>45972.3912037037</v>
      </c>
      <c r="C702" s="1" t="n">
        <v>45998</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55752-2025</t>
        </is>
      </c>
      <c r="B703" s="1" t="n">
        <v>45972.58538194445</v>
      </c>
      <c r="C703" s="1" t="n">
        <v>45998</v>
      </c>
      <c r="D703" t="inlineStr">
        <is>
          <t>VÄSTERBOTTENS LÄN</t>
        </is>
      </c>
      <c r="E703" t="inlineStr">
        <is>
          <t>UMEÅ</t>
        </is>
      </c>
      <c r="G703" t="n">
        <v>1.9</v>
      </c>
      <c r="H703" t="n">
        <v>0</v>
      </c>
      <c r="I703" t="n">
        <v>0</v>
      </c>
      <c r="J703" t="n">
        <v>0</v>
      </c>
      <c r="K703" t="n">
        <v>0</v>
      </c>
      <c r="L703" t="n">
        <v>0</v>
      </c>
      <c r="M703" t="n">
        <v>0</v>
      </c>
      <c r="N703" t="n">
        <v>0</v>
      </c>
      <c r="O703" t="n">
        <v>0</v>
      </c>
      <c r="P703" t="n">
        <v>0</v>
      </c>
      <c r="Q703" t="n">
        <v>0</v>
      </c>
      <c r="R703" s="2" t="inlineStr"/>
    </row>
    <row r="704" ht="15" customHeight="1">
      <c r="A704" t="inlineStr">
        <is>
          <t>A 40158-2025</t>
        </is>
      </c>
      <c r="B704" s="1" t="n">
        <v>45894.60689814815</v>
      </c>
      <c r="C704" s="1" t="n">
        <v>45998</v>
      </c>
      <c r="D704" t="inlineStr">
        <is>
          <t>VÄSTERBOTTENS LÄN</t>
        </is>
      </c>
      <c r="E704" t="inlineStr">
        <is>
          <t>UMEÅ</t>
        </is>
      </c>
      <c r="G704" t="n">
        <v>7.2</v>
      </c>
      <c r="H704" t="n">
        <v>0</v>
      </c>
      <c r="I704" t="n">
        <v>0</v>
      </c>
      <c r="J704" t="n">
        <v>0</v>
      </c>
      <c r="K704" t="n">
        <v>0</v>
      </c>
      <c r="L704" t="n">
        <v>0</v>
      </c>
      <c r="M704" t="n">
        <v>0</v>
      </c>
      <c r="N704" t="n">
        <v>0</v>
      </c>
      <c r="O704" t="n">
        <v>0</v>
      </c>
      <c r="P704" t="n">
        <v>0</v>
      </c>
      <c r="Q704" t="n">
        <v>0</v>
      </c>
      <c r="R704" s="2" t="inlineStr"/>
    </row>
    <row r="705" ht="15" customHeight="1">
      <c r="A705" t="inlineStr">
        <is>
          <t>A 46950-2025</t>
        </is>
      </c>
      <c r="B705" s="1" t="n">
        <v>45929.46907407408</v>
      </c>
      <c r="C705" s="1" t="n">
        <v>45998</v>
      </c>
      <c r="D705" t="inlineStr">
        <is>
          <t>VÄSTERBOTTENS LÄN</t>
        </is>
      </c>
      <c r="E705" t="inlineStr">
        <is>
          <t>UMEÅ</t>
        </is>
      </c>
      <c r="G705" t="n">
        <v>2.2</v>
      </c>
      <c r="H705" t="n">
        <v>0</v>
      </c>
      <c r="I705" t="n">
        <v>0</v>
      </c>
      <c r="J705" t="n">
        <v>0</v>
      </c>
      <c r="K705" t="n">
        <v>0</v>
      </c>
      <c r="L705" t="n">
        <v>0</v>
      </c>
      <c r="M705" t="n">
        <v>0</v>
      </c>
      <c r="N705" t="n">
        <v>0</v>
      </c>
      <c r="O705" t="n">
        <v>0</v>
      </c>
      <c r="P705" t="n">
        <v>0</v>
      </c>
      <c r="Q705" t="n">
        <v>0</v>
      </c>
      <c r="R705" s="2" t="inlineStr"/>
    </row>
    <row r="706" ht="15" customHeight="1">
      <c r="A706" t="inlineStr">
        <is>
          <t>A 22674-2025</t>
        </is>
      </c>
      <c r="B706" s="1" t="n">
        <v>45789.49047453704</v>
      </c>
      <c r="C706" s="1" t="n">
        <v>45998</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32788-2024</t>
        </is>
      </c>
      <c r="B707" s="1" t="n">
        <v>45516.5365625</v>
      </c>
      <c r="C707" s="1" t="n">
        <v>45998</v>
      </c>
      <c r="D707" t="inlineStr">
        <is>
          <t>VÄSTERBOTTENS LÄN</t>
        </is>
      </c>
      <c r="E707" t="inlineStr">
        <is>
          <t>UMEÅ</t>
        </is>
      </c>
      <c r="G707" t="n">
        <v>1.3</v>
      </c>
      <c r="H707" t="n">
        <v>0</v>
      </c>
      <c r="I707" t="n">
        <v>0</v>
      </c>
      <c r="J707" t="n">
        <v>0</v>
      </c>
      <c r="K707" t="n">
        <v>0</v>
      </c>
      <c r="L707" t="n">
        <v>0</v>
      </c>
      <c r="M707" t="n">
        <v>0</v>
      </c>
      <c r="N707" t="n">
        <v>0</v>
      </c>
      <c r="O707" t="n">
        <v>0</v>
      </c>
      <c r="P707" t="n">
        <v>0</v>
      </c>
      <c r="Q707" t="n">
        <v>0</v>
      </c>
      <c r="R707" s="2" t="inlineStr"/>
    </row>
    <row r="708" ht="15" customHeight="1">
      <c r="A708" t="inlineStr">
        <is>
          <t>A 23472-2025</t>
        </is>
      </c>
      <c r="B708" s="1" t="n">
        <v>45792</v>
      </c>
      <c r="C708" s="1" t="n">
        <v>45998</v>
      </c>
      <c r="D708" t="inlineStr">
        <is>
          <t>VÄSTERBOTTENS LÄN</t>
        </is>
      </c>
      <c r="E708" t="inlineStr">
        <is>
          <t>UMEÅ</t>
        </is>
      </c>
      <c r="G708" t="n">
        <v>1.9</v>
      </c>
      <c r="H708" t="n">
        <v>0</v>
      </c>
      <c r="I708" t="n">
        <v>0</v>
      </c>
      <c r="J708" t="n">
        <v>0</v>
      </c>
      <c r="K708" t="n">
        <v>0</v>
      </c>
      <c r="L708" t="n">
        <v>0</v>
      </c>
      <c r="M708" t="n">
        <v>0</v>
      </c>
      <c r="N708" t="n">
        <v>0</v>
      </c>
      <c r="O708" t="n">
        <v>0</v>
      </c>
      <c r="P708" t="n">
        <v>0</v>
      </c>
      <c r="Q708" t="n">
        <v>0</v>
      </c>
      <c r="R708" s="2" t="inlineStr"/>
    </row>
    <row r="709" ht="15" customHeight="1">
      <c r="A709" t="inlineStr">
        <is>
          <t>A 40949-2025</t>
        </is>
      </c>
      <c r="B709" s="1" t="n">
        <v>45897.6609837963</v>
      </c>
      <c r="C709" s="1" t="n">
        <v>45998</v>
      </c>
      <c r="D709" t="inlineStr">
        <is>
          <t>VÄSTERBOTTENS LÄN</t>
        </is>
      </c>
      <c r="E709" t="inlineStr">
        <is>
          <t>UMEÅ</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48028-2025</t>
        </is>
      </c>
      <c r="B710" s="1" t="n">
        <v>45932.6515625</v>
      </c>
      <c r="C710" s="1" t="n">
        <v>45998</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48011-2025</t>
        </is>
      </c>
      <c r="B711" s="1" t="n">
        <v>45932.64318287037</v>
      </c>
      <c r="C711" s="1" t="n">
        <v>45998</v>
      </c>
      <c r="D711" t="inlineStr">
        <is>
          <t>VÄSTERBOTTENS LÄN</t>
        </is>
      </c>
      <c r="E711" t="inlineStr">
        <is>
          <t>UMEÅ</t>
        </is>
      </c>
      <c r="G711" t="n">
        <v>5.1</v>
      </c>
      <c r="H711" t="n">
        <v>0</v>
      </c>
      <c r="I711" t="n">
        <v>0</v>
      </c>
      <c r="J711" t="n">
        <v>0</v>
      </c>
      <c r="K711" t="n">
        <v>0</v>
      </c>
      <c r="L711" t="n">
        <v>0</v>
      </c>
      <c r="M711" t="n">
        <v>0</v>
      </c>
      <c r="N711" t="n">
        <v>0</v>
      </c>
      <c r="O711" t="n">
        <v>0</v>
      </c>
      <c r="P711" t="n">
        <v>0</v>
      </c>
      <c r="Q711" t="n">
        <v>0</v>
      </c>
      <c r="R711" s="2" t="inlineStr"/>
    </row>
    <row r="712" ht="15" customHeight="1">
      <c r="A712" t="inlineStr">
        <is>
          <t>A 41176-2025</t>
        </is>
      </c>
      <c r="B712" s="1" t="n">
        <v>45898</v>
      </c>
      <c r="C712" s="1" t="n">
        <v>45998</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55844-2025</t>
        </is>
      </c>
      <c r="B713" s="1" t="n">
        <v>45973.29459490741</v>
      </c>
      <c r="C713" s="1" t="n">
        <v>45998</v>
      </c>
      <c r="D713" t="inlineStr">
        <is>
          <t>VÄSTERBOTTENS LÄN</t>
        </is>
      </c>
      <c r="E713" t="inlineStr">
        <is>
          <t>UMEÅ</t>
        </is>
      </c>
      <c r="G713" t="n">
        <v>3.8</v>
      </c>
      <c r="H713" t="n">
        <v>0</v>
      </c>
      <c r="I713" t="n">
        <v>0</v>
      </c>
      <c r="J713" t="n">
        <v>0</v>
      </c>
      <c r="K713" t="n">
        <v>0</v>
      </c>
      <c r="L713" t="n">
        <v>0</v>
      </c>
      <c r="M713" t="n">
        <v>0</v>
      </c>
      <c r="N713" t="n">
        <v>0</v>
      </c>
      <c r="O713" t="n">
        <v>0</v>
      </c>
      <c r="P713" t="n">
        <v>0</v>
      </c>
      <c r="Q713" t="n">
        <v>0</v>
      </c>
      <c r="R713" s="2" t="inlineStr"/>
    </row>
    <row r="714" ht="15" customHeight="1">
      <c r="A714" t="inlineStr">
        <is>
          <t>A 41163-2025</t>
        </is>
      </c>
      <c r="B714" s="1" t="n">
        <v>45898.53366898148</v>
      </c>
      <c r="C714" s="1" t="n">
        <v>45998</v>
      </c>
      <c r="D714" t="inlineStr">
        <is>
          <t>VÄSTERBOTTENS LÄN</t>
        </is>
      </c>
      <c r="E714" t="inlineStr">
        <is>
          <t>UMEÅ</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40736-2025</t>
        </is>
      </c>
      <c r="B715" s="1" t="n">
        <v>45897.36565972222</v>
      </c>
      <c r="C715" s="1" t="n">
        <v>45998</v>
      </c>
      <c r="D715" t="inlineStr">
        <is>
          <t>VÄSTERBOTTENS LÄN</t>
        </is>
      </c>
      <c r="E715" t="inlineStr">
        <is>
          <t>UMEÅ</t>
        </is>
      </c>
      <c r="G715" t="n">
        <v>4.5</v>
      </c>
      <c r="H715" t="n">
        <v>0</v>
      </c>
      <c r="I715" t="n">
        <v>0</v>
      </c>
      <c r="J715" t="n">
        <v>0</v>
      </c>
      <c r="K715" t="n">
        <v>0</v>
      </c>
      <c r="L715" t="n">
        <v>0</v>
      </c>
      <c r="M715" t="n">
        <v>0</v>
      </c>
      <c r="N715" t="n">
        <v>0</v>
      </c>
      <c r="O715" t="n">
        <v>0</v>
      </c>
      <c r="P715" t="n">
        <v>0</v>
      </c>
      <c r="Q715" t="n">
        <v>0</v>
      </c>
      <c r="R715" s="2" t="inlineStr"/>
    </row>
    <row r="716" ht="15" customHeight="1">
      <c r="A716" t="inlineStr">
        <is>
          <t>A 39233-2025</t>
        </is>
      </c>
      <c r="B716" s="1" t="n">
        <v>45889</v>
      </c>
      <c r="C716" s="1" t="n">
        <v>45998</v>
      </c>
      <c r="D716" t="inlineStr">
        <is>
          <t>VÄSTERBOTTENS LÄN</t>
        </is>
      </c>
      <c r="E716" t="inlineStr">
        <is>
          <t>UMEÅ</t>
        </is>
      </c>
      <c r="G716" t="n">
        <v>7.7</v>
      </c>
      <c r="H716" t="n">
        <v>0</v>
      </c>
      <c r="I716" t="n">
        <v>0</v>
      </c>
      <c r="J716" t="n">
        <v>0</v>
      </c>
      <c r="K716" t="n">
        <v>0</v>
      </c>
      <c r="L716" t="n">
        <v>0</v>
      </c>
      <c r="M716" t="n">
        <v>0</v>
      </c>
      <c r="N716" t="n">
        <v>0</v>
      </c>
      <c r="O716" t="n">
        <v>0</v>
      </c>
      <c r="P716" t="n">
        <v>0</v>
      </c>
      <c r="Q716" t="n">
        <v>0</v>
      </c>
      <c r="R716" s="2" t="inlineStr"/>
    </row>
    <row r="717" ht="15" customHeight="1">
      <c r="A717" t="inlineStr">
        <is>
          <t>A 40928-2025</t>
        </is>
      </c>
      <c r="B717" s="1" t="n">
        <v>45897.6433912037</v>
      </c>
      <c r="C717" s="1" t="n">
        <v>45998</v>
      </c>
      <c r="D717" t="inlineStr">
        <is>
          <t>VÄSTERBOTTENS LÄN</t>
        </is>
      </c>
      <c r="E717" t="inlineStr">
        <is>
          <t>UMEÅ</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40924-2025</t>
        </is>
      </c>
      <c r="B718" s="1" t="n">
        <v>45897.63927083334</v>
      </c>
      <c r="C718" s="1" t="n">
        <v>45998</v>
      </c>
      <c r="D718" t="inlineStr">
        <is>
          <t>VÄSTERBOTTENS LÄN</t>
        </is>
      </c>
      <c r="E718" t="inlineStr">
        <is>
          <t>UMEÅ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47863-2025</t>
        </is>
      </c>
      <c r="B719" s="1" t="n">
        <v>45932.4290625</v>
      </c>
      <c r="C719" s="1" t="n">
        <v>45998</v>
      </c>
      <c r="D719" t="inlineStr">
        <is>
          <t>VÄSTERBOTTENS LÄN</t>
        </is>
      </c>
      <c r="E719" t="inlineStr">
        <is>
          <t>UMEÅ</t>
        </is>
      </c>
      <c r="G719" t="n">
        <v>2.3</v>
      </c>
      <c r="H719" t="n">
        <v>0</v>
      </c>
      <c r="I719" t="n">
        <v>0</v>
      </c>
      <c r="J719" t="n">
        <v>0</v>
      </c>
      <c r="K719" t="n">
        <v>0</v>
      </c>
      <c r="L719" t="n">
        <v>0</v>
      </c>
      <c r="M719" t="n">
        <v>0</v>
      </c>
      <c r="N719" t="n">
        <v>0</v>
      </c>
      <c r="O719" t="n">
        <v>0</v>
      </c>
      <c r="P719" t="n">
        <v>0</v>
      </c>
      <c r="Q719" t="n">
        <v>0</v>
      </c>
      <c r="R719" s="2" t="inlineStr"/>
    </row>
    <row r="720" ht="15" customHeight="1">
      <c r="A720" t="inlineStr">
        <is>
          <t>A 41466-2025</t>
        </is>
      </c>
      <c r="B720" s="1" t="n">
        <v>45901</v>
      </c>
      <c r="C720" s="1" t="n">
        <v>45998</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41751-2025</t>
        </is>
      </c>
      <c r="B721" s="1" t="n">
        <v>45902</v>
      </c>
      <c r="C721" s="1" t="n">
        <v>45998</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41580-2025</t>
        </is>
      </c>
      <c r="B722" s="1" t="n">
        <v>45901.62168981481</v>
      </c>
      <c r="C722" s="1" t="n">
        <v>45998</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43973-2024</t>
        </is>
      </c>
      <c r="B723" s="1" t="n">
        <v>45572.49059027778</v>
      </c>
      <c r="C723" s="1" t="n">
        <v>45998</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12141-2025</t>
        </is>
      </c>
      <c r="B724" s="1" t="n">
        <v>45729.40373842593</v>
      </c>
      <c r="C724" s="1" t="n">
        <v>45998</v>
      </c>
      <c r="D724" t="inlineStr">
        <is>
          <t>VÄSTERBOTTENS LÄN</t>
        </is>
      </c>
      <c r="E724" t="inlineStr">
        <is>
          <t>UMEÅ</t>
        </is>
      </c>
      <c r="G724" t="n">
        <v>6.6</v>
      </c>
      <c r="H724" t="n">
        <v>0</v>
      </c>
      <c r="I724" t="n">
        <v>0</v>
      </c>
      <c r="J724" t="n">
        <v>0</v>
      </c>
      <c r="K724" t="n">
        <v>0</v>
      </c>
      <c r="L724" t="n">
        <v>0</v>
      </c>
      <c r="M724" t="n">
        <v>0</v>
      </c>
      <c r="N724" t="n">
        <v>0</v>
      </c>
      <c r="O724" t="n">
        <v>0</v>
      </c>
      <c r="P724" t="n">
        <v>0</v>
      </c>
      <c r="Q724" t="n">
        <v>0</v>
      </c>
      <c r="R724" s="2" t="inlineStr"/>
    </row>
    <row r="725" ht="15" customHeight="1">
      <c r="A725" t="inlineStr">
        <is>
          <t>A 15376-2025</t>
        </is>
      </c>
      <c r="B725" s="1" t="n">
        <v>45747.40657407408</v>
      </c>
      <c r="C725" s="1" t="n">
        <v>45998</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25689-2025</t>
        </is>
      </c>
      <c r="B726" s="1" t="n">
        <v>45803.66111111111</v>
      </c>
      <c r="C726" s="1" t="n">
        <v>45998</v>
      </c>
      <c r="D726" t="inlineStr">
        <is>
          <t>VÄSTERBOTTENS LÄN</t>
        </is>
      </c>
      <c r="E726" t="inlineStr">
        <is>
          <t>UMEÅ</t>
        </is>
      </c>
      <c r="G726" t="n">
        <v>2.2</v>
      </c>
      <c r="H726" t="n">
        <v>0</v>
      </c>
      <c r="I726" t="n">
        <v>0</v>
      </c>
      <c r="J726" t="n">
        <v>0</v>
      </c>
      <c r="K726" t="n">
        <v>0</v>
      </c>
      <c r="L726" t="n">
        <v>0</v>
      </c>
      <c r="M726" t="n">
        <v>0</v>
      </c>
      <c r="N726" t="n">
        <v>0</v>
      </c>
      <c r="O726" t="n">
        <v>0</v>
      </c>
      <c r="P726" t="n">
        <v>0</v>
      </c>
      <c r="Q726" t="n">
        <v>0</v>
      </c>
      <c r="R726" s="2" t="inlineStr"/>
    </row>
    <row r="727" ht="15" customHeight="1">
      <c r="A727" t="inlineStr">
        <is>
          <t>A 29655-2024</t>
        </is>
      </c>
      <c r="B727" s="1" t="n">
        <v>45484</v>
      </c>
      <c r="C727" s="1" t="n">
        <v>45998</v>
      </c>
      <c r="D727" t="inlineStr">
        <is>
          <t>VÄSTERBOTTENS LÄN</t>
        </is>
      </c>
      <c r="E727" t="inlineStr">
        <is>
          <t>UMEÅ</t>
        </is>
      </c>
      <c r="G727" t="n">
        <v>4.7</v>
      </c>
      <c r="H727" t="n">
        <v>0</v>
      </c>
      <c r="I727" t="n">
        <v>0</v>
      </c>
      <c r="J727" t="n">
        <v>0</v>
      </c>
      <c r="K727" t="n">
        <v>0</v>
      </c>
      <c r="L727" t="n">
        <v>0</v>
      </c>
      <c r="M727" t="n">
        <v>0</v>
      </c>
      <c r="N727" t="n">
        <v>0</v>
      </c>
      <c r="O727" t="n">
        <v>0</v>
      </c>
      <c r="P727" t="n">
        <v>0</v>
      </c>
      <c r="Q727" t="n">
        <v>0</v>
      </c>
      <c r="R727" s="2" t="inlineStr"/>
    </row>
    <row r="728" ht="15" customHeight="1">
      <c r="A728" t="inlineStr">
        <is>
          <t>A 42204-2025</t>
        </is>
      </c>
      <c r="B728" s="1" t="n">
        <v>45904.49043981481</v>
      </c>
      <c r="C728" s="1" t="n">
        <v>45998</v>
      </c>
      <c r="D728" t="inlineStr">
        <is>
          <t>VÄSTERBOTTENS LÄN</t>
        </is>
      </c>
      <c r="E728" t="inlineStr">
        <is>
          <t>UMEÅ</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42198-2025</t>
        </is>
      </c>
      <c r="B729" s="1" t="n">
        <v>45904.48623842592</v>
      </c>
      <c r="C729" s="1" t="n">
        <v>45998</v>
      </c>
      <c r="D729" t="inlineStr">
        <is>
          <t>VÄSTERBOTTENS LÄN</t>
        </is>
      </c>
      <c r="E729" t="inlineStr">
        <is>
          <t>UMEÅ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42476-2025</t>
        </is>
      </c>
      <c r="B730" s="1" t="n">
        <v>45904</v>
      </c>
      <c r="C730" s="1" t="n">
        <v>45998</v>
      </c>
      <c r="D730" t="inlineStr">
        <is>
          <t>VÄSTERBOTTENS LÄN</t>
        </is>
      </c>
      <c r="E730" t="inlineStr">
        <is>
          <t>UMEÅ</t>
        </is>
      </c>
      <c r="G730" t="n">
        <v>2.9</v>
      </c>
      <c r="H730" t="n">
        <v>0</v>
      </c>
      <c r="I730" t="n">
        <v>0</v>
      </c>
      <c r="J730" t="n">
        <v>0</v>
      </c>
      <c r="K730" t="n">
        <v>0</v>
      </c>
      <c r="L730" t="n">
        <v>0</v>
      </c>
      <c r="M730" t="n">
        <v>0</v>
      </c>
      <c r="N730" t="n">
        <v>0</v>
      </c>
      <c r="O730" t="n">
        <v>0</v>
      </c>
      <c r="P730" t="n">
        <v>0</v>
      </c>
      <c r="Q730" t="n">
        <v>0</v>
      </c>
      <c r="R730" s="2" t="inlineStr"/>
    </row>
    <row r="731" ht="15" customHeight="1">
      <c r="A731" t="inlineStr">
        <is>
          <t>A 33049-2025</t>
        </is>
      </c>
      <c r="B731" s="1" t="n">
        <v>45840.42099537037</v>
      </c>
      <c r="C731" s="1" t="n">
        <v>45998</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31805-2025</t>
        </is>
      </c>
      <c r="B732" s="1" t="n">
        <v>45834.55314814814</v>
      </c>
      <c r="C732" s="1" t="n">
        <v>45998</v>
      </c>
      <c r="D732" t="inlineStr">
        <is>
          <t>VÄSTERBOTTENS LÄN</t>
        </is>
      </c>
      <c r="E732" t="inlineStr">
        <is>
          <t>UMEÅ</t>
        </is>
      </c>
      <c r="G732" t="n">
        <v>3.5</v>
      </c>
      <c r="H732" t="n">
        <v>0</v>
      </c>
      <c r="I732" t="n">
        <v>0</v>
      </c>
      <c r="J732" t="n">
        <v>0</v>
      </c>
      <c r="K732" t="n">
        <v>0</v>
      </c>
      <c r="L732" t="n">
        <v>0</v>
      </c>
      <c r="M732" t="n">
        <v>0</v>
      </c>
      <c r="N732" t="n">
        <v>0</v>
      </c>
      <c r="O732" t="n">
        <v>0</v>
      </c>
      <c r="P732" t="n">
        <v>0</v>
      </c>
      <c r="Q732" t="n">
        <v>0</v>
      </c>
      <c r="R732" s="2" t="inlineStr"/>
    </row>
    <row r="733" ht="15" customHeight="1">
      <c r="A733" t="inlineStr">
        <is>
          <t>A 42176-2025</t>
        </is>
      </c>
      <c r="B733" s="1" t="n">
        <v>45904.44513888889</v>
      </c>
      <c r="C733" s="1" t="n">
        <v>45998</v>
      </c>
      <c r="D733" t="inlineStr">
        <is>
          <t>VÄSTERBOTTENS LÄN</t>
        </is>
      </c>
      <c r="E733" t="inlineStr">
        <is>
          <t>UMEÅ</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48264-2025</t>
        </is>
      </c>
      <c r="B734" s="1" t="n">
        <v>45933.56834490741</v>
      </c>
      <c r="C734" s="1" t="n">
        <v>45998</v>
      </c>
      <c r="D734" t="inlineStr">
        <is>
          <t>VÄSTERBOTTENS LÄN</t>
        </is>
      </c>
      <c r="E734" t="inlineStr">
        <is>
          <t>UMEÅ</t>
        </is>
      </c>
      <c r="G734" t="n">
        <v>1.1</v>
      </c>
      <c r="H734" t="n">
        <v>0</v>
      </c>
      <c r="I734" t="n">
        <v>0</v>
      </c>
      <c r="J734" t="n">
        <v>0</v>
      </c>
      <c r="K734" t="n">
        <v>0</v>
      </c>
      <c r="L734" t="n">
        <v>0</v>
      </c>
      <c r="M734" t="n">
        <v>0</v>
      </c>
      <c r="N734" t="n">
        <v>0</v>
      </c>
      <c r="O734" t="n">
        <v>0</v>
      </c>
      <c r="P734" t="n">
        <v>0</v>
      </c>
      <c r="Q734" t="n">
        <v>0</v>
      </c>
      <c r="R734" s="2" t="inlineStr"/>
    </row>
    <row r="735" ht="15" customHeight="1">
      <c r="A735" t="inlineStr">
        <is>
          <t>A 48267-2025</t>
        </is>
      </c>
      <c r="B735" s="1" t="n">
        <v>45933.57060185185</v>
      </c>
      <c r="C735" s="1" t="n">
        <v>45998</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42617-2025</t>
        </is>
      </c>
      <c r="B736" s="1" t="n">
        <v>45905.71921296296</v>
      </c>
      <c r="C736" s="1" t="n">
        <v>45998</v>
      </c>
      <c r="D736" t="inlineStr">
        <is>
          <t>VÄSTERBOTTENS LÄN</t>
        </is>
      </c>
      <c r="E736" t="inlineStr">
        <is>
          <t>UMEÅ</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23474-2025</t>
        </is>
      </c>
      <c r="B737" s="1" t="n">
        <v>45792.4493287037</v>
      </c>
      <c r="C737" s="1" t="n">
        <v>45998</v>
      </c>
      <c r="D737" t="inlineStr">
        <is>
          <t>VÄSTERBOTTENS LÄN</t>
        </is>
      </c>
      <c r="E737" t="inlineStr">
        <is>
          <t>UMEÅ</t>
        </is>
      </c>
      <c r="G737" t="n">
        <v>4.8</v>
      </c>
      <c r="H737" t="n">
        <v>0</v>
      </c>
      <c r="I737" t="n">
        <v>0</v>
      </c>
      <c r="J737" t="n">
        <v>0</v>
      </c>
      <c r="K737" t="n">
        <v>0</v>
      </c>
      <c r="L737" t="n">
        <v>0</v>
      </c>
      <c r="M737" t="n">
        <v>0</v>
      </c>
      <c r="N737" t="n">
        <v>0</v>
      </c>
      <c r="O737" t="n">
        <v>0</v>
      </c>
      <c r="P737" t="n">
        <v>0</v>
      </c>
      <c r="Q737" t="n">
        <v>0</v>
      </c>
      <c r="R737" s="2" t="inlineStr"/>
    </row>
    <row r="738" ht="15" customHeight="1">
      <c r="A738" t="inlineStr">
        <is>
          <t>A 42855-2025</t>
        </is>
      </c>
      <c r="B738" s="1" t="n">
        <v>45908</v>
      </c>
      <c r="C738" s="1" t="n">
        <v>45998</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42854-2025</t>
        </is>
      </c>
      <c r="B739" s="1" t="n">
        <v>45908.60465277778</v>
      </c>
      <c r="C739" s="1" t="n">
        <v>45998</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56816-2025</t>
        </is>
      </c>
      <c r="B740" s="1" t="n">
        <v>45978.46039351852</v>
      </c>
      <c r="C740" s="1" t="n">
        <v>45998</v>
      </c>
      <c r="D740" t="inlineStr">
        <is>
          <t>VÄSTERBOTTENS LÄN</t>
        </is>
      </c>
      <c r="E740" t="inlineStr">
        <is>
          <t>UMEÅ</t>
        </is>
      </c>
      <c r="G740" t="n">
        <v>6.4</v>
      </c>
      <c r="H740" t="n">
        <v>0</v>
      </c>
      <c r="I740" t="n">
        <v>0</v>
      </c>
      <c r="J740" t="n">
        <v>0</v>
      </c>
      <c r="K740" t="n">
        <v>0</v>
      </c>
      <c r="L740" t="n">
        <v>0</v>
      </c>
      <c r="M740" t="n">
        <v>0</v>
      </c>
      <c r="N740" t="n">
        <v>0</v>
      </c>
      <c r="O740" t="n">
        <v>0</v>
      </c>
      <c r="P740" t="n">
        <v>0</v>
      </c>
      <c r="Q740" t="n">
        <v>0</v>
      </c>
      <c r="R740" s="2" t="inlineStr"/>
    </row>
    <row r="741" ht="15" customHeight="1">
      <c r="A741" t="inlineStr">
        <is>
          <t>A 56547-2025</t>
        </is>
      </c>
      <c r="B741" s="1" t="n">
        <v>45975.48043981481</v>
      </c>
      <c r="C741" s="1" t="n">
        <v>45998</v>
      </c>
      <c r="D741" t="inlineStr">
        <is>
          <t>VÄSTERBOTTENS LÄN</t>
        </is>
      </c>
      <c r="E741" t="inlineStr">
        <is>
          <t>UMEÅ</t>
        </is>
      </c>
      <c r="G741" t="n">
        <v>6.1</v>
      </c>
      <c r="H741" t="n">
        <v>0</v>
      </c>
      <c r="I741" t="n">
        <v>0</v>
      </c>
      <c r="J741" t="n">
        <v>0</v>
      </c>
      <c r="K741" t="n">
        <v>0</v>
      </c>
      <c r="L741" t="n">
        <v>0</v>
      </c>
      <c r="M741" t="n">
        <v>0</v>
      </c>
      <c r="N741" t="n">
        <v>0</v>
      </c>
      <c r="O741" t="n">
        <v>0</v>
      </c>
      <c r="P741" t="n">
        <v>0</v>
      </c>
      <c r="Q741" t="n">
        <v>0</v>
      </c>
      <c r="R741" s="2" t="inlineStr"/>
    </row>
    <row r="742" ht="15" customHeight="1">
      <c r="A742" t="inlineStr">
        <is>
          <t>A 43016-2025</t>
        </is>
      </c>
      <c r="B742" s="1" t="n">
        <v>45909.49864583334</v>
      </c>
      <c r="C742" s="1" t="n">
        <v>45998</v>
      </c>
      <c r="D742" t="inlineStr">
        <is>
          <t>VÄSTERBOTTENS LÄN</t>
        </is>
      </c>
      <c r="E742" t="inlineStr">
        <is>
          <t>UMEÅ</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42987-2025</t>
        </is>
      </c>
      <c r="B743" s="1" t="n">
        <v>45909</v>
      </c>
      <c r="C743" s="1" t="n">
        <v>45998</v>
      </c>
      <c r="D743" t="inlineStr">
        <is>
          <t>VÄSTERBOTTENS LÄN</t>
        </is>
      </c>
      <c r="E743" t="inlineStr">
        <is>
          <t>UMEÅ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32813-2024</t>
        </is>
      </c>
      <c r="B744" s="1" t="n">
        <v>45516.57533564815</v>
      </c>
      <c r="C744" s="1" t="n">
        <v>45998</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42939-2025</t>
        </is>
      </c>
      <c r="B745" s="1" t="n">
        <v>45909</v>
      </c>
      <c r="C745" s="1" t="n">
        <v>45998</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45998</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56542-2025</t>
        </is>
      </c>
      <c r="B747" s="1" t="n">
        <v>45975.47570601852</v>
      </c>
      <c r="C747" s="1" t="n">
        <v>45998</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43111-2025</t>
        </is>
      </c>
      <c r="B748" s="1" t="n">
        <v>45909.66037037037</v>
      </c>
      <c r="C748" s="1" t="n">
        <v>45998</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46232-2024</t>
        </is>
      </c>
      <c r="B749" s="1" t="n">
        <v>45581.57825231482</v>
      </c>
      <c r="C749" s="1" t="n">
        <v>45998</v>
      </c>
      <c r="D749" t="inlineStr">
        <is>
          <t>VÄSTERBOTTENS LÄN</t>
        </is>
      </c>
      <c r="E749" t="inlineStr">
        <is>
          <t>UMEÅ</t>
        </is>
      </c>
      <c r="G749" t="n">
        <v>4.1</v>
      </c>
      <c r="H749" t="n">
        <v>0</v>
      </c>
      <c r="I749" t="n">
        <v>0</v>
      </c>
      <c r="J749" t="n">
        <v>0</v>
      </c>
      <c r="K749" t="n">
        <v>0</v>
      </c>
      <c r="L749" t="n">
        <v>0</v>
      </c>
      <c r="M749" t="n">
        <v>0</v>
      </c>
      <c r="N749" t="n">
        <v>0</v>
      </c>
      <c r="O749" t="n">
        <v>0</v>
      </c>
      <c r="P749" t="n">
        <v>0</v>
      </c>
      <c r="Q749" t="n">
        <v>0</v>
      </c>
      <c r="R749" s="2" t="inlineStr"/>
    </row>
    <row r="750" ht="15" customHeight="1">
      <c r="A750" t="inlineStr">
        <is>
          <t>A 56515-2025</t>
        </is>
      </c>
      <c r="B750" s="1" t="n">
        <v>45975.45572916666</v>
      </c>
      <c r="C750" s="1" t="n">
        <v>45998</v>
      </c>
      <c r="D750" t="inlineStr">
        <is>
          <t>VÄSTERBOTTENS LÄN</t>
        </is>
      </c>
      <c r="E750" t="inlineStr">
        <is>
          <t>UMEÅ</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58278-2024</t>
        </is>
      </c>
      <c r="B751" s="1" t="n">
        <v>45632.57494212963</v>
      </c>
      <c r="C751" s="1" t="n">
        <v>45998</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30050-2024</t>
        </is>
      </c>
      <c r="B752" s="1" t="n">
        <v>45488</v>
      </c>
      <c r="C752" s="1" t="n">
        <v>45998</v>
      </c>
      <c r="D752" t="inlineStr">
        <is>
          <t>VÄSTERBOTTENS LÄN</t>
        </is>
      </c>
      <c r="E752" t="inlineStr">
        <is>
          <t>UMEÅ</t>
        </is>
      </c>
      <c r="G752" t="n">
        <v>2.6</v>
      </c>
      <c r="H752" t="n">
        <v>0</v>
      </c>
      <c r="I752" t="n">
        <v>0</v>
      </c>
      <c r="J752" t="n">
        <v>0</v>
      </c>
      <c r="K752" t="n">
        <v>0</v>
      </c>
      <c r="L752" t="n">
        <v>0</v>
      </c>
      <c r="M752" t="n">
        <v>0</v>
      </c>
      <c r="N752" t="n">
        <v>0</v>
      </c>
      <c r="O752" t="n">
        <v>0</v>
      </c>
      <c r="P752" t="n">
        <v>0</v>
      </c>
      <c r="Q752" t="n">
        <v>0</v>
      </c>
      <c r="R752" s="2" t="inlineStr"/>
    </row>
    <row r="753" ht="15" customHeight="1">
      <c r="A753" t="inlineStr">
        <is>
          <t>A 56555-2025</t>
        </is>
      </c>
      <c r="B753" s="1" t="n">
        <v>45975.48876157407</v>
      </c>
      <c r="C753" s="1" t="n">
        <v>45998</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68823-2020</t>
        </is>
      </c>
      <c r="B754" s="1" t="n">
        <v>44186</v>
      </c>
      <c r="C754" s="1" t="n">
        <v>45998</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56332-2023</t>
        </is>
      </c>
      <c r="B755" s="1" t="n">
        <v>45243.34</v>
      </c>
      <c r="C755" s="1" t="n">
        <v>45998</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43687-2025</t>
        </is>
      </c>
      <c r="B756" s="1" t="n">
        <v>45912</v>
      </c>
      <c r="C756" s="1" t="n">
        <v>45998</v>
      </c>
      <c r="D756" t="inlineStr">
        <is>
          <t>VÄSTERBOTTENS LÄN</t>
        </is>
      </c>
      <c r="E756" t="inlineStr">
        <is>
          <t>UMEÅ</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43697-2025</t>
        </is>
      </c>
      <c r="B757" s="1" t="n">
        <v>45912.39591435185</v>
      </c>
      <c r="C757" s="1" t="n">
        <v>45998</v>
      </c>
      <c r="D757" t="inlineStr">
        <is>
          <t>VÄSTERBOTTENS LÄN</t>
        </is>
      </c>
      <c r="E757" t="inlineStr">
        <is>
          <t>UMEÅ</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56642-2025</t>
        </is>
      </c>
      <c r="B758" s="1" t="n">
        <v>45975.62614583333</v>
      </c>
      <c r="C758" s="1" t="n">
        <v>45998</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43708-2025</t>
        </is>
      </c>
      <c r="B759" s="1" t="n">
        <v>45912.40680555555</v>
      </c>
      <c r="C759" s="1" t="n">
        <v>45998</v>
      </c>
      <c r="D759" t="inlineStr">
        <is>
          <t>VÄSTERBOTTENS LÄN</t>
        </is>
      </c>
      <c r="E759" t="inlineStr">
        <is>
          <t>UMEÅ</t>
        </is>
      </c>
      <c r="G759" t="n">
        <v>2.3</v>
      </c>
      <c r="H759" t="n">
        <v>0</v>
      </c>
      <c r="I759" t="n">
        <v>0</v>
      </c>
      <c r="J759" t="n">
        <v>0</v>
      </c>
      <c r="K759" t="n">
        <v>0</v>
      </c>
      <c r="L759" t="n">
        <v>0</v>
      </c>
      <c r="M759" t="n">
        <v>0</v>
      </c>
      <c r="N759" t="n">
        <v>0</v>
      </c>
      <c r="O759" t="n">
        <v>0</v>
      </c>
      <c r="P759" t="n">
        <v>0</v>
      </c>
      <c r="Q759" t="n">
        <v>0</v>
      </c>
      <c r="R759" s="2" t="inlineStr"/>
    </row>
    <row r="760" ht="15" customHeight="1">
      <c r="A760" t="inlineStr">
        <is>
          <t>A 31441-2024</t>
        </is>
      </c>
      <c r="B760" s="1" t="n">
        <v>45505</v>
      </c>
      <c r="C760" s="1" t="n">
        <v>45998</v>
      </c>
      <c r="D760" t="inlineStr">
        <is>
          <t>VÄSTERBOTTENS LÄN</t>
        </is>
      </c>
      <c r="E760" t="inlineStr">
        <is>
          <t>UMEÅ</t>
        </is>
      </c>
      <c r="G760" t="n">
        <v>2.7</v>
      </c>
      <c r="H760" t="n">
        <v>0</v>
      </c>
      <c r="I760" t="n">
        <v>0</v>
      </c>
      <c r="J760" t="n">
        <v>0</v>
      </c>
      <c r="K760" t="n">
        <v>0</v>
      </c>
      <c r="L760" t="n">
        <v>0</v>
      </c>
      <c r="M760" t="n">
        <v>0</v>
      </c>
      <c r="N760" t="n">
        <v>0</v>
      </c>
      <c r="O760" t="n">
        <v>0</v>
      </c>
      <c r="P760" t="n">
        <v>0</v>
      </c>
      <c r="Q760" t="n">
        <v>0</v>
      </c>
      <c r="R760" s="2" t="inlineStr"/>
    </row>
    <row r="761" ht="15" customHeight="1">
      <c r="A761" t="inlineStr">
        <is>
          <t>A 43840-2025</t>
        </is>
      </c>
      <c r="B761" s="1" t="n">
        <v>45912.63535879629</v>
      </c>
      <c r="C761" s="1" t="n">
        <v>45998</v>
      </c>
      <c r="D761" t="inlineStr">
        <is>
          <t>VÄSTERBOTTENS LÄN</t>
        </is>
      </c>
      <c r="E761" t="inlineStr">
        <is>
          <t>UMEÅ</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24540-2025</t>
        </is>
      </c>
      <c r="B762" s="1" t="n">
        <v>45798.44232638889</v>
      </c>
      <c r="C762" s="1" t="n">
        <v>45998</v>
      </c>
      <c r="D762" t="inlineStr">
        <is>
          <t>VÄSTERBOTTENS LÄN</t>
        </is>
      </c>
      <c r="E762" t="inlineStr">
        <is>
          <t>UMEÅ</t>
        </is>
      </c>
      <c r="G762" t="n">
        <v>9</v>
      </c>
      <c r="H762" t="n">
        <v>0</v>
      </c>
      <c r="I762" t="n">
        <v>0</v>
      </c>
      <c r="J762" t="n">
        <v>0</v>
      </c>
      <c r="K762" t="n">
        <v>0</v>
      </c>
      <c r="L762" t="n">
        <v>0</v>
      </c>
      <c r="M762" t="n">
        <v>0</v>
      </c>
      <c r="N762" t="n">
        <v>0</v>
      </c>
      <c r="O762" t="n">
        <v>0</v>
      </c>
      <c r="P762" t="n">
        <v>0</v>
      </c>
      <c r="Q762" t="n">
        <v>0</v>
      </c>
      <c r="R762" s="2" t="inlineStr"/>
    </row>
    <row r="763" ht="15" customHeight="1">
      <c r="A763" t="inlineStr">
        <is>
          <t>A 24595-2025</t>
        </is>
      </c>
      <c r="B763" s="1" t="n">
        <v>45798</v>
      </c>
      <c r="C763" s="1" t="n">
        <v>45998</v>
      </c>
      <c r="D763" t="inlineStr">
        <is>
          <t>VÄSTERBOTTENS LÄN</t>
        </is>
      </c>
      <c r="E763" t="inlineStr">
        <is>
          <t>UMEÅ</t>
        </is>
      </c>
      <c r="F763" t="inlineStr">
        <is>
          <t>Holmen skog AB</t>
        </is>
      </c>
      <c r="G763" t="n">
        <v>4.3</v>
      </c>
      <c r="H763" t="n">
        <v>0</v>
      </c>
      <c r="I763" t="n">
        <v>0</v>
      </c>
      <c r="J763" t="n">
        <v>0</v>
      </c>
      <c r="K763" t="n">
        <v>0</v>
      </c>
      <c r="L763" t="n">
        <v>0</v>
      </c>
      <c r="M763" t="n">
        <v>0</v>
      </c>
      <c r="N763" t="n">
        <v>0</v>
      </c>
      <c r="O763" t="n">
        <v>0</v>
      </c>
      <c r="P763" t="n">
        <v>0</v>
      </c>
      <c r="Q763" t="n">
        <v>0</v>
      </c>
      <c r="R763" s="2" t="inlineStr"/>
    </row>
    <row r="764" ht="15" customHeight="1">
      <c r="A764" t="inlineStr">
        <is>
          <t>A 43124-2024</t>
        </is>
      </c>
      <c r="B764" s="1" t="n">
        <v>45567</v>
      </c>
      <c r="C764" s="1" t="n">
        <v>45998</v>
      </c>
      <c r="D764" t="inlineStr">
        <is>
          <t>VÄSTERBOTTENS LÄN</t>
        </is>
      </c>
      <c r="E764" t="inlineStr">
        <is>
          <t>UMEÅ</t>
        </is>
      </c>
      <c r="G764" t="n">
        <v>0.4</v>
      </c>
      <c r="H764" t="n">
        <v>0</v>
      </c>
      <c r="I764" t="n">
        <v>0</v>
      </c>
      <c r="J764" t="n">
        <v>0</v>
      </c>
      <c r="K764" t="n">
        <v>0</v>
      </c>
      <c r="L764" t="n">
        <v>0</v>
      </c>
      <c r="M764" t="n">
        <v>0</v>
      </c>
      <c r="N764" t="n">
        <v>0</v>
      </c>
      <c r="O764" t="n">
        <v>0</v>
      </c>
      <c r="P764" t="n">
        <v>0</v>
      </c>
      <c r="Q764" t="n">
        <v>0</v>
      </c>
      <c r="R764" s="2" t="inlineStr"/>
    </row>
    <row r="765" ht="15" customHeight="1">
      <c r="A765" t="inlineStr">
        <is>
          <t>A 43889-2025</t>
        </is>
      </c>
      <c r="B765" s="1" t="n">
        <v>45912.6982175926</v>
      </c>
      <c r="C765" s="1" t="n">
        <v>45998</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57366-2025</t>
        </is>
      </c>
      <c r="B766" s="1" t="n">
        <v>45980.37606481482</v>
      </c>
      <c r="C766" s="1" t="n">
        <v>45998</v>
      </c>
      <c r="D766" t="inlineStr">
        <is>
          <t>VÄSTERBOTTENS LÄN</t>
        </is>
      </c>
      <c r="E766" t="inlineStr">
        <is>
          <t>UMEÅ</t>
        </is>
      </c>
      <c r="G766" t="n">
        <v>5.3</v>
      </c>
      <c r="H766" t="n">
        <v>0</v>
      </c>
      <c r="I766" t="n">
        <v>0</v>
      </c>
      <c r="J766" t="n">
        <v>0</v>
      </c>
      <c r="K766" t="n">
        <v>0</v>
      </c>
      <c r="L766" t="n">
        <v>0</v>
      </c>
      <c r="M766" t="n">
        <v>0</v>
      </c>
      <c r="N766" t="n">
        <v>0</v>
      </c>
      <c r="O766" t="n">
        <v>0</v>
      </c>
      <c r="P766" t="n">
        <v>0</v>
      </c>
      <c r="Q766" t="n">
        <v>0</v>
      </c>
      <c r="R766" s="2" t="inlineStr"/>
    </row>
    <row r="767" ht="15" customHeight="1">
      <c r="A767" t="inlineStr">
        <is>
          <t>A 57374-2025</t>
        </is>
      </c>
      <c r="B767" s="1" t="n">
        <v>45980.38856481481</v>
      </c>
      <c r="C767" s="1" t="n">
        <v>45998</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43789-2025</t>
        </is>
      </c>
      <c r="B768" s="1" t="n">
        <v>45912.53976851852</v>
      </c>
      <c r="C768" s="1" t="n">
        <v>45998</v>
      </c>
      <c r="D768" t="inlineStr">
        <is>
          <t>VÄSTERBOTTENS LÄN</t>
        </is>
      </c>
      <c r="E768" t="inlineStr">
        <is>
          <t>UMEÅ</t>
        </is>
      </c>
      <c r="F768" t="inlineStr">
        <is>
          <t>Holmen skog AB</t>
        </is>
      </c>
      <c r="G768" t="n">
        <v>21.1</v>
      </c>
      <c r="H768" t="n">
        <v>0</v>
      </c>
      <c r="I768" t="n">
        <v>0</v>
      </c>
      <c r="J768" t="n">
        <v>0</v>
      </c>
      <c r="K768" t="n">
        <v>0</v>
      </c>
      <c r="L768" t="n">
        <v>0</v>
      </c>
      <c r="M768" t="n">
        <v>0</v>
      </c>
      <c r="N768" t="n">
        <v>0</v>
      </c>
      <c r="O768" t="n">
        <v>0</v>
      </c>
      <c r="P768" t="n">
        <v>0</v>
      </c>
      <c r="Q768" t="n">
        <v>0</v>
      </c>
      <c r="R768" s="2" t="inlineStr"/>
    </row>
    <row r="769" ht="15" customHeight="1">
      <c r="A769" t="inlineStr">
        <is>
          <t>A 48900-2025</t>
        </is>
      </c>
      <c r="B769" s="1" t="n">
        <v>45937.48125</v>
      </c>
      <c r="C769" s="1" t="n">
        <v>45998</v>
      </c>
      <c r="D769" t="inlineStr">
        <is>
          <t>VÄSTERBOTTENS LÄN</t>
        </is>
      </c>
      <c r="E769" t="inlineStr">
        <is>
          <t>UMEÅ</t>
        </is>
      </c>
      <c r="F769" t="inlineStr">
        <is>
          <t>Holmen skog AB</t>
        </is>
      </c>
      <c r="G769" t="n">
        <v>3.4</v>
      </c>
      <c r="H769" t="n">
        <v>0</v>
      </c>
      <c r="I769" t="n">
        <v>0</v>
      </c>
      <c r="J769" t="n">
        <v>0</v>
      </c>
      <c r="K769" t="n">
        <v>0</v>
      </c>
      <c r="L769" t="n">
        <v>0</v>
      </c>
      <c r="M769" t="n">
        <v>0</v>
      </c>
      <c r="N769" t="n">
        <v>0</v>
      </c>
      <c r="O769" t="n">
        <v>0</v>
      </c>
      <c r="P769" t="n">
        <v>0</v>
      </c>
      <c r="Q769" t="n">
        <v>0</v>
      </c>
      <c r="R769" s="2" t="inlineStr"/>
    </row>
    <row r="770" ht="15" customHeight="1">
      <c r="A770" t="inlineStr">
        <is>
          <t>A 49185-2025</t>
        </is>
      </c>
      <c r="B770" s="1" t="n">
        <v>45938.40478009259</v>
      </c>
      <c r="C770" s="1" t="n">
        <v>45998</v>
      </c>
      <c r="D770" t="inlineStr">
        <is>
          <t>VÄSTERBOTTENS LÄN</t>
        </is>
      </c>
      <c r="E770" t="inlineStr">
        <is>
          <t>UMEÅ</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49030-2025</t>
        </is>
      </c>
      <c r="B771" s="1" t="n">
        <v>45937.62387731481</v>
      </c>
      <c r="C771" s="1" t="n">
        <v>45998</v>
      </c>
      <c r="D771" t="inlineStr">
        <is>
          <t>VÄSTERBOTTENS LÄN</t>
        </is>
      </c>
      <c r="E771" t="inlineStr">
        <is>
          <t>UMEÅ</t>
        </is>
      </c>
      <c r="G771" t="n">
        <v>3.6</v>
      </c>
      <c r="H771" t="n">
        <v>0</v>
      </c>
      <c r="I771" t="n">
        <v>0</v>
      </c>
      <c r="J771" t="n">
        <v>0</v>
      </c>
      <c r="K771" t="n">
        <v>0</v>
      </c>
      <c r="L771" t="n">
        <v>0</v>
      </c>
      <c r="M771" t="n">
        <v>0</v>
      </c>
      <c r="N771" t="n">
        <v>0</v>
      </c>
      <c r="O771" t="n">
        <v>0</v>
      </c>
      <c r="P771" t="n">
        <v>0</v>
      </c>
      <c r="Q771" t="n">
        <v>0</v>
      </c>
      <c r="R771" s="2" t="inlineStr"/>
    </row>
    <row r="772" ht="15" customHeight="1">
      <c r="A772" t="inlineStr">
        <is>
          <t>A 49038-2025</t>
        </is>
      </c>
      <c r="B772" s="1" t="n">
        <v>45937.63146990741</v>
      </c>
      <c r="C772" s="1" t="n">
        <v>45998</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49142-2025</t>
        </is>
      </c>
      <c r="B773" s="1" t="n">
        <v>45938.32196759259</v>
      </c>
      <c r="C773" s="1" t="n">
        <v>45998</v>
      </c>
      <c r="D773" t="inlineStr">
        <is>
          <t>VÄSTERBOTTENS LÄN</t>
        </is>
      </c>
      <c r="E773" t="inlineStr">
        <is>
          <t>UMEÅ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52919-2025</t>
        </is>
      </c>
      <c r="B774" s="1" t="n">
        <v>45957.61322916667</v>
      </c>
      <c r="C774" s="1" t="n">
        <v>45998</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52882-2025</t>
        </is>
      </c>
      <c r="B775" s="1" t="n">
        <v>45957.55465277778</v>
      </c>
      <c r="C775" s="1" t="n">
        <v>45998</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49182-2025</t>
        </is>
      </c>
      <c r="B776" s="1" t="n">
        <v>45938.38820601852</v>
      </c>
      <c r="C776" s="1" t="n">
        <v>45998</v>
      </c>
      <c r="D776" t="inlineStr">
        <is>
          <t>VÄSTERBOTTENS LÄN</t>
        </is>
      </c>
      <c r="E776" t="inlineStr">
        <is>
          <t>UMEÅ</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52926-2025</t>
        </is>
      </c>
      <c r="B777" s="1" t="n">
        <v>45957.6184375</v>
      </c>
      <c r="C777" s="1" t="n">
        <v>45998</v>
      </c>
      <c r="D777" t="inlineStr">
        <is>
          <t>VÄSTERBOTTENS LÄN</t>
        </is>
      </c>
      <c r="E777" t="inlineStr">
        <is>
          <t>UMEÅ</t>
        </is>
      </c>
      <c r="G777" t="n">
        <v>7.1</v>
      </c>
      <c r="H777" t="n">
        <v>0</v>
      </c>
      <c r="I777" t="n">
        <v>0</v>
      </c>
      <c r="J777" t="n">
        <v>0</v>
      </c>
      <c r="K777" t="n">
        <v>0</v>
      </c>
      <c r="L777" t="n">
        <v>0</v>
      </c>
      <c r="M777" t="n">
        <v>0</v>
      </c>
      <c r="N777" t="n">
        <v>0</v>
      </c>
      <c r="O777" t="n">
        <v>0</v>
      </c>
      <c r="P777" t="n">
        <v>0</v>
      </c>
      <c r="Q777" t="n">
        <v>0</v>
      </c>
      <c r="R777" s="2" t="inlineStr"/>
    </row>
    <row r="778" ht="15" customHeight="1">
      <c r="A778" t="inlineStr">
        <is>
          <t>A 52925-2025</t>
        </is>
      </c>
      <c r="B778" s="1" t="n">
        <v>45957.6162962963</v>
      </c>
      <c r="C778" s="1" t="n">
        <v>45998</v>
      </c>
      <c r="D778" t="inlineStr">
        <is>
          <t>VÄSTERBOTTENS LÄN</t>
        </is>
      </c>
      <c r="E778" t="inlineStr">
        <is>
          <t>UMEÅ</t>
        </is>
      </c>
      <c r="G778" t="n">
        <v>5.6</v>
      </c>
      <c r="H778" t="n">
        <v>0</v>
      </c>
      <c r="I778" t="n">
        <v>0</v>
      </c>
      <c r="J778" t="n">
        <v>0</v>
      </c>
      <c r="K778" t="n">
        <v>0</v>
      </c>
      <c r="L778" t="n">
        <v>0</v>
      </c>
      <c r="M778" t="n">
        <v>0</v>
      </c>
      <c r="N778" t="n">
        <v>0</v>
      </c>
      <c r="O778" t="n">
        <v>0</v>
      </c>
      <c r="P778" t="n">
        <v>0</v>
      </c>
      <c r="Q778" t="n">
        <v>0</v>
      </c>
      <c r="R778" s="2" t="inlineStr"/>
    </row>
    <row r="779" ht="15" customHeight="1">
      <c r="A779" t="inlineStr">
        <is>
          <t>A 52928-2025</t>
        </is>
      </c>
      <c r="B779" s="1" t="n">
        <v>45957.62016203703</v>
      </c>
      <c r="C779" s="1" t="n">
        <v>45998</v>
      </c>
      <c r="D779" t="inlineStr">
        <is>
          <t>VÄSTERBOTTENS LÄN</t>
        </is>
      </c>
      <c r="E779" t="inlineStr">
        <is>
          <t>UMEÅ</t>
        </is>
      </c>
      <c r="G779" t="n">
        <v>4.9</v>
      </c>
      <c r="H779" t="n">
        <v>0</v>
      </c>
      <c r="I779" t="n">
        <v>0</v>
      </c>
      <c r="J779" t="n">
        <v>0</v>
      </c>
      <c r="K779" t="n">
        <v>0</v>
      </c>
      <c r="L779" t="n">
        <v>0</v>
      </c>
      <c r="M779" t="n">
        <v>0</v>
      </c>
      <c r="N779" t="n">
        <v>0</v>
      </c>
      <c r="O779" t="n">
        <v>0</v>
      </c>
      <c r="P779" t="n">
        <v>0</v>
      </c>
      <c r="Q779" t="n">
        <v>0</v>
      </c>
      <c r="R779" s="2" t="inlineStr"/>
    </row>
    <row r="780" ht="15" customHeight="1">
      <c r="A780" t="inlineStr">
        <is>
          <t>A 53271-2025</t>
        </is>
      </c>
      <c r="B780" s="1" t="n">
        <v>45958.70387731482</v>
      </c>
      <c r="C780" s="1" t="n">
        <v>45998</v>
      </c>
      <c r="D780" t="inlineStr">
        <is>
          <t>VÄSTERBOTTENS LÄN</t>
        </is>
      </c>
      <c r="E780" t="inlineStr">
        <is>
          <t>UMEÅ</t>
        </is>
      </c>
      <c r="G780" t="n">
        <v>8.9</v>
      </c>
      <c r="H780" t="n">
        <v>0</v>
      </c>
      <c r="I780" t="n">
        <v>0</v>
      </c>
      <c r="J780" t="n">
        <v>0</v>
      </c>
      <c r="K780" t="n">
        <v>0</v>
      </c>
      <c r="L780" t="n">
        <v>0</v>
      </c>
      <c r="M780" t="n">
        <v>0</v>
      </c>
      <c r="N780" t="n">
        <v>0</v>
      </c>
      <c r="O780" t="n">
        <v>0</v>
      </c>
      <c r="P780" t="n">
        <v>0</v>
      </c>
      <c r="Q780" t="n">
        <v>0</v>
      </c>
      <c r="R780" s="2" t="inlineStr"/>
    </row>
    <row r="781" ht="15" customHeight="1">
      <c r="A781" t="inlineStr">
        <is>
          <t>A 57551-2025</t>
        </is>
      </c>
      <c r="B781" s="1" t="n">
        <v>45980.65818287037</v>
      </c>
      <c r="C781" s="1" t="n">
        <v>45998</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30021-2024</t>
        </is>
      </c>
      <c r="B782" s="1" t="n">
        <v>45488</v>
      </c>
      <c r="C782" s="1" t="n">
        <v>45998</v>
      </c>
      <c r="D782" t="inlineStr">
        <is>
          <t>VÄSTERBOTTENS LÄN</t>
        </is>
      </c>
      <c r="E782" t="inlineStr">
        <is>
          <t>UMEÅ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52966-2025</t>
        </is>
      </c>
      <c r="B783" s="1" t="n">
        <v>45957.66818287037</v>
      </c>
      <c r="C783" s="1" t="n">
        <v>45998</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44494-2025</t>
        </is>
      </c>
      <c r="B784" s="1" t="n">
        <v>45916.66503472222</v>
      </c>
      <c r="C784" s="1" t="n">
        <v>45998</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49264-2025</t>
        </is>
      </c>
      <c r="B785" s="1" t="n">
        <v>45938.49991898148</v>
      </c>
      <c r="C785" s="1" t="n">
        <v>45998</v>
      </c>
      <c r="D785" t="inlineStr">
        <is>
          <t>VÄSTERBOTTENS LÄN</t>
        </is>
      </c>
      <c r="E785" t="inlineStr">
        <is>
          <t>UMEÅ</t>
        </is>
      </c>
      <c r="F785" t="inlineStr">
        <is>
          <t>Sveaskog</t>
        </is>
      </c>
      <c r="G785" t="n">
        <v>7.3</v>
      </c>
      <c r="H785" t="n">
        <v>0</v>
      </c>
      <c r="I785" t="n">
        <v>0</v>
      </c>
      <c r="J785" t="n">
        <v>0</v>
      </c>
      <c r="K785" t="n">
        <v>0</v>
      </c>
      <c r="L785" t="n">
        <v>0</v>
      </c>
      <c r="M785" t="n">
        <v>0</v>
      </c>
      <c r="N785" t="n">
        <v>0</v>
      </c>
      <c r="O785" t="n">
        <v>0</v>
      </c>
      <c r="P785" t="n">
        <v>0</v>
      </c>
      <c r="Q785" t="n">
        <v>0</v>
      </c>
      <c r="R785" s="2" t="inlineStr"/>
    </row>
    <row r="786" ht="15" customHeight="1">
      <c r="A786" t="inlineStr">
        <is>
          <t>A 49279-2025</t>
        </is>
      </c>
      <c r="B786" s="1" t="n">
        <v>45938.5106712963</v>
      </c>
      <c r="C786" s="1" t="n">
        <v>45998</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49312-2025</t>
        </is>
      </c>
      <c r="B787" s="1" t="n">
        <v>45938.56427083333</v>
      </c>
      <c r="C787" s="1" t="n">
        <v>45998</v>
      </c>
      <c r="D787" t="inlineStr">
        <is>
          <t>VÄSTERBOTTENS LÄN</t>
        </is>
      </c>
      <c r="E787" t="inlineStr">
        <is>
          <t>UMEÅ</t>
        </is>
      </c>
      <c r="F787" t="inlineStr">
        <is>
          <t>Sveaskog</t>
        </is>
      </c>
      <c r="G787" t="n">
        <v>30.6</v>
      </c>
      <c r="H787" t="n">
        <v>0</v>
      </c>
      <c r="I787" t="n">
        <v>0</v>
      </c>
      <c r="J787" t="n">
        <v>0</v>
      </c>
      <c r="K787" t="n">
        <v>0</v>
      </c>
      <c r="L787" t="n">
        <v>0</v>
      </c>
      <c r="M787" t="n">
        <v>0</v>
      </c>
      <c r="N787" t="n">
        <v>0</v>
      </c>
      <c r="O787" t="n">
        <v>0</v>
      </c>
      <c r="P787" t="n">
        <v>0</v>
      </c>
      <c r="Q787" t="n">
        <v>0</v>
      </c>
      <c r="R787" s="2" t="inlineStr"/>
    </row>
    <row r="788" ht="15" customHeight="1">
      <c r="A788" t="inlineStr">
        <is>
          <t>A 49120-2025</t>
        </is>
      </c>
      <c r="B788" s="1" t="n">
        <v>45937.8341087963</v>
      </c>
      <c r="C788" s="1" t="n">
        <v>45998</v>
      </c>
      <c r="D788" t="inlineStr">
        <is>
          <t>VÄSTERBOTTENS LÄN</t>
        </is>
      </c>
      <c r="E788" t="inlineStr">
        <is>
          <t>UMEÅ</t>
        </is>
      </c>
      <c r="G788" t="n">
        <v>3</v>
      </c>
      <c r="H788" t="n">
        <v>0</v>
      </c>
      <c r="I788" t="n">
        <v>0</v>
      </c>
      <c r="J788" t="n">
        <v>0</v>
      </c>
      <c r="K788" t="n">
        <v>0</v>
      </c>
      <c r="L788" t="n">
        <v>0</v>
      </c>
      <c r="M788" t="n">
        <v>0</v>
      </c>
      <c r="N788" t="n">
        <v>0</v>
      </c>
      <c r="O788" t="n">
        <v>0</v>
      </c>
      <c r="P788" t="n">
        <v>0</v>
      </c>
      <c r="Q788" t="n">
        <v>0</v>
      </c>
      <c r="R788" s="2" t="inlineStr"/>
    </row>
    <row r="789" ht="15" customHeight="1">
      <c r="A789" t="inlineStr">
        <is>
          <t>A 30020-2024</t>
        </is>
      </c>
      <c r="B789" s="1" t="n">
        <v>45488</v>
      </c>
      <c r="C789" s="1" t="n">
        <v>45998</v>
      </c>
      <c r="D789" t="inlineStr">
        <is>
          <t>VÄSTERBOTTENS LÄN</t>
        </is>
      </c>
      <c r="E789" t="inlineStr">
        <is>
          <t>UMEÅ</t>
        </is>
      </c>
      <c r="F789" t="inlineStr">
        <is>
          <t>Holmen skog AB</t>
        </is>
      </c>
      <c r="G789" t="n">
        <v>2.3</v>
      </c>
      <c r="H789" t="n">
        <v>0</v>
      </c>
      <c r="I789" t="n">
        <v>0</v>
      </c>
      <c r="J789" t="n">
        <v>0</v>
      </c>
      <c r="K789" t="n">
        <v>0</v>
      </c>
      <c r="L789" t="n">
        <v>0</v>
      </c>
      <c r="M789" t="n">
        <v>0</v>
      </c>
      <c r="N789" t="n">
        <v>0</v>
      </c>
      <c r="O789" t="n">
        <v>0</v>
      </c>
      <c r="P789" t="n">
        <v>0</v>
      </c>
      <c r="Q789" t="n">
        <v>0</v>
      </c>
      <c r="R789" s="2" t="inlineStr"/>
    </row>
    <row r="790" ht="15" customHeight="1">
      <c r="A790" t="inlineStr">
        <is>
          <t>A 57105-2025</t>
        </is>
      </c>
      <c r="B790" s="1" t="n">
        <v>45979.44579861111</v>
      </c>
      <c r="C790" s="1" t="n">
        <v>45998</v>
      </c>
      <c r="D790" t="inlineStr">
        <is>
          <t>VÄSTERBOTTENS LÄN</t>
        </is>
      </c>
      <c r="E790" t="inlineStr">
        <is>
          <t>UMEÅ</t>
        </is>
      </c>
      <c r="G790" t="n">
        <v>1.3</v>
      </c>
      <c r="H790" t="n">
        <v>0</v>
      </c>
      <c r="I790" t="n">
        <v>0</v>
      </c>
      <c r="J790" t="n">
        <v>0</v>
      </c>
      <c r="K790" t="n">
        <v>0</v>
      </c>
      <c r="L790" t="n">
        <v>0</v>
      </c>
      <c r="M790" t="n">
        <v>0</v>
      </c>
      <c r="N790" t="n">
        <v>0</v>
      </c>
      <c r="O790" t="n">
        <v>0</v>
      </c>
      <c r="P790" t="n">
        <v>0</v>
      </c>
      <c r="Q790" t="n">
        <v>0</v>
      </c>
      <c r="R790" s="2" t="inlineStr"/>
    </row>
    <row r="791" ht="15" customHeight="1">
      <c r="A791" t="inlineStr">
        <is>
          <t>A 24780-2025</t>
        </is>
      </c>
      <c r="B791" s="1" t="n">
        <v>45799</v>
      </c>
      <c r="C791" s="1" t="n">
        <v>45998</v>
      </c>
      <c r="D791" t="inlineStr">
        <is>
          <t>VÄSTERBOTTENS LÄN</t>
        </is>
      </c>
      <c r="E791" t="inlineStr">
        <is>
          <t>UMEÅ</t>
        </is>
      </c>
      <c r="F791" t="inlineStr">
        <is>
          <t>Holmen skog AB</t>
        </is>
      </c>
      <c r="G791" t="n">
        <v>2.5</v>
      </c>
      <c r="H791" t="n">
        <v>0</v>
      </c>
      <c r="I791" t="n">
        <v>0</v>
      </c>
      <c r="J791" t="n">
        <v>0</v>
      </c>
      <c r="K791" t="n">
        <v>0</v>
      </c>
      <c r="L791" t="n">
        <v>0</v>
      </c>
      <c r="M791" t="n">
        <v>0</v>
      </c>
      <c r="N791" t="n">
        <v>0</v>
      </c>
      <c r="O791" t="n">
        <v>0</v>
      </c>
      <c r="P791" t="n">
        <v>0</v>
      </c>
      <c r="Q791" t="n">
        <v>0</v>
      </c>
      <c r="R791" s="2" t="inlineStr"/>
    </row>
    <row r="792" ht="15" customHeight="1">
      <c r="A792" t="inlineStr">
        <is>
          <t>A 58954-2024</t>
        </is>
      </c>
      <c r="B792" s="1" t="n">
        <v>45636.57275462963</v>
      </c>
      <c r="C792" s="1" t="n">
        <v>45998</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57018-2025</t>
        </is>
      </c>
      <c r="B793" s="1" t="n">
        <v>45978.84679398148</v>
      </c>
      <c r="C793" s="1" t="n">
        <v>45998</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53247-2025</t>
        </is>
      </c>
      <c r="B794" s="1" t="n">
        <v>45958.6490625</v>
      </c>
      <c r="C794" s="1" t="n">
        <v>45998</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52990-2025</t>
        </is>
      </c>
      <c r="B795" s="1" t="n">
        <v>45957.71711805555</v>
      </c>
      <c r="C795" s="1" t="n">
        <v>45998</v>
      </c>
      <c r="D795" t="inlineStr">
        <is>
          <t>VÄSTERBOTTENS LÄN</t>
        </is>
      </c>
      <c r="E795" t="inlineStr">
        <is>
          <t>UMEÅ</t>
        </is>
      </c>
      <c r="G795" t="n">
        <v>0.7</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45998</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44420-2025</t>
        </is>
      </c>
      <c r="B797" s="1" t="n">
        <v>45916.54780092592</v>
      </c>
      <c r="C797" s="1" t="n">
        <v>45998</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52996-2025</t>
        </is>
      </c>
      <c r="B798" s="1" t="n">
        <v>45957.73085648148</v>
      </c>
      <c r="C798" s="1" t="n">
        <v>45998</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25838-2025</t>
        </is>
      </c>
      <c r="B799" s="1" t="n">
        <v>45804.44883101852</v>
      </c>
      <c r="C799" s="1" t="n">
        <v>45998</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44064-2025</t>
        </is>
      </c>
      <c r="B800" s="1" t="n">
        <v>45915.54059027778</v>
      </c>
      <c r="C800" s="1" t="n">
        <v>45998</v>
      </c>
      <c r="D800" t="inlineStr">
        <is>
          <t>VÄSTERBOTTENS LÄN</t>
        </is>
      </c>
      <c r="E800" t="inlineStr">
        <is>
          <t>UMEÅ</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52710-2025</t>
        </is>
      </c>
      <c r="B801" s="1" t="n">
        <v>45957.29408564815</v>
      </c>
      <c r="C801" s="1" t="n">
        <v>45998</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57779-2025</t>
        </is>
      </c>
      <c r="B802" s="1" t="n">
        <v>45981.56964120371</v>
      </c>
      <c r="C802" s="1" t="n">
        <v>45998</v>
      </c>
      <c r="D802" t="inlineStr">
        <is>
          <t>VÄSTERBOTTENS LÄN</t>
        </is>
      </c>
      <c r="E802" t="inlineStr">
        <is>
          <t>UMEÅ</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44168-2025</t>
        </is>
      </c>
      <c r="B803" s="1" t="n">
        <v>45915.59853009259</v>
      </c>
      <c r="C803" s="1" t="n">
        <v>45998</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57791-2025</t>
        </is>
      </c>
      <c r="B804" s="1" t="n">
        <v>45981.57913194445</v>
      </c>
      <c r="C804" s="1" t="n">
        <v>45998</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52706-2025</t>
        </is>
      </c>
      <c r="B805" s="1" t="n">
        <v>45957.28523148148</v>
      </c>
      <c r="C805" s="1" t="n">
        <v>45998</v>
      </c>
      <c r="D805" t="inlineStr">
        <is>
          <t>VÄSTERBOTTENS LÄN</t>
        </is>
      </c>
      <c r="E805" t="inlineStr">
        <is>
          <t>UMEÅ</t>
        </is>
      </c>
      <c r="G805" t="n">
        <v>2</v>
      </c>
      <c r="H805" t="n">
        <v>0</v>
      </c>
      <c r="I805" t="n">
        <v>0</v>
      </c>
      <c r="J805" t="n">
        <v>0</v>
      </c>
      <c r="K805" t="n">
        <v>0</v>
      </c>
      <c r="L805" t="n">
        <v>0</v>
      </c>
      <c r="M805" t="n">
        <v>0</v>
      </c>
      <c r="N805" t="n">
        <v>0</v>
      </c>
      <c r="O805" t="n">
        <v>0</v>
      </c>
      <c r="P805" t="n">
        <v>0</v>
      </c>
      <c r="Q805" t="n">
        <v>0</v>
      </c>
      <c r="R805" s="2" t="inlineStr"/>
    </row>
    <row r="806" ht="15" customHeight="1">
      <c r="A806" t="inlineStr">
        <is>
          <t>A 44081-2025</t>
        </is>
      </c>
      <c r="B806" s="1" t="n">
        <v>45915.55290509259</v>
      </c>
      <c r="C806" s="1" t="n">
        <v>45998</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49860-2025</t>
        </is>
      </c>
      <c r="B807" s="1" t="n">
        <v>45940.51144675926</v>
      </c>
      <c r="C807" s="1" t="n">
        <v>45998</v>
      </c>
      <c r="D807" t="inlineStr">
        <is>
          <t>VÄSTERBOTTENS LÄN</t>
        </is>
      </c>
      <c r="E807" t="inlineStr">
        <is>
          <t>UMEÅ</t>
        </is>
      </c>
      <c r="G807" t="n">
        <v>6.9</v>
      </c>
      <c r="H807" t="n">
        <v>0</v>
      </c>
      <c r="I807" t="n">
        <v>0</v>
      </c>
      <c r="J807" t="n">
        <v>0</v>
      </c>
      <c r="K807" t="n">
        <v>0</v>
      </c>
      <c r="L807" t="n">
        <v>0</v>
      </c>
      <c r="M807" t="n">
        <v>0</v>
      </c>
      <c r="N807" t="n">
        <v>0</v>
      </c>
      <c r="O807" t="n">
        <v>0</v>
      </c>
      <c r="P807" t="n">
        <v>0</v>
      </c>
      <c r="Q807" t="n">
        <v>0</v>
      </c>
      <c r="R807" s="2" t="inlineStr"/>
    </row>
    <row r="808" ht="15" customHeight="1">
      <c r="A808" t="inlineStr">
        <is>
          <t>A 49519-2025</t>
        </is>
      </c>
      <c r="B808" s="1" t="n">
        <v>45939.39155092592</v>
      </c>
      <c r="C808" s="1" t="n">
        <v>45998</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49799-2025</t>
        </is>
      </c>
      <c r="B809" s="1" t="n">
        <v>45940.4083912037</v>
      </c>
      <c r="C809" s="1" t="n">
        <v>45998</v>
      </c>
      <c r="D809" t="inlineStr">
        <is>
          <t>VÄSTERBOTTENS LÄN</t>
        </is>
      </c>
      <c r="E809" t="inlineStr">
        <is>
          <t>UMEÅ</t>
        </is>
      </c>
      <c r="G809" t="n">
        <v>5.2</v>
      </c>
      <c r="H809" t="n">
        <v>0</v>
      </c>
      <c r="I809" t="n">
        <v>0</v>
      </c>
      <c r="J809" t="n">
        <v>0</v>
      </c>
      <c r="K809" t="n">
        <v>0</v>
      </c>
      <c r="L809" t="n">
        <v>0</v>
      </c>
      <c r="M809" t="n">
        <v>0</v>
      </c>
      <c r="N809" t="n">
        <v>0</v>
      </c>
      <c r="O809" t="n">
        <v>0</v>
      </c>
      <c r="P809" t="n">
        <v>0</v>
      </c>
      <c r="Q809" t="n">
        <v>0</v>
      </c>
      <c r="R809" s="2" t="inlineStr"/>
    </row>
    <row r="810" ht="15" customHeight="1">
      <c r="A810" t="inlineStr">
        <is>
          <t>A 49898-2025</t>
        </is>
      </c>
      <c r="B810" s="1" t="n">
        <v>45940.58644675926</v>
      </c>
      <c r="C810" s="1" t="n">
        <v>45998</v>
      </c>
      <c r="D810" t="inlineStr">
        <is>
          <t>VÄSTERBOTTENS LÄN</t>
        </is>
      </c>
      <c r="E810" t="inlineStr">
        <is>
          <t>UMEÅ</t>
        </is>
      </c>
      <c r="G810" t="n">
        <v>5.8</v>
      </c>
      <c r="H810" t="n">
        <v>0</v>
      </c>
      <c r="I810" t="n">
        <v>0</v>
      </c>
      <c r="J810" t="n">
        <v>0</v>
      </c>
      <c r="K810" t="n">
        <v>0</v>
      </c>
      <c r="L810" t="n">
        <v>0</v>
      </c>
      <c r="M810" t="n">
        <v>0</v>
      </c>
      <c r="N810" t="n">
        <v>0</v>
      </c>
      <c r="O810" t="n">
        <v>0</v>
      </c>
      <c r="P810" t="n">
        <v>0</v>
      </c>
      <c r="Q810" t="n">
        <v>0</v>
      </c>
      <c r="R810" s="2" t="inlineStr"/>
    </row>
    <row r="811" ht="15" customHeight="1">
      <c r="A811" t="inlineStr">
        <is>
          <t>A 57998-2025</t>
        </is>
      </c>
      <c r="B811" s="1" t="n">
        <v>45982.43335648148</v>
      </c>
      <c r="C811" s="1" t="n">
        <v>45998</v>
      </c>
      <c r="D811" t="inlineStr">
        <is>
          <t>VÄSTERBOTTENS LÄN</t>
        </is>
      </c>
      <c r="E811" t="inlineStr">
        <is>
          <t>UMEÅ</t>
        </is>
      </c>
      <c r="F811" t="inlineStr">
        <is>
          <t>Holmen skog AB</t>
        </is>
      </c>
      <c r="G811" t="n">
        <v>2.9</v>
      </c>
      <c r="H811" t="n">
        <v>0</v>
      </c>
      <c r="I811" t="n">
        <v>0</v>
      </c>
      <c r="J811" t="n">
        <v>0</v>
      </c>
      <c r="K811" t="n">
        <v>0</v>
      </c>
      <c r="L811" t="n">
        <v>0</v>
      </c>
      <c r="M811" t="n">
        <v>0</v>
      </c>
      <c r="N811" t="n">
        <v>0</v>
      </c>
      <c r="O811" t="n">
        <v>0</v>
      </c>
      <c r="P811" t="n">
        <v>0</v>
      </c>
      <c r="Q811" t="n">
        <v>0</v>
      </c>
      <c r="R811" s="2" t="inlineStr"/>
    </row>
    <row r="812" ht="15" customHeight="1">
      <c r="A812" t="inlineStr">
        <is>
          <t>A 58028-2025</t>
        </is>
      </c>
      <c r="B812" s="1" t="n">
        <v>45982.48462962963</v>
      </c>
      <c r="C812" s="1" t="n">
        <v>45998</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26310-2025</t>
        </is>
      </c>
      <c r="B813" s="1" t="n">
        <v>45805.65432870371</v>
      </c>
      <c r="C813" s="1" t="n">
        <v>45998</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44730-2025</t>
        </is>
      </c>
      <c r="B814" s="1" t="n">
        <v>45917.65262731481</v>
      </c>
      <c r="C814" s="1" t="n">
        <v>45998</v>
      </c>
      <c r="D814" t="inlineStr">
        <is>
          <t>VÄSTERBOTTENS LÄN</t>
        </is>
      </c>
      <c r="E814" t="inlineStr">
        <is>
          <t>UMEÅ</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58044-2025</t>
        </is>
      </c>
      <c r="B815" s="1" t="n">
        <v>45982.5025</v>
      </c>
      <c r="C815" s="1" t="n">
        <v>45998</v>
      </c>
      <c r="D815" t="inlineStr">
        <is>
          <t>VÄSTERBOTTENS LÄN</t>
        </is>
      </c>
      <c r="E815" t="inlineStr">
        <is>
          <t>UMEÅ</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44838-2025</t>
        </is>
      </c>
      <c r="B816" s="1" t="n">
        <v>45918.42427083333</v>
      </c>
      <c r="C816" s="1" t="n">
        <v>45998</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58080-2025</t>
        </is>
      </c>
      <c r="B817" s="1" t="n">
        <v>45982.55920138889</v>
      </c>
      <c r="C817" s="1" t="n">
        <v>45998</v>
      </c>
      <c r="D817" t="inlineStr">
        <is>
          <t>VÄSTERBOTTENS LÄN</t>
        </is>
      </c>
      <c r="E817" t="inlineStr">
        <is>
          <t>UMEÅ</t>
        </is>
      </c>
      <c r="G817" t="n">
        <v>2.4</v>
      </c>
      <c r="H817" t="n">
        <v>0</v>
      </c>
      <c r="I817" t="n">
        <v>0</v>
      </c>
      <c r="J817" t="n">
        <v>0</v>
      </c>
      <c r="K817" t="n">
        <v>0</v>
      </c>
      <c r="L817" t="n">
        <v>0</v>
      </c>
      <c r="M817" t="n">
        <v>0</v>
      </c>
      <c r="N817" t="n">
        <v>0</v>
      </c>
      <c r="O817" t="n">
        <v>0</v>
      </c>
      <c r="P817" t="n">
        <v>0</v>
      </c>
      <c r="Q817" t="n">
        <v>0</v>
      </c>
      <c r="R817" s="2" t="inlineStr"/>
    </row>
    <row r="818" ht="15" customHeight="1">
      <c r="A818" t="inlineStr">
        <is>
          <t>A 58088-2025</t>
        </is>
      </c>
      <c r="B818" s="1" t="n">
        <v>45982.57263888889</v>
      </c>
      <c r="C818" s="1" t="n">
        <v>45998</v>
      </c>
      <c r="D818" t="inlineStr">
        <is>
          <t>VÄSTERBOTTENS LÄN</t>
        </is>
      </c>
      <c r="E818" t="inlineStr">
        <is>
          <t>UMEÅ</t>
        </is>
      </c>
      <c r="G818" t="n">
        <v>2.2</v>
      </c>
      <c r="H818" t="n">
        <v>0</v>
      </c>
      <c r="I818" t="n">
        <v>0</v>
      </c>
      <c r="J818" t="n">
        <v>0</v>
      </c>
      <c r="K818" t="n">
        <v>0</v>
      </c>
      <c r="L818" t="n">
        <v>0</v>
      </c>
      <c r="M818" t="n">
        <v>0</v>
      </c>
      <c r="N818" t="n">
        <v>0</v>
      </c>
      <c r="O818" t="n">
        <v>0</v>
      </c>
      <c r="P818" t="n">
        <v>0</v>
      </c>
      <c r="Q818" t="n">
        <v>0</v>
      </c>
      <c r="R818" s="2" t="inlineStr"/>
    </row>
    <row r="819" ht="15" customHeight="1">
      <c r="A819" t="inlineStr">
        <is>
          <t>A 49492-2025</t>
        </is>
      </c>
      <c r="B819" s="1" t="n">
        <v>45939.36616898148</v>
      </c>
      <c r="C819" s="1" t="n">
        <v>45998</v>
      </c>
      <c r="D819" t="inlineStr">
        <is>
          <t>VÄSTERBOTTENS LÄN</t>
        </is>
      </c>
      <c r="E819" t="inlineStr">
        <is>
          <t>UMEÅ</t>
        </is>
      </c>
      <c r="G819" t="n">
        <v>7.2</v>
      </c>
      <c r="H819" t="n">
        <v>0</v>
      </c>
      <c r="I819" t="n">
        <v>0</v>
      </c>
      <c r="J819" t="n">
        <v>0</v>
      </c>
      <c r="K819" t="n">
        <v>0</v>
      </c>
      <c r="L819" t="n">
        <v>0</v>
      </c>
      <c r="M819" t="n">
        <v>0</v>
      </c>
      <c r="N819" t="n">
        <v>0</v>
      </c>
      <c r="O819" t="n">
        <v>0</v>
      </c>
      <c r="P819" t="n">
        <v>0</v>
      </c>
      <c r="Q819" t="n">
        <v>0</v>
      </c>
      <c r="R819" s="2" t="inlineStr"/>
    </row>
    <row r="820" ht="15" customHeight="1">
      <c r="A820" t="inlineStr">
        <is>
          <t>A 49496-2025</t>
        </is>
      </c>
      <c r="B820" s="1" t="n">
        <v>45939.36644675926</v>
      </c>
      <c r="C820" s="1" t="n">
        <v>45998</v>
      </c>
      <c r="D820" t="inlineStr">
        <is>
          <t>VÄSTERBOTTENS LÄN</t>
        </is>
      </c>
      <c r="E820" t="inlineStr">
        <is>
          <t>UMEÅ</t>
        </is>
      </c>
      <c r="G820" t="n">
        <v>3.7</v>
      </c>
      <c r="H820" t="n">
        <v>0</v>
      </c>
      <c r="I820" t="n">
        <v>0</v>
      </c>
      <c r="J820" t="n">
        <v>0</v>
      </c>
      <c r="K820" t="n">
        <v>0</v>
      </c>
      <c r="L820" t="n">
        <v>0</v>
      </c>
      <c r="M820" t="n">
        <v>0</v>
      </c>
      <c r="N820" t="n">
        <v>0</v>
      </c>
      <c r="O820" t="n">
        <v>0</v>
      </c>
      <c r="P820" t="n">
        <v>0</v>
      </c>
      <c r="Q820" t="n">
        <v>0</v>
      </c>
      <c r="R820" s="2" t="inlineStr"/>
    </row>
    <row r="821" ht="15" customHeight="1">
      <c r="A821" t="inlineStr">
        <is>
          <t>A 58102-2025</t>
        </is>
      </c>
      <c r="B821" s="1" t="n">
        <v>45982.589375</v>
      </c>
      <c r="C821" s="1" t="n">
        <v>45998</v>
      </c>
      <c r="D821" t="inlineStr">
        <is>
          <t>VÄSTERBOTTENS LÄN</t>
        </is>
      </c>
      <c r="E821" t="inlineStr">
        <is>
          <t>UMEÅ</t>
        </is>
      </c>
      <c r="F821" t="inlineStr">
        <is>
          <t>Holmen skog AB</t>
        </is>
      </c>
      <c r="G821" t="n">
        <v>20.8</v>
      </c>
      <c r="H821" t="n">
        <v>0</v>
      </c>
      <c r="I821" t="n">
        <v>0</v>
      </c>
      <c r="J821" t="n">
        <v>0</v>
      </c>
      <c r="K821" t="n">
        <v>0</v>
      </c>
      <c r="L821" t="n">
        <v>0</v>
      </c>
      <c r="M821" t="n">
        <v>0</v>
      </c>
      <c r="N821" t="n">
        <v>0</v>
      </c>
      <c r="O821" t="n">
        <v>0</v>
      </c>
      <c r="P821" t="n">
        <v>0</v>
      </c>
      <c r="Q821" t="n">
        <v>0</v>
      </c>
      <c r="R821" s="2" t="inlineStr"/>
    </row>
    <row r="822" ht="15" customHeight="1">
      <c r="A822" t="inlineStr">
        <is>
          <t>A 26183-2025</t>
        </is>
      </c>
      <c r="B822" s="1" t="n">
        <v>45805.47530092593</v>
      </c>
      <c r="C822" s="1" t="n">
        <v>45998</v>
      </c>
      <c r="D822" t="inlineStr">
        <is>
          <t>VÄSTERBOTTENS LÄN</t>
        </is>
      </c>
      <c r="E822" t="inlineStr">
        <is>
          <t>UMEÅ</t>
        </is>
      </c>
      <c r="F822" t="inlineStr">
        <is>
          <t>Holmen skog AB</t>
        </is>
      </c>
      <c r="G822" t="n">
        <v>2.4</v>
      </c>
      <c r="H822" t="n">
        <v>0</v>
      </c>
      <c r="I822" t="n">
        <v>0</v>
      </c>
      <c r="J822" t="n">
        <v>0</v>
      </c>
      <c r="K822" t="n">
        <v>0</v>
      </c>
      <c r="L822" t="n">
        <v>0</v>
      </c>
      <c r="M822" t="n">
        <v>0</v>
      </c>
      <c r="N822" t="n">
        <v>0</v>
      </c>
      <c r="O822" t="n">
        <v>0</v>
      </c>
      <c r="P822" t="n">
        <v>0</v>
      </c>
      <c r="Q822" t="n">
        <v>0</v>
      </c>
      <c r="R822" s="2" t="inlineStr"/>
    </row>
    <row r="823" ht="15" customHeight="1">
      <c r="A823" t="inlineStr">
        <is>
          <t>A 49875-2025</t>
        </is>
      </c>
      <c r="B823" s="1" t="n">
        <v>45940.55391203704</v>
      </c>
      <c r="C823" s="1" t="n">
        <v>45998</v>
      </c>
      <c r="D823" t="inlineStr">
        <is>
          <t>VÄSTERBOTTENS LÄN</t>
        </is>
      </c>
      <c r="E823" t="inlineStr">
        <is>
          <t>UMEÅ</t>
        </is>
      </c>
      <c r="F823" t="inlineStr">
        <is>
          <t>Kommuner</t>
        </is>
      </c>
      <c r="G823" t="n">
        <v>0.5</v>
      </c>
      <c r="H823" t="n">
        <v>0</v>
      </c>
      <c r="I823" t="n">
        <v>0</v>
      </c>
      <c r="J823" t="n">
        <v>0</v>
      </c>
      <c r="K823" t="n">
        <v>0</v>
      </c>
      <c r="L823" t="n">
        <v>0</v>
      </c>
      <c r="M823" t="n">
        <v>0</v>
      </c>
      <c r="N823" t="n">
        <v>0</v>
      </c>
      <c r="O823" t="n">
        <v>0</v>
      </c>
      <c r="P823" t="n">
        <v>0</v>
      </c>
      <c r="Q823" t="n">
        <v>0</v>
      </c>
      <c r="R823" s="2" t="inlineStr"/>
    </row>
    <row r="824" ht="15" customHeight="1">
      <c r="A824" t="inlineStr">
        <is>
          <t>A 44725-2025</t>
        </is>
      </c>
      <c r="B824" s="1" t="n">
        <v>45917.64240740741</v>
      </c>
      <c r="C824" s="1" t="n">
        <v>45998</v>
      </c>
      <c r="D824" t="inlineStr">
        <is>
          <t>VÄSTERBOTTENS LÄN</t>
        </is>
      </c>
      <c r="E824" t="inlineStr">
        <is>
          <t>UMEÅ</t>
        </is>
      </c>
      <c r="G824" t="n">
        <v>4.6</v>
      </c>
      <c r="H824" t="n">
        <v>0</v>
      </c>
      <c r="I824" t="n">
        <v>0</v>
      </c>
      <c r="J824" t="n">
        <v>0</v>
      </c>
      <c r="K824" t="n">
        <v>0</v>
      </c>
      <c r="L824" t="n">
        <v>0</v>
      </c>
      <c r="M824" t="n">
        <v>0</v>
      </c>
      <c r="N824" t="n">
        <v>0</v>
      </c>
      <c r="O824" t="n">
        <v>0</v>
      </c>
      <c r="P824" t="n">
        <v>0</v>
      </c>
      <c r="Q824" t="n">
        <v>0</v>
      </c>
      <c r="R824" s="2" t="inlineStr"/>
    </row>
    <row r="825" ht="15" customHeight="1">
      <c r="A825" t="inlineStr">
        <is>
          <t>A 1003-2025</t>
        </is>
      </c>
      <c r="B825" s="1" t="n">
        <v>45666.47462962963</v>
      </c>
      <c r="C825" s="1" t="n">
        <v>45998</v>
      </c>
      <c r="D825" t="inlineStr">
        <is>
          <t>VÄSTERBOTTENS LÄN</t>
        </is>
      </c>
      <c r="E825" t="inlineStr">
        <is>
          <t>UMEÅ</t>
        </is>
      </c>
      <c r="G825" t="n">
        <v>13.5</v>
      </c>
      <c r="H825" t="n">
        <v>0</v>
      </c>
      <c r="I825" t="n">
        <v>0</v>
      </c>
      <c r="J825" t="n">
        <v>0</v>
      </c>
      <c r="K825" t="n">
        <v>0</v>
      </c>
      <c r="L825" t="n">
        <v>0</v>
      </c>
      <c r="M825" t="n">
        <v>0</v>
      </c>
      <c r="N825" t="n">
        <v>0</v>
      </c>
      <c r="O825" t="n">
        <v>0</v>
      </c>
      <c r="P825" t="n">
        <v>0</v>
      </c>
      <c r="Q825" t="n">
        <v>0</v>
      </c>
      <c r="R825" s="2" t="inlineStr"/>
    </row>
    <row r="826" ht="15" customHeight="1">
      <c r="A826" t="inlineStr">
        <is>
          <t>A 44751-2025</t>
        </is>
      </c>
      <c r="B826" s="1" t="n">
        <v>45917.68104166666</v>
      </c>
      <c r="C826" s="1" t="n">
        <v>45998</v>
      </c>
      <c r="D826" t="inlineStr">
        <is>
          <t>VÄSTERBOTTENS LÄN</t>
        </is>
      </c>
      <c r="E826" t="inlineStr">
        <is>
          <t>UMEÅ</t>
        </is>
      </c>
      <c r="G826" t="n">
        <v>9.1</v>
      </c>
      <c r="H826" t="n">
        <v>0</v>
      </c>
      <c r="I826" t="n">
        <v>0</v>
      </c>
      <c r="J826" t="n">
        <v>0</v>
      </c>
      <c r="K826" t="n">
        <v>0</v>
      </c>
      <c r="L826" t="n">
        <v>0</v>
      </c>
      <c r="M826" t="n">
        <v>0</v>
      </c>
      <c r="N826" t="n">
        <v>0</v>
      </c>
      <c r="O826" t="n">
        <v>0</v>
      </c>
      <c r="P826" t="n">
        <v>0</v>
      </c>
      <c r="Q826" t="n">
        <v>0</v>
      </c>
      <c r="R826" s="2" t="inlineStr"/>
    </row>
    <row r="827" ht="15" customHeight="1">
      <c r="A827" t="inlineStr">
        <is>
          <t>A 53370-2025</t>
        </is>
      </c>
      <c r="B827" s="1" t="n">
        <v>45959.4962962963</v>
      </c>
      <c r="C827" s="1" t="n">
        <v>45998</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57635-2025</t>
        </is>
      </c>
      <c r="B828" s="1" t="n">
        <v>45981.35362268519</v>
      </c>
      <c r="C828" s="1" t="n">
        <v>45998</v>
      </c>
      <c r="D828" t="inlineStr">
        <is>
          <t>VÄSTERBOTTENS LÄN</t>
        </is>
      </c>
      <c r="E828" t="inlineStr">
        <is>
          <t>UMEÅ</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22538-2024</t>
        </is>
      </c>
      <c r="B829" s="1" t="n">
        <v>45447.46972222222</v>
      </c>
      <c r="C829" s="1" t="n">
        <v>45998</v>
      </c>
      <c r="D829" t="inlineStr">
        <is>
          <t>VÄSTERBOTTENS LÄN</t>
        </is>
      </c>
      <c r="E829" t="inlineStr">
        <is>
          <t>UMEÅ</t>
        </is>
      </c>
      <c r="F829" t="inlineStr">
        <is>
          <t>Holmen skog AB</t>
        </is>
      </c>
      <c r="G829" t="n">
        <v>7.1</v>
      </c>
      <c r="H829" t="n">
        <v>0</v>
      </c>
      <c r="I829" t="n">
        <v>0</v>
      </c>
      <c r="J829" t="n">
        <v>0</v>
      </c>
      <c r="K829" t="n">
        <v>0</v>
      </c>
      <c r="L829" t="n">
        <v>0</v>
      </c>
      <c r="M829" t="n">
        <v>0</v>
      </c>
      <c r="N829" t="n">
        <v>0</v>
      </c>
      <c r="O829" t="n">
        <v>0</v>
      </c>
      <c r="P829" t="n">
        <v>0</v>
      </c>
      <c r="Q829" t="n">
        <v>0</v>
      </c>
      <c r="R829" s="2" t="inlineStr"/>
    </row>
    <row r="830" ht="15" customHeight="1">
      <c r="A830" t="inlineStr">
        <is>
          <t>A 39615-2024</t>
        </is>
      </c>
      <c r="B830" s="1" t="n">
        <v>45552</v>
      </c>
      <c r="C830" s="1" t="n">
        <v>45998</v>
      </c>
      <c r="D830" t="inlineStr">
        <is>
          <t>VÄSTERBOTTENS LÄN</t>
        </is>
      </c>
      <c r="E830" t="inlineStr">
        <is>
          <t>UMEÅ</t>
        </is>
      </c>
      <c r="F830" t="inlineStr">
        <is>
          <t>Holmen skog AB</t>
        </is>
      </c>
      <c r="G830" t="n">
        <v>9.4</v>
      </c>
      <c r="H830" t="n">
        <v>0</v>
      </c>
      <c r="I830" t="n">
        <v>0</v>
      </c>
      <c r="J830" t="n">
        <v>0</v>
      </c>
      <c r="K830" t="n">
        <v>0</v>
      </c>
      <c r="L830" t="n">
        <v>0</v>
      </c>
      <c r="M830" t="n">
        <v>0</v>
      </c>
      <c r="N830" t="n">
        <v>0</v>
      </c>
      <c r="O830" t="n">
        <v>0</v>
      </c>
      <c r="P830" t="n">
        <v>0</v>
      </c>
      <c r="Q830" t="n">
        <v>0</v>
      </c>
      <c r="R830" s="2" t="inlineStr"/>
    </row>
    <row r="831" ht="15" customHeight="1">
      <c r="A831" t="inlineStr">
        <is>
          <t>A 50365-2025</t>
        </is>
      </c>
      <c r="B831" s="1" t="n">
        <v>45944.5691087963</v>
      </c>
      <c r="C831" s="1" t="n">
        <v>45998</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53336-2025</t>
        </is>
      </c>
      <c r="B832" s="1" t="n">
        <v>45959.39545138889</v>
      </c>
      <c r="C832" s="1" t="n">
        <v>45998</v>
      </c>
      <c r="D832" t="inlineStr">
        <is>
          <t>VÄSTERBOTTENS LÄN</t>
        </is>
      </c>
      <c r="E832" t="inlineStr">
        <is>
          <t>UMEÅ</t>
        </is>
      </c>
      <c r="G832" t="n">
        <v>9.9</v>
      </c>
      <c r="H832" t="n">
        <v>0</v>
      </c>
      <c r="I832" t="n">
        <v>0</v>
      </c>
      <c r="J832" t="n">
        <v>0</v>
      </c>
      <c r="K832" t="n">
        <v>0</v>
      </c>
      <c r="L832" t="n">
        <v>0</v>
      </c>
      <c r="M832" t="n">
        <v>0</v>
      </c>
      <c r="N832" t="n">
        <v>0</v>
      </c>
      <c r="O832" t="n">
        <v>0</v>
      </c>
      <c r="P832" t="n">
        <v>0</v>
      </c>
      <c r="Q832" t="n">
        <v>0</v>
      </c>
      <c r="R832" s="2" t="inlineStr"/>
    </row>
    <row r="833" ht="15" customHeight="1">
      <c r="A833" t="inlineStr">
        <is>
          <t>A 55053-2023</t>
        </is>
      </c>
      <c r="B833" s="1" t="n">
        <v>45237</v>
      </c>
      <c r="C833" s="1" t="n">
        <v>45998</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50250-2025</t>
        </is>
      </c>
      <c r="B834" s="1" t="n">
        <v>45944.31614583333</v>
      </c>
      <c r="C834" s="1" t="n">
        <v>45998</v>
      </c>
      <c r="D834" t="inlineStr">
        <is>
          <t>VÄSTERBOTTENS LÄN</t>
        </is>
      </c>
      <c r="E834" t="inlineStr">
        <is>
          <t>UMEÅ</t>
        </is>
      </c>
      <c r="G834" t="n">
        <v>9.1</v>
      </c>
      <c r="H834" t="n">
        <v>0</v>
      </c>
      <c r="I834" t="n">
        <v>0</v>
      </c>
      <c r="J834" t="n">
        <v>0</v>
      </c>
      <c r="K834" t="n">
        <v>0</v>
      </c>
      <c r="L834" t="n">
        <v>0</v>
      </c>
      <c r="M834" t="n">
        <v>0</v>
      </c>
      <c r="N834" t="n">
        <v>0</v>
      </c>
      <c r="O834" t="n">
        <v>0</v>
      </c>
      <c r="P834" t="n">
        <v>0</v>
      </c>
      <c r="Q834" t="n">
        <v>0</v>
      </c>
      <c r="R834" s="2" t="inlineStr"/>
    </row>
    <row r="835" ht="15" customHeight="1">
      <c r="A835" t="inlineStr">
        <is>
          <t>A 58309-2025</t>
        </is>
      </c>
      <c r="B835" s="1" t="n">
        <v>45985.46605324074</v>
      </c>
      <c r="C835" s="1" t="n">
        <v>45998</v>
      </c>
      <c r="D835" t="inlineStr">
        <is>
          <t>VÄSTERBOTTENS LÄN</t>
        </is>
      </c>
      <c r="E835" t="inlineStr">
        <is>
          <t>UMEÅ</t>
        </is>
      </c>
      <c r="G835" t="n">
        <v>0.7</v>
      </c>
      <c r="H835" t="n">
        <v>0</v>
      </c>
      <c r="I835" t="n">
        <v>0</v>
      </c>
      <c r="J835" t="n">
        <v>0</v>
      </c>
      <c r="K835" t="n">
        <v>0</v>
      </c>
      <c r="L835" t="n">
        <v>0</v>
      </c>
      <c r="M835" t="n">
        <v>0</v>
      </c>
      <c r="N835" t="n">
        <v>0</v>
      </c>
      <c r="O835" t="n">
        <v>0</v>
      </c>
      <c r="P835" t="n">
        <v>0</v>
      </c>
      <c r="Q835" t="n">
        <v>0</v>
      </c>
      <c r="R835" s="2" t="inlineStr"/>
    </row>
    <row r="836" ht="15" customHeight="1">
      <c r="A836" t="inlineStr">
        <is>
          <t>A 27246-2025</t>
        </is>
      </c>
      <c r="B836" s="1" t="n">
        <v>45812.46246527778</v>
      </c>
      <c r="C836" s="1" t="n">
        <v>45998</v>
      </c>
      <c r="D836" t="inlineStr">
        <is>
          <t>VÄSTERBOTTENS LÄN</t>
        </is>
      </c>
      <c r="E836" t="inlineStr">
        <is>
          <t>UMEÅ</t>
        </is>
      </c>
      <c r="G836" t="n">
        <v>7.2</v>
      </c>
      <c r="H836" t="n">
        <v>0</v>
      </c>
      <c r="I836" t="n">
        <v>0</v>
      </c>
      <c r="J836" t="n">
        <v>0</v>
      </c>
      <c r="K836" t="n">
        <v>0</v>
      </c>
      <c r="L836" t="n">
        <v>0</v>
      </c>
      <c r="M836" t="n">
        <v>0</v>
      </c>
      <c r="N836" t="n">
        <v>0</v>
      </c>
      <c r="O836" t="n">
        <v>0</v>
      </c>
      <c r="P836" t="n">
        <v>0</v>
      </c>
      <c r="Q836" t="n">
        <v>0</v>
      </c>
      <c r="R836" s="2" t="inlineStr"/>
    </row>
    <row r="837" ht="15" customHeight="1">
      <c r="A837" t="inlineStr">
        <is>
          <t>A 50379-2025</t>
        </is>
      </c>
      <c r="B837" s="1" t="n">
        <v>45944.59688657407</v>
      </c>
      <c r="C837" s="1" t="n">
        <v>45998</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50159-2025</t>
        </is>
      </c>
      <c r="B838" s="1" t="n">
        <v>45943.58391203704</v>
      </c>
      <c r="C838" s="1" t="n">
        <v>45998</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26930-2025</t>
        </is>
      </c>
      <c r="B839" s="1" t="n">
        <v>45811.39753472222</v>
      </c>
      <c r="C839" s="1" t="n">
        <v>45998</v>
      </c>
      <c r="D839" t="inlineStr">
        <is>
          <t>VÄSTERBOTTENS LÄN</t>
        </is>
      </c>
      <c r="E839" t="inlineStr">
        <is>
          <t>UMEÅ</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56085-2024</t>
        </is>
      </c>
      <c r="B840" s="1" t="n">
        <v>45623</v>
      </c>
      <c r="C840" s="1" t="n">
        <v>45998</v>
      </c>
      <c r="D840" t="inlineStr">
        <is>
          <t>VÄSTERBOTTENS LÄN</t>
        </is>
      </c>
      <c r="E840" t="inlineStr">
        <is>
          <t>UMEÅ</t>
        </is>
      </c>
      <c r="G840" t="n">
        <v>1.4</v>
      </c>
      <c r="H840" t="n">
        <v>0</v>
      </c>
      <c r="I840" t="n">
        <v>0</v>
      </c>
      <c r="J840" t="n">
        <v>0</v>
      </c>
      <c r="K840" t="n">
        <v>0</v>
      </c>
      <c r="L840" t="n">
        <v>0</v>
      </c>
      <c r="M840" t="n">
        <v>0</v>
      </c>
      <c r="N840" t="n">
        <v>0</v>
      </c>
      <c r="O840" t="n">
        <v>0</v>
      </c>
      <c r="P840" t="n">
        <v>0</v>
      </c>
      <c r="Q840" t="n">
        <v>0</v>
      </c>
      <c r="R840" s="2" t="inlineStr"/>
    </row>
    <row r="841" ht="15" customHeight="1">
      <c r="A841" t="inlineStr">
        <is>
          <t>A 27172-2025</t>
        </is>
      </c>
      <c r="B841" s="1" t="n">
        <v>45812.34858796297</v>
      </c>
      <c r="C841" s="1" t="n">
        <v>45998</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27173-2025</t>
        </is>
      </c>
      <c r="B842" s="1" t="n">
        <v>45812.34997685185</v>
      </c>
      <c r="C842" s="1" t="n">
        <v>45998</v>
      </c>
      <c r="D842" t="inlineStr">
        <is>
          <t>VÄSTERBOTTENS LÄN</t>
        </is>
      </c>
      <c r="E842" t="inlineStr">
        <is>
          <t>UMEÅ</t>
        </is>
      </c>
      <c r="G842" t="n">
        <v>1.1</v>
      </c>
      <c r="H842" t="n">
        <v>0</v>
      </c>
      <c r="I842" t="n">
        <v>0</v>
      </c>
      <c r="J842" t="n">
        <v>0</v>
      </c>
      <c r="K842" t="n">
        <v>0</v>
      </c>
      <c r="L842" t="n">
        <v>0</v>
      </c>
      <c r="M842" t="n">
        <v>0</v>
      </c>
      <c r="N842" t="n">
        <v>0</v>
      </c>
      <c r="O842" t="n">
        <v>0</v>
      </c>
      <c r="P842" t="n">
        <v>0</v>
      </c>
      <c r="Q842" t="n">
        <v>0</v>
      </c>
      <c r="R842" s="2" t="inlineStr"/>
    </row>
    <row r="843" ht="15" customHeight="1">
      <c r="A843" t="inlineStr">
        <is>
          <t>A 45184-2025</t>
        </is>
      </c>
      <c r="B843" s="1" t="n">
        <v>45919.53916666667</v>
      </c>
      <c r="C843" s="1" t="n">
        <v>45998</v>
      </c>
      <c r="D843" t="inlineStr">
        <is>
          <t>VÄSTERBOTTENS LÄN</t>
        </is>
      </c>
      <c r="E843" t="inlineStr">
        <is>
          <t>UMEÅ</t>
        </is>
      </c>
      <c r="F843" t="inlineStr">
        <is>
          <t>Holmen skog AB</t>
        </is>
      </c>
      <c r="G843" t="n">
        <v>14.7</v>
      </c>
      <c r="H843" t="n">
        <v>0</v>
      </c>
      <c r="I843" t="n">
        <v>0</v>
      </c>
      <c r="J843" t="n">
        <v>0</v>
      </c>
      <c r="K843" t="n">
        <v>0</v>
      </c>
      <c r="L843" t="n">
        <v>0</v>
      </c>
      <c r="M843" t="n">
        <v>0</v>
      </c>
      <c r="N843" t="n">
        <v>0</v>
      </c>
      <c r="O843" t="n">
        <v>0</v>
      </c>
      <c r="P843" t="n">
        <v>0</v>
      </c>
      <c r="Q843" t="n">
        <v>0</v>
      </c>
      <c r="R843" s="2" t="inlineStr"/>
    </row>
    <row r="844" ht="15" customHeight="1">
      <c r="A844" t="inlineStr">
        <is>
          <t>A 58608-2025</t>
        </is>
      </c>
      <c r="B844" s="1" t="n">
        <v>45986.44831018519</v>
      </c>
      <c r="C844" s="1" t="n">
        <v>45998</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58699-2025</t>
        </is>
      </c>
      <c r="B845" s="1" t="n">
        <v>45986.58903935185</v>
      </c>
      <c r="C845" s="1" t="n">
        <v>45998</v>
      </c>
      <c r="D845" t="inlineStr">
        <is>
          <t>VÄSTERBOTTENS LÄN</t>
        </is>
      </c>
      <c r="E845" t="inlineStr">
        <is>
          <t>UMEÅ</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27681-2025</t>
        </is>
      </c>
      <c r="B846" s="1" t="n">
        <v>45813.646875</v>
      </c>
      <c r="C846" s="1" t="n">
        <v>45998</v>
      </c>
      <c r="D846" t="inlineStr">
        <is>
          <t>VÄSTERBOTTENS LÄN</t>
        </is>
      </c>
      <c r="E846" t="inlineStr">
        <is>
          <t>UMEÅ</t>
        </is>
      </c>
      <c r="G846" t="n">
        <v>6.9</v>
      </c>
      <c r="H846" t="n">
        <v>0</v>
      </c>
      <c r="I846" t="n">
        <v>0</v>
      </c>
      <c r="J846" t="n">
        <v>0</v>
      </c>
      <c r="K846" t="n">
        <v>0</v>
      </c>
      <c r="L846" t="n">
        <v>0</v>
      </c>
      <c r="M846" t="n">
        <v>0</v>
      </c>
      <c r="N846" t="n">
        <v>0</v>
      </c>
      <c r="O846" t="n">
        <v>0</v>
      </c>
      <c r="P846" t="n">
        <v>0</v>
      </c>
      <c r="Q846" t="n">
        <v>0</v>
      </c>
      <c r="R846" s="2" t="inlineStr"/>
    </row>
    <row r="847" ht="15" customHeight="1">
      <c r="A847" t="inlineStr">
        <is>
          <t>A 45487-2025</t>
        </is>
      </c>
      <c r="B847" s="1" t="n">
        <v>45922.55172453704</v>
      </c>
      <c r="C847" s="1" t="n">
        <v>45998</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27689-2025</t>
        </is>
      </c>
      <c r="B848" s="1" t="n">
        <v>45813.65648148148</v>
      </c>
      <c r="C848" s="1" t="n">
        <v>45998</v>
      </c>
      <c r="D848" t="inlineStr">
        <is>
          <t>VÄSTERBOTTENS LÄN</t>
        </is>
      </c>
      <c r="E848" t="inlineStr">
        <is>
          <t>UMEÅ</t>
        </is>
      </c>
      <c r="F848" t="inlineStr">
        <is>
          <t>Holmen skog AB</t>
        </is>
      </c>
      <c r="G848" t="n">
        <v>6.7</v>
      </c>
      <c r="H848" t="n">
        <v>0</v>
      </c>
      <c r="I848" t="n">
        <v>0</v>
      </c>
      <c r="J848" t="n">
        <v>0</v>
      </c>
      <c r="K848" t="n">
        <v>0</v>
      </c>
      <c r="L848" t="n">
        <v>0</v>
      </c>
      <c r="M848" t="n">
        <v>0</v>
      </c>
      <c r="N848" t="n">
        <v>0</v>
      </c>
      <c r="O848" t="n">
        <v>0</v>
      </c>
      <c r="P848" t="n">
        <v>0</v>
      </c>
      <c r="Q848" t="n">
        <v>0</v>
      </c>
      <c r="R848" s="2" t="inlineStr"/>
    </row>
    <row r="849" ht="15" customHeight="1">
      <c r="A849" t="inlineStr">
        <is>
          <t>A 50284-2025</t>
        </is>
      </c>
      <c r="B849" s="1" t="n">
        <v>45944.39328703703</v>
      </c>
      <c r="C849" s="1" t="n">
        <v>45998</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19219-2025</t>
        </is>
      </c>
      <c r="B850" s="1" t="n">
        <v>45769.44732638889</v>
      </c>
      <c r="C850" s="1" t="n">
        <v>45998</v>
      </c>
      <c r="D850" t="inlineStr">
        <is>
          <t>VÄSTERBOTTENS LÄN</t>
        </is>
      </c>
      <c r="E850" t="inlineStr">
        <is>
          <t>UMEÅ</t>
        </is>
      </c>
      <c r="G850" t="n">
        <v>1.4</v>
      </c>
      <c r="H850" t="n">
        <v>0</v>
      </c>
      <c r="I850" t="n">
        <v>0</v>
      </c>
      <c r="J850" t="n">
        <v>0</v>
      </c>
      <c r="K850" t="n">
        <v>0</v>
      </c>
      <c r="L850" t="n">
        <v>0</v>
      </c>
      <c r="M850" t="n">
        <v>0</v>
      </c>
      <c r="N850" t="n">
        <v>0</v>
      </c>
      <c r="O850" t="n">
        <v>0</v>
      </c>
      <c r="P850" t="n">
        <v>0</v>
      </c>
      <c r="Q850" t="n">
        <v>0</v>
      </c>
      <c r="R850" s="2" t="inlineStr"/>
    </row>
    <row r="851" ht="15" customHeight="1">
      <c r="A851" t="inlineStr">
        <is>
          <t>A 54693-2025</t>
        </is>
      </c>
      <c r="B851" s="1" t="n">
        <v>45966.46192129629</v>
      </c>
      <c r="C851" s="1" t="n">
        <v>45998</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50646-2025</t>
        </is>
      </c>
      <c r="B852" s="1" t="n">
        <v>45945.65694444445</v>
      </c>
      <c r="C852" s="1" t="n">
        <v>45998</v>
      </c>
      <c r="D852" t="inlineStr">
        <is>
          <t>VÄSTERBOTTENS LÄN</t>
        </is>
      </c>
      <c r="E852" t="inlineStr">
        <is>
          <t>UMEÅ</t>
        </is>
      </c>
      <c r="G852" t="n">
        <v>0.7</v>
      </c>
      <c r="H852" t="n">
        <v>0</v>
      </c>
      <c r="I852" t="n">
        <v>0</v>
      </c>
      <c r="J852" t="n">
        <v>0</v>
      </c>
      <c r="K852" t="n">
        <v>0</v>
      </c>
      <c r="L852" t="n">
        <v>0</v>
      </c>
      <c r="M852" t="n">
        <v>0</v>
      </c>
      <c r="N852" t="n">
        <v>0</v>
      </c>
      <c r="O852" t="n">
        <v>0</v>
      </c>
      <c r="P852" t="n">
        <v>0</v>
      </c>
      <c r="Q852" t="n">
        <v>0</v>
      </c>
      <c r="R852" s="2" t="inlineStr"/>
    </row>
    <row r="853" ht="15" customHeight="1">
      <c r="A853" t="inlineStr">
        <is>
          <t>A 21081-2024</t>
        </is>
      </c>
      <c r="B853" s="1" t="n">
        <v>45439</v>
      </c>
      <c r="C853" s="1" t="n">
        <v>45998</v>
      </c>
      <c r="D853" t="inlineStr">
        <is>
          <t>VÄSTERBOTTENS LÄN</t>
        </is>
      </c>
      <c r="E853" t="inlineStr">
        <is>
          <t>UMEÅ</t>
        </is>
      </c>
      <c r="G853" t="n">
        <v>3</v>
      </c>
      <c r="H853" t="n">
        <v>0</v>
      </c>
      <c r="I853" t="n">
        <v>0</v>
      </c>
      <c r="J853" t="n">
        <v>0</v>
      </c>
      <c r="K853" t="n">
        <v>0</v>
      </c>
      <c r="L853" t="n">
        <v>0</v>
      </c>
      <c r="M853" t="n">
        <v>0</v>
      </c>
      <c r="N853" t="n">
        <v>0</v>
      </c>
      <c r="O853" t="n">
        <v>0</v>
      </c>
      <c r="P853" t="n">
        <v>0</v>
      </c>
      <c r="Q853" t="n">
        <v>0</v>
      </c>
      <c r="R853" s="2" t="inlineStr"/>
    </row>
    <row r="854" ht="15" customHeight="1">
      <c r="A854" t="inlineStr">
        <is>
          <t>A 54797-2025</t>
        </is>
      </c>
      <c r="B854" s="1" t="n">
        <v>45966.63638888889</v>
      </c>
      <c r="C854" s="1" t="n">
        <v>45998</v>
      </c>
      <c r="D854" t="inlineStr">
        <is>
          <t>VÄSTERBOTTENS LÄN</t>
        </is>
      </c>
      <c r="E854" t="inlineStr">
        <is>
          <t>UMEÅ</t>
        </is>
      </c>
      <c r="G854" t="n">
        <v>7</v>
      </c>
      <c r="H854" t="n">
        <v>0</v>
      </c>
      <c r="I854" t="n">
        <v>0</v>
      </c>
      <c r="J854" t="n">
        <v>0</v>
      </c>
      <c r="K854" t="n">
        <v>0</v>
      </c>
      <c r="L854" t="n">
        <v>0</v>
      </c>
      <c r="M854" t="n">
        <v>0</v>
      </c>
      <c r="N854" t="n">
        <v>0</v>
      </c>
      <c r="O854" t="n">
        <v>0</v>
      </c>
      <c r="P854" t="n">
        <v>0</v>
      </c>
      <c r="Q854" t="n">
        <v>0</v>
      </c>
      <c r="R854" s="2" t="inlineStr"/>
    </row>
    <row r="855" ht="15" customHeight="1">
      <c r="A855" t="inlineStr">
        <is>
          <t>A 50790-2025</t>
        </is>
      </c>
      <c r="B855" s="1" t="n">
        <v>45946.47287037037</v>
      </c>
      <c r="C855" s="1" t="n">
        <v>45998</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59115-2025</t>
        </is>
      </c>
      <c r="B856" s="1" t="n">
        <v>45988.48995370371</v>
      </c>
      <c r="C856" s="1" t="n">
        <v>45998</v>
      </c>
      <c r="D856" t="inlineStr">
        <is>
          <t>VÄSTERBOTTENS LÄN</t>
        </is>
      </c>
      <c r="E856" t="inlineStr">
        <is>
          <t>UMEÅ</t>
        </is>
      </c>
      <c r="G856" t="n">
        <v>2.4</v>
      </c>
      <c r="H856" t="n">
        <v>0</v>
      </c>
      <c r="I856" t="n">
        <v>0</v>
      </c>
      <c r="J856" t="n">
        <v>0</v>
      </c>
      <c r="K856" t="n">
        <v>0</v>
      </c>
      <c r="L856" t="n">
        <v>0</v>
      </c>
      <c r="M856" t="n">
        <v>0</v>
      </c>
      <c r="N856" t="n">
        <v>0</v>
      </c>
      <c r="O856" t="n">
        <v>0</v>
      </c>
      <c r="P856" t="n">
        <v>0</v>
      </c>
      <c r="Q856" t="n">
        <v>0</v>
      </c>
      <c r="R856" s="2" t="inlineStr"/>
    </row>
    <row r="857" ht="15" customHeight="1">
      <c r="A857" t="inlineStr">
        <is>
          <t>A 50442-2025</t>
        </is>
      </c>
      <c r="B857" s="1" t="n">
        <v>45944.86627314815</v>
      </c>
      <c r="C857" s="1" t="n">
        <v>45998</v>
      </c>
      <c r="D857" t="inlineStr">
        <is>
          <t>VÄSTERBOTTENS LÄN</t>
        </is>
      </c>
      <c r="E857" t="inlineStr">
        <is>
          <t>UMEÅ</t>
        </is>
      </c>
      <c r="G857" t="n">
        <v>3.5</v>
      </c>
      <c r="H857" t="n">
        <v>0</v>
      </c>
      <c r="I857" t="n">
        <v>0</v>
      </c>
      <c r="J857" t="n">
        <v>0</v>
      </c>
      <c r="K857" t="n">
        <v>0</v>
      </c>
      <c r="L857" t="n">
        <v>0</v>
      </c>
      <c r="M857" t="n">
        <v>0</v>
      </c>
      <c r="N857" t="n">
        <v>0</v>
      </c>
      <c r="O857" t="n">
        <v>0</v>
      </c>
      <c r="P857" t="n">
        <v>0</v>
      </c>
      <c r="Q857" t="n">
        <v>0</v>
      </c>
      <c r="R857" s="2" t="inlineStr"/>
    </row>
    <row r="858" ht="15" customHeight="1">
      <c r="A858" t="inlineStr">
        <is>
          <t>A 50923-2025</t>
        </is>
      </c>
      <c r="B858" s="1" t="n">
        <v>45946.67513888889</v>
      </c>
      <c r="C858" s="1" t="n">
        <v>45998</v>
      </c>
      <c r="D858" t="inlineStr">
        <is>
          <t>VÄSTERBOTTENS LÄN</t>
        </is>
      </c>
      <c r="E858" t="inlineStr">
        <is>
          <t>UMEÅ</t>
        </is>
      </c>
      <c r="G858" t="n">
        <v>5.6</v>
      </c>
      <c r="H858" t="n">
        <v>0</v>
      </c>
      <c r="I858" t="n">
        <v>0</v>
      </c>
      <c r="J858" t="n">
        <v>0</v>
      </c>
      <c r="K858" t="n">
        <v>0</v>
      </c>
      <c r="L858" t="n">
        <v>0</v>
      </c>
      <c r="M858" t="n">
        <v>0</v>
      </c>
      <c r="N858" t="n">
        <v>0</v>
      </c>
      <c r="O858" t="n">
        <v>0</v>
      </c>
      <c r="P858" t="n">
        <v>0</v>
      </c>
      <c r="Q858" t="n">
        <v>0</v>
      </c>
      <c r="R858" s="2" t="inlineStr"/>
    </row>
    <row r="859" ht="15" customHeight="1">
      <c r="A859" t="inlineStr">
        <is>
          <t>A 46062-2025</t>
        </is>
      </c>
      <c r="B859" s="1" t="n">
        <v>45924.4768287037</v>
      </c>
      <c r="C859" s="1" t="n">
        <v>45998</v>
      </c>
      <c r="D859" t="inlineStr">
        <is>
          <t>VÄSTERBOTTENS LÄN</t>
        </is>
      </c>
      <c r="E859" t="inlineStr">
        <is>
          <t>UMEÅ</t>
        </is>
      </c>
      <c r="G859" t="n">
        <v>2.1</v>
      </c>
      <c r="H859" t="n">
        <v>0</v>
      </c>
      <c r="I859" t="n">
        <v>0</v>
      </c>
      <c r="J859" t="n">
        <v>0</v>
      </c>
      <c r="K859" t="n">
        <v>0</v>
      </c>
      <c r="L859" t="n">
        <v>0</v>
      </c>
      <c r="M859" t="n">
        <v>0</v>
      </c>
      <c r="N859" t="n">
        <v>0</v>
      </c>
      <c r="O859" t="n">
        <v>0</v>
      </c>
      <c r="P859" t="n">
        <v>0</v>
      </c>
      <c r="Q859" t="n">
        <v>0</v>
      </c>
      <c r="R859" s="2" t="inlineStr"/>
    </row>
    <row r="860" ht="15" customHeight="1">
      <c r="A860" t="inlineStr">
        <is>
          <t>A 59168-2025</t>
        </is>
      </c>
      <c r="B860" s="1" t="n">
        <v>45988.5621875</v>
      </c>
      <c r="C860" s="1" t="n">
        <v>45998</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45876-2025</t>
        </is>
      </c>
      <c r="B861" s="1" t="n">
        <v>45923.65701388889</v>
      </c>
      <c r="C861" s="1" t="n">
        <v>45998</v>
      </c>
      <c r="D861" t="inlineStr">
        <is>
          <t>VÄSTERBOTTENS LÄN</t>
        </is>
      </c>
      <c r="E861" t="inlineStr">
        <is>
          <t>UMEÅ</t>
        </is>
      </c>
      <c r="G861" t="n">
        <v>12.7</v>
      </c>
      <c r="H861" t="n">
        <v>0</v>
      </c>
      <c r="I861" t="n">
        <v>0</v>
      </c>
      <c r="J861" t="n">
        <v>0</v>
      </c>
      <c r="K861" t="n">
        <v>0</v>
      </c>
      <c r="L861" t="n">
        <v>0</v>
      </c>
      <c r="M861" t="n">
        <v>0</v>
      </c>
      <c r="N861" t="n">
        <v>0</v>
      </c>
      <c r="O861" t="n">
        <v>0</v>
      </c>
      <c r="P861" t="n">
        <v>0</v>
      </c>
      <c r="Q861" t="n">
        <v>0</v>
      </c>
      <c r="R861" s="2" t="inlineStr"/>
    </row>
    <row r="862" ht="15" customHeight="1">
      <c r="A862" t="inlineStr">
        <is>
          <t>A 59113-2025</t>
        </is>
      </c>
      <c r="B862" s="1" t="n">
        <v>45988.48623842592</v>
      </c>
      <c r="C862" s="1" t="n">
        <v>45998</v>
      </c>
      <c r="D862" t="inlineStr">
        <is>
          <t>VÄSTERBOTTENS LÄN</t>
        </is>
      </c>
      <c r="E862" t="inlineStr">
        <is>
          <t>UMEÅ</t>
        </is>
      </c>
      <c r="G862" t="n">
        <v>11.6</v>
      </c>
      <c r="H862" t="n">
        <v>0</v>
      </c>
      <c r="I862" t="n">
        <v>0</v>
      </c>
      <c r="J862" t="n">
        <v>0</v>
      </c>
      <c r="K862" t="n">
        <v>0</v>
      </c>
      <c r="L862" t="n">
        <v>0</v>
      </c>
      <c r="M862" t="n">
        <v>0</v>
      </c>
      <c r="N862" t="n">
        <v>0</v>
      </c>
      <c r="O862" t="n">
        <v>0</v>
      </c>
      <c r="P862" t="n">
        <v>0</v>
      </c>
      <c r="Q862" t="n">
        <v>0</v>
      </c>
      <c r="R862" s="2" t="inlineStr"/>
    </row>
    <row r="863" ht="15" customHeight="1">
      <c r="A863" t="inlineStr">
        <is>
          <t>A 54796-2025</t>
        </is>
      </c>
      <c r="B863" s="1" t="n">
        <v>45966.63635416667</v>
      </c>
      <c r="C863" s="1" t="n">
        <v>45998</v>
      </c>
      <c r="D863" t="inlineStr">
        <is>
          <t>VÄSTERBOTTENS LÄN</t>
        </is>
      </c>
      <c r="E863" t="inlineStr">
        <is>
          <t>UMEÅ</t>
        </is>
      </c>
      <c r="G863" t="n">
        <v>7.2</v>
      </c>
      <c r="H863" t="n">
        <v>0</v>
      </c>
      <c r="I863" t="n">
        <v>0</v>
      </c>
      <c r="J863" t="n">
        <v>0</v>
      </c>
      <c r="K863" t="n">
        <v>0</v>
      </c>
      <c r="L863" t="n">
        <v>0</v>
      </c>
      <c r="M863" t="n">
        <v>0</v>
      </c>
      <c r="N863" t="n">
        <v>0</v>
      </c>
      <c r="O863" t="n">
        <v>0</v>
      </c>
      <c r="P863" t="n">
        <v>0</v>
      </c>
      <c r="Q863" t="n">
        <v>0</v>
      </c>
      <c r="R863" s="2" t="inlineStr"/>
    </row>
    <row r="864" ht="15" customHeight="1">
      <c r="A864" t="inlineStr">
        <is>
          <t>A 46065-2025</t>
        </is>
      </c>
      <c r="B864" s="1" t="n">
        <v>45924.48327546296</v>
      </c>
      <c r="C864" s="1" t="n">
        <v>45998</v>
      </c>
      <c r="D864" t="inlineStr">
        <is>
          <t>VÄSTERBOTTENS LÄN</t>
        </is>
      </c>
      <c r="E864" t="inlineStr">
        <is>
          <t>UMEÅ</t>
        </is>
      </c>
      <c r="G864" t="n">
        <v>2.3</v>
      </c>
      <c r="H864" t="n">
        <v>0</v>
      </c>
      <c r="I864" t="n">
        <v>0</v>
      </c>
      <c r="J864" t="n">
        <v>0</v>
      </c>
      <c r="K864" t="n">
        <v>0</v>
      </c>
      <c r="L864" t="n">
        <v>0</v>
      </c>
      <c r="M864" t="n">
        <v>0</v>
      </c>
      <c r="N864" t="n">
        <v>0</v>
      </c>
      <c r="O864" t="n">
        <v>0</v>
      </c>
      <c r="P864" t="n">
        <v>0</v>
      </c>
      <c r="Q864" t="n">
        <v>0</v>
      </c>
      <c r="R864" s="2" t="inlineStr"/>
    </row>
    <row r="865" ht="15" customHeight="1">
      <c r="A865" t="inlineStr">
        <is>
          <t>A 45769-2025</t>
        </is>
      </c>
      <c r="B865" s="1" t="n">
        <v>45923.53181712963</v>
      </c>
      <c r="C865" s="1" t="n">
        <v>45998</v>
      </c>
      <c r="D865" t="inlineStr">
        <is>
          <t>VÄSTERBOTTENS LÄN</t>
        </is>
      </c>
      <c r="E865" t="inlineStr">
        <is>
          <t>UMEÅ</t>
        </is>
      </c>
      <c r="G865" t="n">
        <v>11.3</v>
      </c>
      <c r="H865" t="n">
        <v>0</v>
      </c>
      <c r="I865" t="n">
        <v>0</v>
      </c>
      <c r="J865" t="n">
        <v>0</v>
      </c>
      <c r="K865" t="n">
        <v>0</v>
      </c>
      <c r="L865" t="n">
        <v>0</v>
      </c>
      <c r="M865" t="n">
        <v>0</v>
      </c>
      <c r="N865" t="n">
        <v>0</v>
      </c>
      <c r="O865" t="n">
        <v>0</v>
      </c>
      <c r="P865" t="n">
        <v>0</v>
      </c>
      <c r="Q865" t="n">
        <v>0</v>
      </c>
      <c r="R865" s="2" t="inlineStr"/>
    </row>
    <row r="866" ht="15" customHeight="1">
      <c r="A866" t="inlineStr">
        <is>
          <t>A 54321-2025</t>
        </is>
      </c>
      <c r="B866" s="1" t="n">
        <v>45965.34315972222</v>
      </c>
      <c r="C866" s="1" t="n">
        <v>45998</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45672-2025</t>
        </is>
      </c>
      <c r="B867" s="1" t="n">
        <v>45923.35769675926</v>
      </c>
      <c r="C867" s="1" t="n">
        <v>45998</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54320-2025</t>
        </is>
      </c>
      <c r="B868" s="1" t="n">
        <v>45965.34202546296</v>
      </c>
      <c r="C868" s="1" t="n">
        <v>45998</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28832-2025</t>
        </is>
      </c>
      <c r="B869" s="1" t="n">
        <v>45820.55613425926</v>
      </c>
      <c r="C869" s="1" t="n">
        <v>45998</v>
      </c>
      <c r="D869" t="inlineStr">
        <is>
          <t>VÄSTERBOTTENS LÄN</t>
        </is>
      </c>
      <c r="E869" t="inlineStr">
        <is>
          <t>UMEÅ</t>
        </is>
      </c>
      <c r="G869" t="n">
        <v>4.6</v>
      </c>
      <c r="H869" t="n">
        <v>0</v>
      </c>
      <c r="I869" t="n">
        <v>0</v>
      </c>
      <c r="J869" t="n">
        <v>0</v>
      </c>
      <c r="K869" t="n">
        <v>0</v>
      </c>
      <c r="L869" t="n">
        <v>0</v>
      </c>
      <c r="M869" t="n">
        <v>0</v>
      </c>
      <c r="N869" t="n">
        <v>0</v>
      </c>
      <c r="O869" t="n">
        <v>0</v>
      </c>
      <c r="P869" t="n">
        <v>0</v>
      </c>
      <c r="Q869" t="n">
        <v>0</v>
      </c>
      <c r="R869" s="2" t="inlineStr"/>
    </row>
    <row r="870" ht="15" customHeight="1">
      <c r="A870" t="inlineStr">
        <is>
          <t>A 22159-2025</t>
        </is>
      </c>
      <c r="B870" s="1" t="n">
        <v>45785.58716435185</v>
      </c>
      <c r="C870" s="1" t="n">
        <v>45998</v>
      </c>
      <c r="D870" t="inlineStr">
        <is>
          <t>VÄSTERBOTTENS LÄN</t>
        </is>
      </c>
      <c r="E870" t="inlineStr">
        <is>
          <t>UMEÅ</t>
        </is>
      </c>
      <c r="G870" t="n">
        <v>1.8</v>
      </c>
      <c r="H870" t="n">
        <v>0</v>
      </c>
      <c r="I870" t="n">
        <v>0</v>
      </c>
      <c r="J870" t="n">
        <v>0</v>
      </c>
      <c r="K870" t="n">
        <v>0</v>
      </c>
      <c r="L870" t="n">
        <v>0</v>
      </c>
      <c r="M870" t="n">
        <v>0</v>
      </c>
      <c r="N870" t="n">
        <v>0</v>
      </c>
      <c r="O870" t="n">
        <v>0</v>
      </c>
      <c r="P870" t="n">
        <v>0</v>
      </c>
      <c r="Q870" t="n">
        <v>0</v>
      </c>
      <c r="R870" s="2" t="inlineStr"/>
    </row>
    <row r="871" ht="15" customHeight="1">
      <c r="A871" t="inlineStr">
        <is>
          <t>A 28836-2025</t>
        </is>
      </c>
      <c r="B871" s="1" t="n">
        <v>45820.55875</v>
      </c>
      <c r="C871" s="1" t="n">
        <v>45998</v>
      </c>
      <c r="D871" t="inlineStr">
        <is>
          <t>VÄSTERBOTTENS LÄN</t>
        </is>
      </c>
      <c r="E871" t="inlineStr">
        <is>
          <t>UMEÅ</t>
        </is>
      </c>
      <c r="G871" t="n">
        <v>2</v>
      </c>
      <c r="H871" t="n">
        <v>0</v>
      </c>
      <c r="I871" t="n">
        <v>0</v>
      </c>
      <c r="J871" t="n">
        <v>0</v>
      </c>
      <c r="K871" t="n">
        <v>0</v>
      </c>
      <c r="L871" t="n">
        <v>0</v>
      </c>
      <c r="M871" t="n">
        <v>0</v>
      </c>
      <c r="N871" t="n">
        <v>0</v>
      </c>
      <c r="O871" t="n">
        <v>0</v>
      </c>
      <c r="P871" t="n">
        <v>0</v>
      </c>
      <c r="Q871" t="n">
        <v>0</v>
      </c>
      <c r="R871" s="2" t="inlineStr"/>
    </row>
    <row r="872" ht="15" customHeight="1">
      <c r="A872" t="inlineStr">
        <is>
          <t>A 50939-2025</t>
        </is>
      </c>
      <c r="B872" s="1" t="n">
        <v>45946.71021990741</v>
      </c>
      <c r="C872" s="1" t="n">
        <v>45998</v>
      </c>
      <c r="D872" t="inlineStr">
        <is>
          <t>VÄSTERBOTTENS LÄN</t>
        </is>
      </c>
      <c r="E872" t="inlineStr">
        <is>
          <t>UMEÅ</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45670-2025</t>
        </is>
      </c>
      <c r="B873" s="1" t="n">
        <v>45923.35368055556</v>
      </c>
      <c r="C873" s="1" t="n">
        <v>45998</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28827-2025</t>
        </is>
      </c>
      <c r="B874" s="1" t="n">
        <v>45820.55162037037</v>
      </c>
      <c r="C874" s="1" t="n">
        <v>45998</v>
      </c>
      <c r="D874" t="inlineStr">
        <is>
          <t>VÄSTERBOTTENS LÄN</t>
        </is>
      </c>
      <c r="E874" t="inlineStr">
        <is>
          <t>UMEÅ</t>
        </is>
      </c>
      <c r="G874" t="n">
        <v>3.1</v>
      </c>
      <c r="H874" t="n">
        <v>0</v>
      </c>
      <c r="I874" t="n">
        <v>0</v>
      </c>
      <c r="J874" t="n">
        <v>0</v>
      </c>
      <c r="K874" t="n">
        <v>0</v>
      </c>
      <c r="L874" t="n">
        <v>0</v>
      </c>
      <c r="M874" t="n">
        <v>0</v>
      </c>
      <c r="N874" t="n">
        <v>0</v>
      </c>
      <c r="O874" t="n">
        <v>0</v>
      </c>
      <c r="P874" t="n">
        <v>0</v>
      </c>
      <c r="Q874" t="n">
        <v>0</v>
      </c>
      <c r="R874" s="2" t="inlineStr"/>
    </row>
    <row r="875" ht="15" customHeight="1">
      <c r="A875" t="inlineStr">
        <is>
          <t>A 50443-2025</t>
        </is>
      </c>
      <c r="B875" s="1" t="n">
        <v>45944.86888888889</v>
      </c>
      <c r="C875" s="1" t="n">
        <v>45998</v>
      </c>
      <c r="D875" t="inlineStr">
        <is>
          <t>VÄSTERBOTTENS LÄN</t>
        </is>
      </c>
      <c r="E875" t="inlineStr">
        <is>
          <t>UMEÅ</t>
        </is>
      </c>
      <c r="G875" t="n">
        <v>1.5</v>
      </c>
      <c r="H875" t="n">
        <v>0</v>
      </c>
      <c r="I875" t="n">
        <v>0</v>
      </c>
      <c r="J875" t="n">
        <v>0</v>
      </c>
      <c r="K875" t="n">
        <v>0</v>
      </c>
      <c r="L875" t="n">
        <v>0</v>
      </c>
      <c r="M875" t="n">
        <v>0</v>
      </c>
      <c r="N875" t="n">
        <v>0</v>
      </c>
      <c r="O875" t="n">
        <v>0</v>
      </c>
      <c r="P875" t="n">
        <v>0</v>
      </c>
      <c r="Q875" t="n">
        <v>0</v>
      </c>
      <c r="R875" s="2" t="inlineStr"/>
    </row>
    <row r="876" ht="15" customHeight="1">
      <c r="A876" t="inlineStr">
        <is>
          <t>A 45759-2025</t>
        </is>
      </c>
      <c r="B876" s="1" t="n">
        <v>45923.5107175926</v>
      </c>
      <c r="C876" s="1" t="n">
        <v>45998</v>
      </c>
      <c r="D876" t="inlineStr">
        <is>
          <t>VÄSTERBOTTENS LÄN</t>
        </is>
      </c>
      <c r="E876" t="inlineStr">
        <is>
          <t>UMEÅ</t>
        </is>
      </c>
      <c r="G876" t="n">
        <v>7.2</v>
      </c>
      <c r="H876" t="n">
        <v>0</v>
      </c>
      <c r="I876" t="n">
        <v>0</v>
      </c>
      <c r="J876" t="n">
        <v>0</v>
      </c>
      <c r="K876" t="n">
        <v>0</v>
      </c>
      <c r="L876" t="n">
        <v>0</v>
      </c>
      <c r="M876" t="n">
        <v>0</v>
      </c>
      <c r="N876" t="n">
        <v>0</v>
      </c>
      <c r="O876" t="n">
        <v>0</v>
      </c>
      <c r="P876" t="n">
        <v>0</v>
      </c>
      <c r="Q876" t="n">
        <v>0</v>
      </c>
      <c r="R876" s="2" t="inlineStr"/>
    </row>
    <row r="877" ht="15" customHeight="1">
      <c r="A877" t="inlineStr">
        <is>
          <t>A 51339-2025</t>
        </is>
      </c>
      <c r="B877" s="1" t="n">
        <v>45950.42702546297</v>
      </c>
      <c r="C877" s="1" t="n">
        <v>45998</v>
      </c>
      <c r="D877" t="inlineStr">
        <is>
          <t>VÄSTERBOTTENS LÄN</t>
        </is>
      </c>
      <c r="E877" t="inlineStr">
        <is>
          <t>UMEÅ</t>
        </is>
      </c>
      <c r="G877" t="n">
        <v>5.6</v>
      </c>
      <c r="H877" t="n">
        <v>0</v>
      </c>
      <c r="I877" t="n">
        <v>0</v>
      </c>
      <c r="J877" t="n">
        <v>0</v>
      </c>
      <c r="K877" t="n">
        <v>0</v>
      </c>
      <c r="L877" t="n">
        <v>0</v>
      </c>
      <c r="M877" t="n">
        <v>0</v>
      </c>
      <c r="N877" t="n">
        <v>0</v>
      </c>
      <c r="O877" t="n">
        <v>0</v>
      </c>
      <c r="P877" t="n">
        <v>0</v>
      </c>
      <c r="Q877" t="n">
        <v>0</v>
      </c>
      <c r="R877" s="2" t="inlineStr"/>
    </row>
    <row r="878" ht="15" customHeight="1">
      <c r="A878" t="inlineStr">
        <is>
          <t>A 46413-2025</t>
        </is>
      </c>
      <c r="B878" s="1" t="n">
        <v>45925.57604166667</v>
      </c>
      <c r="C878" s="1" t="n">
        <v>45998</v>
      </c>
      <c r="D878" t="inlineStr">
        <is>
          <t>VÄSTERBOTTENS LÄN</t>
        </is>
      </c>
      <c r="E878" t="inlineStr">
        <is>
          <t>UMEÅ</t>
        </is>
      </c>
      <c r="F878" t="inlineStr">
        <is>
          <t>Holmen skog AB</t>
        </is>
      </c>
      <c r="G878" t="n">
        <v>14.3</v>
      </c>
      <c r="H878" t="n">
        <v>0</v>
      </c>
      <c r="I878" t="n">
        <v>0</v>
      </c>
      <c r="J878" t="n">
        <v>0</v>
      </c>
      <c r="K878" t="n">
        <v>0</v>
      </c>
      <c r="L878" t="n">
        <v>0</v>
      </c>
      <c r="M878" t="n">
        <v>0</v>
      </c>
      <c r="N878" t="n">
        <v>0</v>
      </c>
      <c r="O878" t="n">
        <v>0</v>
      </c>
      <c r="P878" t="n">
        <v>0</v>
      </c>
      <c r="Q878" t="n">
        <v>0</v>
      </c>
      <c r="R878" s="2" t="inlineStr"/>
    </row>
    <row r="879" ht="15" customHeight="1">
      <c r="A879" t="inlineStr">
        <is>
          <t>A 29330-2025</t>
        </is>
      </c>
      <c r="B879" s="1" t="n">
        <v>45824.48680555556</v>
      </c>
      <c r="C879" s="1" t="n">
        <v>45998</v>
      </c>
      <c r="D879" t="inlineStr">
        <is>
          <t>VÄSTERBOTTENS LÄN</t>
        </is>
      </c>
      <c r="E879" t="inlineStr">
        <is>
          <t>UMEÅ</t>
        </is>
      </c>
      <c r="G879" t="n">
        <v>1.1</v>
      </c>
      <c r="H879" t="n">
        <v>0</v>
      </c>
      <c r="I879" t="n">
        <v>0</v>
      </c>
      <c r="J879" t="n">
        <v>0</v>
      </c>
      <c r="K879" t="n">
        <v>0</v>
      </c>
      <c r="L879" t="n">
        <v>0</v>
      </c>
      <c r="M879" t="n">
        <v>0</v>
      </c>
      <c r="N879" t="n">
        <v>0</v>
      </c>
      <c r="O879" t="n">
        <v>0</v>
      </c>
      <c r="P879" t="n">
        <v>0</v>
      </c>
      <c r="Q879" t="n">
        <v>0</v>
      </c>
      <c r="R879" s="2" t="inlineStr"/>
    </row>
    <row r="880" ht="15" customHeight="1">
      <c r="A880" t="inlineStr">
        <is>
          <t>A 29344-2025</t>
        </is>
      </c>
      <c r="B880" s="1" t="n">
        <v>45824.50795138889</v>
      </c>
      <c r="C880" s="1" t="n">
        <v>45998</v>
      </c>
      <c r="D880" t="inlineStr">
        <is>
          <t>VÄSTERBOTTENS LÄN</t>
        </is>
      </c>
      <c r="E880" t="inlineStr">
        <is>
          <t>UMEÅ</t>
        </is>
      </c>
      <c r="G880" t="n">
        <v>8</v>
      </c>
      <c r="H880" t="n">
        <v>0</v>
      </c>
      <c r="I880" t="n">
        <v>0</v>
      </c>
      <c r="J880" t="n">
        <v>0</v>
      </c>
      <c r="K880" t="n">
        <v>0</v>
      </c>
      <c r="L880" t="n">
        <v>0</v>
      </c>
      <c r="M880" t="n">
        <v>0</v>
      </c>
      <c r="N880" t="n">
        <v>0</v>
      </c>
      <c r="O880" t="n">
        <v>0</v>
      </c>
      <c r="P880" t="n">
        <v>0</v>
      </c>
      <c r="Q880" t="n">
        <v>0</v>
      </c>
      <c r="R880" s="2" t="inlineStr"/>
    </row>
    <row r="881" ht="15" customHeight="1">
      <c r="A881" t="inlineStr">
        <is>
          <t>A 29327-2025</t>
        </is>
      </c>
      <c r="B881" s="1" t="n">
        <v>45824.48300925926</v>
      </c>
      <c r="C881" s="1" t="n">
        <v>45998</v>
      </c>
      <c r="D881" t="inlineStr">
        <is>
          <t>VÄSTERBOTTENS LÄN</t>
        </is>
      </c>
      <c r="E881" t="inlineStr">
        <is>
          <t>UMEÅ</t>
        </is>
      </c>
      <c r="G881" t="n">
        <v>1.3</v>
      </c>
      <c r="H881" t="n">
        <v>0</v>
      </c>
      <c r="I881" t="n">
        <v>0</v>
      </c>
      <c r="J881" t="n">
        <v>0</v>
      </c>
      <c r="K881" t="n">
        <v>0</v>
      </c>
      <c r="L881" t="n">
        <v>0</v>
      </c>
      <c r="M881" t="n">
        <v>0</v>
      </c>
      <c r="N881" t="n">
        <v>0</v>
      </c>
      <c r="O881" t="n">
        <v>0</v>
      </c>
      <c r="P881" t="n">
        <v>0</v>
      </c>
      <c r="Q881" t="n">
        <v>0</v>
      </c>
      <c r="R881" s="2" t="inlineStr"/>
    </row>
    <row r="882" ht="15" customHeight="1">
      <c r="A882" t="inlineStr">
        <is>
          <t>A 46682-2025</t>
        </is>
      </c>
      <c r="B882" s="1" t="n">
        <v>45926.54784722222</v>
      </c>
      <c r="C882" s="1" t="n">
        <v>45998</v>
      </c>
      <c r="D882" t="inlineStr">
        <is>
          <t>VÄSTERBOTTENS LÄN</t>
        </is>
      </c>
      <c r="E882" t="inlineStr">
        <is>
          <t>UMEÅ</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29352-2025</t>
        </is>
      </c>
      <c r="B883" s="1" t="n">
        <v>45824.54091435186</v>
      </c>
      <c r="C883" s="1" t="n">
        <v>45998</v>
      </c>
      <c r="D883" t="inlineStr">
        <is>
          <t>VÄSTERBOTTENS LÄN</t>
        </is>
      </c>
      <c r="E883" t="inlineStr">
        <is>
          <t>UMEÅ</t>
        </is>
      </c>
      <c r="F883" t="inlineStr">
        <is>
          <t>Holmen skog AB</t>
        </is>
      </c>
      <c r="G883" t="n">
        <v>10.8</v>
      </c>
      <c r="H883" t="n">
        <v>0</v>
      </c>
      <c r="I883" t="n">
        <v>0</v>
      </c>
      <c r="J883" t="n">
        <v>0</v>
      </c>
      <c r="K883" t="n">
        <v>0</v>
      </c>
      <c r="L883" t="n">
        <v>0</v>
      </c>
      <c r="M883" t="n">
        <v>0</v>
      </c>
      <c r="N883" t="n">
        <v>0</v>
      </c>
      <c r="O883" t="n">
        <v>0</v>
      </c>
      <c r="P883" t="n">
        <v>0</v>
      </c>
      <c r="Q883" t="n">
        <v>0</v>
      </c>
      <c r="R883" s="2" t="inlineStr"/>
    </row>
    <row r="884" ht="15" customHeight="1">
      <c r="A884" t="inlineStr">
        <is>
          <t>A 29283-2025</t>
        </is>
      </c>
      <c r="B884" s="1" t="n">
        <v>45824.43114583333</v>
      </c>
      <c r="C884" s="1" t="n">
        <v>45998</v>
      </c>
      <c r="D884" t="inlineStr">
        <is>
          <t>VÄSTERBOTTENS LÄN</t>
        </is>
      </c>
      <c r="E884" t="inlineStr">
        <is>
          <t>UMEÅ</t>
        </is>
      </c>
      <c r="G884" t="n">
        <v>3</v>
      </c>
      <c r="H884" t="n">
        <v>0</v>
      </c>
      <c r="I884" t="n">
        <v>0</v>
      </c>
      <c r="J884" t="n">
        <v>0</v>
      </c>
      <c r="K884" t="n">
        <v>0</v>
      </c>
      <c r="L884" t="n">
        <v>0</v>
      </c>
      <c r="M884" t="n">
        <v>0</v>
      </c>
      <c r="N884" t="n">
        <v>0</v>
      </c>
      <c r="O884" t="n">
        <v>0</v>
      </c>
      <c r="P884" t="n">
        <v>0</v>
      </c>
      <c r="Q884" t="n">
        <v>0</v>
      </c>
      <c r="R884" s="2" t="inlineStr"/>
    </row>
    <row r="885" ht="15" customHeight="1">
      <c r="A885" t="inlineStr">
        <is>
          <t>A 46592-2025</t>
        </is>
      </c>
      <c r="B885" s="1" t="n">
        <v>45926.39637731481</v>
      </c>
      <c r="C885" s="1" t="n">
        <v>45998</v>
      </c>
      <c r="D885" t="inlineStr">
        <is>
          <t>VÄSTERBOTTENS LÄN</t>
        </is>
      </c>
      <c r="E885" t="inlineStr">
        <is>
          <t>UMEÅ</t>
        </is>
      </c>
      <c r="G885" t="n">
        <v>1.8</v>
      </c>
      <c r="H885" t="n">
        <v>0</v>
      </c>
      <c r="I885" t="n">
        <v>0</v>
      </c>
      <c r="J885" t="n">
        <v>0</v>
      </c>
      <c r="K885" t="n">
        <v>0</v>
      </c>
      <c r="L885" t="n">
        <v>0</v>
      </c>
      <c r="M885" t="n">
        <v>0</v>
      </c>
      <c r="N885" t="n">
        <v>0</v>
      </c>
      <c r="O885" t="n">
        <v>0</v>
      </c>
      <c r="P885" t="n">
        <v>0</v>
      </c>
      <c r="Q885" t="n">
        <v>0</v>
      </c>
      <c r="R885" s="2" t="inlineStr"/>
    </row>
    <row r="886" ht="15" customHeight="1">
      <c r="A886" t="inlineStr">
        <is>
          <t>A 51445-2025</t>
        </is>
      </c>
      <c r="B886" s="1" t="n">
        <v>45950.58671296296</v>
      </c>
      <c r="C886" s="1" t="n">
        <v>45998</v>
      </c>
      <c r="D886" t="inlineStr">
        <is>
          <t>VÄSTERBOTTENS LÄN</t>
        </is>
      </c>
      <c r="E886" t="inlineStr">
        <is>
          <t>UMEÅ</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29096-2025</t>
        </is>
      </c>
      <c r="B887" s="1" t="n">
        <v>45821.56319444445</v>
      </c>
      <c r="C887" s="1" t="n">
        <v>45998</v>
      </c>
      <c r="D887" t="inlineStr">
        <is>
          <t>VÄSTERBOTTENS LÄN</t>
        </is>
      </c>
      <c r="E887" t="inlineStr">
        <is>
          <t>UMEÅ</t>
        </is>
      </c>
      <c r="G887" t="n">
        <v>5.6</v>
      </c>
      <c r="H887" t="n">
        <v>0</v>
      </c>
      <c r="I887" t="n">
        <v>0</v>
      </c>
      <c r="J887" t="n">
        <v>0</v>
      </c>
      <c r="K887" t="n">
        <v>0</v>
      </c>
      <c r="L887" t="n">
        <v>0</v>
      </c>
      <c r="M887" t="n">
        <v>0</v>
      </c>
      <c r="N887" t="n">
        <v>0</v>
      </c>
      <c r="O887" t="n">
        <v>0</v>
      </c>
      <c r="P887" t="n">
        <v>0</v>
      </c>
      <c r="Q887" t="n">
        <v>0</v>
      </c>
      <c r="R887" s="2" t="inlineStr"/>
    </row>
    <row r="888" ht="15" customHeight="1">
      <c r="A888" t="inlineStr">
        <is>
          <t>A 51280-2025</t>
        </is>
      </c>
      <c r="B888" s="1" t="n">
        <v>45950.3259837963</v>
      </c>
      <c r="C888" s="1" t="n">
        <v>45998</v>
      </c>
      <c r="D888" t="inlineStr">
        <is>
          <t>VÄSTERBOTTENS LÄN</t>
        </is>
      </c>
      <c r="E888" t="inlineStr">
        <is>
          <t>UMEÅ</t>
        </is>
      </c>
      <c r="G888" t="n">
        <v>7.8</v>
      </c>
      <c r="H888" t="n">
        <v>0</v>
      </c>
      <c r="I888" t="n">
        <v>0</v>
      </c>
      <c r="J888" t="n">
        <v>0</v>
      </c>
      <c r="K888" t="n">
        <v>0</v>
      </c>
      <c r="L888" t="n">
        <v>0</v>
      </c>
      <c r="M888" t="n">
        <v>0</v>
      </c>
      <c r="N888" t="n">
        <v>0</v>
      </c>
      <c r="O888" t="n">
        <v>0</v>
      </c>
      <c r="P888" t="n">
        <v>0</v>
      </c>
      <c r="Q888" t="n">
        <v>0</v>
      </c>
      <c r="R888" s="2" t="inlineStr"/>
    </row>
    <row r="889" ht="15" customHeight="1">
      <c r="A889" t="inlineStr">
        <is>
          <t>A 29219-2025</t>
        </is>
      </c>
      <c r="B889" s="1" t="n">
        <v>45824.31930555555</v>
      </c>
      <c r="C889" s="1" t="n">
        <v>45998</v>
      </c>
      <c r="D889" t="inlineStr">
        <is>
          <t>VÄSTERBOTTENS LÄN</t>
        </is>
      </c>
      <c r="E889" t="inlineStr">
        <is>
          <t>UMEÅ</t>
        </is>
      </c>
      <c r="F889" t="inlineStr">
        <is>
          <t>Holmen skog AB</t>
        </is>
      </c>
      <c r="G889" t="n">
        <v>12.1</v>
      </c>
      <c r="H889" t="n">
        <v>0</v>
      </c>
      <c r="I889" t="n">
        <v>0</v>
      </c>
      <c r="J889" t="n">
        <v>0</v>
      </c>
      <c r="K889" t="n">
        <v>0</v>
      </c>
      <c r="L889" t="n">
        <v>0</v>
      </c>
      <c r="M889" t="n">
        <v>0</v>
      </c>
      <c r="N889" t="n">
        <v>0</v>
      </c>
      <c r="O889" t="n">
        <v>0</v>
      </c>
      <c r="P889" t="n">
        <v>0</v>
      </c>
      <c r="Q889" t="n">
        <v>0</v>
      </c>
      <c r="R889" s="2" t="inlineStr"/>
    </row>
    <row r="890" ht="15" customHeight="1">
      <c r="A890" t="inlineStr">
        <is>
          <t>A 29925-2025</t>
        </is>
      </c>
      <c r="B890" s="1" t="n">
        <v>45826.42918981481</v>
      </c>
      <c r="C890" s="1" t="n">
        <v>45998</v>
      </c>
      <c r="D890" t="inlineStr">
        <is>
          <t>VÄSTERBOTTENS LÄN</t>
        </is>
      </c>
      <c r="E890" t="inlineStr">
        <is>
          <t>UMEÅ</t>
        </is>
      </c>
      <c r="G890" t="n">
        <v>8.4</v>
      </c>
      <c r="H890" t="n">
        <v>0</v>
      </c>
      <c r="I890" t="n">
        <v>0</v>
      </c>
      <c r="J890" t="n">
        <v>0</v>
      </c>
      <c r="K890" t="n">
        <v>0</v>
      </c>
      <c r="L890" t="n">
        <v>0</v>
      </c>
      <c r="M890" t="n">
        <v>0</v>
      </c>
      <c r="N890" t="n">
        <v>0</v>
      </c>
      <c r="O890" t="n">
        <v>0</v>
      </c>
      <c r="P890" t="n">
        <v>0</v>
      </c>
      <c r="Q890" t="n">
        <v>0</v>
      </c>
      <c r="R890" s="2" t="inlineStr"/>
    </row>
    <row r="891" ht="15" customHeight="1">
      <c r="A891" t="inlineStr">
        <is>
          <t>A 29774-2025</t>
        </is>
      </c>
      <c r="B891" s="1" t="n">
        <v>45825.63641203703</v>
      </c>
      <c r="C891" s="1" t="n">
        <v>45998</v>
      </c>
      <c r="D891" t="inlineStr">
        <is>
          <t>VÄSTERBOTTENS LÄN</t>
        </is>
      </c>
      <c r="E891" t="inlineStr">
        <is>
          <t>UMEÅ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29583-2025</t>
        </is>
      </c>
      <c r="B892" s="1" t="n">
        <v>45825.38503472223</v>
      </c>
      <c r="C892" s="1" t="n">
        <v>45998</v>
      </c>
      <c r="D892" t="inlineStr">
        <is>
          <t>VÄSTERBOTTENS LÄN</t>
        </is>
      </c>
      <c r="E892" t="inlineStr">
        <is>
          <t>UMEÅ</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59344-2025</t>
        </is>
      </c>
      <c r="B893" s="1" t="n">
        <v>45989.39167824074</v>
      </c>
      <c r="C893" s="1" t="n">
        <v>45998</v>
      </c>
      <c r="D893" t="inlineStr">
        <is>
          <t>VÄSTERBOTTENS LÄN</t>
        </is>
      </c>
      <c r="E893" t="inlineStr">
        <is>
          <t>UMEÅ</t>
        </is>
      </c>
      <c r="G893" t="n">
        <v>0.3</v>
      </c>
      <c r="H893" t="n">
        <v>0</v>
      </c>
      <c r="I893" t="n">
        <v>0</v>
      </c>
      <c r="J893" t="n">
        <v>0</v>
      </c>
      <c r="K893" t="n">
        <v>0</v>
      </c>
      <c r="L893" t="n">
        <v>0</v>
      </c>
      <c r="M893" t="n">
        <v>0</v>
      </c>
      <c r="N893" t="n">
        <v>0</v>
      </c>
      <c r="O893" t="n">
        <v>0</v>
      </c>
      <c r="P893" t="n">
        <v>0</v>
      </c>
      <c r="Q893" t="n">
        <v>0</v>
      </c>
      <c r="R893" s="2" t="inlineStr"/>
    </row>
    <row r="894" ht="15" customHeight="1">
      <c r="A894" t="inlineStr">
        <is>
          <t>A 29704-2025</t>
        </is>
      </c>
      <c r="B894" s="1" t="n">
        <v>45825.55847222222</v>
      </c>
      <c r="C894" s="1" t="n">
        <v>45998</v>
      </c>
      <c r="D894" t="inlineStr">
        <is>
          <t>VÄSTERBOTTENS LÄN</t>
        </is>
      </c>
      <c r="E894" t="inlineStr">
        <is>
          <t>UMEÅ</t>
        </is>
      </c>
      <c r="F894" t="inlineStr">
        <is>
          <t>Holmen skog AB</t>
        </is>
      </c>
      <c r="G894" t="n">
        <v>35.1</v>
      </c>
      <c r="H894" t="n">
        <v>0</v>
      </c>
      <c r="I894" t="n">
        <v>0</v>
      </c>
      <c r="J894" t="n">
        <v>0</v>
      </c>
      <c r="K894" t="n">
        <v>0</v>
      </c>
      <c r="L894" t="n">
        <v>0</v>
      </c>
      <c r="M894" t="n">
        <v>0</v>
      </c>
      <c r="N894" t="n">
        <v>0</v>
      </c>
      <c r="O894" t="n">
        <v>0</v>
      </c>
      <c r="P894" t="n">
        <v>0</v>
      </c>
      <c r="Q894" t="n">
        <v>0</v>
      </c>
      <c r="R894" s="2" t="inlineStr"/>
    </row>
    <row r="895" ht="15" customHeight="1">
      <c r="A895" t="inlineStr">
        <is>
          <t>A 29502-2025</t>
        </is>
      </c>
      <c r="B895" s="1" t="n">
        <v>45825.29293981481</v>
      </c>
      <c r="C895" s="1" t="n">
        <v>45998</v>
      </c>
      <c r="D895" t="inlineStr">
        <is>
          <t>VÄSTERBOTTENS LÄN</t>
        </is>
      </c>
      <c r="E895" t="inlineStr">
        <is>
          <t>UMEÅ</t>
        </is>
      </c>
      <c r="F895" t="inlineStr">
        <is>
          <t>Holmen skog AB</t>
        </is>
      </c>
      <c r="G895" t="n">
        <v>5.8</v>
      </c>
      <c r="H895" t="n">
        <v>0</v>
      </c>
      <c r="I895" t="n">
        <v>0</v>
      </c>
      <c r="J895" t="n">
        <v>0</v>
      </c>
      <c r="K895" t="n">
        <v>0</v>
      </c>
      <c r="L895" t="n">
        <v>0</v>
      </c>
      <c r="M895" t="n">
        <v>0</v>
      </c>
      <c r="N895" t="n">
        <v>0</v>
      </c>
      <c r="O895" t="n">
        <v>0</v>
      </c>
      <c r="P895" t="n">
        <v>0</v>
      </c>
      <c r="Q895" t="n">
        <v>0</v>
      </c>
      <c r="R895" s="2" t="inlineStr"/>
    </row>
    <row r="896" ht="15" customHeight="1">
      <c r="A896" t="inlineStr">
        <is>
          <t>A 46591-2025</t>
        </is>
      </c>
      <c r="B896" s="1" t="n">
        <v>45926.39612268518</v>
      </c>
      <c r="C896" s="1" t="n">
        <v>45998</v>
      </c>
      <c r="D896" t="inlineStr">
        <is>
          <t>VÄSTERBOTTENS LÄN</t>
        </is>
      </c>
      <c r="E896" t="inlineStr">
        <is>
          <t>UMEÅ</t>
        </is>
      </c>
      <c r="G896" t="n">
        <v>2.1</v>
      </c>
      <c r="H896" t="n">
        <v>0</v>
      </c>
      <c r="I896" t="n">
        <v>0</v>
      </c>
      <c r="J896" t="n">
        <v>0</v>
      </c>
      <c r="K896" t="n">
        <v>0</v>
      </c>
      <c r="L896" t="n">
        <v>0</v>
      </c>
      <c r="M896" t="n">
        <v>0</v>
      </c>
      <c r="N896" t="n">
        <v>0</v>
      </c>
      <c r="O896" t="n">
        <v>0</v>
      </c>
      <c r="P896" t="n">
        <v>0</v>
      </c>
      <c r="Q896" t="n">
        <v>0</v>
      </c>
      <c r="R896" s="2" t="inlineStr"/>
    </row>
    <row r="897" ht="15" customHeight="1">
      <c r="A897" t="inlineStr">
        <is>
          <t>A 30263-2025</t>
        </is>
      </c>
      <c r="B897" s="1" t="n">
        <v>45827.43445601852</v>
      </c>
      <c r="C897" s="1" t="n">
        <v>45998</v>
      </c>
      <c r="D897" t="inlineStr">
        <is>
          <t>VÄSTERBOTTENS LÄN</t>
        </is>
      </c>
      <c r="E897" t="inlineStr">
        <is>
          <t>UMEÅ</t>
        </is>
      </c>
      <c r="G897" t="n">
        <v>2.2</v>
      </c>
      <c r="H897" t="n">
        <v>0</v>
      </c>
      <c r="I897" t="n">
        <v>0</v>
      </c>
      <c r="J897" t="n">
        <v>0</v>
      </c>
      <c r="K897" t="n">
        <v>0</v>
      </c>
      <c r="L897" t="n">
        <v>0</v>
      </c>
      <c r="M897" t="n">
        <v>0</v>
      </c>
      <c r="N897" t="n">
        <v>0</v>
      </c>
      <c r="O897" t="n">
        <v>0</v>
      </c>
      <c r="P897" t="n">
        <v>0</v>
      </c>
      <c r="Q897" t="n">
        <v>0</v>
      </c>
      <c r="R897" s="2" t="inlineStr"/>
    </row>
    <row r="898" ht="15" customHeight="1">
      <c r="A898" t="inlineStr">
        <is>
          <t>A 47171-2024</t>
        </is>
      </c>
      <c r="B898" s="1" t="n">
        <v>45586</v>
      </c>
      <c r="C898" s="1" t="n">
        <v>45998</v>
      </c>
      <c r="D898" t="inlineStr">
        <is>
          <t>VÄSTERBOTTENS LÄN</t>
        </is>
      </c>
      <c r="E898" t="inlineStr">
        <is>
          <t>UMEÅ</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59753-2025</t>
        </is>
      </c>
      <c r="B899" s="1" t="n">
        <v>45992.58590277778</v>
      </c>
      <c r="C899" s="1" t="n">
        <v>45998</v>
      </c>
      <c r="D899" t="inlineStr">
        <is>
          <t>VÄSTERBOTTENS LÄN</t>
        </is>
      </c>
      <c r="E899" t="inlineStr">
        <is>
          <t>UMEÅ</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59760-2025</t>
        </is>
      </c>
      <c r="B900" s="1" t="n">
        <v>45992.59212962963</v>
      </c>
      <c r="C900" s="1" t="n">
        <v>45998</v>
      </c>
      <c r="D900" t="inlineStr">
        <is>
          <t>VÄSTERBOTTENS LÄN</t>
        </is>
      </c>
      <c r="E900" t="inlineStr">
        <is>
          <t>UMEÅ</t>
        </is>
      </c>
      <c r="G900" t="n">
        <v>2.6</v>
      </c>
      <c r="H900" t="n">
        <v>0</v>
      </c>
      <c r="I900" t="n">
        <v>0</v>
      </c>
      <c r="J900" t="n">
        <v>0</v>
      </c>
      <c r="K900" t="n">
        <v>0</v>
      </c>
      <c r="L900" t="n">
        <v>0</v>
      </c>
      <c r="M900" t="n">
        <v>0</v>
      </c>
      <c r="N900" t="n">
        <v>0</v>
      </c>
      <c r="O900" t="n">
        <v>0</v>
      </c>
      <c r="P900" t="n">
        <v>0</v>
      </c>
      <c r="Q900" t="n">
        <v>0</v>
      </c>
      <c r="R900" s="2" t="inlineStr"/>
    </row>
    <row r="901" ht="15" customHeight="1">
      <c r="A901" t="inlineStr">
        <is>
          <t>A 51327-2025</t>
        </is>
      </c>
      <c r="B901" s="1" t="n">
        <v>45950.40690972222</v>
      </c>
      <c r="C901" s="1" t="n">
        <v>45998</v>
      </c>
      <c r="D901" t="inlineStr">
        <is>
          <t>VÄSTERBOTTENS LÄN</t>
        </is>
      </c>
      <c r="E901" t="inlineStr">
        <is>
          <t>UMEÅ</t>
        </is>
      </c>
      <c r="G901" t="n">
        <v>4.8</v>
      </c>
      <c r="H901" t="n">
        <v>0</v>
      </c>
      <c r="I901" t="n">
        <v>0</v>
      </c>
      <c r="J901" t="n">
        <v>0</v>
      </c>
      <c r="K901" t="n">
        <v>0</v>
      </c>
      <c r="L901" t="n">
        <v>0</v>
      </c>
      <c r="M901" t="n">
        <v>0</v>
      </c>
      <c r="N901" t="n">
        <v>0</v>
      </c>
      <c r="O901" t="n">
        <v>0</v>
      </c>
      <c r="P901" t="n">
        <v>0</v>
      </c>
      <c r="Q901" t="n">
        <v>0</v>
      </c>
      <c r="R901" s="2" t="inlineStr"/>
    </row>
    <row r="902" ht="15" customHeight="1">
      <c r="A902" t="inlineStr">
        <is>
          <t>A 47188-2025</t>
        </is>
      </c>
      <c r="B902" s="1" t="n">
        <v>45930.32789351852</v>
      </c>
      <c r="C902" s="1" t="n">
        <v>45998</v>
      </c>
      <c r="D902" t="inlineStr">
        <is>
          <t>VÄSTERBOTTENS LÄN</t>
        </is>
      </c>
      <c r="E902" t="inlineStr">
        <is>
          <t>UMEÅ</t>
        </is>
      </c>
      <c r="G902" t="n">
        <v>2.9</v>
      </c>
      <c r="H902" t="n">
        <v>0</v>
      </c>
      <c r="I902" t="n">
        <v>0</v>
      </c>
      <c r="J902" t="n">
        <v>0</v>
      </c>
      <c r="K902" t="n">
        <v>0</v>
      </c>
      <c r="L902" t="n">
        <v>0</v>
      </c>
      <c r="M902" t="n">
        <v>0</v>
      </c>
      <c r="N902" t="n">
        <v>0</v>
      </c>
      <c r="O902" t="n">
        <v>0</v>
      </c>
      <c r="P902" t="n">
        <v>0</v>
      </c>
      <c r="Q902" t="n">
        <v>0</v>
      </c>
      <c r="R902" s="2" t="inlineStr"/>
    </row>
    <row r="903" ht="15" customHeight="1">
      <c r="A903" t="inlineStr">
        <is>
          <t>A 51455-2025</t>
        </is>
      </c>
      <c r="B903" s="1" t="n">
        <v>45950.59583333333</v>
      </c>
      <c r="C903" s="1" t="n">
        <v>45998</v>
      </c>
      <c r="D903" t="inlineStr">
        <is>
          <t>VÄSTERBOTTENS LÄN</t>
        </is>
      </c>
      <c r="E903" t="inlineStr">
        <is>
          <t>UMEÅ</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59734-2025</t>
        </is>
      </c>
      <c r="B904" s="1" t="n">
        <v>45992.57311342593</v>
      </c>
      <c r="C904" s="1" t="n">
        <v>45998</v>
      </c>
      <c r="D904" t="inlineStr">
        <is>
          <t>VÄSTERBOTTENS LÄN</t>
        </is>
      </c>
      <c r="E904" t="inlineStr">
        <is>
          <t>UMEÅ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51352-2025</t>
        </is>
      </c>
      <c r="B905" s="1" t="n">
        <v>45950.43679398148</v>
      </c>
      <c r="C905" s="1" t="n">
        <v>45998</v>
      </c>
      <c r="D905" t="inlineStr">
        <is>
          <t>VÄSTERBOTTENS LÄN</t>
        </is>
      </c>
      <c r="E905" t="inlineStr">
        <is>
          <t>UMEÅ</t>
        </is>
      </c>
      <c r="G905" t="n">
        <v>2.9</v>
      </c>
      <c r="H905" t="n">
        <v>0</v>
      </c>
      <c r="I905" t="n">
        <v>0</v>
      </c>
      <c r="J905" t="n">
        <v>0</v>
      </c>
      <c r="K905" t="n">
        <v>0</v>
      </c>
      <c r="L905" t="n">
        <v>0</v>
      </c>
      <c r="M905" t="n">
        <v>0</v>
      </c>
      <c r="N905" t="n">
        <v>0</v>
      </c>
      <c r="O905" t="n">
        <v>0</v>
      </c>
      <c r="P905" t="n">
        <v>0</v>
      </c>
      <c r="Q905" t="n">
        <v>0</v>
      </c>
      <c r="R905" s="2" t="inlineStr"/>
    </row>
    <row r="906" ht="15" customHeight="1">
      <c r="A906" t="inlineStr">
        <is>
          <t>A 51930-2025</t>
        </is>
      </c>
      <c r="B906" s="1" t="n">
        <v>45952.49821759259</v>
      </c>
      <c r="C906" s="1" t="n">
        <v>45998</v>
      </c>
      <c r="D906" t="inlineStr">
        <is>
          <t>VÄSTERBOTTENS LÄN</t>
        </is>
      </c>
      <c r="E906" t="inlineStr">
        <is>
          <t>UMEÅ</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30803-2025</t>
        </is>
      </c>
      <c r="B907" s="1" t="n">
        <v>45831.65424768518</v>
      </c>
      <c r="C907" s="1" t="n">
        <v>45998</v>
      </c>
      <c r="D907" t="inlineStr">
        <is>
          <t>VÄSTERBOTTENS LÄN</t>
        </is>
      </c>
      <c r="E907" t="inlineStr">
        <is>
          <t>UMEÅ</t>
        </is>
      </c>
      <c r="G907" t="n">
        <v>6.3</v>
      </c>
      <c r="H907" t="n">
        <v>0</v>
      </c>
      <c r="I907" t="n">
        <v>0</v>
      </c>
      <c r="J907" t="n">
        <v>0</v>
      </c>
      <c r="K907" t="n">
        <v>0</v>
      </c>
      <c r="L907" t="n">
        <v>0</v>
      </c>
      <c r="M907" t="n">
        <v>0</v>
      </c>
      <c r="N907" t="n">
        <v>0</v>
      </c>
      <c r="O907" t="n">
        <v>0</v>
      </c>
      <c r="P907" t="n">
        <v>0</v>
      </c>
      <c r="Q907" t="n">
        <v>0</v>
      </c>
      <c r="R907" s="2" t="inlineStr"/>
    </row>
    <row r="908" ht="15" customHeight="1">
      <c r="A908" t="inlineStr">
        <is>
          <t>A 51689-2025</t>
        </is>
      </c>
      <c r="B908" s="1" t="n">
        <v>45951.53252314815</v>
      </c>
      <c r="C908" s="1" t="n">
        <v>45998</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51547-2025</t>
        </is>
      </c>
      <c r="B909" s="1" t="n">
        <v>45950.78769675926</v>
      </c>
      <c r="C909" s="1" t="n">
        <v>45998</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59982-2025</t>
        </is>
      </c>
      <c r="B910" s="1" t="n">
        <v>45993.53934027778</v>
      </c>
      <c r="C910" s="1" t="n">
        <v>45998</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52076-2025</t>
        </is>
      </c>
      <c r="B911" s="1" t="n">
        <v>45952.65568287037</v>
      </c>
      <c r="C911" s="1" t="n">
        <v>45998</v>
      </c>
      <c r="D911" t="inlineStr">
        <is>
          <t>VÄSTERBOTTENS LÄN</t>
        </is>
      </c>
      <c r="E911" t="inlineStr">
        <is>
          <t>UMEÅ</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52006-2025</t>
        </is>
      </c>
      <c r="B912" s="1" t="n">
        <v>45952.593125</v>
      </c>
      <c r="C912" s="1" t="n">
        <v>45998</v>
      </c>
      <c r="D912" t="inlineStr">
        <is>
          <t>VÄSTERBOTTENS LÄN</t>
        </is>
      </c>
      <c r="E912" t="inlineStr">
        <is>
          <t>UMEÅ</t>
        </is>
      </c>
      <c r="F912" t="inlineStr">
        <is>
          <t>Holmen skog AB</t>
        </is>
      </c>
      <c r="G912" t="n">
        <v>5.5</v>
      </c>
      <c r="H912" t="n">
        <v>0</v>
      </c>
      <c r="I912" t="n">
        <v>0</v>
      </c>
      <c r="J912" t="n">
        <v>0</v>
      </c>
      <c r="K912" t="n">
        <v>0</v>
      </c>
      <c r="L912" t="n">
        <v>0</v>
      </c>
      <c r="M912" t="n">
        <v>0</v>
      </c>
      <c r="N912" t="n">
        <v>0</v>
      </c>
      <c r="O912" t="n">
        <v>0</v>
      </c>
      <c r="P912" t="n">
        <v>0</v>
      </c>
      <c r="Q912" t="n">
        <v>0</v>
      </c>
      <c r="R912" s="2" t="inlineStr"/>
    </row>
    <row r="913" ht="15" customHeight="1">
      <c r="A913" t="inlineStr">
        <is>
          <t>A 51629-2025</t>
        </is>
      </c>
      <c r="B913" s="1" t="n">
        <v>45951.42306712963</v>
      </c>
      <c r="C913" s="1" t="n">
        <v>45998</v>
      </c>
      <c r="D913" t="inlineStr">
        <is>
          <t>VÄSTERBOTTENS LÄN</t>
        </is>
      </c>
      <c r="E913" t="inlineStr">
        <is>
          <t>UMEÅ</t>
        </is>
      </c>
      <c r="G913" t="n">
        <v>4.2</v>
      </c>
      <c r="H913" t="n">
        <v>0</v>
      </c>
      <c r="I913" t="n">
        <v>0</v>
      </c>
      <c r="J913" t="n">
        <v>0</v>
      </c>
      <c r="K913" t="n">
        <v>0</v>
      </c>
      <c r="L913" t="n">
        <v>0</v>
      </c>
      <c r="M913" t="n">
        <v>0</v>
      </c>
      <c r="N913" t="n">
        <v>0</v>
      </c>
      <c r="O913" t="n">
        <v>0</v>
      </c>
      <c r="P913" t="n">
        <v>0</v>
      </c>
      <c r="Q913" t="n">
        <v>0</v>
      </c>
      <c r="R913" s="2" t="inlineStr"/>
    </row>
    <row r="914" ht="15" customHeight="1">
      <c r="A914" t="inlineStr">
        <is>
          <t>A 51971-2025</t>
        </is>
      </c>
      <c r="B914" s="1" t="n">
        <v>45952.55809027778</v>
      </c>
      <c r="C914" s="1" t="n">
        <v>45998</v>
      </c>
      <c r="D914" t="inlineStr">
        <is>
          <t>VÄSTERBOTTENS LÄN</t>
        </is>
      </c>
      <c r="E914" t="inlineStr">
        <is>
          <t>UMEÅ</t>
        </is>
      </c>
      <c r="G914" t="n">
        <v>3.4</v>
      </c>
      <c r="H914" t="n">
        <v>0</v>
      </c>
      <c r="I914" t="n">
        <v>0</v>
      </c>
      <c r="J914" t="n">
        <v>0</v>
      </c>
      <c r="K914" t="n">
        <v>0</v>
      </c>
      <c r="L914" t="n">
        <v>0</v>
      </c>
      <c r="M914" t="n">
        <v>0</v>
      </c>
      <c r="N914" t="n">
        <v>0</v>
      </c>
      <c r="O914" t="n">
        <v>0</v>
      </c>
      <c r="P914" t="n">
        <v>0</v>
      </c>
      <c r="Q914" t="n">
        <v>0</v>
      </c>
      <c r="R914" s="2" t="inlineStr"/>
    </row>
    <row r="915" ht="15" customHeight="1">
      <c r="A915" t="inlineStr">
        <is>
          <t>A 31037-2025</t>
        </is>
      </c>
      <c r="B915" s="1" t="n">
        <v>45832.54769675926</v>
      </c>
      <c r="C915" s="1" t="n">
        <v>45998</v>
      </c>
      <c r="D915" t="inlineStr">
        <is>
          <t>VÄSTERBOTTENS LÄN</t>
        </is>
      </c>
      <c r="E915" t="inlineStr">
        <is>
          <t>UMEÅ</t>
        </is>
      </c>
      <c r="G915" t="n">
        <v>5</v>
      </c>
      <c r="H915" t="n">
        <v>0</v>
      </c>
      <c r="I915" t="n">
        <v>0</v>
      </c>
      <c r="J915" t="n">
        <v>0</v>
      </c>
      <c r="K915" t="n">
        <v>0</v>
      </c>
      <c r="L915" t="n">
        <v>0</v>
      </c>
      <c r="M915" t="n">
        <v>0</v>
      </c>
      <c r="N915" t="n">
        <v>0</v>
      </c>
      <c r="O915" t="n">
        <v>0</v>
      </c>
      <c r="P915" t="n">
        <v>0</v>
      </c>
      <c r="Q915" t="n">
        <v>0</v>
      </c>
      <c r="R915" s="2" t="inlineStr"/>
    </row>
    <row r="916" ht="15" customHeight="1">
      <c r="A916" t="inlineStr">
        <is>
          <t>A 31154-2025</t>
        </is>
      </c>
      <c r="B916" s="1" t="n">
        <v>45832.64778935185</v>
      </c>
      <c r="C916" s="1" t="n">
        <v>45998</v>
      </c>
      <c r="D916" t="inlineStr">
        <is>
          <t>VÄSTERBOTTENS LÄN</t>
        </is>
      </c>
      <c r="E916" t="inlineStr">
        <is>
          <t>UMEÅ</t>
        </is>
      </c>
      <c r="F916" t="inlineStr">
        <is>
          <t>Holmen skog AB</t>
        </is>
      </c>
      <c r="G916" t="n">
        <v>28.5</v>
      </c>
      <c r="H916" t="n">
        <v>0</v>
      </c>
      <c r="I916" t="n">
        <v>0</v>
      </c>
      <c r="J916" t="n">
        <v>0</v>
      </c>
      <c r="K916" t="n">
        <v>0</v>
      </c>
      <c r="L916" t="n">
        <v>0</v>
      </c>
      <c r="M916" t="n">
        <v>0</v>
      </c>
      <c r="N916" t="n">
        <v>0</v>
      </c>
      <c r="O916" t="n">
        <v>0</v>
      </c>
      <c r="P916" t="n">
        <v>0</v>
      </c>
      <c r="Q916" t="n">
        <v>0</v>
      </c>
      <c r="R916" s="2" t="inlineStr"/>
    </row>
    <row r="917" ht="15" customHeight="1">
      <c r="A917" t="inlineStr">
        <is>
          <t>A 30645-2025</t>
        </is>
      </c>
      <c r="B917" s="1" t="n">
        <v>45831.48987268518</v>
      </c>
      <c r="C917" s="1" t="n">
        <v>45998</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51621-2025</t>
        </is>
      </c>
      <c r="B918" s="1" t="n">
        <v>45951.41319444445</v>
      </c>
      <c r="C918" s="1" t="n">
        <v>45998</v>
      </c>
      <c r="D918" t="inlineStr">
        <is>
          <t>VÄSTERBOTTENS LÄN</t>
        </is>
      </c>
      <c r="E918" t="inlineStr">
        <is>
          <t>UMEÅ</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60039-2025</t>
        </is>
      </c>
      <c r="B919" s="1" t="n">
        <v>45993.62074074074</v>
      </c>
      <c r="C919" s="1" t="n">
        <v>45998</v>
      </c>
      <c r="D919" t="inlineStr">
        <is>
          <t>VÄSTERBOTTENS LÄN</t>
        </is>
      </c>
      <c r="E919" t="inlineStr">
        <is>
          <t>UMEÅ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30960-2025</t>
        </is>
      </c>
      <c r="B920" s="1" t="n">
        <v>45832.44204861111</v>
      </c>
      <c r="C920" s="1" t="n">
        <v>45998</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51970-2025</t>
        </is>
      </c>
      <c r="B921" s="1" t="n">
        <v>45952.5571875</v>
      </c>
      <c r="C921" s="1" t="n">
        <v>45998</v>
      </c>
      <c r="D921" t="inlineStr">
        <is>
          <t>VÄSTERBOTTENS LÄN</t>
        </is>
      </c>
      <c r="E921" t="inlineStr">
        <is>
          <t>UMEÅ</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31599-2025</t>
        </is>
      </c>
      <c r="B922" s="1" t="n">
        <v>45833.72009259259</v>
      </c>
      <c r="C922" s="1" t="n">
        <v>45998</v>
      </c>
      <c r="D922" t="inlineStr">
        <is>
          <t>VÄSTERBOTTENS LÄN</t>
        </is>
      </c>
      <c r="E922" t="inlineStr">
        <is>
          <t>UMEÅ</t>
        </is>
      </c>
      <c r="G922" t="n">
        <v>0.9</v>
      </c>
      <c r="H922" t="n">
        <v>0</v>
      </c>
      <c r="I922" t="n">
        <v>0</v>
      </c>
      <c r="J922" t="n">
        <v>0</v>
      </c>
      <c r="K922" t="n">
        <v>0</v>
      </c>
      <c r="L922" t="n">
        <v>0</v>
      </c>
      <c r="M922" t="n">
        <v>0</v>
      </c>
      <c r="N922" t="n">
        <v>0</v>
      </c>
      <c r="O922" t="n">
        <v>0</v>
      </c>
      <c r="P922" t="n">
        <v>0</v>
      </c>
      <c r="Q922" t="n">
        <v>0</v>
      </c>
      <c r="R922" s="2" t="inlineStr"/>
    </row>
    <row r="923" ht="15" customHeight="1">
      <c r="A923" t="inlineStr">
        <is>
          <t>A 60088-2025</t>
        </is>
      </c>
      <c r="B923" s="1" t="n">
        <v>45993.71936342592</v>
      </c>
      <c r="C923" s="1" t="n">
        <v>45998</v>
      </c>
      <c r="D923" t="inlineStr">
        <is>
          <t>VÄSTERBOTTENS LÄN</t>
        </is>
      </c>
      <c r="E923" t="inlineStr">
        <is>
          <t>UMEÅ</t>
        </is>
      </c>
      <c r="G923" t="n">
        <v>1.5</v>
      </c>
      <c r="H923" t="n">
        <v>0</v>
      </c>
      <c r="I923" t="n">
        <v>0</v>
      </c>
      <c r="J923" t="n">
        <v>0</v>
      </c>
      <c r="K923" t="n">
        <v>0</v>
      </c>
      <c r="L923" t="n">
        <v>0</v>
      </c>
      <c r="M923" t="n">
        <v>0</v>
      </c>
      <c r="N923" t="n">
        <v>0</v>
      </c>
      <c r="O923" t="n">
        <v>0</v>
      </c>
      <c r="P923" t="n">
        <v>0</v>
      </c>
      <c r="Q923" t="n">
        <v>0</v>
      </c>
      <c r="R923" s="2" t="inlineStr"/>
    </row>
    <row r="924" ht="15" customHeight="1">
      <c r="A924" t="inlineStr">
        <is>
          <t>A 52082-2025</t>
        </is>
      </c>
      <c r="B924" s="1" t="n">
        <v>45952.66583333333</v>
      </c>
      <c r="C924" s="1" t="n">
        <v>45998</v>
      </c>
      <c r="D924" t="inlineStr">
        <is>
          <t>VÄSTERBOTTENS LÄN</t>
        </is>
      </c>
      <c r="E924" t="inlineStr">
        <is>
          <t>UMEÅ</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51961-2025</t>
        </is>
      </c>
      <c r="B925" s="1" t="n">
        <v>45952.54824074074</v>
      </c>
      <c r="C925" s="1" t="n">
        <v>45998</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52056-2025</t>
        </is>
      </c>
      <c r="B926" s="1" t="n">
        <v>45952.63239583333</v>
      </c>
      <c r="C926" s="1" t="n">
        <v>45998</v>
      </c>
      <c r="D926" t="inlineStr">
        <is>
          <t>VÄSTERBOTTENS LÄN</t>
        </is>
      </c>
      <c r="E926" t="inlineStr">
        <is>
          <t>UMEÅ</t>
        </is>
      </c>
      <c r="F926" t="inlineStr">
        <is>
          <t>Holmen skog AB</t>
        </is>
      </c>
      <c r="G926" t="n">
        <v>9.4</v>
      </c>
      <c r="H926" t="n">
        <v>0</v>
      </c>
      <c r="I926" t="n">
        <v>0</v>
      </c>
      <c r="J926" t="n">
        <v>0</v>
      </c>
      <c r="K926" t="n">
        <v>0</v>
      </c>
      <c r="L926" t="n">
        <v>0</v>
      </c>
      <c r="M926" t="n">
        <v>0</v>
      </c>
      <c r="N926" t="n">
        <v>0</v>
      </c>
      <c r="O926" t="n">
        <v>0</v>
      </c>
      <c r="P926" t="n">
        <v>0</v>
      </c>
      <c r="Q926" t="n">
        <v>0</v>
      </c>
      <c r="R926" s="2" t="inlineStr"/>
    </row>
    <row r="927" ht="15" customHeight="1">
      <c r="A927" t="inlineStr">
        <is>
          <t>A 51889-2025</t>
        </is>
      </c>
      <c r="B927" s="1" t="n">
        <v>45952.41400462963</v>
      </c>
      <c r="C927" s="1" t="n">
        <v>45998</v>
      </c>
      <c r="D927" t="inlineStr">
        <is>
          <t>VÄSTERBOTTENS LÄN</t>
        </is>
      </c>
      <c r="E927" t="inlineStr">
        <is>
          <t>UMEÅ</t>
        </is>
      </c>
      <c r="G927" t="n">
        <v>3.7</v>
      </c>
      <c r="H927" t="n">
        <v>0</v>
      </c>
      <c r="I927" t="n">
        <v>0</v>
      </c>
      <c r="J927" t="n">
        <v>0</v>
      </c>
      <c r="K927" t="n">
        <v>0</v>
      </c>
      <c r="L927" t="n">
        <v>0</v>
      </c>
      <c r="M927" t="n">
        <v>0</v>
      </c>
      <c r="N927" t="n">
        <v>0</v>
      </c>
      <c r="O927" t="n">
        <v>0</v>
      </c>
      <c r="P927" t="n">
        <v>0</v>
      </c>
      <c r="Q927" t="n">
        <v>0</v>
      </c>
      <c r="R927" s="2" t="inlineStr"/>
    </row>
    <row r="928" ht="15" customHeight="1">
      <c r="A928" t="inlineStr">
        <is>
          <t>A 51958-2025</t>
        </is>
      </c>
      <c r="B928" s="1" t="n">
        <v>45952.54373842593</v>
      </c>
      <c r="C928" s="1" t="n">
        <v>45998</v>
      </c>
      <c r="D928" t="inlineStr">
        <is>
          <t>VÄSTERBOTTENS LÄN</t>
        </is>
      </c>
      <c r="E928" t="inlineStr">
        <is>
          <t>UMEÅ</t>
        </is>
      </c>
      <c r="G928" t="n">
        <v>4.3</v>
      </c>
      <c r="H928" t="n">
        <v>0</v>
      </c>
      <c r="I928" t="n">
        <v>0</v>
      </c>
      <c r="J928" t="n">
        <v>0</v>
      </c>
      <c r="K928" t="n">
        <v>0</v>
      </c>
      <c r="L928" t="n">
        <v>0</v>
      </c>
      <c r="M928" t="n">
        <v>0</v>
      </c>
      <c r="N928" t="n">
        <v>0</v>
      </c>
      <c r="O928" t="n">
        <v>0</v>
      </c>
      <c r="P928" t="n">
        <v>0</v>
      </c>
      <c r="Q928" t="n">
        <v>0</v>
      </c>
      <c r="R928" s="2" t="inlineStr"/>
    </row>
    <row r="929" ht="15" customHeight="1">
      <c r="A929" t="inlineStr">
        <is>
          <t>A 60074-2025</t>
        </is>
      </c>
      <c r="B929" s="1" t="n">
        <v>45993.67747685185</v>
      </c>
      <c r="C929" s="1" t="n">
        <v>45998</v>
      </c>
      <c r="D929" t="inlineStr">
        <is>
          <t>VÄSTERBOTTENS LÄN</t>
        </is>
      </c>
      <c r="E929" t="inlineStr">
        <is>
          <t>UMEÅ</t>
        </is>
      </c>
      <c r="G929" t="n">
        <v>9.9</v>
      </c>
      <c r="H929" t="n">
        <v>0</v>
      </c>
      <c r="I929" t="n">
        <v>0</v>
      </c>
      <c r="J929" t="n">
        <v>0</v>
      </c>
      <c r="K929" t="n">
        <v>0</v>
      </c>
      <c r="L929" t="n">
        <v>0</v>
      </c>
      <c r="M929" t="n">
        <v>0</v>
      </c>
      <c r="N929" t="n">
        <v>0</v>
      </c>
      <c r="O929" t="n">
        <v>0</v>
      </c>
      <c r="P929" t="n">
        <v>0</v>
      </c>
      <c r="Q929" t="n">
        <v>0</v>
      </c>
      <c r="R929" s="2" t="inlineStr"/>
    </row>
    <row r="930" ht="15" customHeight="1">
      <c r="A930" t="inlineStr">
        <is>
          <t>A 51716-2025</t>
        </is>
      </c>
      <c r="B930" s="1" t="n">
        <v>45951.5771875</v>
      </c>
      <c r="C930" s="1" t="n">
        <v>45998</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51901-2025</t>
        </is>
      </c>
      <c r="B931" s="1" t="n">
        <v>45952.44668981482</v>
      </c>
      <c r="C931" s="1" t="n">
        <v>45998</v>
      </c>
      <c r="D931" t="inlineStr">
        <is>
          <t>VÄSTERBOTTENS LÄN</t>
        </is>
      </c>
      <c r="E931" t="inlineStr">
        <is>
          <t>UMEÅ</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42832-2025</t>
        </is>
      </c>
      <c r="B932" s="1" t="n">
        <v>45908</v>
      </c>
      <c r="C932" s="1" t="n">
        <v>45998</v>
      </c>
      <c r="D932" t="inlineStr">
        <is>
          <t>VÄSTERBOTTENS LÄN</t>
        </is>
      </c>
      <c r="E932" t="inlineStr">
        <is>
          <t>UMEÅ</t>
        </is>
      </c>
      <c r="G932" t="n">
        <v>1.9</v>
      </c>
      <c r="H932" t="n">
        <v>0</v>
      </c>
      <c r="I932" t="n">
        <v>0</v>
      </c>
      <c r="J932" t="n">
        <v>0</v>
      </c>
      <c r="K932" t="n">
        <v>0</v>
      </c>
      <c r="L932" t="n">
        <v>0</v>
      </c>
      <c r="M932" t="n">
        <v>0</v>
      </c>
      <c r="N932" t="n">
        <v>0</v>
      </c>
      <c r="O932" t="n">
        <v>0</v>
      </c>
      <c r="P932" t="n">
        <v>0</v>
      </c>
      <c r="Q932" t="n">
        <v>0</v>
      </c>
      <c r="R932" s="2" t="inlineStr"/>
    </row>
    <row r="933" ht="15" customHeight="1">
      <c r="A933" t="inlineStr">
        <is>
          <t>A 41430-2025</t>
        </is>
      </c>
      <c r="B933" s="1" t="n">
        <v>45901</v>
      </c>
      <c r="C933" s="1" t="n">
        <v>45998</v>
      </c>
      <c r="D933" t="inlineStr">
        <is>
          <t>VÄSTERBOTTENS LÄN</t>
        </is>
      </c>
      <c r="E933" t="inlineStr">
        <is>
          <t>UMEÅ</t>
        </is>
      </c>
      <c r="G933" t="n">
        <v>2.8</v>
      </c>
      <c r="H933" t="n">
        <v>0</v>
      </c>
      <c r="I933" t="n">
        <v>0</v>
      </c>
      <c r="J933" t="n">
        <v>0</v>
      </c>
      <c r="K933" t="n">
        <v>0</v>
      </c>
      <c r="L933" t="n">
        <v>0</v>
      </c>
      <c r="M933" t="n">
        <v>0</v>
      </c>
      <c r="N933" t="n">
        <v>0</v>
      </c>
      <c r="O933" t="n">
        <v>0</v>
      </c>
      <c r="P933" t="n">
        <v>0</v>
      </c>
      <c r="Q933" t="n">
        <v>0</v>
      </c>
      <c r="R933" s="2" t="inlineStr"/>
    </row>
    <row r="934" ht="15" customHeight="1">
      <c r="A934" t="inlineStr">
        <is>
          <t>A 31859-2025</t>
        </is>
      </c>
      <c r="B934" s="1" t="n">
        <v>45834.6284375</v>
      </c>
      <c r="C934" s="1" t="n">
        <v>45998</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31241-2025</t>
        </is>
      </c>
      <c r="B935" s="1" t="n">
        <v>45832.86366898148</v>
      </c>
      <c r="C935" s="1" t="n">
        <v>45998</v>
      </c>
      <c r="D935" t="inlineStr">
        <is>
          <t>VÄSTERBOTTENS LÄN</t>
        </is>
      </c>
      <c r="E935" t="inlineStr">
        <is>
          <t>UMEÅ</t>
        </is>
      </c>
      <c r="F935" t="inlineStr">
        <is>
          <t>Holmen skog AB</t>
        </is>
      </c>
      <c r="G935" t="n">
        <v>3.4</v>
      </c>
      <c r="H935" t="n">
        <v>0</v>
      </c>
      <c r="I935" t="n">
        <v>0</v>
      </c>
      <c r="J935" t="n">
        <v>0</v>
      </c>
      <c r="K935" t="n">
        <v>0</v>
      </c>
      <c r="L935" t="n">
        <v>0</v>
      </c>
      <c r="M935" t="n">
        <v>0</v>
      </c>
      <c r="N935" t="n">
        <v>0</v>
      </c>
      <c r="O935" t="n">
        <v>0</v>
      </c>
      <c r="P935" t="n">
        <v>0</v>
      </c>
      <c r="Q935" t="n">
        <v>0</v>
      </c>
      <c r="R935" s="2" t="inlineStr"/>
    </row>
    <row r="936" ht="15" customHeight="1">
      <c r="A936" t="inlineStr">
        <is>
          <t>A 52210-2025</t>
        </is>
      </c>
      <c r="B936" s="1" t="n">
        <v>45953.42037037037</v>
      </c>
      <c r="C936" s="1" t="n">
        <v>45998</v>
      </c>
      <c r="D936" t="inlineStr">
        <is>
          <t>VÄSTERBOTTENS LÄN</t>
        </is>
      </c>
      <c r="E936" t="inlineStr">
        <is>
          <t>UMEÅ</t>
        </is>
      </c>
      <c r="F936" t="inlineStr">
        <is>
          <t>Holmen skog AB</t>
        </is>
      </c>
      <c r="G936" t="n">
        <v>8.1</v>
      </c>
      <c r="H936" t="n">
        <v>0</v>
      </c>
      <c r="I936" t="n">
        <v>0</v>
      </c>
      <c r="J936" t="n">
        <v>0</v>
      </c>
      <c r="K936" t="n">
        <v>0</v>
      </c>
      <c r="L936" t="n">
        <v>0</v>
      </c>
      <c r="M936" t="n">
        <v>0</v>
      </c>
      <c r="N936" t="n">
        <v>0</v>
      </c>
      <c r="O936" t="n">
        <v>0</v>
      </c>
      <c r="P936" t="n">
        <v>0</v>
      </c>
      <c r="Q936" t="n">
        <v>0</v>
      </c>
      <c r="R936" s="2" t="inlineStr"/>
    </row>
    <row r="937" ht="15" customHeight="1">
      <c r="A937" t="inlineStr">
        <is>
          <t>A 32522-2025</t>
        </is>
      </c>
      <c r="B937" s="1" t="n">
        <v>45838.48564814815</v>
      </c>
      <c r="C937" s="1" t="n">
        <v>45998</v>
      </c>
      <c r="D937" t="inlineStr">
        <is>
          <t>VÄSTERBOTTENS LÄN</t>
        </is>
      </c>
      <c r="E937" t="inlineStr">
        <is>
          <t>UMEÅ</t>
        </is>
      </c>
      <c r="G937" t="n">
        <v>3.6</v>
      </c>
      <c r="H937" t="n">
        <v>0</v>
      </c>
      <c r="I937" t="n">
        <v>0</v>
      </c>
      <c r="J937" t="n">
        <v>0</v>
      </c>
      <c r="K937" t="n">
        <v>0</v>
      </c>
      <c r="L937" t="n">
        <v>0</v>
      </c>
      <c r="M937" t="n">
        <v>0</v>
      </c>
      <c r="N937" t="n">
        <v>0</v>
      </c>
      <c r="O937" t="n">
        <v>0</v>
      </c>
      <c r="P937" t="n">
        <v>0</v>
      </c>
      <c r="Q937" t="n">
        <v>0</v>
      </c>
      <c r="R937" s="2" t="inlineStr"/>
    </row>
    <row r="938" ht="15" customHeight="1">
      <c r="A938" t="inlineStr">
        <is>
          <t>A 52163-2025</t>
        </is>
      </c>
      <c r="B938" s="1" t="n">
        <v>45953.36163194444</v>
      </c>
      <c r="C938" s="1" t="n">
        <v>45998</v>
      </c>
      <c r="D938" t="inlineStr">
        <is>
          <t>VÄSTERBOTTENS LÄN</t>
        </is>
      </c>
      <c r="E938" t="inlineStr">
        <is>
          <t>UMEÅ</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52155-2025</t>
        </is>
      </c>
      <c r="B939" s="1" t="n">
        <v>45953.3543287037</v>
      </c>
      <c r="C939" s="1" t="n">
        <v>45998</v>
      </c>
      <c r="D939" t="inlineStr">
        <is>
          <t>VÄSTERBOTTENS LÄN</t>
        </is>
      </c>
      <c r="E939" t="inlineStr">
        <is>
          <t>UMEÅ</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32125-2025</t>
        </is>
      </c>
      <c r="B940" s="1" t="n">
        <v>45835.49601851852</v>
      </c>
      <c r="C940" s="1" t="n">
        <v>45998</v>
      </c>
      <c r="D940" t="inlineStr">
        <is>
          <t>VÄSTERBOTTENS LÄN</t>
        </is>
      </c>
      <c r="E940" t="inlineStr">
        <is>
          <t>UMEÅ</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52232-2025</t>
        </is>
      </c>
      <c r="B941" s="1" t="n">
        <v>45953.45091435185</v>
      </c>
      <c r="C941" s="1" t="n">
        <v>45998</v>
      </c>
      <c r="D941" t="inlineStr">
        <is>
          <t>VÄSTERBOTTENS LÄN</t>
        </is>
      </c>
      <c r="E941" t="inlineStr">
        <is>
          <t>UMEÅ</t>
        </is>
      </c>
      <c r="F941" t="inlineStr">
        <is>
          <t>Holmen skog AB</t>
        </is>
      </c>
      <c r="G941" t="n">
        <v>7.7</v>
      </c>
      <c r="H941" t="n">
        <v>0</v>
      </c>
      <c r="I941" t="n">
        <v>0</v>
      </c>
      <c r="J941" t="n">
        <v>0</v>
      </c>
      <c r="K941" t="n">
        <v>0</v>
      </c>
      <c r="L941" t="n">
        <v>0</v>
      </c>
      <c r="M941" t="n">
        <v>0</v>
      </c>
      <c r="N941" t="n">
        <v>0</v>
      </c>
      <c r="O941" t="n">
        <v>0</v>
      </c>
      <c r="P941" t="n">
        <v>0</v>
      </c>
      <c r="Q941" t="n">
        <v>0</v>
      </c>
      <c r="R941" s="2" t="inlineStr"/>
    </row>
    <row r="942" ht="15" customHeight="1">
      <c r="A942" t="inlineStr">
        <is>
          <t>A 52238-2025</t>
        </is>
      </c>
      <c r="B942" s="1" t="n">
        <v>45953.46032407408</v>
      </c>
      <c r="C942" s="1" t="n">
        <v>45998</v>
      </c>
      <c r="D942" t="inlineStr">
        <is>
          <t>VÄSTERBOTTENS LÄN</t>
        </is>
      </c>
      <c r="E942" t="inlineStr">
        <is>
          <t>UMEÅ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33198-2025</t>
        </is>
      </c>
      <c r="B943" s="1" t="n">
        <v>45840.6047800926</v>
      </c>
      <c r="C943" s="1" t="n">
        <v>45998</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33085-2025</t>
        </is>
      </c>
      <c r="B944" s="1" t="n">
        <v>45840.46704861111</v>
      </c>
      <c r="C944" s="1" t="n">
        <v>45998</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33193-2025</t>
        </is>
      </c>
      <c r="B945" s="1" t="n">
        <v>45840.60122685185</v>
      </c>
      <c r="C945" s="1" t="n">
        <v>45998</v>
      </c>
      <c r="D945" t="inlineStr">
        <is>
          <t>VÄSTERBOTTENS LÄN</t>
        </is>
      </c>
      <c r="E945" t="inlineStr">
        <is>
          <t>UMEÅ</t>
        </is>
      </c>
      <c r="G945" t="n">
        <v>2.2</v>
      </c>
      <c r="H945" t="n">
        <v>0</v>
      </c>
      <c r="I945" t="n">
        <v>0</v>
      </c>
      <c r="J945" t="n">
        <v>0</v>
      </c>
      <c r="K945" t="n">
        <v>0</v>
      </c>
      <c r="L945" t="n">
        <v>0</v>
      </c>
      <c r="M945" t="n">
        <v>0</v>
      </c>
      <c r="N945" t="n">
        <v>0</v>
      </c>
      <c r="O945" t="n">
        <v>0</v>
      </c>
      <c r="P945" t="n">
        <v>0</v>
      </c>
      <c r="Q945" t="n">
        <v>0</v>
      </c>
      <c r="R945" s="2" t="inlineStr"/>
    </row>
    <row r="946" ht="15" customHeight="1">
      <c r="A946" t="inlineStr">
        <is>
          <t>A 33210-2025</t>
        </is>
      </c>
      <c r="B946" s="1" t="n">
        <v>45840.62734953704</v>
      </c>
      <c r="C946" s="1" t="n">
        <v>45998</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19053-2023</t>
        </is>
      </c>
      <c r="B947" s="1" t="n">
        <v>45047</v>
      </c>
      <c r="C947" s="1" t="n">
        <v>45998</v>
      </c>
      <c r="D947" t="inlineStr">
        <is>
          <t>VÄSTERBOTTENS LÄN</t>
        </is>
      </c>
      <c r="E947" t="inlineStr">
        <is>
          <t>UMEÅ</t>
        </is>
      </c>
      <c r="G947" t="n">
        <v>4.8</v>
      </c>
      <c r="H947" t="n">
        <v>0</v>
      </c>
      <c r="I947" t="n">
        <v>0</v>
      </c>
      <c r="J947" t="n">
        <v>0</v>
      </c>
      <c r="K947" t="n">
        <v>0</v>
      </c>
      <c r="L947" t="n">
        <v>0</v>
      </c>
      <c r="M947" t="n">
        <v>0</v>
      </c>
      <c r="N947" t="n">
        <v>0</v>
      </c>
      <c r="O947" t="n">
        <v>0</v>
      </c>
      <c r="P947" t="n">
        <v>0</v>
      </c>
      <c r="Q947" t="n">
        <v>0</v>
      </c>
      <c r="R947" s="2" t="inlineStr"/>
    </row>
    <row r="948" ht="15" customHeight="1">
      <c r="A948" t="inlineStr">
        <is>
          <t>A 30053-2025</t>
        </is>
      </c>
      <c r="B948" s="1" t="n">
        <v>45826.60013888889</v>
      </c>
      <c r="C948" s="1" t="n">
        <v>45998</v>
      </c>
      <c r="D948" t="inlineStr">
        <is>
          <t>VÄSTERBOTTENS LÄN</t>
        </is>
      </c>
      <c r="E948" t="inlineStr">
        <is>
          <t>UMEÅ</t>
        </is>
      </c>
      <c r="G948" t="n">
        <v>5.5</v>
      </c>
      <c r="H948" t="n">
        <v>0</v>
      </c>
      <c r="I948" t="n">
        <v>0</v>
      </c>
      <c r="J948" t="n">
        <v>0</v>
      </c>
      <c r="K948" t="n">
        <v>0</v>
      </c>
      <c r="L948" t="n">
        <v>0</v>
      </c>
      <c r="M948" t="n">
        <v>0</v>
      </c>
      <c r="N948" t="n">
        <v>0</v>
      </c>
      <c r="O948" t="n">
        <v>0</v>
      </c>
      <c r="P948" t="n">
        <v>0</v>
      </c>
      <c r="Q948" t="n">
        <v>0</v>
      </c>
      <c r="R948" s="2" t="inlineStr"/>
    </row>
    <row r="949" ht="15" customHeight="1">
      <c r="A949" t="inlineStr">
        <is>
          <t>A 34777-2021</t>
        </is>
      </c>
      <c r="B949" s="1" t="n">
        <v>44382</v>
      </c>
      <c r="C949" s="1" t="n">
        <v>45998</v>
      </c>
      <c r="D949" t="inlineStr">
        <is>
          <t>VÄSTERBOTTENS LÄN</t>
        </is>
      </c>
      <c r="E949" t="inlineStr">
        <is>
          <t>UMEÅ</t>
        </is>
      </c>
      <c r="G949" t="n">
        <v>3.7</v>
      </c>
      <c r="H949" t="n">
        <v>0</v>
      </c>
      <c r="I949" t="n">
        <v>0</v>
      </c>
      <c r="J949" t="n">
        <v>0</v>
      </c>
      <c r="K949" t="n">
        <v>0</v>
      </c>
      <c r="L949" t="n">
        <v>0</v>
      </c>
      <c r="M949" t="n">
        <v>0</v>
      </c>
      <c r="N949" t="n">
        <v>0</v>
      </c>
      <c r="O949" t="n">
        <v>0</v>
      </c>
      <c r="P949" t="n">
        <v>0</v>
      </c>
      <c r="Q949" t="n">
        <v>0</v>
      </c>
      <c r="R949" s="2" t="inlineStr"/>
    </row>
    <row r="950" ht="15" customHeight="1">
      <c r="A950" t="inlineStr">
        <is>
          <t>A 11157-2022</t>
        </is>
      </c>
      <c r="B950" s="1" t="n">
        <v>44629.39452546297</v>
      </c>
      <c r="C950" s="1" t="n">
        <v>45998</v>
      </c>
      <c r="D950" t="inlineStr">
        <is>
          <t>VÄSTERBOTTENS LÄN</t>
        </is>
      </c>
      <c r="E950" t="inlineStr">
        <is>
          <t>UMEÅ</t>
        </is>
      </c>
      <c r="G950" t="n">
        <v>2.3</v>
      </c>
      <c r="H950" t="n">
        <v>0</v>
      </c>
      <c r="I950" t="n">
        <v>0</v>
      </c>
      <c r="J950" t="n">
        <v>0</v>
      </c>
      <c r="K950" t="n">
        <v>0</v>
      </c>
      <c r="L950" t="n">
        <v>0</v>
      </c>
      <c r="M950" t="n">
        <v>0</v>
      </c>
      <c r="N950" t="n">
        <v>0</v>
      </c>
      <c r="O950" t="n">
        <v>0</v>
      </c>
      <c r="P950" t="n">
        <v>0</v>
      </c>
      <c r="Q950" t="n">
        <v>0</v>
      </c>
      <c r="R950" s="2" t="inlineStr"/>
    </row>
    <row r="951" ht="15" customHeight="1">
      <c r="A951" t="inlineStr">
        <is>
          <t>A 7382-2022</t>
        </is>
      </c>
      <c r="B951" s="1" t="n">
        <v>44606.61752314815</v>
      </c>
      <c r="C951" s="1" t="n">
        <v>45998</v>
      </c>
      <c r="D951" t="inlineStr">
        <is>
          <t>VÄSTERBOTTENS LÄN</t>
        </is>
      </c>
      <c r="E951" t="inlineStr">
        <is>
          <t>UMEÅ</t>
        </is>
      </c>
      <c r="G951" t="n">
        <v>3.8</v>
      </c>
      <c r="H951" t="n">
        <v>0</v>
      </c>
      <c r="I951" t="n">
        <v>0</v>
      </c>
      <c r="J951" t="n">
        <v>0</v>
      </c>
      <c r="K951" t="n">
        <v>0</v>
      </c>
      <c r="L951" t="n">
        <v>0</v>
      </c>
      <c r="M951" t="n">
        <v>0</v>
      </c>
      <c r="N951" t="n">
        <v>0</v>
      </c>
      <c r="O951" t="n">
        <v>0</v>
      </c>
      <c r="P951" t="n">
        <v>0</v>
      </c>
      <c r="Q951" t="n">
        <v>0</v>
      </c>
      <c r="R951" s="2" t="inlineStr"/>
    </row>
    <row r="952" ht="15" customHeight="1">
      <c r="A952" t="inlineStr">
        <is>
          <t>A 33795-2025</t>
        </is>
      </c>
      <c r="B952" s="1" t="n">
        <v>45842.43515046296</v>
      </c>
      <c r="C952" s="1" t="n">
        <v>45998</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13181-2022</t>
        </is>
      </c>
      <c r="B953" s="1" t="n">
        <v>44644.47650462963</v>
      </c>
      <c r="C953" s="1" t="n">
        <v>45998</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10898-2025</t>
        </is>
      </c>
      <c r="B954" s="1" t="n">
        <v>45722</v>
      </c>
      <c r="C954" s="1" t="n">
        <v>45998</v>
      </c>
      <c r="D954" t="inlineStr">
        <is>
          <t>VÄSTERBOTTENS LÄN</t>
        </is>
      </c>
      <c r="E954" t="inlineStr">
        <is>
          <t>UMEÅ</t>
        </is>
      </c>
      <c r="G954" t="n">
        <v>1.1</v>
      </c>
      <c r="H954" t="n">
        <v>0</v>
      </c>
      <c r="I954" t="n">
        <v>0</v>
      </c>
      <c r="J954" t="n">
        <v>0</v>
      </c>
      <c r="K954" t="n">
        <v>0</v>
      </c>
      <c r="L954" t="n">
        <v>0</v>
      </c>
      <c r="M954" t="n">
        <v>0</v>
      </c>
      <c r="N954" t="n">
        <v>0</v>
      </c>
      <c r="O954" t="n">
        <v>0</v>
      </c>
      <c r="P954" t="n">
        <v>0</v>
      </c>
      <c r="Q954" t="n">
        <v>0</v>
      </c>
      <c r="R954" s="2" t="inlineStr"/>
    </row>
    <row r="955" ht="15" customHeight="1">
      <c r="A955" t="inlineStr">
        <is>
          <t>A 10718-2025</t>
        </is>
      </c>
      <c r="B955" s="1" t="n">
        <v>45722.37076388889</v>
      </c>
      <c r="C955" s="1" t="n">
        <v>45998</v>
      </c>
      <c r="D955" t="inlineStr">
        <is>
          <t>VÄSTERBOTTENS LÄN</t>
        </is>
      </c>
      <c r="E955" t="inlineStr">
        <is>
          <t>UMEÅ</t>
        </is>
      </c>
      <c r="G955" t="n">
        <v>2.1</v>
      </c>
      <c r="H955" t="n">
        <v>0</v>
      </c>
      <c r="I955" t="n">
        <v>0</v>
      </c>
      <c r="J955" t="n">
        <v>0</v>
      </c>
      <c r="K955" t="n">
        <v>0</v>
      </c>
      <c r="L955" t="n">
        <v>0</v>
      </c>
      <c r="M955" t="n">
        <v>0</v>
      </c>
      <c r="N955" t="n">
        <v>0</v>
      </c>
      <c r="O955" t="n">
        <v>0</v>
      </c>
      <c r="P955" t="n">
        <v>0</v>
      </c>
      <c r="Q955" t="n">
        <v>0</v>
      </c>
      <c r="R955" s="2" t="inlineStr"/>
    </row>
    <row r="956" ht="15" customHeight="1">
      <c r="A956" t="inlineStr">
        <is>
          <t>A 34290-2025</t>
        </is>
      </c>
      <c r="B956" s="1" t="n">
        <v>45846.33505787037</v>
      </c>
      <c r="C956" s="1" t="n">
        <v>45998</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1480-2023</t>
        </is>
      </c>
      <c r="B957" s="1" t="n">
        <v>44937</v>
      </c>
      <c r="C957" s="1" t="n">
        <v>45998</v>
      </c>
      <c r="D957" t="inlineStr">
        <is>
          <t>VÄSTERBOTTENS LÄN</t>
        </is>
      </c>
      <c r="E957" t="inlineStr">
        <is>
          <t>UMEÅ</t>
        </is>
      </c>
      <c r="G957" t="n">
        <v>2.9</v>
      </c>
      <c r="H957" t="n">
        <v>0</v>
      </c>
      <c r="I957" t="n">
        <v>0</v>
      </c>
      <c r="J957" t="n">
        <v>0</v>
      </c>
      <c r="K957" t="n">
        <v>0</v>
      </c>
      <c r="L957" t="n">
        <v>0</v>
      </c>
      <c r="M957" t="n">
        <v>0</v>
      </c>
      <c r="N957" t="n">
        <v>0</v>
      </c>
      <c r="O957" t="n">
        <v>0</v>
      </c>
      <c r="P957" t="n">
        <v>0</v>
      </c>
      <c r="Q957" t="n">
        <v>0</v>
      </c>
      <c r="R957" s="2" t="inlineStr"/>
    </row>
    <row r="958" ht="15" customHeight="1">
      <c r="A958" t="inlineStr">
        <is>
          <t>A 34039-2025</t>
        </is>
      </c>
      <c r="B958" s="1" t="n">
        <v>45845.37259259259</v>
      </c>
      <c r="C958" s="1" t="n">
        <v>45998</v>
      </c>
      <c r="D958" t="inlineStr">
        <is>
          <t>VÄSTERBOTTENS LÄN</t>
        </is>
      </c>
      <c r="E958" t="inlineStr">
        <is>
          <t>UMEÅ</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34061-2025</t>
        </is>
      </c>
      <c r="B959" s="1" t="n">
        <v>45845.42341435186</v>
      </c>
      <c r="C959" s="1" t="n">
        <v>45998</v>
      </c>
      <c r="D959" t="inlineStr">
        <is>
          <t>VÄSTERBOTTENS LÄN</t>
        </is>
      </c>
      <c r="E959" t="inlineStr">
        <is>
          <t>UMEÅ</t>
        </is>
      </c>
      <c r="F959" t="inlineStr">
        <is>
          <t>Holmen skog AB</t>
        </is>
      </c>
      <c r="G959" t="n">
        <v>4.3</v>
      </c>
      <c r="H959" t="n">
        <v>0</v>
      </c>
      <c r="I959" t="n">
        <v>0</v>
      </c>
      <c r="J959" t="n">
        <v>0</v>
      </c>
      <c r="K959" t="n">
        <v>0</v>
      </c>
      <c r="L959" t="n">
        <v>0</v>
      </c>
      <c r="M959" t="n">
        <v>0</v>
      </c>
      <c r="N959" t="n">
        <v>0</v>
      </c>
      <c r="O959" t="n">
        <v>0</v>
      </c>
      <c r="P959" t="n">
        <v>0</v>
      </c>
      <c r="Q959" t="n">
        <v>0</v>
      </c>
      <c r="R959" s="2" t="inlineStr"/>
    </row>
    <row r="960" ht="15" customHeight="1">
      <c r="A960" t="inlineStr">
        <is>
          <t>A 7205-2025</t>
        </is>
      </c>
      <c r="B960" s="1" t="n">
        <v>45702.46836805555</v>
      </c>
      <c r="C960" s="1" t="n">
        <v>45998</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34774-2025</t>
        </is>
      </c>
      <c r="B961" s="1" t="n">
        <v>45848.65680555555</v>
      </c>
      <c r="C961" s="1" t="n">
        <v>45998</v>
      </c>
      <c r="D961" t="inlineStr">
        <is>
          <t>VÄSTERBOTTENS LÄN</t>
        </is>
      </c>
      <c r="E961" t="inlineStr">
        <is>
          <t>UMEÅ</t>
        </is>
      </c>
      <c r="G961" t="n">
        <v>21.6</v>
      </c>
      <c r="H961" t="n">
        <v>0</v>
      </c>
      <c r="I961" t="n">
        <v>0</v>
      </c>
      <c r="J961" t="n">
        <v>0</v>
      </c>
      <c r="K961" t="n">
        <v>0</v>
      </c>
      <c r="L961" t="n">
        <v>0</v>
      </c>
      <c r="M961" t="n">
        <v>0</v>
      </c>
      <c r="N961" t="n">
        <v>0</v>
      </c>
      <c r="O961" t="n">
        <v>0</v>
      </c>
      <c r="P961" t="n">
        <v>0</v>
      </c>
      <c r="Q961" t="n">
        <v>0</v>
      </c>
      <c r="R961" s="2" t="inlineStr"/>
    </row>
    <row r="962" ht="15" customHeight="1">
      <c r="A962" t="inlineStr">
        <is>
          <t>A 34787-2025</t>
        </is>
      </c>
      <c r="B962" s="1" t="n">
        <v>45848.67791666667</v>
      </c>
      <c r="C962" s="1" t="n">
        <v>45998</v>
      </c>
      <c r="D962" t="inlineStr">
        <is>
          <t>VÄSTERBOTTENS LÄN</t>
        </is>
      </c>
      <c r="E962" t="inlineStr">
        <is>
          <t>UMEÅ</t>
        </is>
      </c>
      <c r="G962" t="n">
        <v>8.6</v>
      </c>
      <c r="H962" t="n">
        <v>0</v>
      </c>
      <c r="I962" t="n">
        <v>0</v>
      </c>
      <c r="J962" t="n">
        <v>0</v>
      </c>
      <c r="K962" t="n">
        <v>0</v>
      </c>
      <c r="L962" t="n">
        <v>0</v>
      </c>
      <c r="M962" t="n">
        <v>0</v>
      </c>
      <c r="N962" t="n">
        <v>0</v>
      </c>
      <c r="O962" t="n">
        <v>0</v>
      </c>
      <c r="P962" t="n">
        <v>0</v>
      </c>
      <c r="Q962" t="n">
        <v>0</v>
      </c>
      <c r="R962" s="2" t="inlineStr"/>
    </row>
    <row r="963" ht="15" customHeight="1">
      <c r="A963" t="inlineStr">
        <is>
          <t>A 9607-2023</t>
        </is>
      </c>
      <c r="B963" s="1" t="n">
        <v>44983</v>
      </c>
      <c r="C963" s="1" t="n">
        <v>45998</v>
      </c>
      <c r="D963" t="inlineStr">
        <is>
          <t>VÄSTERBOTTENS LÄN</t>
        </is>
      </c>
      <c r="E963" t="inlineStr">
        <is>
          <t>UMEÅ</t>
        </is>
      </c>
      <c r="F963" t="inlineStr">
        <is>
          <t>Holmen skog AB</t>
        </is>
      </c>
      <c r="G963" t="n">
        <v>5.2</v>
      </c>
      <c r="H963" t="n">
        <v>0</v>
      </c>
      <c r="I963" t="n">
        <v>0</v>
      </c>
      <c r="J963" t="n">
        <v>0</v>
      </c>
      <c r="K963" t="n">
        <v>0</v>
      </c>
      <c r="L963" t="n">
        <v>0</v>
      </c>
      <c r="M963" t="n">
        <v>0</v>
      </c>
      <c r="N963" t="n">
        <v>0</v>
      </c>
      <c r="O963" t="n">
        <v>0</v>
      </c>
      <c r="P963" t="n">
        <v>0</v>
      </c>
      <c r="Q963" t="n">
        <v>0</v>
      </c>
      <c r="R963" s="2" t="inlineStr"/>
    </row>
    <row r="964" ht="15" customHeight="1">
      <c r="A964" t="inlineStr">
        <is>
          <t>A 56743-2023</t>
        </is>
      </c>
      <c r="B964" s="1" t="n">
        <v>45244</v>
      </c>
      <c r="C964" s="1" t="n">
        <v>45998</v>
      </c>
      <c r="D964" t="inlineStr">
        <is>
          <t>VÄSTERBOTTENS LÄN</t>
        </is>
      </c>
      <c r="E964" t="inlineStr">
        <is>
          <t>UMEÅ</t>
        </is>
      </c>
      <c r="G964" t="n">
        <v>1.4</v>
      </c>
      <c r="H964" t="n">
        <v>0</v>
      </c>
      <c r="I964" t="n">
        <v>0</v>
      </c>
      <c r="J964" t="n">
        <v>0</v>
      </c>
      <c r="K964" t="n">
        <v>0</v>
      </c>
      <c r="L964" t="n">
        <v>0</v>
      </c>
      <c r="M964" t="n">
        <v>0</v>
      </c>
      <c r="N964" t="n">
        <v>0</v>
      </c>
      <c r="O964" t="n">
        <v>0</v>
      </c>
      <c r="P964" t="n">
        <v>0</v>
      </c>
      <c r="Q964" t="n">
        <v>0</v>
      </c>
      <c r="R964" s="2" t="inlineStr"/>
    </row>
    <row r="965" ht="15" customHeight="1">
      <c r="A965" t="inlineStr">
        <is>
          <t>A 17344-2025</t>
        </is>
      </c>
      <c r="B965" s="1" t="n">
        <v>45756.67138888889</v>
      </c>
      <c r="C965" s="1" t="n">
        <v>45998</v>
      </c>
      <c r="D965" t="inlineStr">
        <is>
          <t>VÄSTERBOTTENS LÄN</t>
        </is>
      </c>
      <c r="E965" t="inlineStr">
        <is>
          <t>UMEÅ</t>
        </is>
      </c>
      <c r="G965" t="n">
        <v>3.3</v>
      </c>
      <c r="H965" t="n">
        <v>0</v>
      </c>
      <c r="I965" t="n">
        <v>0</v>
      </c>
      <c r="J965" t="n">
        <v>0</v>
      </c>
      <c r="K965" t="n">
        <v>0</v>
      </c>
      <c r="L965" t="n">
        <v>0</v>
      </c>
      <c r="M965" t="n">
        <v>0</v>
      </c>
      <c r="N965" t="n">
        <v>0</v>
      </c>
      <c r="O965" t="n">
        <v>0</v>
      </c>
      <c r="P965" t="n">
        <v>0</v>
      </c>
      <c r="Q965" t="n">
        <v>0</v>
      </c>
      <c r="R965" s="2" t="inlineStr"/>
    </row>
    <row r="966" ht="15" customHeight="1">
      <c r="A966" t="inlineStr">
        <is>
          <t>A 46122-2024</t>
        </is>
      </c>
      <c r="B966" s="1" t="n">
        <v>45581.41333333333</v>
      </c>
      <c r="C966" s="1" t="n">
        <v>45998</v>
      </c>
      <c r="D966" t="inlineStr">
        <is>
          <t>VÄSTERBOTTENS LÄN</t>
        </is>
      </c>
      <c r="E966" t="inlineStr">
        <is>
          <t>UMEÅ</t>
        </is>
      </c>
      <c r="G966" t="n">
        <v>3.2</v>
      </c>
      <c r="H966" t="n">
        <v>0</v>
      </c>
      <c r="I966" t="n">
        <v>0</v>
      </c>
      <c r="J966" t="n">
        <v>0</v>
      </c>
      <c r="K966" t="n">
        <v>0</v>
      </c>
      <c r="L966" t="n">
        <v>0</v>
      </c>
      <c r="M966" t="n">
        <v>0</v>
      </c>
      <c r="N966" t="n">
        <v>0</v>
      </c>
      <c r="O966" t="n">
        <v>0</v>
      </c>
      <c r="P966" t="n">
        <v>0</v>
      </c>
      <c r="Q966" t="n">
        <v>0</v>
      </c>
      <c r="R966" s="2" t="inlineStr"/>
    </row>
    <row r="967" ht="15" customHeight="1">
      <c r="A967" t="inlineStr">
        <is>
          <t>A 15105-2024</t>
        </is>
      </c>
      <c r="B967" s="1" t="n">
        <v>45399</v>
      </c>
      <c r="C967" s="1" t="n">
        <v>45998</v>
      </c>
      <c r="D967" t="inlineStr">
        <is>
          <t>VÄSTERBOTTENS LÄN</t>
        </is>
      </c>
      <c r="E967" t="inlineStr">
        <is>
          <t>UMEÅ</t>
        </is>
      </c>
      <c r="G967" t="n">
        <v>2.2</v>
      </c>
      <c r="H967" t="n">
        <v>0</v>
      </c>
      <c r="I967" t="n">
        <v>0</v>
      </c>
      <c r="J967" t="n">
        <v>0</v>
      </c>
      <c r="K967" t="n">
        <v>0</v>
      </c>
      <c r="L967" t="n">
        <v>0</v>
      </c>
      <c r="M967" t="n">
        <v>0</v>
      </c>
      <c r="N967" t="n">
        <v>0</v>
      </c>
      <c r="O967" t="n">
        <v>0</v>
      </c>
      <c r="P967" t="n">
        <v>0</v>
      </c>
      <c r="Q967" t="n">
        <v>0</v>
      </c>
      <c r="R967" s="2" t="inlineStr"/>
    </row>
    <row r="968" ht="15" customHeight="1">
      <c r="A968" t="inlineStr">
        <is>
          <t>A 31928-2024</t>
        </is>
      </c>
      <c r="B968" s="1" t="n">
        <v>45510.40539351852</v>
      </c>
      <c r="C968" s="1" t="n">
        <v>45998</v>
      </c>
      <c r="D968" t="inlineStr">
        <is>
          <t>VÄSTERBOTTENS LÄN</t>
        </is>
      </c>
      <c r="E968" t="inlineStr">
        <is>
          <t>UMEÅ</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41732-2023</t>
        </is>
      </c>
      <c r="B969" s="1" t="n">
        <v>45176</v>
      </c>
      <c r="C969" s="1" t="n">
        <v>45998</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50879-2023</t>
        </is>
      </c>
      <c r="B970" s="1" t="n">
        <v>45211</v>
      </c>
      <c r="C970" s="1" t="n">
        <v>45998</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11061-2025</t>
        </is>
      </c>
      <c r="B971" s="1" t="n">
        <v>45723.51538194445</v>
      </c>
      <c r="C971" s="1" t="n">
        <v>45998</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42649-2024</t>
        </is>
      </c>
      <c r="B972" s="1" t="n">
        <v>45566</v>
      </c>
      <c r="C972" s="1" t="n">
        <v>45998</v>
      </c>
      <c r="D972" t="inlineStr">
        <is>
          <t>VÄSTERBOTTENS LÄN</t>
        </is>
      </c>
      <c r="E972" t="inlineStr">
        <is>
          <t>UMEÅ</t>
        </is>
      </c>
      <c r="F972" t="inlineStr">
        <is>
          <t>Holmen skog AB</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18889-2025</t>
        </is>
      </c>
      <c r="B973" s="1" t="n">
        <v>45764.44584490741</v>
      </c>
      <c r="C973" s="1" t="n">
        <v>45998</v>
      </c>
      <c r="D973" t="inlineStr">
        <is>
          <t>VÄSTERBOTTENS LÄN</t>
        </is>
      </c>
      <c r="E973" t="inlineStr">
        <is>
          <t>UMEÅ</t>
        </is>
      </c>
      <c r="F973" t="inlineStr">
        <is>
          <t>Holmen skog AB</t>
        </is>
      </c>
      <c r="G973" t="n">
        <v>8.1</v>
      </c>
      <c r="H973" t="n">
        <v>0</v>
      </c>
      <c r="I973" t="n">
        <v>0</v>
      </c>
      <c r="J973" t="n">
        <v>0</v>
      </c>
      <c r="K973" t="n">
        <v>0</v>
      </c>
      <c r="L973" t="n">
        <v>0</v>
      </c>
      <c r="M973" t="n">
        <v>0</v>
      </c>
      <c r="N973" t="n">
        <v>0</v>
      </c>
      <c r="O973" t="n">
        <v>0</v>
      </c>
      <c r="P973" t="n">
        <v>0</v>
      </c>
      <c r="Q973" t="n">
        <v>0</v>
      </c>
      <c r="R973" s="2" t="inlineStr"/>
    </row>
    <row r="974" ht="15" customHeight="1">
      <c r="A974" t="inlineStr">
        <is>
          <t>A 13821-2025</t>
        </is>
      </c>
      <c r="B974" s="1" t="n">
        <v>45737.53157407408</v>
      </c>
      <c r="C974" s="1" t="n">
        <v>45998</v>
      </c>
      <c r="D974" t="inlineStr">
        <is>
          <t>VÄSTERBOTTENS LÄN</t>
        </is>
      </c>
      <c r="E974" t="inlineStr">
        <is>
          <t>UMEÅ</t>
        </is>
      </c>
      <c r="G974" t="n">
        <v>7.1</v>
      </c>
      <c r="H974" t="n">
        <v>0</v>
      </c>
      <c r="I974" t="n">
        <v>0</v>
      </c>
      <c r="J974" t="n">
        <v>0</v>
      </c>
      <c r="K974" t="n">
        <v>0</v>
      </c>
      <c r="L974" t="n">
        <v>0</v>
      </c>
      <c r="M974" t="n">
        <v>0</v>
      </c>
      <c r="N974" t="n">
        <v>0</v>
      </c>
      <c r="O974" t="n">
        <v>0</v>
      </c>
      <c r="P974" t="n">
        <v>0</v>
      </c>
      <c r="Q974" t="n">
        <v>0</v>
      </c>
      <c r="R974" s="2" t="inlineStr"/>
    </row>
    <row r="975" ht="15" customHeight="1">
      <c r="A975" t="inlineStr">
        <is>
          <t>A 6174-2021</t>
        </is>
      </c>
      <c r="B975" s="1" t="n">
        <v>44232</v>
      </c>
      <c r="C975" s="1" t="n">
        <v>45998</v>
      </c>
      <c r="D975" t="inlineStr">
        <is>
          <t>VÄSTERBOTTENS LÄN</t>
        </is>
      </c>
      <c r="E975" t="inlineStr">
        <is>
          <t>UMEÅ</t>
        </is>
      </c>
      <c r="G975" t="n">
        <v>2.3</v>
      </c>
      <c r="H975" t="n">
        <v>0</v>
      </c>
      <c r="I975" t="n">
        <v>0</v>
      </c>
      <c r="J975" t="n">
        <v>0</v>
      </c>
      <c r="K975" t="n">
        <v>0</v>
      </c>
      <c r="L975" t="n">
        <v>0</v>
      </c>
      <c r="M975" t="n">
        <v>0</v>
      </c>
      <c r="N975" t="n">
        <v>0</v>
      </c>
      <c r="O975" t="n">
        <v>0</v>
      </c>
      <c r="P975" t="n">
        <v>0</v>
      </c>
      <c r="Q975" t="n">
        <v>0</v>
      </c>
      <c r="R975" s="2" t="inlineStr"/>
    </row>
    <row r="976" ht="15" customHeight="1">
      <c r="A976" t="inlineStr">
        <is>
          <t>A 13745-2021</t>
        </is>
      </c>
      <c r="B976" s="1" t="n">
        <v>44274</v>
      </c>
      <c r="C976" s="1" t="n">
        <v>45998</v>
      </c>
      <c r="D976" t="inlineStr">
        <is>
          <t>VÄSTERBOTTENS LÄN</t>
        </is>
      </c>
      <c r="E976" t="inlineStr">
        <is>
          <t>UMEÅ</t>
        </is>
      </c>
      <c r="G976" t="n">
        <v>1.7</v>
      </c>
      <c r="H976" t="n">
        <v>0</v>
      </c>
      <c r="I976" t="n">
        <v>0</v>
      </c>
      <c r="J976" t="n">
        <v>0</v>
      </c>
      <c r="K976" t="n">
        <v>0</v>
      </c>
      <c r="L976" t="n">
        <v>0</v>
      </c>
      <c r="M976" t="n">
        <v>0</v>
      </c>
      <c r="N976" t="n">
        <v>0</v>
      </c>
      <c r="O976" t="n">
        <v>0</v>
      </c>
      <c r="P976" t="n">
        <v>0</v>
      </c>
      <c r="Q976" t="n">
        <v>0</v>
      </c>
      <c r="R976" s="2" t="inlineStr"/>
    </row>
    <row r="977" ht="15" customHeight="1">
      <c r="A977" t="inlineStr">
        <is>
          <t>A 49055-2024</t>
        </is>
      </c>
      <c r="B977" s="1" t="n">
        <v>45594</v>
      </c>
      <c r="C977" s="1" t="n">
        <v>45998</v>
      </c>
      <c r="D977" t="inlineStr">
        <is>
          <t>VÄSTERBOTTENS LÄN</t>
        </is>
      </c>
      <c r="E977" t="inlineStr">
        <is>
          <t>UMEÅ</t>
        </is>
      </c>
      <c r="G977" t="n">
        <v>11.4</v>
      </c>
      <c r="H977" t="n">
        <v>0</v>
      </c>
      <c r="I977" t="n">
        <v>0</v>
      </c>
      <c r="J977" t="n">
        <v>0</v>
      </c>
      <c r="K977" t="n">
        <v>0</v>
      </c>
      <c r="L977" t="n">
        <v>0</v>
      </c>
      <c r="M977" t="n">
        <v>0</v>
      </c>
      <c r="N977" t="n">
        <v>0</v>
      </c>
      <c r="O977" t="n">
        <v>0</v>
      </c>
      <c r="P977" t="n">
        <v>0</v>
      </c>
      <c r="Q977" t="n">
        <v>0</v>
      </c>
      <c r="R977" s="2" t="inlineStr"/>
    </row>
    <row r="978" ht="15" customHeight="1">
      <c r="A978" t="inlineStr">
        <is>
          <t>A 62721-2023</t>
        </is>
      </c>
      <c r="B978" s="1" t="n">
        <v>45271</v>
      </c>
      <c r="C978" s="1" t="n">
        <v>45998</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57410-2024</t>
        </is>
      </c>
      <c r="B979" s="1" t="n">
        <v>45629</v>
      </c>
      <c r="C979" s="1" t="n">
        <v>45998</v>
      </c>
      <c r="D979" t="inlineStr">
        <is>
          <t>VÄSTERBOTTENS LÄN</t>
        </is>
      </c>
      <c r="E979" t="inlineStr">
        <is>
          <t>UMEÅ</t>
        </is>
      </c>
      <c r="G979" t="n">
        <v>0.7</v>
      </c>
      <c r="H979" t="n">
        <v>0</v>
      </c>
      <c r="I979" t="n">
        <v>0</v>
      </c>
      <c r="J979" t="n">
        <v>0</v>
      </c>
      <c r="K979" t="n">
        <v>0</v>
      </c>
      <c r="L979" t="n">
        <v>0</v>
      </c>
      <c r="M979" t="n">
        <v>0</v>
      </c>
      <c r="N979" t="n">
        <v>0</v>
      </c>
      <c r="O979" t="n">
        <v>0</v>
      </c>
      <c r="P979" t="n">
        <v>0</v>
      </c>
      <c r="Q979" t="n">
        <v>0</v>
      </c>
      <c r="R979" s="2" t="inlineStr"/>
    </row>
    <row r="980" ht="15" customHeight="1">
      <c r="A980" t="inlineStr">
        <is>
          <t>A 16045-2021</t>
        </is>
      </c>
      <c r="B980" s="1" t="n">
        <v>44287.61318287037</v>
      </c>
      <c r="C980" s="1" t="n">
        <v>45998</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51990-2023</t>
        </is>
      </c>
      <c r="B981" s="1" t="n">
        <v>45216</v>
      </c>
      <c r="C981" s="1" t="n">
        <v>45998</v>
      </c>
      <c r="D981" t="inlineStr">
        <is>
          <t>VÄSTERBOTTENS LÄN</t>
        </is>
      </c>
      <c r="E981" t="inlineStr">
        <is>
          <t>UMEÅ</t>
        </is>
      </c>
      <c r="G981" t="n">
        <v>4.5</v>
      </c>
      <c r="H981" t="n">
        <v>0</v>
      </c>
      <c r="I981" t="n">
        <v>0</v>
      </c>
      <c r="J981" t="n">
        <v>0</v>
      </c>
      <c r="K981" t="n">
        <v>0</v>
      </c>
      <c r="L981" t="n">
        <v>0</v>
      </c>
      <c r="M981" t="n">
        <v>0</v>
      </c>
      <c r="N981" t="n">
        <v>0</v>
      </c>
      <c r="O981" t="n">
        <v>0</v>
      </c>
      <c r="P981" t="n">
        <v>0</v>
      </c>
      <c r="Q981" t="n">
        <v>0</v>
      </c>
      <c r="R981" s="2" t="inlineStr"/>
    </row>
    <row r="982" ht="15" customHeight="1">
      <c r="A982" t="inlineStr">
        <is>
          <t>A 7635-2024</t>
        </is>
      </c>
      <c r="B982" s="1" t="n">
        <v>45348.62467592592</v>
      </c>
      <c r="C982" s="1" t="n">
        <v>45998</v>
      </c>
      <c r="D982" t="inlineStr">
        <is>
          <t>VÄSTERBOTTENS LÄN</t>
        </is>
      </c>
      <c r="E982" t="inlineStr">
        <is>
          <t>UMEÅ</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14734-2023</t>
        </is>
      </c>
      <c r="B983" s="1" t="n">
        <v>45013</v>
      </c>
      <c r="C983" s="1" t="n">
        <v>45998</v>
      </c>
      <c r="D983" t="inlineStr">
        <is>
          <t>VÄSTERBOTTENS LÄN</t>
        </is>
      </c>
      <c r="E983" t="inlineStr">
        <is>
          <t>UMEÅ</t>
        </is>
      </c>
      <c r="G983" t="n">
        <v>14.4</v>
      </c>
      <c r="H983" t="n">
        <v>0</v>
      </c>
      <c r="I983" t="n">
        <v>0</v>
      </c>
      <c r="J983" t="n">
        <v>0</v>
      </c>
      <c r="K983" t="n">
        <v>0</v>
      </c>
      <c r="L983" t="n">
        <v>0</v>
      </c>
      <c r="M983" t="n">
        <v>0</v>
      </c>
      <c r="N983" t="n">
        <v>0</v>
      </c>
      <c r="O983" t="n">
        <v>0</v>
      </c>
      <c r="P983" t="n">
        <v>0</v>
      </c>
      <c r="Q983" t="n">
        <v>0</v>
      </c>
      <c r="R983" s="2" t="inlineStr"/>
    </row>
    <row r="984" ht="15" customHeight="1">
      <c r="A984" t="inlineStr">
        <is>
          <t>A 56749-2023</t>
        </is>
      </c>
      <c r="B984" s="1" t="n">
        <v>45244</v>
      </c>
      <c r="C984" s="1" t="n">
        <v>45998</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46028-2024</t>
        </is>
      </c>
      <c r="B985" s="1" t="n">
        <v>45580.70097222222</v>
      </c>
      <c r="C985" s="1" t="n">
        <v>45998</v>
      </c>
      <c r="D985" t="inlineStr">
        <is>
          <t>VÄSTERBOTTENS LÄN</t>
        </is>
      </c>
      <c r="E985" t="inlineStr">
        <is>
          <t>UMEÅ</t>
        </is>
      </c>
      <c r="G985" t="n">
        <v>3.4</v>
      </c>
      <c r="H985" t="n">
        <v>0</v>
      </c>
      <c r="I985" t="n">
        <v>0</v>
      </c>
      <c r="J985" t="n">
        <v>0</v>
      </c>
      <c r="K985" t="n">
        <v>0</v>
      </c>
      <c r="L985" t="n">
        <v>0</v>
      </c>
      <c r="M985" t="n">
        <v>0</v>
      </c>
      <c r="N985" t="n">
        <v>0</v>
      </c>
      <c r="O985" t="n">
        <v>0</v>
      </c>
      <c r="P985" t="n">
        <v>0</v>
      </c>
      <c r="Q985" t="n">
        <v>0</v>
      </c>
      <c r="R985" s="2" t="inlineStr"/>
    </row>
    <row r="986" ht="15" customHeight="1">
      <c r="A986" t="inlineStr">
        <is>
          <t>A 14091-2023</t>
        </is>
      </c>
      <c r="B986" s="1" t="n">
        <v>45007</v>
      </c>
      <c r="C986" s="1" t="n">
        <v>45998</v>
      </c>
      <c r="D986" t="inlineStr">
        <is>
          <t>VÄSTERBOTTENS LÄN</t>
        </is>
      </c>
      <c r="E986" t="inlineStr">
        <is>
          <t>UMEÅ</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55856-2024</t>
        </is>
      </c>
      <c r="B987" s="1" t="n">
        <v>45623</v>
      </c>
      <c r="C987" s="1" t="n">
        <v>45998</v>
      </c>
      <c r="D987" t="inlineStr">
        <is>
          <t>VÄSTERBOTTENS LÄN</t>
        </is>
      </c>
      <c r="E987" t="inlineStr">
        <is>
          <t>UMEÅ</t>
        </is>
      </c>
      <c r="G987" t="n">
        <v>1.7</v>
      </c>
      <c r="H987" t="n">
        <v>0</v>
      </c>
      <c r="I987" t="n">
        <v>0</v>
      </c>
      <c r="J987" t="n">
        <v>0</v>
      </c>
      <c r="K987" t="n">
        <v>0</v>
      </c>
      <c r="L987" t="n">
        <v>0</v>
      </c>
      <c r="M987" t="n">
        <v>0</v>
      </c>
      <c r="N987" t="n">
        <v>0</v>
      </c>
      <c r="O987" t="n">
        <v>0</v>
      </c>
      <c r="P987" t="n">
        <v>0</v>
      </c>
      <c r="Q987" t="n">
        <v>0</v>
      </c>
      <c r="R987" s="2" t="inlineStr"/>
    </row>
    <row r="988" ht="15" customHeight="1">
      <c r="A988" t="inlineStr">
        <is>
          <t>A 60323-2024</t>
        </is>
      </c>
      <c r="B988" s="1" t="n">
        <v>45641</v>
      </c>
      <c r="C988" s="1" t="n">
        <v>45998</v>
      </c>
      <c r="D988" t="inlineStr">
        <is>
          <t>VÄSTERBOTTENS LÄN</t>
        </is>
      </c>
      <c r="E988" t="inlineStr">
        <is>
          <t>UMEÅ</t>
        </is>
      </c>
      <c r="G988" t="n">
        <v>1</v>
      </c>
      <c r="H988" t="n">
        <v>0</v>
      </c>
      <c r="I988" t="n">
        <v>0</v>
      </c>
      <c r="J988" t="n">
        <v>0</v>
      </c>
      <c r="K988" t="n">
        <v>0</v>
      </c>
      <c r="L988" t="n">
        <v>0</v>
      </c>
      <c r="M988" t="n">
        <v>0</v>
      </c>
      <c r="N988" t="n">
        <v>0</v>
      </c>
      <c r="O988" t="n">
        <v>0</v>
      </c>
      <c r="P988" t="n">
        <v>0</v>
      </c>
      <c r="Q988" t="n">
        <v>0</v>
      </c>
      <c r="R988" s="2" t="inlineStr"/>
    </row>
    <row r="989" ht="15" customHeight="1">
      <c r="A989" t="inlineStr">
        <is>
          <t>A 58284-2021</t>
        </is>
      </c>
      <c r="B989" s="1" t="n">
        <v>44487.97035879629</v>
      </c>
      <c r="C989" s="1" t="n">
        <v>45998</v>
      </c>
      <c r="D989" t="inlineStr">
        <is>
          <t>VÄSTERBOTTENS LÄN</t>
        </is>
      </c>
      <c r="E989" t="inlineStr">
        <is>
          <t>UMEÅ</t>
        </is>
      </c>
      <c r="F989" t="inlineStr">
        <is>
          <t>Kommuner</t>
        </is>
      </c>
      <c r="G989" t="n">
        <v>1.9</v>
      </c>
      <c r="H989" t="n">
        <v>0</v>
      </c>
      <c r="I989" t="n">
        <v>0</v>
      </c>
      <c r="J989" t="n">
        <v>0</v>
      </c>
      <c r="K989" t="n">
        <v>0</v>
      </c>
      <c r="L989" t="n">
        <v>0</v>
      </c>
      <c r="M989" t="n">
        <v>0</v>
      </c>
      <c r="N989" t="n">
        <v>0</v>
      </c>
      <c r="O989" t="n">
        <v>0</v>
      </c>
      <c r="P989" t="n">
        <v>0</v>
      </c>
      <c r="Q989" t="n">
        <v>0</v>
      </c>
      <c r="R989" s="2" t="inlineStr"/>
    </row>
    <row r="990" ht="15" customHeight="1">
      <c r="A990" t="inlineStr">
        <is>
          <t>A 18520-2023</t>
        </is>
      </c>
      <c r="B990" s="1" t="n">
        <v>45041</v>
      </c>
      <c r="C990" s="1" t="n">
        <v>45998</v>
      </c>
      <c r="D990" t="inlineStr">
        <is>
          <t>VÄSTERBOTTENS LÄN</t>
        </is>
      </c>
      <c r="E990" t="inlineStr">
        <is>
          <t>UMEÅ</t>
        </is>
      </c>
      <c r="F990" t="inlineStr">
        <is>
          <t>Kommuner</t>
        </is>
      </c>
      <c r="G990" t="n">
        <v>1.8</v>
      </c>
      <c r="H990" t="n">
        <v>0</v>
      </c>
      <c r="I990" t="n">
        <v>0</v>
      </c>
      <c r="J990" t="n">
        <v>0</v>
      </c>
      <c r="K990" t="n">
        <v>0</v>
      </c>
      <c r="L990" t="n">
        <v>0</v>
      </c>
      <c r="M990" t="n">
        <v>0</v>
      </c>
      <c r="N990" t="n">
        <v>0</v>
      </c>
      <c r="O990" t="n">
        <v>0</v>
      </c>
      <c r="P990" t="n">
        <v>0</v>
      </c>
      <c r="Q990" t="n">
        <v>0</v>
      </c>
      <c r="R990" s="2" t="inlineStr"/>
    </row>
    <row r="991" ht="15" customHeight="1">
      <c r="A991" t="inlineStr">
        <is>
          <t>A 18527-2023</t>
        </is>
      </c>
      <c r="B991" s="1" t="n">
        <v>45041</v>
      </c>
      <c r="C991" s="1" t="n">
        <v>45998</v>
      </c>
      <c r="D991" t="inlineStr">
        <is>
          <t>VÄSTERBOTTENS LÄN</t>
        </is>
      </c>
      <c r="E991" t="inlineStr">
        <is>
          <t>UMEÅ</t>
        </is>
      </c>
      <c r="F991" t="inlineStr">
        <is>
          <t>Kommuner</t>
        </is>
      </c>
      <c r="G991" t="n">
        <v>3.2</v>
      </c>
      <c r="H991" t="n">
        <v>0</v>
      </c>
      <c r="I991" t="n">
        <v>0</v>
      </c>
      <c r="J991" t="n">
        <v>0</v>
      </c>
      <c r="K991" t="n">
        <v>0</v>
      </c>
      <c r="L991" t="n">
        <v>0</v>
      </c>
      <c r="M991" t="n">
        <v>0</v>
      </c>
      <c r="N991" t="n">
        <v>0</v>
      </c>
      <c r="O991" t="n">
        <v>0</v>
      </c>
      <c r="P991" t="n">
        <v>0</v>
      </c>
      <c r="Q991" t="n">
        <v>0</v>
      </c>
      <c r="R991" s="2" t="inlineStr"/>
    </row>
    <row r="992" ht="15" customHeight="1">
      <c r="A992" t="inlineStr">
        <is>
          <t>A 7774-2025</t>
        </is>
      </c>
      <c r="B992" s="1" t="n">
        <v>45706.57314814815</v>
      </c>
      <c r="C992" s="1" t="n">
        <v>45998</v>
      </c>
      <c r="D992" t="inlineStr">
        <is>
          <t>VÄSTERBOTTENS LÄN</t>
        </is>
      </c>
      <c r="E992" t="inlineStr">
        <is>
          <t>UMEÅ</t>
        </is>
      </c>
      <c r="G992" t="n">
        <v>2.6</v>
      </c>
      <c r="H992" t="n">
        <v>0</v>
      </c>
      <c r="I992" t="n">
        <v>0</v>
      </c>
      <c r="J992" t="n">
        <v>0</v>
      </c>
      <c r="K992" t="n">
        <v>0</v>
      </c>
      <c r="L992" t="n">
        <v>0</v>
      </c>
      <c r="M992" t="n">
        <v>0</v>
      </c>
      <c r="N992" t="n">
        <v>0</v>
      </c>
      <c r="O992" t="n">
        <v>0</v>
      </c>
      <c r="P992" t="n">
        <v>0</v>
      </c>
      <c r="Q992" t="n">
        <v>0</v>
      </c>
      <c r="R992" s="2" t="inlineStr"/>
    </row>
    <row r="993" ht="15" customHeight="1">
      <c r="A993" t="inlineStr">
        <is>
          <t>A 59735-2024</t>
        </is>
      </c>
      <c r="B993" s="1" t="n">
        <v>45639</v>
      </c>
      <c r="C993" s="1" t="n">
        <v>45998</v>
      </c>
      <c r="D993" t="inlineStr">
        <is>
          <t>VÄSTERBOTTENS LÄN</t>
        </is>
      </c>
      <c r="E993" t="inlineStr">
        <is>
          <t>UMEÅ</t>
        </is>
      </c>
      <c r="G993" t="n">
        <v>10.7</v>
      </c>
      <c r="H993" t="n">
        <v>0</v>
      </c>
      <c r="I993" t="n">
        <v>0</v>
      </c>
      <c r="J993" t="n">
        <v>0</v>
      </c>
      <c r="K993" t="n">
        <v>0</v>
      </c>
      <c r="L993" t="n">
        <v>0</v>
      </c>
      <c r="M993" t="n">
        <v>0</v>
      </c>
      <c r="N993" t="n">
        <v>0</v>
      </c>
      <c r="O993" t="n">
        <v>0</v>
      </c>
      <c r="P993" t="n">
        <v>0</v>
      </c>
      <c r="Q993" t="n">
        <v>0</v>
      </c>
      <c r="R993" s="2" t="inlineStr"/>
    </row>
    <row r="994" ht="15" customHeight="1">
      <c r="A994" t="inlineStr">
        <is>
          <t>A 36854-2022</t>
        </is>
      </c>
      <c r="B994" s="1" t="n">
        <v>44805.60581018519</v>
      </c>
      <c r="C994" s="1" t="n">
        <v>45998</v>
      </c>
      <c r="D994" t="inlineStr">
        <is>
          <t>VÄSTERBOTTENS LÄN</t>
        </is>
      </c>
      <c r="E994" t="inlineStr">
        <is>
          <t>UMEÅ</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18322-2023</t>
        </is>
      </c>
      <c r="B995" s="1" t="n">
        <v>45041.61890046296</v>
      </c>
      <c r="C995" s="1" t="n">
        <v>45998</v>
      </c>
      <c r="D995" t="inlineStr">
        <is>
          <t>VÄSTERBOTTENS LÄN</t>
        </is>
      </c>
      <c r="E995" t="inlineStr">
        <is>
          <t>UMEÅ</t>
        </is>
      </c>
      <c r="G995" t="n">
        <v>1.5</v>
      </c>
      <c r="H995" t="n">
        <v>0</v>
      </c>
      <c r="I995" t="n">
        <v>0</v>
      </c>
      <c r="J995" t="n">
        <v>0</v>
      </c>
      <c r="K995" t="n">
        <v>0</v>
      </c>
      <c r="L995" t="n">
        <v>0</v>
      </c>
      <c r="M995" t="n">
        <v>0</v>
      </c>
      <c r="N995" t="n">
        <v>0</v>
      </c>
      <c r="O995" t="n">
        <v>0</v>
      </c>
      <c r="P995" t="n">
        <v>0</v>
      </c>
      <c r="Q995" t="n">
        <v>0</v>
      </c>
      <c r="R995" s="2" t="inlineStr"/>
    </row>
    <row r="996" ht="15" customHeight="1">
      <c r="A996" t="inlineStr">
        <is>
          <t>A 20749-2024</t>
        </is>
      </c>
      <c r="B996" s="1" t="n">
        <v>45436</v>
      </c>
      <c r="C996" s="1" t="n">
        <v>45998</v>
      </c>
      <c r="D996" t="inlineStr">
        <is>
          <t>VÄSTERBOTTENS LÄN</t>
        </is>
      </c>
      <c r="E996" t="inlineStr">
        <is>
          <t>UMEÅ</t>
        </is>
      </c>
      <c r="G996" t="n">
        <v>1.8</v>
      </c>
      <c r="H996" t="n">
        <v>0</v>
      </c>
      <c r="I996" t="n">
        <v>0</v>
      </c>
      <c r="J996" t="n">
        <v>0</v>
      </c>
      <c r="K996" t="n">
        <v>0</v>
      </c>
      <c r="L996" t="n">
        <v>0</v>
      </c>
      <c r="M996" t="n">
        <v>0</v>
      </c>
      <c r="N996" t="n">
        <v>0</v>
      </c>
      <c r="O996" t="n">
        <v>0</v>
      </c>
      <c r="P996" t="n">
        <v>0</v>
      </c>
      <c r="Q996" t="n">
        <v>0</v>
      </c>
      <c r="R996" s="2" t="inlineStr"/>
    </row>
    <row r="997" ht="15" customHeight="1">
      <c r="A997" t="inlineStr">
        <is>
          <t>A 3165-2025</t>
        </is>
      </c>
      <c r="B997" s="1" t="n">
        <v>45679.35350694445</v>
      </c>
      <c r="C997" s="1" t="n">
        <v>45998</v>
      </c>
      <c r="D997" t="inlineStr">
        <is>
          <t>VÄSTERBOTTENS LÄN</t>
        </is>
      </c>
      <c r="E997" t="inlineStr">
        <is>
          <t>UMEÅ</t>
        </is>
      </c>
      <c r="G997" t="n">
        <v>8.1</v>
      </c>
      <c r="H997" t="n">
        <v>0</v>
      </c>
      <c r="I997" t="n">
        <v>0</v>
      </c>
      <c r="J997" t="n">
        <v>0</v>
      </c>
      <c r="K997" t="n">
        <v>0</v>
      </c>
      <c r="L997" t="n">
        <v>0</v>
      </c>
      <c r="M997" t="n">
        <v>0</v>
      </c>
      <c r="N997" t="n">
        <v>0</v>
      </c>
      <c r="O997" t="n">
        <v>0</v>
      </c>
      <c r="P997" t="n">
        <v>0</v>
      </c>
      <c r="Q997" t="n">
        <v>0</v>
      </c>
      <c r="R997" s="2" t="inlineStr"/>
    </row>
    <row r="998" ht="15" customHeight="1">
      <c r="A998" t="inlineStr">
        <is>
          <t>A 32662-2024</t>
        </is>
      </c>
      <c r="B998" s="1" t="n">
        <v>45514.37979166667</v>
      </c>
      <c r="C998" s="1" t="n">
        <v>45998</v>
      </c>
      <c r="D998" t="inlineStr">
        <is>
          <t>VÄSTERBOTTENS LÄN</t>
        </is>
      </c>
      <c r="E998" t="inlineStr">
        <is>
          <t>UMEÅ</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61532-2024</t>
        </is>
      </c>
      <c r="B999" s="1" t="n">
        <v>45646.58855324074</v>
      </c>
      <c r="C999" s="1" t="n">
        <v>45998</v>
      </c>
      <c r="D999" t="inlineStr">
        <is>
          <t>VÄSTERBOTTENS LÄN</t>
        </is>
      </c>
      <c r="E999" t="inlineStr">
        <is>
          <t>UMEÅ</t>
        </is>
      </c>
      <c r="G999" t="n">
        <v>2.3</v>
      </c>
      <c r="H999" t="n">
        <v>0</v>
      </c>
      <c r="I999" t="n">
        <v>0</v>
      </c>
      <c r="J999" t="n">
        <v>0</v>
      </c>
      <c r="K999" t="n">
        <v>0</v>
      </c>
      <c r="L999" t="n">
        <v>0</v>
      </c>
      <c r="M999" t="n">
        <v>0</v>
      </c>
      <c r="N999" t="n">
        <v>0</v>
      </c>
      <c r="O999" t="n">
        <v>0</v>
      </c>
      <c r="P999" t="n">
        <v>0</v>
      </c>
      <c r="Q999" t="n">
        <v>0</v>
      </c>
      <c r="R999" s="2" t="inlineStr"/>
    </row>
    <row r="1000" ht="15" customHeight="1">
      <c r="A1000" t="inlineStr">
        <is>
          <t>A 23285-2021</t>
        </is>
      </c>
      <c r="B1000" s="1" t="n">
        <v>44330</v>
      </c>
      <c r="C1000" s="1" t="n">
        <v>45998</v>
      </c>
      <c r="D1000" t="inlineStr">
        <is>
          <t>VÄSTERBOTTENS LÄN</t>
        </is>
      </c>
      <c r="E1000" t="inlineStr">
        <is>
          <t>UMEÅ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22795-2022</t>
        </is>
      </c>
      <c r="B1001" s="1" t="n">
        <v>44715.33833333333</v>
      </c>
      <c r="C1001" s="1" t="n">
        <v>45998</v>
      </c>
      <c r="D1001" t="inlineStr">
        <is>
          <t>VÄSTERBOTTENS LÄN</t>
        </is>
      </c>
      <c r="E1001" t="inlineStr">
        <is>
          <t>UMEÅ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19025-2024</t>
        </is>
      </c>
      <c r="B1002" s="1" t="n">
        <v>45427</v>
      </c>
      <c r="C1002" s="1" t="n">
        <v>45998</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58132-2022</t>
        </is>
      </c>
      <c r="B1003" s="1" t="n">
        <v>44900.68913194445</v>
      </c>
      <c r="C1003" s="1" t="n">
        <v>45998</v>
      </c>
      <c r="D1003" t="inlineStr">
        <is>
          <t>VÄSTERBOTTENS LÄN</t>
        </is>
      </c>
      <c r="E1003" t="inlineStr">
        <is>
          <t>UMEÅ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22279-2021</t>
        </is>
      </c>
      <c r="B1004" s="1" t="n">
        <v>44326</v>
      </c>
      <c r="C1004" s="1" t="n">
        <v>45998</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20498-2021</t>
        </is>
      </c>
      <c r="B1005" s="1" t="n">
        <v>44313</v>
      </c>
      <c r="C1005" s="1" t="n">
        <v>45998</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31337-2022</t>
        </is>
      </c>
      <c r="B1006" s="1" t="n">
        <v>44774</v>
      </c>
      <c r="C1006" s="1" t="n">
        <v>45998</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28267-2021</t>
        </is>
      </c>
      <c r="B1007" s="1" t="n">
        <v>44355</v>
      </c>
      <c r="C1007" s="1" t="n">
        <v>45998</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27088-2024</t>
        </is>
      </c>
      <c r="B1008" s="1" t="n">
        <v>45471.47892361111</v>
      </c>
      <c r="C1008" s="1" t="n">
        <v>45998</v>
      </c>
      <c r="D1008" t="inlineStr">
        <is>
          <t>VÄSTERBOTTENS LÄN</t>
        </is>
      </c>
      <c r="E1008" t="inlineStr">
        <is>
          <t>UMEÅ</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26919-2022</t>
        </is>
      </c>
      <c r="B1009" s="1" t="n">
        <v>44740</v>
      </c>
      <c r="C1009" s="1" t="n">
        <v>45998</v>
      </c>
      <c r="D1009" t="inlineStr">
        <is>
          <t>VÄSTERBOTTENS LÄN</t>
        </is>
      </c>
      <c r="E1009" t="inlineStr">
        <is>
          <t>UMEÅ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32463-2023</t>
        </is>
      </c>
      <c r="B1010" s="1" t="n">
        <v>45120.92644675926</v>
      </c>
      <c r="C1010" s="1" t="n">
        <v>45998</v>
      </c>
      <c r="D1010" t="inlineStr">
        <is>
          <t>VÄSTERBOTTENS LÄN</t>
        </is>
      </c>
      <c r="E1010" t="inlineStr">
        <is>
          <t>UMEÅ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32467-2023</t>
        </is>
      </c>
      <c r="B1011" s="1" t="n">
        <v>45120.92667824074</v>
      </c>
      <c r="C1011" s="1" t="n">
        <v>45998</v>
      </c>
      <c r="D1011" t="inlineStr">
        <is>
          <t>VÄSTERBOTTENS LÄN</t>
        </is>
      </c>
      <c r="E1011" t="inlineStr">
        <is>
          <t>UMEÅ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10729-2025</t>
        </is>
      </c>
      <c r="B1012" s="1" t="n">
        <v>45722</v>
      </c>
      <c r="C1012" s="1" t="n">
        <v>45998</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41218-2023</t>
        </is>
      </c>
      <c r="B1013" s="1" t="n">
        <v>45174.45435185185</v>
      </c>
      <c r="C1013" s="1" t="n">
        <v>45998</v>
      </c>
      <c r="D1013" t="inlineStr">
        <is>
          <t>VÄSTERBOTTENS LÄN</t>
        </is>
      </c>
      <c r="E1013" t="inlineStr">
        <is>
          <t>UMEÅ</t>
        </is>
      </c>
      <c r="F1013" t="inlineStr">
        <is>
          <t>Holmen skog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33753-2021</t>
        </is>
      </c>
      <c r="B1014" s="1" t="n">
        <v>44378.49517361111</v>
      </c>
      <c r="C1014" s="1" t="n">
        <v>45998</v>
      </c>
      <c r="D1014" t="inlineStr">
        <is>
          <t>VÄSTERBOTTENS LÄN</t>
        </is>
      </c>
      <c r="E1014" t="inlineStr">
        <is>
          <t>UMEÅ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5678-2025</t>
        </is>
      </c>
      <c r="B1015" s="1" t="n">
        <v>45694</v>
      </c>
      <c r="C1015" s="1" t="n">
        <v>45998</v>
      </c>
      <c r="D1015" t="inlineStr">
        <is>
          <t>VÄSTERBOTTENS LÄN</t>
        </is>
      </c>
      <c r="E1015" t="inlineStr">
        <is>
          <t>UMEÅ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42352-2021</t>
        </is>
      </c>
      <c r="B1016" s="1" t="n">
        <v>44427</v>
      </c>
      <c r="C1016" s="1" t="n">
        <v>45998</v>
      </c>
      <c r="D1016" t="inlineStr">
        <is>
          <t>VÄSTERBOTTENS LÄN</t>
        </is>
      </c>
      <c r="E1016" t="inlineStr">
        <is>
          <t>UMEÅ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39561-2022</t>
        </is>
      </c>
      <c r="B1017" s="1" t="n">
        <v>44818.57295138889</v>
      </c>
      <c r="C1017" s="1" t="n">
        <v>45998</v>
      </c>
      <c r="D1017" t="inlineStr">
        <is>
          <t>VÄSTERBOTTENS LÄN</t>
        </is>
      </c>
      <c r="E1017" t="inlineStr">
        <is>
          <t>UMEÅ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62540-2022</t>
        </is>
      </c>
      <c r="B1018" s="1" t="n">
        <v>44917</v>
      </c>
      <c r="C1018" s="1" t="n">
        <v>45998</v>
      </c>
      <c r="D1018" t="inlineStr">
        <is>
          <t>VÄSTERBOTTENS LÄN</t>
        </is>
      </c>
      <c r="E1018" t="inlineStr">
        <is>
          <t>UMEÅ</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35226-2024</t>
        </is>
      </c>
      <c r="B1019" s="1" t="n">
        <v>45530</v>
      </c>
      <c r="C1019" s="1" t="n">
        <v>45998</v>
      </c>
      <c r="D1019" t="inlineStr">
        <is>
          <t>VÄSTERBOTTENS LÄN</t>
        </is>
      </c>
      <c r="E1019" t="inlineStr">
        <is>
          <t>UMEÅ</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35738-2021</t>
        </is>
      </c>
      <c r="B1020" s="1" t="n">
        <v>44386.55082175926</v>
      </c>
      <c r="C1020" s="1" t="n">
        <v>45998</v>
      </c>
      <c r="D1020" t="inlineStr">
        <is>
          <t>VÄSTERBOTTENS LÄN</t>
        </is>
      </c>
      <c r="E1020" t="inlineStr">
        <is>
          <t>UMEÅ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37870-2024</t>
        </is>
      </c>
      <c r="B1021" s="1" t="n">
        <v>45544</v>
      </c>
      <c r="C1021" s="1" t="n">
        <v>45998</v>
      </c>
      <c r="D1021" t="inlineStr">
        <is>
          <t>VÄSTERBOTTENS LÄN</t>
        </is>
      </c>
      <c r="E1021" t="inlineStr">
        <is>
          <t>UMEÅ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61621-2024</t>
        </is>
      </c>
      <c r="B1022" s="1" t="n">
        <v>45646.65800925926</v>
      </c>
      <c r="C1022" s="1" t="n">
        <v>45998</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23372-2021</t>
        </is>
      </c>
      <c r="B1023" s="1" t="n">
        <v>44333.58960648148</v>
      </c>
      <c r="C1023" s="1" t="n">
        <v>45998</v>
      </c>
      <c r="D1023" t="inlineStr">
        <is>
          <t>VÄSTERBOTTENS LÄN</t>
        </is>
      </c>
      <c r="E1023" t="inlineStr">
        <is>
          <t>UMEÅ</t>
        </is>
      </c>
      <c r="G1023" t="n">
        <v>4.5</v>
      </c>
      <c r="H1023" t="n">
        <v>0</v>
      </c>
      <c r="I1023" t="n">
        <v>0</v>
      </c>
      <c r="J1023" t="n">
        <v>0</v>
      </c>
      <c r="K1023" t="n">
        <v>0</v>
      </c>
      <c r="L1023" t="n">
        <v>0</v>
      </c>
      <c r="M1023" t="n">
        <v>0</v>
      </c>
      <c r="N1023" t="n">
        <v>0</v>
      </c>
      <c r="O1023" t="n">
        <v>0</v>
      </c>
      <c r="P1023" t="n">
        <v>0</v>
      </c>
      <c r="Q1023" t="n">
        <v>0</v>
      </c>
      <c r="R1023" s="2" t="inlineStr"/>
    </row>
    <row r="1024">
      <c r="A1024" t="inlineStr">
        <is>
          <t>A 44957-2022</t>
        </is>
      </c>
      <c r="B1024" s="1" t="n">
        <v>44840</v>
      </c>
      <c r="C1024" s="1" t="n">
        <v>45998</v>
      </c>
      <c r="D1024" t="inlineStr">
        <is>
          <t>VÄSTERBOTTENS LÄN</t>
        </is>
      </c>
      <c r="E1024" t="inlineStr">
        <is>
          <t>UMEÅ</t>
        </is>
      </c>
      <c r="G1024" t="n">
        <v>5.6</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2025-12-07T10:29:00Z</dcterms:created>
  <dcterms:modified xmlns:dcterms="http://purl.org/dc/terms/" xmlns:xsi="http://www.w3.org/2001/XMLSchema-instance" xsi:type="dcterms:W3CDTF">2025-12-07T10:29:01Z</dcterms:modified>
</cp:coreProperties>
</file>