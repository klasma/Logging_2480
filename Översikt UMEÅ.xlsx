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45340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45340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45340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45340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45340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45340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45340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45340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45340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45340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45340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45340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45340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45340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45340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45340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45340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45340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45340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45340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45340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45340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45340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45340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45340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45340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45340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45340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45340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45340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45340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45340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45340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45340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45340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45340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45340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45340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  <c r="Z39">
        <f>HYPERLINK("https://klasma.github.io/Logging_2480/fåglar/A 14267-2020 prioriterade fågelarter.docx",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45340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  <c r="Z40">
        <f>HYPERLINK("https://klasma.github.io/Logging_2480/fåglar/A 40421-2020 prioriterade fågelarter.docx",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45340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45340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  <c r="Z42">
        <f>HYPERLINK("https://klasma.github.io/Logging_2480/fåglar/A 9195-2022 prioriterade fågelarter.docx",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45340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  <c r="Z43">
        <f>HYPERLINK("https://klasma.github.io/Logging_2480/fåglar/A 22607-2022 prioriterade fågelarter.docx",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45340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  <c r="Z44">
        <f>HYPERLINK("https://klasma.github.io/Logging_2480/fåglar/A 49644-2022 prioriterade fågelarter.docx",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45340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  <c r="Z45">
        <f>HYPERLINK("https://klasma.github.io/Logging_2480/fåglar/A 61036-2022 prioriterade fågelarter.docx",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45340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  <c r="Z46">
        <f>HYPERLINK("https://klasma.github.io/Logging_2480/fåglar/A 684-2023 prioriterade fågelarter.docx",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45340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  <c r="Z47">
        <f>HYPERLINK("https://klasma.github.io/Logging_2480/fåglar/A 18283-2023 prioriterade fågelarter.docx",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45340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45340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  <c r="Z49">
        <f>HYPERLINK("https://klasma.github.io/Logging_2480/fåglar/A 40420-2020 prioriterade fågelarter.docx",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45340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45340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38440-2021</t>
        </is>
      </c>
      <c r="B52" s="1" t="n">
        <v>44406</v>
      </c>
      <c r="C52" s="1" t="n">
        <v>45340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2.6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Vattenfladdermus</t>
        </is>
      </c>
      <c r="S52">
        <f>HYPERLINK("https://klasma.github.io/Logging_2480/artfynd/A 38440-2021 artfynd.xlsx", "A 38440-2021")</f>
        <v/>
      </c>
      <c r="T52">
        <f>HYPERLINK("https://klasma.github.io/Logging_2480/kartor/A 38440-2021 karta.png", "A 38440-2021")</f>
        <v/>
      </c>
      <c r="V52">
        <f>HYPERLINK("https://klasma.github.io/Logging_2480/klagomål/A 38440-2021 FSC-klagomål.docx", "A 38440-2021")</f>
        <v/>
      </c>
      <c r="W52">
        <f>HYPERLINK("https://klasma.github.io/Logging_2480/klagomålsmail/A 38440-2021 FSC-klagomål mail.docx", "A 38440-2021")</f>
        <v/>
      </c>
      <c r="X52">
        <f>HYPERLINK("https://klasma.github.io/Logging_2480/tillsyn/A 38440-2021 tillsynsbegäran.docx", "A 38440-2021")</f>
        <v/>
      </c>
      <c r="Y52">
        <f>HYPERLINK("https://klasma.github.io/Logging_2480/tillsynsmail/A 38440-2021 tillsynsbegäran mail.docx", "A 38440-2021")</f>
        <v/>
      </c>
    </row>
    <row r="53" ht="15" customHeight="1">
      <c r="A53" t="inlineStr">
        <is>
          <t>A 38443-2021</t>
        </is>
      </c>
      <c r="B53" s="1" t="n">
        <v>44406</v>
      </c>
      <c r="C53" s="1" t="n">
        <v>45340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Skarp dropptaggsvamp</t>
        </is>
      </c>
      <c r="S53">
        <f>HYPERLINK("https://klasma.github.io/Logging_2480/artfynd/A 38443-2021 artfynd.xlsx", "A 38443-2021")</f>
        <v/>
      </c>
      <c r="T53">
        <f>HYPERLINK("https://klasma.github.io/Logging_2480/kartor/A 38443-2021 karta.png", "A 38443-2021")</f>
        <v/>
      </c>
      <c r="V53">
        <f>HYPERLINK("https://klasma.github.io/Logging_2480/klagomål/A 38443-2021 FSC-klagomål.docx", "A 38443-2021")</f>
        <v/>
      </c>
      <c r="W53">
        <f>HYPERLINK("https://klasma.github.io/Logging_2480/klagomålsmail/A 38443-2021 FSC-klagomål mail.docx", "A 38443-2021")</f>
        <v/>
      </c>
      <c r="X53">
        <f>HYPERLINK("https://klasma.github.io/Logging_2480/tillsyn/A 38443-2021 tillsynsbegäran.docx", "A 38443-2021")</f>
        <v/>
      </c>
      <c r="Y53">
        <f>HYPERLINK("https://klasma.github.io/Logging_2480/tillsynsmail/A 38443-2021 tillsynsbegäran mail.docx", "A 38443-2021")</f>
        <v/>
      </c>
    </row>
    <row r="54" ht="15" customHeight="1">
      <c r="A54" t="inlineStr">
        <is>
          <t>A 38689-2021</t>
        </is>
      </c>
      <c r="B54" s="1" t="n">
        <v>44407</v>
      </c>
      <c r="C54" s="1" t="n">
        <v>45340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Gulbandad brunbagge
Rödhalsad vedsvampbagge</t>
        </is>
      </c>
      <c r="S54">
        <f>HYPERLINK("https://klasma.github.io/Logging_2480/artfynd/A 38689-2021 artfynd.xlsx", "A 38689-2021")</f>
        <v/>
      </c>
      <c r="T54">
        <f>HYPERLINK("https://klasma.github.io/Logging_2480/kartor/A 38689-2021 karta.png", "A 38689-2021")</f>
        <v/>
      </c>
      <c r="V54">
        <f>HYPERLINK("https://klasma.github.io/Logging_2480/klagomål/A 38689-2021 FSC-klagomål.docx", "A 38689-2021")</f>
        <v/>
      </c>
      <c r="W54">
        <f>HYPERLINK("https://klasma.github.io/Logging_2480/klagomålsmail/A 38689-2021 FSC-klagomål mail.docx", "A 38689-2021")</f>
        <v/>
      </c>
      <c r="X54">
        <f>HYPERLINK("https://klasma.github.io/Logging_2480/tillsyn/A 38689-2021 tillsynsbegäran.docx", "A 38689-2021")</f>
        <v/>
      </c>
      <c r="Y54">
        <f>HYPERLINK("https://klasma.github.io/Logging_2480/tillsynsmail/A 38689-2021 tillsynsbegäran mail.docx", "A 38689-2021")</f>
        <v/>
      </c>
    </row>
    <row r="55" ht="15" customHeight="1">
      <c r="A55" t="inlineStr">
        <is>
          <t>A 9771-2022</t>
        </is>
      </c>
      <c r="B55" s="1" t="n">
        <v>44619</v>
      </c>
      <c r="C55" s="1" t="n">
        <v>45340</v>
      </c>
      <c r="D55" t="inlineStr">
        <is>
          <t>VÄSTERBOTTENS LÄN</t>
        </is>
      </c>
      <c r="E55" t="inlineStr">
        <is>
          <t>UMEÅ</t>
        </is>
      </c>
      <c r="G55" t="n">
        <v>39.1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Blå taggsvamp
Dropptaggsvamp</t>
        </is>
      </c>
      <c r="S55">
        <f>HYPERLINK("https://klasma.github.io/Logging_2480/artfynd/A 9771-2022 artfynd.xlsx", "A 9771-2022")</f>
        <v/>
      </c>
      <c r="T55">
        <f>HYPERLINK("https://klasma.github.io/Logging_2480/kartor/A 9771-2022 karta.png", "A 9771-2022")</f>
        <v/>
      </c>
      <c r="V55">
        <f>HYPERLINK("https://klasma.github.io/Logging_2480/klagomål/A 9771-2022 FSC-klagomål.docx", "A 9771-2022")</f>
        <v/>
      </c>
      <c r="W55">
        <f>HYPERLINK("https://klasma.github.io/Logging_2480/klagomålsmail/A 9771-2022 FSC-klagomål mail.docx", "A 9771-2022")</f>
        <v/>
      </c>
      <c r="X55">
        <f>HYPERLINK("https://klasma.github.io/Logging_2480/tillsyn/A 9771-2022 tillsynsbegäran.docx", "A 9771-2022")</f>
        <v/>
      </c>
      <c r="Y55">
        <f>HYPERLINK("https://klasma.github.io/Logging_2480/tillsynsmail/A 9771-2022 tillsynsbegäran mail.docx", "A 9771-2022")</f>
        <v/>
      </c>
    </row>
    <row r="56" ht="15" customHeight="1">
      <c r="A56" t="inlineStr">
        <is>
          <t>A 44687-2022</t>
        </is>
      </c>
      <c r="B56" s="1" t="n">
        <v>44839</v>
      </c>
      <c r="C56" s="1" t="n">
        <v>45340</v>
      </c>
      <c r="D56" t="inlineStr">
        <is>
          <t>VÄSTERBOTTENS LÄN</t>
        </is>
      </c>
      <c r="E56" t="inlineStr">
        <is>
          <t>UMEÅ</t>
        </is>
      </c>
      <c r="G56" t="n">
        <v>2.3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Granticka
Ullticka</t>
        </is>
      </c>
      <c r="S56">
        <f>HYPERLINK("https://klasma.github.io/Logging_2480/artfynd/A 44687-2022 artfynd.xlsx", "A 44687-2022")</f>
        <v/>
      </c>
      <c r="T56">
        <f>HYPERLINK("https://klasma.github.io/Logging_2480/kartor/A 44687-2022 karta.png", "A 44687-2022")</f>
        <v/>
      </c>
      <c r="V56">
        <f>HYPERLINK("https://klasma.github.io/Logging_2480/klagomål/A 44687-2022 FSC-klagomål.docx", "A 44687-2022")</f>
        <v/>
      </c>
      <c r="W56">
        <f>HYPERLINK("https://klasma.github.io/Logging_2480/klagomålsmail/A 44687-2022 FSC-klagomål mail.docx", "A 44687-2022")</f>
        <v/>
      </c>
      <c r="X56">
        <f>HYPERLINK("https://klasma.github.io/Logging_2480/tillsyn/A 44687-2022 tillsynsbegäran.docx", "A 44687-2022")</f>
        <v/>
      </c>
      <c r="Y56">
        <f>HYPERLINK("https://klasma.github.io/Logging_2480/tillsynsmail/A 44687-2022 tillsynsbegäran mail.docx", "A 44687-2022")</f>
        <v/>
      </c>
    </row>
    <row r="57" ht="15" customHeight="1">
      <c r="A57" t="inlineStr">
        <is>
          <t>A 52635-2022</t>
        </is>
      </c>
      <c r="B57" s="1" t="n">
        <v>44874</v>
      </c>
      <c r="C57" s="1" t="n">
        <v>45340</v>
      </c>
      <c r="D57" t="inlineStr">
        <is>
          <t>VÄSTERBOTTENS LÄN</t>
        </is>
      </c>
      <c r="E57" t="inlineStr">
        <is>
          <t>UMEÅ</t>
        </is>
      </c>
      <c r="G57" t="n">
        <v>3.1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Vågbandad barkbock</t>
        </is>
      </c>
      <c r="S57">
        <f>HYPERLINK("https://klasma.github.io/Logging_2480/artfynd/A 52635-2022 artfynd.xlsx", "A 52635-2022")</f>
        <v/>
      </c>
      <c r="T57">
        <f>HYPERLINK("https://klasma.github.io/Logging_2480/kartor/A 52635-2022 karta.png", "A 52635-2022")</f>
        <v/>
      </c>
      <c r="V57">
        <f>HYPERLINK("https://klasma.github.io/Logging_2480/klagomål/A 52635-2022 FSC-klagomål.docx", "A 52635-2022")</f>
        <v/>
      </c>
      <c r="W57">
        <f>HYPERLINK("https://klasma.github.io/Logging_2480/klagomålsmail/A 52635-2022 FSC-klagomål mail.docx", "A 52635-2022")</f>
        <v/>
      </c>
      <c r="X57">
        <f>HYPERLINK("https://klasma.github.io/Logging_2480/tillsyn/A 52635-2022 tillsynsbegäran.docx", "A 52635-2022")</f>
        <v/>
      </c>
      <c r="Y57">
        <f>HYPERLINK("https://klasma.github.io/Logging_2480/tillsynsmail/A 52635-2022 tillsynsbegäran mail.docx", "A 52635-2022")</f>
        <v/>
      </c>
    </row>
    <row r="58" ht="15" customHeight="1">
      <c r="A58" t="inlineStr">
        <is>
          <t>A 18922-2023</t>
        </is>
      </c>
      <c r="B58" s="1" t="n">
        <v>45043</v>
      </c>
      <c r="C58" s="1" t="n">
        <v>45340</v>
      </c>
      <c r="D58" t="inlineStr">
        <is>
          <t>VÄSTERBOTTENS LÄN</t>
        </is>
      </c>
      <c r="E58" t="inlineStr">
        <is>
          <t>UMEÅ</t>
        </is>
      </c>
      <c r="G58" t="n">
        <v>9.199999999999999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18922-2023 artfynd.xlsx", "A 18922-2023")</f>
        <v/>
      </c>
      <c r="T58">
        <f>HYPERLINK("https://klasma.github.io/Logging_2480/kartor/A 18922-2023 karta.png", "A 18922-2023")</f>
        <v/>
      </c>
      <c r="V58">
        <f>HYPERLINK("https://klasma.github.io/Logging_2480/klagomål/A 18922-2023 FSC-klagomål.docx", "A 18922-2023")</f>
        <v/>
      </c>
      <c r="W58">
        <f>HYPERLINK("https://klasma.github.io/Logging_2480/klagomålsmail/A 18922-2023 FSC-klagomål mail.docx", "A 18922-2023")</f>
        <v/>
      </c>
      <c r="X58">
        <f>HYPERLINK("https://klasma.github.io/Logging_2480/tillsyn/A 18922-2023 tillsynsbegäran.docx", "A 18922-2023")</f>
        <v/>
      </c>
      <c r="Y58">
        <f>HYPERLINK("https://klasma.github.io/Logging_2480/tillsynsmail/A 18922-2023 tillsynsbegäran mail.docx", "A 18922-2023")</f>
        <v/>
      </c>
    </row>
    <row r="59" ht="15" customHeight="1">
      <c r="A59" t="inlineStr">
        <is>
          <t>A 46563-2023</t>
        </is>
      </c>
      <c r="B59" s="1" t="n">
        <v>45198</v>
      </c>
      <c r="C59" s="1" t="n">
        <v>45340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4.7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HYPERLINK("https://klasma.github.io/Logging_2480/artfynd/A 46563-2023 artfynd.xlsx", "A 46563-2023")</f>
        <v/>
      </c>
      <c r="T59">
        <f>HYPERLINK("https://klasma.github.io/Logging_2480/kartor/A 46563-2023 karta.png", "A 46563-2023")</f>
        <v/>
      </c>
      <c r="V59">
        <f>HYPERLINK("https://klasma.github.io/Logging_2480/klagomål/A 46563-2023 FSC-klagomål.docx", "A 46563-2023")</f>
        <v/>
      </c>
      <c r="W59">
        <f>HYPERLINK("https://klasma.github.io/Logging_2480/klagomålsmail/A 46563-2023 FSC-klagomål mail.docx", "A 46563-2023")</f>
        <v/>
      </c>
      <c r="X59">
        <f>HYPERLINK("https://klasma.github.io/Logging_2480/tillsyn/A 46563-2023 tillsynsbegäran.docx", "A 46563-2023")</f>
        <v/>
      </c>
      <c r="Y59">
        <f>HYPERLINK("https://klasma.github.io/Logging_2480/tillsynsmail/A 46563-2023 tillsynsbegäran mail.docx", "A 46563-2023")</f>
        <v/>
      </c>
    </row>
    <row r="60" ht="15" customHeight="1">
      <c r="A60" t="inlineStr">
        <is>
          <t>A 48916-2023</t>
        </is>
      </c>
      <c r="B60" s="1" t="n">
        <v>45209</v>
      </c>
      <c r="C60" s="1" t="n">
        <v>45340</v>
      </c>
      <c r="D60" t="inlineStr">
        <is>
          <t>VÄSTERBOTTENS LÄN</t>
        </is>
      </c>
      <c r="E60" t="inlineStr">
        <is>
          <t>UMEÅ</t>
        </is>
      </c>
      <c r="G60" t="n">
        <v>5.4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Tretåig hackspett</t>
        </is>
      </c>
      <c r="S60">
        <f>HYPERLINK("https://klasma.github.io/Logging_2480/artfynd/A 48916-2023 artfynd.xlsx", "A 48916-2023")</f>
        <v/>
      </c>
      <c r="T60">
        <f>HYPERLINK("https://klasma.github.io/Logging_2480/kartor/A 48916-2023 karta.png", "A 48916-2023")</f>
        <v/>
      </c>
      <c r="V60">
        <f>HYPERLINK("https://klasma.github.io/Logging_2480/klagomål/A 48916-2023 FSC-klagomål.docx", "A 48916-2023")</f>
        <v/>
      </c>
      <c r="W60">
        <f>HYPERLINK("https://klasma.github.io/Logging_2480/klagomålsmail/A 48916-2023 FSC-klagomål mail.docx", "A 48916-2023")</f>
        <v/>
      </c>
      <c r="X60">
        <f>HYPERLINK("https://klasma.github.io/Logging_2480/tillsyn/A 48916-2023 tillsynsbegäran.docx", "A 48916-2023")</f>
        <v/>
      </c>
      <c r="Y60">
        <f>HYPERLINK("https://klasma.github.io/Logging_2480/tillsynsmail/A 48916-2023 tillsynsbegäran mail.docx", "A 48916-2023")</f>
        <v/>
      </c>
      <c r="Z60">
        <f>HYPERLINK("https://klasma.github.io/Logging_2480/fåglar/A 48916-2023 prioriterade fågelarter.docx", "A 48916-2023")</f>
        <v/>
      </c>
    </row>
    <row r="61" ht="15" customHeight="1">
      <c r="A61" t="inlineStr">
        <is>
          <t>A 4468-2024</t>
        </is>
      </c>
      <c r="B61" s="1" t="n">
        <v>45324</v>
      </c>
      <c r="C61" s="1" t="n">
        <v>45340</v>
      </c>
      <c r="D61" t="inlineStr">
        <is>
          <t>VÄSTERBOTTENS LÄN</t>
        </is>
      </c>
      <c r="E61" t="inlineStr">
        <is>
          <t>UMEÅ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HYPERLINK("https://klasma.github.io/Logging_2480/artfynd/A 4468-2024 artfynd.xlsx", "A 4468-2024")</f>
        <v/>
      </c>
      <c r="T61">
        <f>HYPERLINK("https://klasma.github.io/Logging_2480/kartor/A 4468-2024 karta.png", "A 4468-2024")</f>
        <v/>
      </c>
      <c r="V61">
        <f>HYPERLINK("https://klasma.github.io/Logging_2480/klagomål/A 4468-2024 FSC-klagomål.docx", "A 4468-2024")</f>
        <v/>
      </c>
      <c r="W61">
        <f>HYPERLINK("https://klasma.github.io/Logging_2480/klagomålsmail/A 4468-2024 FSC-klagomål mail.docx", "A 4468-2024")</f>
        <v/>
      </c>
      <c r="X61">
        <f>HYPERLINK("https://klasma.github.io/Logging_2480/tillsyn/A 4468-2024 tillsynsbegäran.docx", "A 4468-2024")</f>
        <v/>
      </c>
      <c r="Y61">
        <f>HYPERLINK("https://klasma.github.io/Logging_2480/tillsynsmail/A 4468-2024 tillsynsbegäran mail.docx", "A 4468-2024")</f>
        <v/>
      </c>
    </row>
    <row r="62" ht="15" customHeight="1">
      <c r="A62" t="inlineStr">
        <is>
          <t>A 4489-2019</t>
        </is>
      </c>
      <c r="B62" s="1" t="n">
        <v>43479</v>
      </c>
      <c r="C62" s="1" t="n">
        <v>45340</v>
      </c>
      <c r="D62" t="inlineStr">
        <is>
          <t>VÄSTERBOTTENS LÄN</t>
        </is>
      </c>
      <c r="E62" t="inlineStr">
        <is>
          <t>UMEÅ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HYPERLINK("https://klasma.github.io/Logging_2480/artfynd/A 4489-2019 artfynd.xlsx", "A 4489-2019")</f>
        <v/>
      </c>
      <c r="T62">
        <f>HYPERLINK("https://klasma.github.io/Logging_2480/kartor/A 4489-2019 karta.png", "A 4489-2019")</f>
        <v/>
      </c>
      <c r="V62">
        <f>HYPERLINK("https://klasma.github.io/Logging_2480/klagomål/A 4489-2019 FSC-klagomål.docx", "A 4489-2019")</f>
        <v/>
      </c>
      <c r="W62">
        <f>HYPERLINK("https://klasma.github.io/Logging_2480/klagomålsmail/A 4489-2019 FSC-klagomål mail.docx", "A 4489-2019")</f>
        <v/>
      </c>
      <c r="X62">
        <f>HYPERLINK("https://klasma.github.io/Logging_2480/tillsyn/A 4489-2019 tillsynsbegäran.docx", "A 4489-2019")</f>
        <v/>
      </c>
      <c r="Y62">
        <f>HYPERLINK("https://klasma.github.io/Logging_2480/tillsynsmail/A 4489-2019 tillsynsbegäran mail.docx", "A 4489-2019")</f>
        <v/>
      </c>
    </row>
    <row r="63" ht="15" customHeight="1">
      <c r="A63" t="inlineStr">
        <is>
          <t>A 53745-2019</t>
        </is>
      </c>
      <c r="B63" s="1" t="n">
        <v>43749</v>
      </c>
      <c r="C63" s="1" t="n">
        <v>45340</v>
      </c>
      <c r="D63" t="inlineStr">
        <is>
          <t>VÄSTERBOTTENS LÄN</t>
        </is>
      </c>
      <c r="E63" t="inlineStr">
        <is>
          <t>UMEÅ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HYPERLINK("https://klasma.github.io/Logging_2480/artfynd/A 53745-2019 artfynd.xlsx", "A 53745-2019")</f>
        <v/>
      </c>
      <c r="T63">
        <f>HYPERLINK("https://klasma.github.io/Logging_2480/kartor/A 53745-2019 karta.png", "A 53745-2019")</f>
        <v/>
      </c>
      <c r="V63">
        <f>HYPERLINK("https://klasma.github.io/Logging_2480/klagomål/A 53745-2019 FSC-klagomål.docx", "A 53745-2019")</f>
        <v/>
      </c>
      <c r="W63">
        <f>HYPERLINK("https://klasma.github.io/Logging_2480/klagomålsmail/A 53745-2019 FSC-klagomål mail.docx", "A 53745-2019")</f>
        <v/>
      </c>
      <c r="X63">
        <f>HYPERLINK("https://klasma.github.io/Logging_2480/tillsyn/A 53745-2019 tillsynsbegäran.docx", "A 53745-2019")</f>
        <v/>
      </c>
      <c r="Y63">
        <f>HYPERLINK("https://klasma.github.io/Logging_2480/tillsynsmail/A 53745-2019 tillsynsbegäran mail.docx", "A 53745-2019")</f>
        <v/>
      </c>
    </row>
    <row r="64" ht="15" customHeight="1">
      <c r="A64" t="inlineStr">
        <is>
          <t>A 23492-2020</t>
        </is>
      </c>
      <c r="B64" s="1" t="n">
        <v>43966</v>
      </c>
      <c r="C64" s="1" t="n">
        <v>45340</v>
      </c>
      <c r="D64" t="inlineStr">
        <is>
          <t>VÄSTERBOTTENS LÄN</t>
        </is>
      </c>
      <c r="E64" t="inlineStr">
        <is>
          <t>UMEÅ</t>
        </is>
      </c>
      <c r="G64" t="n">
        <v>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HYPERLINK("https://klasma.github.io/Logging_2480/artfynd/A 23492-2020 artfynd.xlsx", "A 23492-2020")</f>
        <v/>
      </c>
      <c r="T64">
        <f>HYPERLINK("https://klasma.github.io/Logging_2480/kartor/A 23492-2020 karta.png", "A 23492-2020")</f>
        <v/>
      </c>
      <c r="V64">
        <f>HYPERLINK("https://klasma.github.io/Logging_2480/klagomål/A 23492-2020 FSC-klagomål.docx", "A 23492-2020")</f>
        <v/>
      </c>
      <c r="W64">
        <f>HYPERLINK("https://klasma.github.io/Logging_2480/klagomålsmail/A 23492-2020 FSC-klagomål mail.docx", "A 23492-2020")</f>
        <v/>
      </c>
      <c r="X64">
        <f>HYPERLINK("https://klasma.github.io/Logging_2480/tillsyn/A 23492-2020 tillsynsbegäran.docx", "A 23492-2020")</f>
        <v/>
      </c>
      <c r="Y64">
        <f>HYPERLINK("https://klasma.github.io/Logging_2480/tillsynsmail/A 23492-2020 tillsynsbegäran mail.docx", "A 23492-2020")</f>
        <v/>
      </c>
    </row>
    <row r="65" ht="15" customHeight="1">
      <c r="A65" t="inlineStr">
        <is>
          <t>A 48400-2020</t>
        </is>
      </c>
      <c r="B65" s="1" t="n">
        <v>44102</v>
      </c>
      <c r="C65" s="1" t="n">
        <v>45340</v>
      </c>
      <c r="D65" t="inlineStr">
        <is>
          <t>VÄSTERBOTTENS LÄN</t>
        </is>
      </c>
      <c r="E65" t="inlineStr">
        <is>
          <t>UMEÅ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HYPERLINK("https://klasma.github.io/Logging_2480/artfynd/A 48400-2020 artfynd.xlsx", "A 48400-2020")</f>
        <v/>
      </c>
      <c r="T65">
        <f>HYPERLINK("https://klasma.github.io/Logging_2480/kartor/A 48400-2020 karta.png", "A 48400-2020")</f>
        <v/>
      </c>
      <c r="V65">
        <f>HYPERLINK("https://klasma.github.io/Logging_2480/klagomål/A 48400-2020 FSC-klagomål.docx", "A 48400-2020")</f>
        <v/>
      </c>
      <c r="W65">
        <f>HYPERLINK("https://klasma.github.io/Logging_2480/klagomålsmail/A 48400-2020 FSC-klagomål mail.docx", "A 48400-2020")</f>
        <v/>
      </c>
      <c r="X65">
        <f>HYPERLINK("https://klasma.github.io/Logging_2480/tillsyn/A 48400-2020 tillsynsbegäran.docx", "A 48400-2020")</f>
        <v/>
      </c>
      <c r="Y65">
        <f>HYPERLINK("https://klasma.github.io/Logging_2480/tillsynsmail/A 48400-2020 tillsynsbegäran mail.docx", "A 48400-2020")</f>
        <v/>
      </c>
    </row>
    <row r="66" ht="15" customHeight="1">
      <c r="A66" t="inlineStr">
        <is>
          <t>A 52676-2020</t>
        </is>
      </c>
      <c r="B66" s="1" t="n">
        <v>44117</v>
      </c>
      <c r="C66" s="1" t="n">
        <v>45340</v>
      </c>
      <c r="D66" t="inlineStr">
        <is>
          <t>VÄSTERBOTTENS LÄN</t>
        </is>
      </c>
      <c r="E66" t="inlineStr">
        <is>
          <t>UMEÅ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HYPERLINK("https://klasma.github.io/Logging_2480/artfynd/A 52676-2020 artfynd.xlsx", "A 52676-2020")</f>
        <v/>
      </c>
      <c r="T66">
        <f>HYPERLINK("https://klasma.github.io/Logging_2480/kartor/A 52676-2020 karta.png", "A 52676-2020")</f>
        <v/>
      </c>
      <c r="V66">
        <f>HYPERLINK("https://klasma.github.io/Logging_2480/klagomål/A 52676-2020 FSC-klagomål.docx", "A 52676-2020")</f>
        <v/>
      </c>
      <c r="W66">
        <f>HYPERLINK("https://klasma.github.io/Logging_2480/klagomålsmail/A 52676-2020 FSC-klagomål mail.docx", "A 52676-2020")</f>
        <v/>
      </c>
      <c r="X66">
        <f>HYPERLINK("https://klasma.github.io/Logging_2480/tillsyn/A 52676-2020 tillsynsbegäran.docx", "A 52676-2020")</f>
        <v/>
      </c>
      <c r="Y66">
        <f>HYPERLINK("https://klasma.github.io/Logging_2480/tillsynsmail/A 52676-2020 tillsynsbegäran mail.docx", "A 52676-2020")</f>
        <v/>
      </c>
    </row>
    <row r="67" ht="15" customHeight="1">
      <c r="A67" t="inlineStr">
        <is>
          <t>A 18248-2021</t>
        </is>
      </c>
      <c r="B67" s="1" t="n">
        <v>44305</v>
      </c>
      <c r="C67" s="1" t="n">
        <v>45340</v>
      </c>
      <c r="D67" t="inlineStr">
        <is>
          <t>VÄSTERBOTTENS LÄN</t>
        </is>
      </c>
      <c r="E67" t="inlineStr">
        <is>
          <t>UMEÅ</t>
        </is>
      </c>
      <c r="G67" t="n">
        <v>22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Bivråk</t>
        </is>
      </c>
      <c r="S67">
        <f>HYPERLINK("https://klasma.github.io/Logging_2480/artfynd/A 18248-2021 artfynd.xlsx", "A 18248-2021")</f>
        <v/>
      </c>
      <c r="T67">
        <f>HYPERLINK("https://klasma.github.io/Logging_2480/kartor/A 18248-2021 karta.png", "A 18248-2021")</f>
        <v/>
      </c>
      <c r="V67">
        <f>HYPERLINK("https://klasma.github.io/Logging_2480/klagomål/A 18248-2021 FSC-klagomål.docx", "A 18248-2021")</f>
        <v/>
      </c>
      <c r="W67">
        <f>HYPERLINK("https://klasma.github.io/Logging_2480/klagomålsmail/A 18248-2021 FSC-klagomål mail.docx", "A 18248-2021")</f>
        <v/>
      </c>
      <c r="X67">
        <f>HYPERLINK("https://klasma.github.io/Logging_2480/tillsyn/A 18248-2021 tillsynsbegäran.docx", "A 18248-2021")</f>
        <v/>
      </c>
      <c r="Y67">
        <f>HYPERLINK("https://klasma.github.io/Logging_2480/tillsynsmail/A 18248-2021 tillsynsbegäran mail.docx", "A 18248-2021")</f>
        <v/>
      </c>
      <c r="Z67">
        <f>HYPERLINK("https://klasma.github.io/Logging_2480/fåglar/A 18248-2021 prioriterade fågelarter.docx", "A 18248-2021")</f>
        <v/>
      </c>
    </row>
    <row r="68" ht="15" customHeight="1">
      <c r="A68" t="inlineStr">
        <is>
          <t>A 38396-2021</t>
        </is>
      </c>
      <c r="B68" s="1" t="n">
        <v>44406</v>
      </c>
      <c r="C68" s="1" t="n">
        <v>45340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38396-2021 artfynd.xlsx", "A 38396-2021")</f>
        <v/>
      </c>
      <c r="T68">
        <f>HYPERLINK("https://klasma.github.io/Logging_2480/kartor/A 38396-2021 karta.png", "A 38396-2021")</f>
        <v/>
      </c>
      <c r="V68">
        <f>HYPERLINK("https://klasma.github.io/Logging_2480/klagomål/A 38396-2021 FSC-klagomål.docx", "A 38396-2021")</f>
        <v/>
      </c>
      <c r="W68">
        <f>HYPERLINK("https://klasma.github.io/Logging_2480/klagomålsmail/A 38396-2021 FSC-klagomål mail.docx", "A 38396-2021")</f>
        <v/>
      </c>
      <c r="X68">
        <f>HYPERLINK("https://klasma.github.io/Logging_2480/tillsyn/A 38396-2021 tillsynsbegäran.docx", "A 38396-2021")</f>
        <v/>
      </c>
      <c r="Y68">
        <f>HYPERLINK("https://klasma.github.io/Logging_2480/tillsynsmail/A 38396-2021 tillsynsbegäran mail.docx", "A 38396-2021")</f>
        <v/>
      </c>
    </row>
    <row r="69" ht="15" customHeight="1">
      <c r="A69" t="inlineStr">
        <is>
          <t>A 38393-2021</t>
        </is>
      </c>
      <c r="B69" s="1" t="n">
        <v>44406</v>
      </c>
      <c r="C69" s="1" t="n">
        <v>45340</v>
      </c>
      <c r="D69" t="inlineStr">
        <is>
          <t>VÄSTERBOTTENS LÄN</t>
        </is>
      </c>
      <c r="E69" t="inlineStr">
        <is>
          <t>UMEÅ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HYPERLINK("https://klasma.github.io/Logging_2480/artfynd/A 38393-2021 artfynd.xlsx", "A 38393-2021")</f>
        <v/>
      </c>
      <c r="T69">
        <f>HYPERLINK("https://klasma.github.io/Logging_2480/kartor/A 38393-2021 karta.png", "A 38393-2021")</f>
        <v/>
      </c>
      <c r="V69">
        <f>HYPERLINK("https://klasma.github.io/Logging_2480/klagomål/A 38393-2021 FSC-klagomål.docx", "A 38393-2021")</f>
        <v/>
      </c>
      <c r="W69">
        <f>HYPERLINK("https://klasma.github.io/Logging_2480/klagomålsmail/A 38393-2021 FSC-klagomål mail.docx", "A 38393-2021")</f>
        <v/>
      </c>
      <c r="X69">
        <f>HYPERLINK("https://klasma.github.io/Logging_2480/tillsyn/A 38393-2021 tillsynsbegäran.docx", "A 38393-2021")</f>
        <v/>
      </c>
      <c r="Y69">
        <f>HYPERLINK("https://klasma.github.io/Logging_2480/tillsynsmail/A 38393-2021 tillsynsbegäran mail.docx", "A 38393-2021")</f>
        <v/>
      </c>
      <c r="Z69">
        <f>HYPERLINK("https://klasma.github.io/Logging_2480/fåglar/A 38393-2021 prioriterade fågelarter.docx", "A 38393-2021")</f>
        <v/>
      </c>
    </row>
    <row r="70" ht="15" customHeight="1">
      <c r="A70" t="inlineStr">
        <is>
          <t>A 38390-2021</t>
        </is>
      </c>
      <c r="B70" s="1" t="n">
        <v>44406</v>
      </c>
      <c r="C70" s="1" t="n">
        <v>45340</v>
      </c>
      <c r="D70" t="inlineStr">
        <is>
          <t>VÄSTERBOTTENS LÄN</t>
        </is>
      </c>
      <c r="E70" t="inlineStr">
        <is>
          <t>UMEÅ</t>
        </is>
      </c>
      <c r="F70" t="inlineStr">
        <is>
          <t>Övriga statliga verk och myndigheter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HYPERLINK("https://klasma.github.io/Logging_2480/artfynd/A 38390-2021 artfynd.xlsx", "A 38390-2021")</f>
        <v/>
      </c>
      <c r="T70">
        <f>HYPERLINK("https://klasma.github.io/Logging_2480/kartor/A 38390-2021 karta.png", "A 38390-2021")</f>
        <v/>
      </c>
      <c r="V70">
        <f>HYPERLINK("https://klasma.github.io/Logging_2480/klagomål/A 38390-2021 FSC-klagomål.docx", "A 38390-2021")</f>
        <v/>
      </c>
      <c r="W70">
        <f>HYPERLINK("https://klasma.github.io/Logging_2480/klagomålsmail/A 38390-2021 FSC-klagomål mail.docx", "A 38390-2021")</f>
        <v/>
      </c>
      <c r="X70">
        <f>HYPERLINK("https://klasma.github.io/Logging_2480/tillsyn/A 38390-2021 tillsynsbegäran.docx", "A 38390-2021")</f>
        <v/>
      </c>
      <c r="Y70">
        <f>HYPERLINK("https://klasma.github.io/Logging_2480/tillsynsmail/A 38390-2021 tillsynsbegäran mail.docx", "A 38390-2021")</f>
        <v/>
      </c>
    </row>
    <row r="71" ht="15" customHeight="1">
      <c r="A71" t="inlineStr">
        <is>
          <t>A 38437-2021</t>
        </is>
      </c>
      <c r="B71" s="1" t="n">
        <v>44406</v>
      </c>
      <c r="C71" s="1" t="n">
        <v>45340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HYPERLINK("https://klasma.github.io/Logging_2480/artfynd/A 38437-2021 artfynd.xlsx", "A 38437-2021")</f>
        <v/>
      </c>
      <c r="T71">
        <f>HYPERLINK("https://klasma.github.io/Logging_2480/kartor/A 38437-2021 karta.png", "A 38437-2021")</f>
        <v/>
      </c>
      <c r="V71">
        <f>HYPERLINK("https://klasma.github.io/Logging_2480/klagomål/A 38437-2021 FSC-klagomål.docx", "A 38437-2021")</f>
        <v/>
      </c>
      <c r="W71">
        <f>HYPERLINK("https://klasma.github.io/Logging_2480/klagomålsmail/A 38437-2021 FSC-klagomål mail.docx", "A 38437-2021")</f>
        <v/>
      </c>
      <c r="X71">
        <f>HYPERLINK("https://klasma.github.io/Logging_2480/tillsyn/A 38437-2021 tillsynsbegäran.docx", "A 38437-2021")</f>
        <v/>
      </c>
      <c r="Y71">
        <f>HYPERLINK("https://klasma.github.io/Logging_2480/tillsynsmail/A 38437-2021 tillsynsbegäran mail.docx", "A 38437-2021")</f>
        <v/>
      </c>
    </row>
    <row r="72" ht="15" customHeight="1">
      <c r="A72" t="inlineStr">
        <is>
          <t>A 38545-2021</t>
        </is>
      </c>
      <c r="B72" s="1" t="n">
        <v>44407</v>
      </c>
      <c r="C72" s="1" t="n">
        <v>45340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0.6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HYPERLINK("https://klasma.github.io/Logging_2480/artfynd/A 38545-2021 artfynd.xlsx", "A 38545-2021")</f>
        <v/>
      </c>
      <c r="T72">
        <f>HYPERLINK("https://klasma.github.io/Logging_2480/kartor/A 38545-2021 karta.png", "A 38545-2021")</f>
        <v/>
      </c>
      <c r="V72">
        <f>HYPERLINK("https://klasma.github.io/Logging_2480/klagomål/A 38545-2021 FSC-klagomål.docx", "A 38545-2021")</f>
        <v/>
      </c>
      <c r="W72">
        <f>HYPERLINK("https://klasma.github.io/Logging_2480/klagomålsmail/A 38545-2021 FSC-klagomål mail.docx", "A 38545-2021")</f>
        <v/>
      </c>
      <c r="X72">
        <f>HYPERLINK("https://klasma.github.io/Logging_2480/tillsyn/A 38545-2021 tillsynsbegäran.docx", "A 38545-2021")</f>
        <v/>
      </c>
      <c r="Y72">
        <f>HYPERLINK("https://klasma.github.io/Logging_2480/tillsynsmail/A 38545-2021 tillsynsbegäran mail.docx", "A 38545-2021")</f>
        <v/>
      </c>
      <c r="Z72">
        <f>HYPERLINK("https://klasma.github.io/Logging_2480/fåglar/A 38545-2021 prioriterade fågelarter.docx", "A 38545-2021")</f>
        <v/>
      </c>
    </row>
    <row r="73" ht="15" customHeight="1">
      <c r="A73" t="inlineStr">
        <is>
          <t>A 38719-2021</t>
        </is>
      </c>
      <c r="B73" s="1" t="n">
        <v>44410</v>
      </c>
      <c r="C73" s="1" t="n">
        <v>45340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HYPERLINK("https://klasma.github.io/Logging_2480/artfynd/A 38719-2021 artfynd.xlsx", "A 38719-2021")</f>
        <v/>
      </c>
      <c r="T73">
        <f>HYPERLINK("https://klasma.github.io/Logging_2480/kartor/A 38719-2021 karta.png", "A 38719-2021")</f>
        <v/>
      </c>
      <c r="V73">
        <f>HYPERLINK("https://klasma.github.io/Logging_2480/klagomål/A 38719-2021 FSC-klagomål.docx", "A 38719-2021")</f>
        <v/>
      </c>
      <c r="W73">
        <f>HYPERLINK("https://klasma.github.io/Logging_2480/klagomålsmail/A 38719-2021 FSC-klagomål mail.docx", "A 38719-2021")</f>
        <v/>
      </c>
      <c r="X73">
        <f>HYPERLINK("https://klasma.github.io/Logging_2480/tillsyn/A 38719-2021 tillsynsbegäran.docx", "A 38719-2021")</f>
        <v/>
      </c>
      <c r="Y73">
        <f>HYPERLINK("https://klasma.github.io/Logging_2480/tillsynsmail/A 38719-2021 tillsynsbegäran mail.docx", "A 38719-2021")</f>
        <v/>
      </c>
      <c r="Z73">
        <f>HYPERLINK("https://klasma.github.io/Logging_2480/fåglar/A 38719-2021 prioriterade fågelarter.docx", "A 38719-2021")</f>
        <v/>
      </c>
    </row>
    <row r="74" ht="15" customHeight="1">
      <c r="A74" t="inlineStr">
        <is>
          <t>A 38700-2021</t>
        </is>
      </c>
      <c r="B74" s="1" t="n">
        <v>44410</v>
      </c>
      <c r="C74" s="1" t="n">
        <v>45340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38700-2021 artfynd.xlsx", "A 38700-2021")</f>
        <v/>
      </c>
      <c r="T74">
        <f>HYPERLINK("https://klasma.github.io/Logging_2480/kartor/A 38700-2021 karta.png", "A 38700-2021")</f>
        <v/>
      </c>
      <c r="V74">
        <f>HYPERLINK("https://klasma.github.io/Logging_2480/klagomål/A 38700-2021 FSC-klagomål.docx", "A 38700-2021")</f>
        <v/>
      </c>
      <c r="W74">
        <f>HYPERLINK("https://klasma.github.io/Logging_2480/klagomålsmail/A 38700-2021 FSC-klagomål mail.docx", "A 38700-2021")</f>
        <v/>
      </c>
      <c r="X74">
        <f>HYPERLINK("https://klasma.github.io/Logging_2480/tillsyn/A 38700-2021 tillsynsbegäran.docx", "A 38700-2021")</f>
        <v/>
      </c>
      <c r="Y74">
        <f>HYPERLINK("https://klasma.github.io/Logging_2480/tillsynsmail/A 38700-2021 tillsynsbegäran mail.docx", "A 38700-2021")</f>
        <v/>
      </c>
    </row>
    <row r="75" ht="15" customHeight="1">
      <c r="A75" t="inlineStr">
        <is>
          <t>A 38742-2021</t>
        </is>
      </c>
      <c r="B75" s="1" t="n">
        <v>44410</v>
      </c>
      <c r="C75" s="1" t="n">
        <v>45340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3.6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Stubbträfluga</t>
        </is>
      </c>
      <c r="S75">
        <f>HYPERLINK("https://klasma.github.io/Logging_2480/artfynd/A 38742-2021 artfynd.xlsx", "A 38742-2021")</f>
        <v/>
      </c>
      <c r="T75">
        <f>HYPERLINK("https://klasma.github.io/Logging_2480/kartor/A 38742-2021 karta.png", "A 38742-2021")</f>
        <v/>
      </c>
      <c r="V75">
        <f>HYPERLINK("https://klasma.github.io/Logging_2480/klagomål/A 38742-2021 FSC-klagomål.docx", "A 38742-2021")</f>
        <v/>
      </c>
      <c r="W75">
        <f>HYPERLINK("https://klasma.github.io/Logging_2480/klagomålsmail/A 38742-2021 FSC-klagomål mail.docx", "A 38742-2021")</f>
        <v/>
      </c>
      <c r="X75">
        <f>HYPERLINK("https://klasma.github.io/Logging_2480/tillsyn/A 38742-2021 tillsynsbegäran.docx", "A 38742-2021")</f>
        <v/>
      </c>
      <c r="Y75">
        <f>HYPERLINK("https://klasma.github.io/Logging_2480/tillsynsmail/A 38742-2021 tillsynsbegäran mail.docx", "A 38742-2021")</f>
        <v/>
      </c>
    </row>
    <row r="76" ht="15" customHeight="1">
      <c r="A76" t="inlineStr">
        <is>
          <t>A 47038-2021</t>
        </is>
      </c>
      <c r="B76" s="1" t="n">
        <v>44446</v>
      </c>
      <c r="C76" s="1" t="n">
        <v>45340</v>
      </c>
      <c r="D76" t="inlineStr">
        <is>
          <t>VÄSTERBOTTENS LÄN</t>
        </is>
      </c>
      <c r="E76" t="inlineStr">
        <is>
          <t>UMEÅ</t>
        </is>
      </c>
      <c r="G76" t="n">
        <v>22.3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47038-2021 artfynd.xlsx", "A 47038-2021")</f>
        <v/>
      </c>
      <c r="T76">
        <f>HYPERLINK("https://klasma.github.io/Logging_2480/kartor/A 47038-2021 karta.png", "A 47038-2021")</f>
        <v/>
      </c>
      <c r="V76">
        <f>HYPERLINK("https://klasma.github.io/Logging_2480/klagomål/A 47038-2021 FSC-klagomål.docx", "A 47038-2021")</f>
        <v/>
      </c>
      <c r="W76">
        <f>HYPERLINK("https://klasma.github.io/Logging_2480/klagomålsmail/A 47038-2021 FSC-klagomål mail.docx", "A 47038-2021")</f>
        <v/>
      </c>
      <c r="X76">
        <f>HYPERLINK("https://klasma.github.io/Logging_2480/tillsyn/A 47038-2021 tillsynsbegäran.docx", "A 47038-2021")</f>
        <v/>
      </c>
      <c r="Y76">
        <f>HYPERLINK("https://klasma.github.io/Logging_2480/tillsynsmail/A 47038-2021 tillsynsbegäran mail.docx", "A 47038-2021")</f>
        <v/>
      </c>
    </row>
    <row r="77" ht="15" customHeight="1">
      <c r="A77" t="inlineStr">
        <is>
          <t>A 49774-2021</t>
        </is>
      </c>
      <c r="B77" s="1" t="n">
        <v>44455</v>
      </c>
      <c r="C77" s="1" t="n">
        <v>45340</v>
      </c>
      <c r="D77" t="inlineStr">
        <is>
          <t>VÄSTERBOTTENS LÄN</t>
        </is>
      </c>
      <c r="E77" t="inlineStr">
        <is>
          <t>UMEÅ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49774-2021 artfynd.xlsx", "A 49774-2021")</f>
        <v/>
      </c>
      <c r="T77">
        <f>HYPERLINK("https://klasma.github.io/Logging_2480/kartor/A 49774-2021 karta.png", "A 49774-2021")</f>
        <v/>
      </c>
      <c r="V77">
        <f>HYPERLINK("https://klasma.github.io/Logging_2480/klagomål/A 49774-2021 FSC-klagomål.docx", "A 49774-2021")</f>
        <v/>
      </c>
      <c r="W77">
        <f>HYPERLINK("https://klasma.github.io/Logging_2480/klagomålsmail/A 49774-2021 FSC-klagomål mail.docx", "A 49774-2021")</f>
        <v/>
      </c>
      <c r="X77">
        <f>HYPERLINK("https://klasma.github.io/Logging_2480/tillsyn/A 49774-2021 tillsynsbegäran.docx", "A 49774-2021")</f>
        <v/>
      </c>
      <c r="Y77">
        <f>HYPERLINK("https://klasma.github.io/Logging_2480/tillsynsmail/A 49774-2021 tillsynsbegäran mail.docx", "A 49774-2021")</f>
        <v/>
      </c>
    </row>
    <row r="78" ht="15" customHeight="1">
      <c r="A78" t="inlineStr">
        <is>
          <t>A 11502-2022</t>
        </is>
      </c>
      <c r="B78" s="1" t="n">
        <v>44631</v>
      </c>
      <c r="C78" s="1" t="n">
        <v>45340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HYPERLINK("https://klasma.github.io/Logging_2480/artfynd/A 11502-2022 artfynd.xlsx", "A 11502-2022")</f>
        <v/>
      </c>
      <c r="T78">
        <f>HYPERLINK("https://klasma.github.io/Logging_2480/kartor/A 11502-2022 karta.png", "A 11502-2022")</f>
        <v/>
      </c>
      <c r="V78">
        <f>HYPERLINK("https://klasma.github.io/Logging_2480/klagomål/A 11502-2022 FSC-klagomål.docx", "A 11502-2022")</f>
        <v/>
      </c>
      <c r="W78">
        <f>HYPERLINK("https://klasma.github.io/Logging_2480/klagomålsmail/A 11502-2022 FSC-klagomål mail.docx", "A 11502-2022")</f>
        <v/>
      </c>
      <c r="X78">
        <f>HYPERLINK("https://klasma.github.io/Logging_2480/tillsyn/A 11502-2022 tillsynsbegäran.docx", "A 11502-2022")</f>
        <v/>
      </c>
      <c r="Y78">
        <f>HYPERLINK("https://klasma.github.io/Logging_2480/tillsynsmail/A 11502-2022 tillsynsbegäran mail.docx", "A 11502-2022")</f>
        <v/>
      </c>
    </row>
    <row r="79" ht="15" customHeight="1">
      <c r="A79" t="inlineStr">
        <is>
          <t>A 16839-2022</t>
        </is>
      </c>
      <c r="B79" s="1" t="n">
        <v>44673</v>
      </c>
      <c r="C79" s="1" t="n">
        <v>45340</v>
      </c>
      <c r="D79" t="inlineStr">
        <is>
          <t>VÄSTERBOTTENS LÄN</t>
        </is>
      </c>
      <c r="E79" t="inlineStr">
        <is>
          <t>UMEÅ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Kråka</t>
        </is>
      </c>
      <c r="S79">
        <f>HYPERLINK("https://klasma.github.io/Logging_2480/artfynd/A 16839-2022 artfynd.xlsx", "A 16839-2022")</f>
        <v/>
      </c>
      <c r="T79">
        <f>HYPERLINK("https://klasma.github.io/Logging_2480/kartor/A 16839-2022 karta.png", "A 16839-2022")</f>
        <v/>
      </c>
      <c r="V79">
        <f>HYPERLINK("https://klasma.github.io/Logging_2480/klagomål/A 16839-2022 FSC-klagomål.docx", "A 16839-2022")</f>
        <v/>
      </c>
      <c r="W79">
        <f>HYPERLINK("https://klasma.github.io/Logging_2480/klagomålsmail/A 16839-2022 FSC-klagomål mail.docx", "A 16839-2022")</f>
        <v/>
      </c>
      <c r="X79">
        <f>HYPERLINK("https://klasma.github.io/Logging_2480/tillsyn/A 16839-2022 tillsynsbegäran.docx", "A 16839-2022")</f>
        <v/>
      </c>
      <c r="Y79">
        <f>HYPERLINK("https://klasma.github.io/Logging_2480/tillsynsmail/A 16839-2022 tillsynsbegäran mail.docx", "A 16839-2022")</f>
        <v/>
      </c>
    </row>
    <row r="80" ht="15" customHeight="1">
      <c r="A80" t="inlineStr">
        <is>
          <t>A 23035-2022</t>
        </is>
      </c>
      <c r="B80" s="1" t="n">
        <v>44715</v>
      </c>
      <c r="C80" s="1" t="n">
        <v>45340</v>
      </c>
      <c r="D80" t="inlineStr">
        <is>
          <t>VÄSTERBOTTENS LÄN</t>
        </is>
      </c>
      <c r="E80" t="inlineStr">
        <is>
          <t>UMEÅ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HYPERLINK("https://klasma.github.io/Logging_2480/artfynd/A 23035-2022 artfynd.xlsx", "A 23035-2022")</f>
        <v/>
      </c>
      <c r="T80">
        <f>HYPERLINK("https://klasma.github.io/Logging_2480/kartor/A 23035-2022 karta.png", "A 23035-2022")</f>
        <v/>
      </c>
      <c r="V80">
        <f>HYPERLINK("https://klasma.github.io/Logging_2480/klagomål/A 23035-2022 FSC-klagomål.docx", "A 23035-2022")</f>
        <v/>
      </c>
      <c r="W80">
        <f>HYPERLINK("https://klasma.github.io/Logging_2480/klagomålsmail/A 23035-2022 FSC-klagomål mail.docx", "A 23035-2022")</f>
        <v/>
      </c>
      <c r="X80">
        <f>HYPERLINK("https://klasma.github.io/Logging_2480/tillsyn/A 23035-2022 tillsynsbegäran.docx", "A 23035-2022")</f>
        <v/>
      </c>
      <c r="Y80">
        <f>HYPERLINK("https://klasma.github.io/Logging_2480/tillsynsmail/A 23035-2022 tillsynsbegäran mail.docx", "A 23035-2022")</f>
        <v/>
      </c>
    </row>
    <row r="81" ht="15" customHeight="1">
      <c r="A81" t="inlineStr">
        <is>
          <t>A 25702-2022</t>
        </is>
      </c>
      <c r="B81" s="1" t="n">
        <v>44733</v>
      </c>
      <c r="C81" s="1" t="n">
        <v>45340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8.5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HYPERLINK("https://klasma.github.io/Logging_2480/artfynd/A 25702-2022 artfynd.xlsx", "A 25702-2022")</f>
        <v/>
      </c>
      <c r="T81">
        <f>HYPERLINK("https://klasma.github.io/Logging_2480/kartor/A 25702-2022 karta.png", "A 25702-2022")</f>
        <v/>
      </c>
      <c r="V81">
        <f>HYPERLINK("https://klasma.github.io/Logging_2480/klagomål/A 25702-2022 FSC-klagomål.docx", "A 25702-2022")</f>
        <v/>
      </c>
      <c r="W81">
        <f>HYPERLINK("https://klasma.github.io/Logging_2480/klagomålsmail/A 25702-2022 FSC-klagomål mail.docx", "A 25702-2022")</f>
        <v/>
      </c>
      <c r="X81">
        <f>HYPERLINK("https://klasma.github.io/Logging_2480/tillsyn/A 25702-2022 tillsynsbegäran.docx", "A 25702-2022")</f>
        <v/>
      </c>
      <c r="Y81">
        <f>HYPERLINK("https://klasma.github.io/Logging_2480/tillsynsmail/A 25702-2022 tillsynsbegäran mail.docx", "A 25702-2022")</f>
        <v/>
      </c>
      <c r="Z81">
        <f>HYPERLINK("https://klasma.github.io/Logging_2480/fåglar/A 25702-2022 prioriterade fågelarter.docx", "A 25702-2022")</f>
        <v/>
      </c>
    </row>
    <row r="82" ht="15" customHeight="1">
      <c r="A82" t="inlineStr">
        <is>
          <t>A 43519-2022</t>
        </is>
      </c>
      <c r="B82" s="1" t="n">
        <v>44837</v>
      </c>
      <c r="C82" s="1" t="n">
        <v>45340</v>
      </c>
      <c r="D82" t="inlineStr">
        <is>
          <t>VÄSTERBOTTENS LÄN</t>
        </is>
      </c>
      <c r="E82" t="inlineStr">
        <is>
          <t>UMEÅ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HYPERLINK("https://klasma.github.io/Logging_2480/artfynd/A 43519-2022 artfynd.xlsx", "A 43519-2022")</f>
        <v/>
      </c>
      <c r="T82">
        <f>HYPERLINK("https://klasma.github.io/Logging_2480/kartor/A 43519-2022 karta.png", "A 43519-2022")</f>
        <v/>
      </c>
      <c r="V82">
        <f>HYPERLINK("https://klasma.github.io/Logging_2480/klagomål/A 43519-2022 FSC-klagomål.docx", "A 43519-2022")</f>
        <v/>
      </c>
      <c r="W82">
        <f>HYPERLINK("https://klasma.github.io/Logging_2480/klagomålsmail/A 43519-2022 FSC-klagomål mail.docx", "A 43519-2022")</f>
        <v/>
      </c>
      <c r="X82">
        <f>HYPERLINK("https://klasma.github.io/Logging_2480/tillsyn/A 43519-2022 tillsynsbegäran.docx", "A 43519-2022")</f>
        <v/>
      </c>
      <c r="Y82">
        <f>HYPERLINK("https://klasma.github.io/Logging_2480/tillsynsmail/A 43519-2022 tillsynsbegäran mail.docx", "A 43519-2022")</f>
        <v/>
      </c>
    </row>
    <row r="83" ht="15" customHeight="1">
      <c r="A83" t="inlineStr">
        <is>
          <t>A 49658-2022</t>
        </is>
      </c>
      <c r="B83" s="1" t="n">
        <v>44862</v>
      </c>
      <c r="C83" s="1" t="n">
        <v>45340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groda</t>
        </is>
      </c>
      <c r="S83">
        <f>HYPERLINK("https://klasma.github.io/Logging_2480/artfynd/A 49658-2022 artfynd.xlsx", "A 49658-2022")</f>
        <v/>
      </c>
      <c r="T83">
        <f>HYPERLINK("https://klasma.github.io/Logging_2480/kartor/A 49658-2022 karta.png", "A 49658-2022")</f>
        <v/>
      </c>
      <c r="V83">
        <f>HYPERLINK("https://klasma.github.io/Logging_2480/klagomål/A 49658-2022 FSC-klagomål.docx", "A 49658-2022")</f>
        <v/>
      </c>
      <c r="W83">
        <f>HYPERLINK("https://klasma.github.io/Logging_2480/klagomålsmail/A 49658-2022 FSC-klagomål mail.docx", "A 49658-2022")</f>
        <v/>
      </c>
      <c r="X83">
        <f>HYPERLINK("https://klasma.github.io/Logging_2480/tillsyn/A 49658-2022 tillsynsbegäran.docx", "A 49658-2022")</f>
        <v/>
      </c>
      <c r="Y83">
        <f>HYPERLINK("https://klasma.github.io/Logging_2480/tillsynsmail/A 49658-2022 tillsynsbegäran mail.docx", "A 49658-2022")</f>
        <v/>
      </c>
    </row>
    <row r="84" ht="15" customHeight="1">
      <c r="A84" t="inlineStr">
        <is>
          <t>A 59075-2022</t>
        </is>
      </c>
      <c r="B84" s="1" t="n">
        <v>44904</v>
      </c>
      <c r="C84" s="1" t="n">
        <v>45340</v>
      </c>
      <c r="D84" t="inlineStr">
        <is>
          <t>VÄSTERBOTTENS LÄN</t>
        </is>
      </c>
      <c r="E84" t="inlineStr">
        <is>
          <t>UMEÅ</t>
        </is>
      </c>
      <c r="G84" t="n">
        <v>0.4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HYPERLINK("https://klasma.github.io/Logging_2480/artfynd/A 59075-2022 artfynd.xlsx", "A 59075-2022")</f>
        <v/>
      </c>
      <c r="T84">
        <f>HYPERLINK("https://klasma.github.io/Logging_2480/kartor/A 59075-2022 karta.png", "A 59075-2022")</f>
        <v/>
      </c>
      <c r="V84">
        <f>HYPERLINK("https://klasma.github.io/Logging_2480/klagomål/A 59075-2022 FSC-klagomål.docx", "A 59075-2022")</f>
        <v/>
      </c>
      <c r="W84">
        <f>HYPERLINK("https://klasma.github.io/Logging_2480/klagomålsmail/A 59075-2022 FSC-klagomål mail.docx", "A 59075-2022")</f>
        <v/>
      </c>
      <c r="X84">
        <f>HYPERLINK("https://klasma.github.io/Logging_2480/tillsyn/A 59075-2022 tillsynsbegäran.docx", "A 59075-2022")</f>
        <v/>
      </c>
      <c r="Y84">
        <f>HYPERLINK("https://klasma.github.io/Logging_2480/tillsynsmail/A 59075-2022 tillsynsbegäran mail.docx", "A 59075-2022")</f>
        <v/>
      </c>
    </row>
    <row r="85" ht="15" customHeight="1">
      <c r="A85" t="inlineStr">
        <is>
          <t>A 11395-2023</t>
        </is>
      </c>
      <c r="B85" s="1" t="n">
        <v>44993</v>
      </c>
      <c r="C85" s="1" t="n">
        <v>45340</v>
      </c>
      <c r="D85" t="inlineStr">
        <is>
          <t>VÄSTERBOTTENS LÄN</t>
        </is>
      </c>
      <c r="E85" t="inlineStr">
        <is>
          <t>UMEÅ</t>
        </is>
      </c>
      <c r="G85" t="n">
        <v>6.1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Skarp dropptaggsvamp</t>
        </is>
      </c>
      <c r="S85">
        <f>HYPERLINK("https://klasma.github.io/Logging_2480/artfynd/A 11395-2023 artfynd.xlsx", "A 11395-2023")</f>
        <v/>
      </c>
      <c r="T85">
        <f>HYPERLINK("https://klasma.github.io/Logging_2480/kartor/A 11395-2023 karta.png", "A 11395-2023")</f>
        <v/>
      </c>
      <c r="V85">
        <f>HYPERLINK("https://klasma.github.io/Logging_2480/klagomål/A 11395-2023 FSC-klagomål.docx", "A 11395-2023")</f>
        <v/>
      </c>
      <c r="W85">
        <f>HYPERLINK("https://klasma.github.io/Logging_2480/klagomålsmail/A 11395-2023 FSC-klagomål mail.docx", "A 11395-2023")</f>
        <v/>
      </c>
      <c r="X85">
        <f>HYPERLINK("https://klasma.github.io/Logging_2480/tillsyn/A 11395-2023 tillsynsbegäran.docx", "A 11395-2023")</f>
        <v/>
      </c>
      <c r="Y85">
        <f>HYPERLINK("https://klasma.github.io/Logging_2480/tillsynsmail/A 11395-2023 tillsynsbegäran mail.docx", "A 11395-2023")</f>
        <v/>
      </c>
    </row>
    <row r="86" ht="15" customHeight="1">
      <c r="A86" t="inlineStr">
        <is>
          <t>A 15654-2023</t>
        </is>
      </c>
      <c r="B86" s="1" t="n">
        <v>45019</v>
      </c>
      <c r="C86" s="1" t="n">
        <v>45340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15654-2023 artfynd.xlsx", "A 15654-2023")</f>
        <v/>
      </c>
      <c r="T86">
        <f>HYPERLINK("https://klasma.github.io/Logging_2480/kartor/A 15654-2023 karta.png", "A 15654-2023")</f>
        <v/>
      </c>
      <c r="V86">
        <f>HYPERLINK("https://klasma.github.io/Logging_2480/klagomål/A 15654-2023 FSC-klagomål.docx", "A 15654-2023")</f>
        <v/>
      </c>
      <c r="W86">
        <f>HYPERLINK("https://klasma.github.io/Logging_2480/klagomålsmail/A 15654-2023 FSC-klagomål mail.docx", "A 15654-2023")</f>
        <v/>
      </c>
      <c r="X86">
        <f>HYPERLINK("https://klasma.github.io/Logging_2480/tillsyn/A 15654-2023 tillsynsbegäran.docx", "A 15654-2023")</f>
        <v/>
      </c>
      <c r="Y86">
        <f>HYPERLINK("https://klasma.github.io/Logging_2480/tillsynsmail/A 15654-2023 tillsynsbegäran mail.docx", "A 15654-2023")</f>
        <v/>
      </c>
    </row>
    <row r="87" ht="15" customHeight="1">
      <c r="A87" t="inlineStr">
        <is>
          <t>A 28262-2023</t>
        </is>
      </c>
      <c r="B87" s="1" t="n">
        <v>45099</v>
      </c>
      <c r="C87" s="1" t="n">
        <v>45340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Gulskölding</t>
        </is>
      </c>
      <c r="S87">
        <f>HYPERLINK("https://klasma.github.io/Logging_2480/artfynd/A 28262-2023 artfynd.xlsx", "A 28262-2023")</f>
        <v/>
      </c>
      <c r="T87">
        <f>HYPERLINK("https://klasma.github.io/Logging_2480/kartor/A 28262-2023 karta.png", "A 28262-2023")</f>
        <v/>
      </c>
      <c r="V87">
        <f>HYPERLINK("https://klasma.github.io/Logging_2480/klagomål/A 28262-2023 FSC-klagomål.docx", "A 28262-2023")</f>
        <v/>
      </c>
      <c r="W87">
        <f>HYPERLINK("https://klasma.github.io/Logging_2480/klagomålsmail/A 28262-2023 FSC-klagomål mail.docx", "A 28262-2023")</f>
        <v/>
      </c>
      <c r="X87">
        <f>HYPERLINK("https://klasma.github.io/Logging_2480/tillsyn/A 28262-2023 tillsynsbegäran.docx", "A 28262-2023")</f>
        <v/>
      </c>
      <c r="Y87">
        <f>HYPERLINK("https://klasma.github.io/Logging_2480/tillsynsmail/A 28262-2023 tillsynsbegäran mail.docx", "A 28262-2023")</f>
        <v/>
      </c>
    </row>
    <row r="88" ht="15" customHeight="1">
      <c r="A88" t="inlineStr">
        <is>
          <t>A 31311-2023</t>
        </is>
      </c>
      <c r="B88" s="1" t="n">
        <v>45104</v>
      </c>
      <c r="C88" s="1" t="n">
        <v>45340</v>
      </c>
      <c r="D88" t="inlineStr">
        <is>
          <t>VÄSTERBOTTENS LÄN</t>
        </is>
      </c>
      <c r="E88" t="inlineStr">
        <is>
          <t>UMEÅ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HYPERLINK("https://klasma.github.io/Logging_2480/artfynd/A 31311-2023 artfynd.xlsx", "A 31311-2023")</f>
        <v/>
      </c>
      <c r="T88">
        <f>HYPERLINK("https://klasma.github.io/Logging_2480/kartor/A 31311-2023 karta.png", "A 31311-2023")</f>
        <v/>
      </c>
      <c r="V88">
        <f>HYPERLINK("https://klasma.github.io/Logging_2480/klagomål/A 31311-2023 FSC-klagomål.docx", "A 31311-2023")</f>
        <v/>
      </c>
      <c r="W88">
        <f>HYPERLINK("https://klasma.github.io/Logging_2480/klagomålsmail/A 31311-2023 FSC-klagomål mail.docx", "A 31311-2023")</f>
        <v/>
      </c>
      <c r="X88">
        <f>HYPERLINK("https://klasma.github.io/Logging_2480/tillsyn/A 31311-2023 tillsynsbegäran.docx", "A 31311-2023")</f>
        <v/>
      </c>
      <c r="Y88">
        <f>HYPERLINK("https://klasma.github.io/Logging_2480/tillsynsmail/A 31311-2023 tillsynsbegäran mail.docx", "A 31311-2023")</f>
        <v/>
      </c>
    </row>
    <row r="89" ht="15" customHeight="1">
      <c r="A89" t="inlineStr">
        <is>
          <t>A 33419-2023</t>
        </is>
      </c>
      <c r="B89" s="1" t="n">
        <v>45128</v>
      </c>
      <c r="C89" s="1" t="n">
        <v>45340</v>
      </c>
      <c r="D89" t="inlineStr">
        <is>
          <t>VÄSTERBOTTENS LÄN</t>
        </is>
      </c>
      <c r="E89" t="inlineStr">
        <is>
          <t>UMEÅ</t>
        </is>
      </c>
      <c r="G89" t="n">
        <v>6.7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Goliatmusseron</t>
        </is>
      </c>
      <c r="S89">
        <f>HYPERLINK("https://klasma.github.io/Logging_2480/artfynd/A 33419-2023 artfynd.xlsx", "A 33419-2023")</f>
        <v/>
      </c>
      <c r="T89">
        <f>HYPERLINK("https://klasma.github.io/Logging_2480/kartor/A 33419-2023 karta.png", "A 33419-2023")</f>
        <v/>
      </c>
      <c r="V89">
        <f>HYPERLINK("https://klasma.github.io/Logging_2480/klagomål/A 33419-2023 FSC-klagomål.docx", "A 33419-2023")</f>
        <v/>
      </c>
      <c r="W89">
        <f>HYPERLINK("https://klasma.github.io/Logging_2480/klagomålsmail/A 33419-2023 FSC-klagomål mail.docx", "A 33419-2023")</f>
        <v/>
      </c>
      <c r="X89">
        <f>HYPERLINK("https://klasma.github.io/Logging_2480/tillsyn/A 33419-2023 tillsynsbegäran.docx", "A 33419-2023")</f>
        <v/>
      </c>
      <c r="Y89">
        <f>HYPERLINK("https://klasma.github.io/Logging_2480/tillsynsmail/A 33419-2023 tillsynsbegäran mail.docx", "A 33419-2023")</f>
        <v/>
      </c>
    </row>
    <row r="90" ht="15" customHeight="1">
      <c r="A90" t="inlineStr">
        <is>
          <t>A 36528-2023</t>
        </is>
      </c>
      <c r="B90" s="1" t="n">
        <v>45152</v>
      </c>
      <c r="C90" s="1" t="n">
        <v>45340</v>
      </c>
      <c r="D90" t="inlineStr">
        <is>
          <t>VÄSTERBOTTENS LÄN</t>
        </is>
      </c>
      <c r="E90" t="inlineStr">
        <is>
          <t>UMEÅ</t>
        </is>
      </c>
      <c r="G90" t="n">
        <v>2.4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HYPERLINK("https://klasma.github.io/Logging_2480/artfynd/A 36528-2023 artfynd.xlsx", "A 36528-2023")</f>
        <v/>
      </c>
      <c r="T90">
        <f>HYPERLINK("https://klasma.github.io/Logging_2480/kartor/A 36528-2023 karta.png", "A 36528-2023")</f>
        <v/>
      </c>
      <c r="U90">
        <f>HYPERLINK("https://klasma.github.io/Logging_2480/knärot/A 36528-2023 karta knärot.png", "A 36528-2023")</f>
        <v/>
      </c>
      <c r="V90">
        <f>HYPERLINK("https://klasma.github.io/Logging_2480/klagomål/A 36528-2023 FSC-klagomål.docx", "A 36528-2023")</f>
        <v/>
      </c>
      <c r="W90">
        <f>HYPERLINK("https://klasma.github.io/Logging_2480/klagomålsmail/A 36528-2023 FSC-klagomål mail.docx", "A 36528-2023")</f>
        <v/>
      </c>
      <c r="X90">
        <f>HYPERLINK("https://klasma.github.io/Logging_2480/tillsyn/A 36528-2023 tillsynsbegäran.docx", "A 36528-2023")</f>
        <v/>
      </c>
      <c r="Y90">
        <f>HYPERLINK("https://klasma.github.io/Logging_2480/tillsynsmail/A 36528-2023 tillsynsbegäran mail.docx", "A 36528-2023")</f>
        <v/>
      </c>
    </row>
    <row r="91" ht="15" customHeight="1">
      <c r="A91" t="inlineStr">
        <is>
          <t>A 39118-2023</t>
        </is>
      </c>
      <c r="B91" s="1" t="n">
        <v>45165</v>
      </c>
      <c r="C91" s="1" t="n">
        <v>45340</v>
      </c>
      <c r="D91" t="inlineStr">
        <is>
          <t>VÄSTERBOTTENS LÄN</t>
        </is>
      </c>
      <c r="E91" t="inlineStr">
        <is>
          <t>UMEÅ</t>
        </is>
      </c>
      <c r="G91" t="n">
        <v>1.2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taggsvamp</t>
        </is>
      </c>
      <c r="S91">
        <f>HYPERLINK("https://klasma.github.io/Logging_2480/artfynd/A 39118-2023 artfynd.xlsx", "A 39118-2023")</f>
        <v/>
      </c>
      <c r="T91">
        <f>HYPERLINK("https://klasma.github.io/Logging_2480/kartor/A 39118-2023 karta.png", "A 39118-2023")</f>
        <v/>
      </c>
      <c r="V91">
        <f>HYPERLINK("https://klasma.github.io/Logging_2480/klagomål/A 39118-2023 FSC-klagomål.docx", "A 39118-2023")</f>
        <v/>
      </c>
      <c r="W91">
        <f>HYPERLINK("https://klasma.github.io/Logging_2480/klagomålsmail/A 39118-2023 FSC-klagomål mail.docx", "A 39118-2023")</f>
        <v/>
      </c>
      <c r="X91">
        <f>HYPERLINK("https://klasma.github.io/Logging_2480/tillsyn/A 39118-2023 tillsynsbegäran.docx", "A 39118-2023")</f>
        <v/>
      </c>
      <c r="Y91">
        <f>HYPERLINK("https://klasma.github.io/Logging_2480/tillsynsmail/A 39118-2023 tillsynsbegäran mail.docx", "A 39118-2023")</f>
        <v/>
      </c>
    </row>
    <row r="92" ht="15" customHeight="1">
      <c r="A92" t="inlineStr">
        <is>
          <t>A 41674-2023</t>
        </is>
      </c>
      <c r="B92" s="1" t="n">
        <v>45176</v>
      </c>
      <c r="C92" s="1" t="n">
        <v>45340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Nordfladdermus</t>
        </is>
      </c>
      <c r="S92">
        <f>HYPERLINK("https://klasma.github.io/Logging_2480/artfynd/A 41674-2023 artfynd.xlsx", "A 41674-2023")</f>
        <v/>
      </c>
      <c r="T92">
        <f>HYPERLINK("https://klasma.github.io/Logging_2480/kartor/A 41674-2023 karta.png", "A 41674-2023")</f>
        <v/>
      </c>
      <c r="V92">
        <f>HYPERLINK("https://klasma.github.io/Logging_2480/klagomål/A 41674-2023 FSC-klagomål.docx", "A 41674-2023")</f>
        <v/>
      </c>
      <c r="W92">
        <f>HYPERLINK("https://klasma.github.io/Logging_2480/klagomålsmail/A 41674-2023 FSC-klagomål mail.docx", "A 41674-2023")</f>
        <v/>
      </c>
      <c r="X92">
        <f>HYPERLINK("https://klasma.github.io/Logging_2480/tillsyn/A 41674-2023 tillsynsbegäran.docx", "A 41674-2023")</f>
        <v/>
      </c>
      <c r="Y92">
        <f>HYPERLINK("https://klasma.github.io/Logging_2480/tillsynsmail/A 41674-2023 tillsynsbegäran mail.docx", "A 41674-2023")</f>
        <v/>
      </c>
    </row>
    <row r="93" ht="15" customHeight="1">
      <c r="A93" t="inlineStr">
        <is>
          <t>A 44521-2023</t>
        </is>
      </c>
      <c r="B93" s="1" t="n">
        <v>45189</v>
      </c>
      <c r="C93" s="1" t="n">
        <v>45340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6.7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HYPERLINK("https://klasma.github.io/Logging_2480/artfynd/A 44521-2023 artfynd.xlsx", "A 44521-2023")</f>
        <v/>
      </c>
      <c r="T93">
        <f>HYPERLINK("https://klasma.github.io/Logging_2480/kartor/A 44521-2023 karta.png", "A 44521-2023")</f>
        <v/>
      </c>
      <c r="V93">
        <f>HYPERLINK("https://klasma.github.io/Logging_2480/klagomål/A 44521-2023 FSC-klagomål.docx", "A 44521-2023")</f>
        <v/>
      </c>
      <c r="W93">
        <f>HYPERLINK("https://klasma.github.io/Logging_2480/klagomålsmail/A 44521-2023 FSC-klagomål mail.docx", "A 44521-2023")</f>
        <v/>
      </c>
      <c r="X93">
        <f>HYPERLINK("https://klasma.github.io/Logging_2480/tillsyn/A 44521-2023 tillsynsbegäran.docx", "A 44521-2023")</f>
        <v/>
      </c>
      <c r="Y93">
        <f>HYPERLINK("https://klasma.github.io/Logging_2480/tillsynsmail/A 44521-2023 tillsynsbegäran mail.docx", "A 44521-2023")</f>
        <v/>
      </c>
      <c r="Z93">
        <f>HYPERLINK("https://klasma.github.io/Logging_2480/fåglar/A 44521-2023 prioriterade fågelarter.docx", "A 44521-2023")</f>
        <v/>
      </c>
    </row>
    <row r="94" ht="15" customHeight="1">
      <c r="A94" t="inlineStr">
        <is>
          <t>A 58670-2023</t>
        </is>
      </c>
      <c r="B94" s="1" t="n">
        <v>45251</v>
      </c>
      <c r="C94" s="1" t="n">
        <v>45340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11.9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HYPERLINK("https://klasma.github.io/Logging_2480/artfynd/A 58670-2023 artfynd.xlsx", "A 58670-2023")</f>
        <v/>
      </c>
      <c r="T94">
        <f>HYPERLINK("https://klasma.github.io/Logging_2480/kartor/A 58670-2023 karta.png", "A 58670-2023")</f>
        <v/>
      </c>
      <c r="V94">
        <f>HYPERLINK("https://klasma.github.io/Logging_2480/klagomål/A 58670-2023 FSC-klagomål.docx", "A 58670-2023")</f>
        <v/>
      </c>
      <c r="W94">
        <f>HYPERLINK("https://klasma.github.io/Logging_2480/klagomålsmail/A 58670-2023 FSC-klagomål mail.docx", "A 58670-2023")</f>
        <v/>
      </c>
      <c r="X94">
        <f>HYPERLINK("https://klasma.github.io/Logging_2480/tillsyn/A 58670-2023 tillsynsbegäran.docx", "A 58670-2023")</f>
        <v/>
      </c>
      <c r="Y94">
        <f>HYPERLINK("https://klasma.github.io/Logging_2480/tillsynsmail/A 58670-2023 tillsynsbegäran mail.docx", "A 58670-2023")</f>
        <v/>
      </c>
    </row>
    <row r="95" ht="15" customHeight="1">
      <c r="A95" t="inlineStr">
        <is>
          <t>A 36912-2018</t>
        </is>
      </c>
      <c r="B95" s="1" t="n">
        <v>43332</v>
      </c>
      <c r="C95" s="1" t="n">
        <v>45340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41203-2018</t>
        </is>
      </c>
      <c r="B96" s="1" t="n">
        <v>43346</v>
      </c>
      <c r="C96" s="1" t="n">
        <v>45340</v>
      </c>
      <c r="D96" t="inlineStr">
        <is>
          <t>VÄSTERBOTTENS LÄN</t>
        </is>
      </c>
      <c r="E96" t="inlineStr">
        <is>
          <t>UMEÅ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42534-2018</t>
        </is>
      </c>
      <c r="B97" s="1" t="n">
        <v>43350</v>
      </c>
      <c r="C97" s="1" t="n">
        <v>45340</v>
      </c>
      <c r="D97" t="inlineStr">
        <is>
          <t>VÄSTERBOTTENS LÄN</t>
        </is>
      </c>
      <c r="E97" t="inlineStr">
        <is>
          <t>UMEÅ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42471-2018</t>
        </is>
      </c>
      <c r="B98" s="1" t="n">
        <v>43353</v>
      </c>
      <c r="C98" s="1" t="n">
        <v>45340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42998-2018</t>
        </is>
      </c>
      <c r="B99" s="1" t="n">
        <v>43353</v>
      </c>
      <c r="C99" s="1" t="n">
        <v>45340</v>
      </c>
      <c r="D99" t="inlineStr">
        <is>
          <t>VÄSTERBOTTENS LÄN</t>
        </is>
      </c>
      <c r="E99" t="inlineStr">
        <is>
          <t>UMEÅ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43396-2018</t>
        </is>
      </c>
      <c r="B100" s="1" t="n">
        <v>43354</v>
      </c>
      <c r="C100" s="1" t="n">
        <v>45340</v>
      </c>
      <c r="D100" t="inlineStr">
        <is>
          <t>VÄSTERBOTTENS LÄN</t>
        </is>
      </c>
      <c r="E100" t="inlineStr">
        <is>
          <t>UMEÅ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44196-2018</t>
        </is>
      </c>
      <c r="B101" s="1" t="n">
        <v>43355</v>
      </c>
      <c r="C101" s="1" t="n">
        <v>45340</v>
      </c>
      <c r="D101" t="inlineStr">
        <is>
          <t>VÄSTERBOTTENS LÄN</t>
        </is>
      </c>
      <c r="E101" t="inlineStr">
        <is>
          <t>UMEÅ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46699-2018</t>
        </is>
      </c>
      <c r="B102" s="1" t="n">
        <v>43364</v>
      </c>
      <c r="C102" s="1" t="n">
        <v>45340</v>
      </c>
      <c r="D102" t="inlineStr">
        <is>
          <t>VÄSTERBOTTENS LÄN</t>
        </is>
      </c>
      <c r="E102" t="inlineStr">
        <is>
          <t>UMEÅ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47620-2018</t>
        </is>
      </c>
      <c r="B103" s="1" t="n">
        <v>43368</v>
      </c>
      <c r="C103" s="1" t="n">
        <v>45340</v>
      </c>
      <c r="D103" t="inlineStr">
        <is>
          <t>VÄSTERBOTTENS LÄN</t>
        </is>
      </c>
      <c r="E103" t="inlineStr">
        <is>
          <t>UMEÅ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47610-2018</t>
        </is>
      </c>
      <c r="B104" s="1" t="n">
        <v>43368</v>
      </c>
      <c r="C104" s="1" t="n">
        <v>45340</v>
      </c>
      <c r="D104" t="inlineStr">
        <is>
          <t>VÄSTERBOTTENS LÄN</t>
        </is>
      </c>
      <c r="E104" t="inlineStr">
        <is>
          <t>UMEÅ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47523-2018</t>
        </is>
      </c>
      <c r="B105" s="1" t="n">
        <v>43368</v>
      </c>
      <c r="C105" s="1" t="n">
        <v>45340</v>
      </c>
      <c r="D105" t="inlineStr">
        <is>
          <t>VÄSTERBOTTENS LÄN</t>
        </is>
      </c>
      <c r="E105" t="inlineStr">
        <is>
          <t>UMEÅ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47588-2018</t>
        </is>
      </c>
      <c r="B106" s="1" t="n">
        <v>43368</v>
      </c>
      <c r="C106" s="1" t="n">
        <v>45340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48177-2018</t>
        </is>
      </c>
      <c r="B107" s="1" t="n">
        <v>43370</v>
      </c>
      <c r="C107" s="1" t="n">
        <v>45340</v>
      </c>
      <c r="D107" t="inlineStr">
        <is>
          <t>VÄSTERBOTTENS LÄN</t>
        </is>
      </c>
      <c r="E107" t="inlineStr">
        <is>
          <t>UMEÅ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48186-2018</t>
        </is>
      </c>
      <c r="B108" s="1" t="n">
        <v>43370</v>
      </c>
      <c r="C108" s="1" t="n">
        <v>45340</v>
      </c>
      <c r="D108" t="inlineStr">
        <is>
          <t>VÄSTERBOTTENS LÄN</t>
        </is>
      </c>
      <c r="E108" t="inlineStr">
        <is>
          <t>UMEÅ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48997-2018</t>
        </is>
      </c>
      <c r="B109" s="1" t="n">
        <v>43374</v>
      </c>
      <c r="C109" s="1" t="n">
        <v>45340</v>
      </c>
      <c r="D109" t="inlineStr">
        <is>
          <t>VÄSTERBOTTENS LÄN</t>
        </is>
      </c>
      <c r="E109" t="inlineStr">
        <is>
          <t>UMEÅ</t>
        </is>
      </c>
      <c r="G109" t="n">
        <v>30.2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52858-2018</t>
        </is>
      </c>
      <c r="B110" s="1" t="n">
        <v>43384</v>
      </c>
      <c r="C110" s="1" t="n">
        <v>45340</v>
      </c>
      <c r="D110" t="inlineStr">
        <is>
          <t>VÄSTERBOTTENS LÄN</t>
        </is>
      </c>
      <c r="E110" t="inlineStr">
        <is>
          <t>UMEÅ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52872-2018</t>
        </is>
      </c>
      <c r="B111" s="1" t="n">
        <v>43384</v>
      </c>
      <c r="C111" s="1" t="n">
        <v>45340</v>
      </c>
      <c r="D111" t="inlineStr">
        <is>
          <t>VÄSTERBOTTENS LÄN</t>
        </is>
      </c>
      <c r="E111" t="inlineStr">
        <is>
          <t>UMEÅ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53506-2018</t>
        </is>
      </c>
      <c r="B112" s="1" t="n">
        <v>43385</v>
      </c>
      <c r="C112" s="1" t="n">
        <v>45340</v>
      </c>
      <c r="D112" t="inlineStr">
        <is>
          <t>VÄSTERBOTTENS LÄN</t>
        </is>
      </c>
      <c r="E112" t="inlineStr">
        <is>
          <t>UMEÅ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53718-2018</t>
        </is>
      </c>
      <c r="B113" s="1" t="n">
        <v>43385</v>
      </c>
      <c r="C113" s="1" t="n">
        <v>45340</v>
      </c>
      <c r="D113" t="inlineStr">
        <is>
          <t>VÄSTERBOTTENS LÄN</t>
        </is>
      </c>
      <c r="E113" t="inlineStr">
        <is>
          <t>UMEÅ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55839-2018</t>
        </is>
      </c>
      <c r="B114" s="1" t="n">
        <v>43392</v>
      </c>
      <c r="C114" s="1" t="n">
        <v>45340</v>
      </c>
      <c r="D114" t="inlineStr">
        <is>
          <t>VÄSTERBOTTENS LÄN</t>
        </is>
      </c>
      <c r="E114" t="inlineStr">
        <is>
          <t>UMEÅ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55858-2018</t>
        </is>
      </c>
      <c r="B115" s="1" t="n">
        <v>43392</v>
      </c>
      <c r="C115" s="1" t="n">
        <v>45340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55871-2018</t>
        </is>
      </c>
      <c r="B116" s="1" t="n">
        <v>43392</v>
      </c>
      <c r="C116" s="1" t="n">
        <v>45340</v>
      </c>
      <c r="D116" t="inlineStr">
        <is>
          <t>VÄSTERBOTTENS LÄN</t>
        </is>
      </c>
      <c r="E116" t="inlineStr">
        <is>
          <t>UMEÅ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59852-2018</t>
        </is>
      </c>
      <c r="B117" s="1" t="n">
        <v>43405</v>
      </c>
      <c r="C117" s="1" t="n">
        <v>45340</v>
      </c>
      <c r="D117" t="inlineStr">
        <is>
          <t>VÄSTERBOTTENS LÄN</t>
        </is>
      </c>
      <c r="E117" t="inlineStr">
        <is>
          <t>UMEÅ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60604-2018</t>
        </is>
      </c>
      <c r="B118" s="1" t="n">
        <v>43406</v>
      </c>
      <c r="C118" s="1" t="n">
        <v>45340</v>
      </c>
      <c r="D118" t="inlineStr">
        <is>
          <t>VÄSTERBOTTENS LÄN</t>
        </is>
      </c>
      <c r="E118" t="inlineStr">
        <is>
          <t>UMEÅ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60731-2018</t>
        </is>
      </c>
      <c r="B119" s="1" t="n">
        <v>43409</v>
      </c>
      <c r="C119" s="1" t="n">
        <v>45340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60209-2018</t>
        </is>
      </c>
      <c r="B120" s="1" t="n">
        <v>43412</v>
      </c>
      <c r="C120" s="1" t="n">
        <v>45340</v>
      </c>
      <c r="D120" t="inlineStr">
        <is>
          <t>VÄSTERBOTTENS LÄN</t>
        </is>
      </c>
      <c r="E120" t="inlineStr">
        <is>
          <t>UMEÅ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60279-2018</t>
        </is>
      </c>
      <c r="B121" s="1" t="n">
        <v>43413</v>
      </c>
      <c r="C121" s="1" t="n">
        <v>45340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62720-2018</t>
        </is>
      </c>
      <c r="B122" s="1" t="n">
        <v>43413</v>
      </c>
      <c r="C122" s="1" t="n">
        <v>45340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62480-2018</t>
        </is>
      </c>
      <c r="B123" s="1" t="n">
        <v>43415</v>
      </c>
      <c r="C123" s="1" t="n">
        <v>45340</v>
      </c>
      <c r="D123" t="inlineStr">
        <is>
          <t>VÄSTERBOTTENS LÄN</t>
        </is>
      </c>
      <c r="E123" t="inlineStr">
        <is>
          <t>UMEÅ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64042-2018</t>
        </is>
      </c>
      <c r="B124" s="1" t="n">
        <v>43416</v>
      </c>
      <c r="C124" s="1" t="n">
        <v>45340</v>
      </c>
      <c r="D124" t="inlineStr">
        <is>
          <t>VÄSTERBOTTENS LÄN</t>
        </is>
      </c>
      <c r="E124" t="inlineStr">
        <is>
          <t>UMEÅ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64054-2018</t>
        </is>
      </c>
      <c r="B125" s="1" t="n">
        <v>43416</v>
      </c>
      <c r="C125" s="1" t="n">
        <v>45340</v>
      </c>
      <c r="D125" t="inlineStr">
        <is>
          <t>VÄSTERBOTTENS LÄN</t>
        </is>
      </c>
      <c r="E125" t="inlineStr">
        <is>
          <t>UMEÅ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59735-2018</t>
        </is>
      </c>
      <c r="B126" s="1" t="n">
        <v>43419</v>
      </c>
      <c r="C126" s="1" t="n">
        <v>45340</v>
      </c>
      <c r="D126" t="inlineStr">
        <is>
          <t>VÄSTERBOTTENS LÄN</t>
        </is>
      </c>
      <c r="E126" t="inlineStr">
        <is>
          <t>UMEÅ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64352-2018</t>
        </is>
      </c>
      <c r="B127" s="1" t="n">
        <v>43419</v>
      </c>
      <c r="C127" s="1" t="n">
        <v>45340</v>
      </c>
      <c r="D127" t="inlineStr">
        <is>
          <t>VÄSTERBOTTENS LÄN</t>
        </is>
      </c>
      <c r="E127" t="inlineStr">
        <is>
          <t>UMEÅ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59679-2018</t>
        </is>
      </c>
      <c r="B128" s="1" t="n">
        <v>43419</v>
      </c>
      <c r="C128" s="1" t="n">
        <v>45340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64702-2018</t>
        </is>
      </c>
      <c r="B129" s="1" t="n">
        <v>43422</v>
      </c>
      <c r="C129" s="1" t="n">
        <v>45340</v>
      </c>
      <c r="D129" t="inlineStr">
        <is>
          <t>VÄSTERBOTTENS LÄN</t>
        </is>
      </c>
      <c r="E129" t="inlineStr">
        <is>
          <t>UMEÅ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64670-2018</t>
        </is>
      </c>
      <c r="B130" s="1" t="n">
        <v>43422</v>
      </c>
      <c r="C130" s="1" t="n">
        <v>45340</v>
      </c>
      <c r="D130" t="inlineStr">
        <is>
          <t>VÄSTERBOTTENS LÄN</t>
        </is>
      </c>
      <c r="E130" t="inlineStr">
        <is>
          <t>UMEÅ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60947-2018</t>
        </is>
      </c>
      <c r="B131" s="1" t="n">
        <v>43423</v>
      </c>
      <c r="C131" s="1" t="n">
        <v>45340</v>
      </c>
      <c r="D131" t="inlineStr">
        <is>
          <t>VÄSTERBOTTENS LÄN</t>
        </is>
      </c>
      <c r="E131" t="inlineStr">
        <is>
          <t>UMEÅ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61543-2018</t>
        </is>
      </c>
      <c r="B132" s="1" t="n">
        <v>43424</v>
      </c>
      <c r="C132" s="1" t="n">
        <v>45340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65480-2018</t>
        </is>
      </c>
      <c r="B133" s="1" t="n">
        <v>43424</v>
      </c>
      <c r="C133" s="1" t="n">
        <v>45340</v>
      </c>
      <c r="D133" t="inlineStr">
        <is>
          <t>VÄSTERBOTTENS LÄN</t>
        </is>
      </c>
      <c r="E133" t="inlineStr">
        <is>
          <t>UMEÅ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61321-2018</t>
        </is>
      </c>
      <c r="B134" s="1" t="n">
        <v>43424</v>
      </c>
      <c r="C134" s="1" t="n">
        <v>45340</v>
      </c>
      <c r="D134" t="inlineStr">
        <is>
          <t>VÄSTERBOTTENS LÄN</t>
        </is>
      </c>
      <c r="E134" t="inlineStr">
        <is>
          <t>UMEÅ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62864-2018</t>
        </is>
      </c>
      <c r="B135" s="1" t="n">
        <v>43426</v>
      </c>
      <c r="C135" s="1" t="n">
        <v>45340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63394-2018</t>
        </is>
      </c>
      <c r="B136" s="1" t="n">
        <v>43427</v>
      </c>
      <c r="C136" s="1" t="n">
        <v>45340</v>
      </c>
      <c r="D136" t="inlineStr">
        <is>
          <t>VÄSTERBOTTENS LÄN</t>
        </is>
      </c>
      <c r="E136" t="inlineStr">
        <is>
          <t>UMEÅ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67691-2018</t>
        </is>
      </c>
      <c r="B137" s="1" t="n">
        <v>43433</v>
      </c>
      <c r="C137" s="1" t="n">
        <v>45340</v>
      </c>
      <c r="D137" t="inlineStr">
        <is>
          <t>VÄSTERBOTTENS LÄN</t>
        </is>
      </c>
      <c r="E137" t="inlineStr">
        <is>
          <t>UMEÅ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67785-2018</t>
        </is>
      </c>
      <c r="B138" s="1" t="n">
        <v>43440</v>
      </c>
      <c r="C138" s="1" t="n">
        <v>45340</v>
      </c>
      <c r="D138" t="inlineStr">
        <is>
          <t>VÄSTERBOTTENS LÄN</t>
        </is>
      </c>
      <c r="E138" t="inlineStr">
        <is>
          <t>UMEÅ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69747-2018</t>
        </is>
      </c>
      <c r="B139" s="1" t="n">
        <v>43444</v>
      </c>
      <c r="C139" s="1" t="n">
        <v>45340</v>
      </c>
      <c r="D139" t="inlineStr">
        <is>
          <t>VÄSTERBOTTENS LÄN</t>
        </is>
      </c>
      <c r="E139" t="inlineStr">
        <is>
          <t>UMEÅ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70049-2018</t>
        </is>
      </c>
      <c r="B140" s="1" t="n">
        <v>43448</v>
      </c>
      <c r="C140" s="1" t="n">
        <v>45340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71444-2018</t>
        </is>
      </c>
      <c r="B141" s="1" t="n">
        <v>43451</v>
      </c>
      <c r="C141" s="1" t="n">
        <v>45340</v>
      </c>
      <c r="D141" t="inlineStr">
        <is>
          <t>VÄSTERBOTTENS LÄN</t>
        </is>
      </c>
      <c r="E141" t="inlineStr">
        <is>
          <t>UMEÅ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71448-2018</t>
        </is>
      </c>
      <c r="B142" s="1" t="n">
        <v>43451</v>
      </c>
      <c r="C142" s="1" t="n">
        <v>45340</v>
      </c>
      <c r="D142" t="inlineStr">
        <is>
          <t>VÄSTERBOTTENS LÄN</t>
        </is>
      </c>
      <c r="E142" t="inlineStr">
        <is>
          <t>UMEÅ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70733-2018</t>
        </is>
      </c>
      <c r="B143" s="1" t="n">
        <v>43451</v>
      </c>
      <c r="C143" s="1" t="n">
        <v>45340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71678-2018</t>
        </is>
      </c>
      <c r="B144" s="1" t="n">
        <v>43452</v>
      </c>
      <c r="C144" s="1" t="n">
        <v>45340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71811-2018</t>
        </is>
      </c>
      <c r="B145" s="1" t="n">
        <v>43454</v>
      </c>
      <c r="C145" s="1" t="n">
        <v>45340</v>
      </c>
      <c r="D145" t="inlineStr">
        <is>
          <t>VÄSTERBOTTENS LÄN</t>
        </is>
      </c>
      <c r="E145" t="inlineStr">
        <is>
          <t>UMEÅ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650-2019</t>
        </is>
      </c>
      <c r="B146" s="1" t="n">
        <v>43455</v>
      </c>
      <c r="C146" s="1" t="n">
        <v>45340</v>
      </c>
      <c r="D146" t="inlineStr">
        <is>
          <t>VÄSTERBOTTENS LÄN</t>
        </is>
      </c>
      <c r="E146" t="inlineStr">
        <is>
          <t>UMEÅ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799-2019</t>
        </is>
      </c>
      <c r="B147" s="1" t="n">
        <v>43455</v>
      </c>
      <c r="C147" s="1" t="n">
        <v>45340</v>
      </c>
      <c r="D147" t="inlineStr">
        <is>
          <t>VÄSTERBOTTENS LÄN</t>
        </is>
      </c>
      <c r="E147" t="inlineStr">
        <is>
          <t>UMEÅ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72624-2018</t>
        </is>
      </c>
      <c r="B148" s="1" t="n">
        <v>43464</v>
      </c>
      <c r="C148" s="1" t="n">
        <v>45340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202-2019</t>
        </is>
      </c>
      <c r="B149" s="1" t="n">
        <v>43467</v>
      </c>
      <c r="C149" s="1" t="n">
        <v>45340</v>
      </c>
      <c r="D149" t="inlineStr">
        <is>
          <t>VÄSTERBOTTENS LÄN</t>
        </is>
      </c>
      <c r="E149" t="inlineStr">
        <is>
          <t>UMEÅ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122-2019</t>
        </is>
      </c>
      <c r="B150" s="1" t="n">
        <v>43467</v>
      </c>
      <c r="C150" s="1" t="n">
        <v>45340</v>
      </c>
      <c r="D150" t="inlineStr">
        <is>
          <t>VÄSTERBOTTENS LÄN</t>
        </is>
      </c>
      <c r="E150" t="inlineStr">
        <is>
          <t>UMEÅ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1354-2019</t>
        </is>
      </c>
      <c r="B151" s="1" t="n">
        <v>43473</v>
      </c>
      <c r="C151" s="1" t="n">
        <v>45340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1635-2019</t>
        </is>
      </c>
      <c r="B152" s="1" t="n">
        <v>43474</v>
      </c>
      <c r="C152" s="1" t="n">
        <v>45340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1803-2019</t>
        </is>
      </c>
      <c r="B153" s="1" t="n">
        <v>43474</v>
      </c>
      <c r="C153" s="1" t="n">
        <v>45340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2268-2019</t>
        </is>
      </c>
      <c r="B154" s="1" t="n">
        <v>43475</v>
      </c>
      <c r="C154" s="1" t="n">
        <v>45340</v>
      </c>
      <c r="D154" t="inlineStr">
        <is>
          <t>VÄSTERBOTTENS LÄN</t>
        </is>
      </c>
      <c r="E154" t="inlineStr">
        <is>
          <t>UMEÅ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1938-2019</t>
        </is>
      </c>
      <c r="B155" s="1" t="n">
        <v>43475</v>
      </c>
      <c r="C155" s="1" t="n">
        <v>45340</v>
      </c>
      <c r="D155" t="inlineStr">
        <is>
          <t>VÄSTERBOTTENS LÄN</t>
        </is>
      </c>
      <c r="E155" t="inlineStr">
        <is>
          <t>UMEÅ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2194-2019</t>
        </is>
      </c>
      <c r="B156" s="1" t="n">
        <v>43475</v>
      </c>
      <c r="C156" s="1" t="n">
        <v>45340</v>
      </c>
      <c r="D156" t="inlineStr">
        <is>
          <t>VÄSTERBOTTENS LÄN</t>
        </is>
      </c>
      <c r="E156" t="inlineStr">
        <is>
          <t>UMEÅ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4175-2019</t>
        </is>
      </c>
      <c r="B157" s="1" t="n">
        <v>43476</v>
      </c>
      <c r="C157" s="1" t="n">
        <v>45340</v>
      </c>
      <c r="D157" t="inlineStr">
        <is>
          <t>VÄSTERBOTTENS LÄN</t>
        </is>
      </c>
      <c r="E157" t="inlineStr">
        <is>
          <t>UMEÅ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3453-2019</t>
        </is>
      </c>
      <c r="B158" s="1" t="n">
        <v>43481</v>
      </c>
      <c r="C158" s="1" t="n">
        <v>45340</v>
      </c>
      <c r="D158" t="inlineStr">
        <is>
          <t>VÄSTERBOTTENS LÄN</t>
        </is>
      </c>
      <c r="E158" t="inlineStr">
        <is>
          <t>UMEÅ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3948-2019</t>
        </is>
      </c>
      <c r="B159" s="1" t="n">
        <v>43482</v>
      </c>
      <c r="C159" s="1" t="n">
        <v>45340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4873-2019</t>
        </is>
      </c>
      <c r="B160" s="1" t="n">
        <v>43487</v>
      </c>
      <c r="C160" s="1" t="n">
        <v>45340</v>
      </c>
      <c r="D160" t="inlineStr">
        <is>
          <t>VÄSTERBOTTENS LÄN</t>
        </is>
      </c>
      <c r="E160" t="inlineStr">
        <is>
          <t>UMEÅ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6941-2019</t>
        </is>
      </c>
      <c r="B161" s="1" t="n">
        <v>43495</v>
      </c>
      <c r="C161" s="1" t="n">
        <v>45340</v>
      </c>
      <c r="D161" t="inlineStr">
        <is>
          <t>VÄSTERBOTTENS LÄN</t>
        </is>
      </c>
      <c r="E161" t="inlineStr">
        <is>
          <t>UMEÅ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6974-2019</t>
        </is>
      </c>
      <c r="B162" s="1" t="n">
        <v>43495</v>
      </c>
      <c r="C162" s="1" t="n">
        <v>45340</v>
      </c>
      <c r="D162" t="inlineStr">
        <is>
          <t>VÄSTERBOTTENS LÄN</t>
        </is>
      </c>
      <c r="E162" t="inlineStr">
        <is>
          <t>UMEÅ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9112-2019</t>
        </is>
      </c>
      <c r="B163" s="1" t="n">
        <v>43504</v>
      </c>
      <c r="C163" s="1" t="n">
        <v>45340</v>
      </c>
      <c r="D163" t="inlineStr">
        <is>
          <t>VÄSTERBOTTENS LÄN</t>
        </is>
      </c>
      <c r="E163" t="inlineStr">
        <is>
          <t>UMEÅ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9935-2019</t>
        </is>
      </c>
      <c r="B164" s="1" t="n">
        <v>43509</v>
      </c>
      <c r="C164" s="1" t="n">
        <v>45340</v>
      </c>
      <c r="D164" t="inlineStr">
        <is>
          <t>VÄSTERBOTTENS LÄN</t>
        </is>
      </c>
      <c r="E164" t="inlineStr">
        <is>
          <t>UMEÅ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9941-2019</t>
        </is>
      </c>
      <c r="B165" s="1" t="n">
        <v>43509</v>
      </c>
      <c r="C165" s="1" t="n">
        <v>45340</v>
      </c>
      <c r="D165" t="inlineStr">
        <is>
          <t>VÄSTERBOTTENS LÄN</t>
        </is>
      </c>
      <c r="E165" t="inlineStr">
        <is>
          <t>UMEÅ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11421-2019</t>
        </is>
      </c>
      <c r="B166" s="1" t="n">
        <v>43516</v>
      </c>
      <c r="C166" s="1" t="n">
        <v>45340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11777-2019</t>
        </is>
      </c>
      <c r="B167" s="1" t="n">
        <v>43518</v>
      </c>
      <c r="C167" s="1" t="n">
        <v>45340</v>
      </c>
      <c r="D167" t="inlineStr">
        <is>
          <t>VÄSTERBOTTENS LÄN</t>
        </is>
      </c>
      <c r="E167" t="inlineStr">
        <is>
          <t>UMEÅ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11776-2019</t>
        </is>
      </c>
      <c r="B168" s="1" t="n">
        <v>43518</v>
      </c>
      <c r="C168" s="1" t="n">
        <v>45340</v>
      </c>
      <c r="D168" t="inlineStr">
        <is>
          <t>VÄSTERBOTTENS LÄN</t>
        </is>
      </c>
      <c r="E168" t="inlineStr">
        <is>
          <t>UMEÅ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11778-2019</t>
        </is>
      </c>
      <c r="B169" s="1" t="n">
        <v>43518</v>
      </c>
      <c r="C169" s="1" t="n">
        <v>45340</v>
      </c>
      <c r="D169" t="inlineStr">
        <is>
          <t>VÄSTERBOTTENS LÄN</t>
        </is>
      </c>
      <c r="E169" t="inlineStr">
        <is>
          <t>UMEÅ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12040-2019</t>
        </is>
      </c>
      <c r="B170" s="1" t="n">
        <v>43522</v>
      </c>
      <c r="C170" s="1" t="n">
        <v>45340</v>
      </c>
      <c r="D170" t="inlineStr">
        <is>
          <t>VÄSTERBOTTENS LÄN</t>
        </is>
      </c>
      <c r="E170" t="inlineStr">
        <is>
          <t>UMEÅ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14287-2019</t>
        </is>
      </c>
      <c r="B171" s="1" t="n">
        <v>43535</v>
      </c>
      <c r="C171" s="1" t="n">
        <v>45340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15049-2019</t>
        </is>
      </c>
      <c r="B172" s="1" t="n">
        <v>43537</v>
      </c>
      <c r="C172" s="1" t="n">
        <v>45340</v>
      </c>
      <c r="D172" t="inlineStr">
        <is>
          <t>VÄSTERBOTTENS LÄN</t>
        </is>
      </c>
      <c r="E172" t="inlineStr">
        <is>
          <t>UMEÅ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14850-2019</t>
        </is>
      </c>
      <c r="B173" s="1" t="n">
        <v>43538</v>
      </c>
      <c r="C173" s="1" t="n">
        <v>45340</v>
      </c>
      <c r="D173" t="inlineStr">
        <is>
          <t>VÄSTERBOTTENS LÄN</t>
        </is>
      </c>
      <c r="E173" t="inlineStr">
        <is>
          <t>UMEÅ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15411-2019</t>
        </is>
      </c>
      <c r="B174" s="1" t="n">
        <v>43539</v>
      </c>
      <c r="C174" s="1" t="n">
        <v>45340</v>
      </c>
      <c r="D174" t="inlineStr">
        <is>
          <t>VÄSTERBOTTENS LÄN</t>
        </is>
      </c>
      <c r="E174" t="inlineStr">
        <is>
          <t>UMEÅ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17094-2019</t>
        </is>
      </c>
      <c r="B175" s="1" t="n">
        <v>43549</v>
      </c>
      <c r="C175" s="1" t="n">
        <v>45340</v>
      </c>
      <c r="D175" t="inlineStr">
        <is>
          <t>VÄSTERBOTTENS LÄN</t>
        </is>
      </c>
      <c r="E175" t="inlineStr">
        <is>
          <t>UMEÅ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16964-2019</t>
        </is>
      </c>
      <c r="B176" s="1" t="n">
        <v>43550</v>
      </c>
      <c r="C176" s="1" t="n">
        <v>45340</v>
      </c>
      <c r="D176" t="inlineStr">
        <is>
          <t>VÄSTERBOTTENS LÄN</t>
        </is>
      </c>
      <c r="E176" t="inlineStr">
        <is>
          <t>UMEÅ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17870-2019</t>
        </is>
      </c>
      <c r="B177" s="1" t="n">
        <v>43553</v>
      </c>
      <c r="C177" s="1" t="n">
        <v>45340</v>
      </c>
      <c r="D177" t="inlineStr">
        <is>
          <t>VÄSTERBOTTENS LÄN</t>
        </is>
      </c>
      <c r="E177" t="inlineStr">
        <is>
          <t>UMEÅ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17877-2019</t>
        </is>
      </c>
      <c r="B178" s="1" t="n">
        <v>43553</v>
      </c>
      <c r="C178" s="1" t="n">
        <v>45340</v>
      </c>
      <c r="D178" t="inlineStr">
        <is>
          <t>VÄSTERBOTTENS LÄN</t>
        </is>
      </c>
      <c r="E178" t="inlineStr">
        <is>
          <t>UMEÅ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17665-2019</t>
        </is>
      </c>
      <c r="B179" s="1" t="n">
        <v>43556</v>
      </c>
      <c r="C179" s="1" t="n">
        <v>45340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18151-2019</t>
        </is>
      </c>
      <c r="B180" s="1" t="n">
        <v>43556</v>
      </c>
      <c r="C180" s="1" t="n">
        <v>45340</v>
      </c>
      <c r="D180" t="inlineStr">
        <is>
          <t>VÄSTERBOTTENS LÄN</t>
        </is>
      </c>
      <c r="E180" t="inlineStr">
        <is>
          <t>UMEÅ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20458-2019</t>
        </is>
      </c>
      <c r="B181" s="1" t="n">
        <v>43572</v>
      </c>
      <c r="C181" s="1" t="n">
        <v>45340</v>
      </c>
      <c r="D181" t="inlineStr">
        <is>
          <t>VÄSTERBOTTENS LÄN</t>
        </is>
      </c>
      <c r="E181" t="inlineStr">
        <is>
          <t>UMEÅ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22739-2019</t>
        </is>
      </c>
      <c r="B182" s="1" t="n">
        <v>43588</v>
      </c>
      <c r="C182" s="1" t="n">
        <v>45340</v>
      </c>
      <c r="D182" t="inlineStr">
        <is>
          <t>VÄSTERBOTTENS LÄN</t>
        </is>
      </c>
      <c r="E182" t="inlineStr">
        <is>
          <t>UMEÅ</t>
        </is>
      </c>
      <c r="F182" t="inlineStr">
        <is>
          <t>Kommuner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23098-2019</t>
        </is>
      </c>
      <c r="B183" s="1" t="n">
        <v>43591</v>
      </c>
      <c r="C183" s="1" t="n">
        <v>45340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23510-2019</t>
        </is>
      </c>
      <c r="B184" s="1" t="n">
        <v>43593</v>
      </c>
      <c r="C184" s="1" t="n">
        <v>45340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23491-2019</t>
        </is>
      </c>
      <c r="B185" s="1" t="n">
        <v>43593</v>
      </c>
      <c r="C185" s="1" t="n">
        <v>45340</v>
      </c>
      <c r="D185" t="inlineStr">
        <is>
          <t>VÄSTERBOTTENS LÄN</t>
        </is>
      </c>
      <c r="E185" t="inlineStr">
        <is>
          <t>UMEÅ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23796-2019</t>
        </is>
      </c>
      <c r="B186" s="1" t="n">
        <v>43595</v>
      </c>
      <c r="C186" s="1" t="n">
        <v>45340</v>
      </c>
      <c r="D186" t="inlineStr">
        <is>
          <t>VÄSTERBOTTENS LÄN</t>
        </is>
      </c>
      <c r="E186" t="inlineStr">
        <is>
          <t>UMEÅ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25273-2019</t>
        </is>
      </c>
      <c r="B187" s="1" t="n">
        <v>43605</v>
      </c>
      <c r="C187" s="1" t="n">
        <v>45340</v>
      </c>
      <c r="D187" t="inlineStr">
        <is>
          <t>VÄSTERBOTTENS LÄN</t>
        </is>
      </c>
      <c r="E187" t="inlineStr">
        <is>
          <t>UMEÅ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25787-2019</t>
        </is>
      </c>
      <c r="B188" s="1" t="n">
        <v>43605</v>
      </c>
      <c r="C188" s="1" t="n">
        <v>45340</v>
      </c>
      <c r="D188" t="inlineStr">
        <is>
          <t>VÄSTERBOTTENS LÄN</t>
        </is>
      </c>
      <c r="E188" t="inlineStr">
        <is>
          <t>UMEÅ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25514-2019</t>
        </is>
      </c>
      <c r="B189" s="1" t="n">
        <v>43606</v>
      </c>
      <c r="C189" s="1" t="n">
        <v>45340</v>
      </c>
      <c r="D189" t="inlineStr">
        <is>
          <t>VÄSTERBOTTENS LÄN</t>
        </is>
      </c>
      <c r="E189" t="inlineStr">
        <is>
          <t>UMEÅ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26382-2019</t>
        </is>
      </c>
      <c r="B190" s="1" t="n">
        <v>43606</v>
      </c>
      <c r="C190" s="1" t="n">
        <v>45340</v>
      </c>
      <c r="D190" t="inlineStr">
        <is>
          <t>VÄSTERBOTTENS LÄN</t>
        </is>
      </c>
      <c r="E190" t="inlineStr">
        <is>
          <t>UMEÅ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28147-2019</t>
        </is>
      </c>
      <c r="B191" s="1" t="n">
        <v>43613</v>
      </c>
      <c r="C191" s="1" t="n">
        <v>45340</v>
      </c>
      <c r="D191" t="inlineStr">
        <is>
          <t>VÄSTERBOTTENS LÄN</t>
        </is>
      </c>
      <c r="E191" t="inlineStr">
        <is>
          <t>UMEÅ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28995-2019</t>
        </is>
      </c>
      <c r="B192" s="1" t="n">
        <v>43620</v>
      </c>
      <c r="C192" s="1" t="n">
        <v>45340</v>
      </c>
      <c r="D192" t="inlineStr">
        <is>
          <t>VÄSTERBOTTENS LÄN</t>
        </is>
      </c>
      <c r="E192" t="inlineStr">
        <is>
          <t>UMEÅ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29281-2019</t>
        </is>
      </c>
      <c r="B193" s="1" t="n">
        <v>43623</v>
      </c>
      <c r="C193" s="1" t="n">
        <v>45340</v>
      </c>
      <c r="D193" t="inlineStr">
        <is>
          <t>VÄSTERBOTTENS LÄN</t>
        </is>
      </c>
      <c r="E193" t="inlineStr">
        <is>
          <t>UMEÅ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29128-2019</t>
        </is>
      </c>
      <c r="B194" s="1" t="n">
        <v>43628</v>
      </c>
      <c r="C194" s="1" t="n">
        <v>45340</v>
      </c>
      <c r="D194" t="inlineStr">
        <is>
          <t>VÄSTERBOTTENS LÄN</t>
        </is>
      </c>
      <c r="E194" t="inlineStr">
        <is>
          <t>UMEÅ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29126-2019</t>
        </is>
      </c>
      <c r="B195" s="1" t="n">
        <v>43628</v>
      </c>
      <c r="C195" s="1" t="n">
        <v>45340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30440-2019</t>
        </is>
      </c>
      <c r="B196" s="1" t="n">
        <v>43633</v>
      </c>
      <c r="C196" s="1" t="n">
        <v>45340</v>
      </c>
      <c r="D196" t="inlineStr">
        <is>
          <t>VÄSTERBOTTENS LÄN</t>
        </is>
      </c>
      <c r="E196" t="inlineStr">
        <is>
          <t>UMEÅ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30187-2019</t>
        </is>
      </c>
      <c r="B197" s="1" t="n">
        <v>43634</v>
      </c>
      <c r="C197" s="1" t="n">
        <v>45340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30964-2019</t>
        </is>
      </c>
      <c r="B198" s="1" t="n">
        <v>43639</v>
      </c>
      <c r="C198" s="1" t="n">
        <v>45340</v>
      </c>
      <c r="D198" t="inlineStr">
        <is>
          <t>VÄSTERBOTTENS LÄN</t>
        </is>
      </c>
      <c r="E198" t="inlineStr">
        <is>
          <t>UMEÅ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30966-2019</t>
        </is>
      </c>
      <c r="B199" s="1" t="n">
        <v>43639</v>
      </c>
      <c r="C199" s="1" t="n">
        <v>45340</v>
      </c>
      <c r="D199" t="inlineStr">
        <is>
          <t>VÄSTERBOTTENS LÄN</t>
        </is>
      </c>
      <c r="E199" t="inlineStr">
        <is>
          <t>UMEÅ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30965-2019</t>
        </is>
      </c>
      <c r="B200" s="1" t="n">
        <v>43639</v>
      </c>
      <c r="C200" s="1" t="n">
        <v>45340</v>
      </c>
      <c r="D200" t="inlineStr">
        <is>
          <t>VÄSTERBOTTENS LÄN</t>
        </is>
      </c>
      <c r="E200" t="inlineStr">
        <is>
          <t>UMEÅ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31265-2019</t>
        </is>
      </c>
      <c r="B201" s="1" t="n">
        <v>43640</v>
      </c>
      <c r="C201" s="1" t="n">
        <v>45340</v>
      </c>
      <c r="D201" t="inlineStr">
        <is>
          <t>VÄSTERBOTTENS LÄN</t>
        </is>
      </c>
      <c r="E201" t="inlineStr">
        <is>
          <t>UMEÅ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31919-2019</t>
        </is>
      </c>
      <c r="B202" s="1" t="n">
        <v>43641</v>
      </c>
      <c r="C202" s="1" t="n">
        <v>45340</v>
      </c>
      <c r="D202" t="inlineStr">
        <is>
          <t>VÄSTERBOTTENS LÄN</t>
        </is>
      </c>
      <c r="E202" t="inlineStr">
        <is>
          <t>UMEÅ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32079-2019</t>
        </is>
      </c>
      <c r="B203" s="1" t="n">
        <v>43642</v>
      </c>
      <c r="C203" s="1" t="n">
        <v>45340</v>
      </c>
      <c r="D203" t="inlineStr">
        <is>
          <t>VÄSTERBOTTENS LÄN</t>
        </is>
      </c>
      <c r="E203" t="inlineStr">
        <is>
          <t>UMEÅ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31938-2019</t>
        </is>
      </c>
      <c r="B204" s="1" t="n">
        <v>43643</v>
      </c>
      <c r="C204" s="1" t="n">
        <v>45340</v>
      </c>
      <c r="D204" t="inlineStr">
        <is>
          <t>VÄSTERBOTTENS LÄN</t>
        </is>
      </c>
      <c r="E204" t="inlineStr">
        <is>
          <t>UMEÅ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33033-2019</t>
        </is>
      </c>
      <c r="B205" s="1" t="n">
        <v>43649</v>
      </c>
      <c r="C205" s="1" t="n">
        <v>45340</v>
      </c>
      <c r="D205" t="inlineStr">
        <is>
          <t>VÄSTERBOTTENS LÄN</t>
        </is>
      </c>
      <c r="E205" t="inlineStr">
        <is>
          <t>UMEÅ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33029-2019</t>
        </is>
      </c>
      <c r="B206" s="1" t="n">
        <v>43649</v>
      </c>
      <c r="C206" s="1" t="n">
        <v>45340</v>
      </c>
      <c r="D206" t="inlineStr">
        <is>
          <t>VÄSTERBOTTENS LÄN</t>
        </is>
      </c>
      <c r="E206" t="inlineStr">
        <is>
          <t>UMEÅ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33034-2019</t>
        </is>
      </c>
      <c r="B207" s="1" t="n">
        <v>43650</v>
      </c>
      <c r="C207" s="1" t="n">
        <v>45340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35451-2019</t>
        </is>
      </c>
      <c r="B208" s="1" t="n">
        <v>43651</v>
      </c>
      <c r="C208" s="1" t="n">
        <v>45340</v>
      </c>
      <c r="D208" t="inlineStr">
        <is>
          <t>VÄSTERBOTTENS LÄN</t>
        </is>
      </c>
      <c r="E208" t="inlineStr">
        <is>
          <t>UMEÅ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35450-2019</t>
        </is>
      </c>
      <c r="B209" s="1" t="n">
        <v>43651</v>
      </c>
      <c r="C209" s="1" t="n">
        <v>45340</v>
      </c>
      <c r="D209" t="inlineStr">
        <is>
          <t>VÄSTERBOTTENS LÄN</t>
        </is>
      </c>
      <c r="E209" t="inlineStr">
        <is>
          <t>UMEÅ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35380-2019</t>
        </is>
      </c>
      <c r="B210" s="1" t="n">
        <v>43651</v>
      </c>
      <c r="C210" s="1" t="n">
        <v>45340</v>
      </c>
      <c r="D210" t="inlineStr">
        <is>
          <t>VÄSTERBOTTENS LÄN</t>
        </is>
      </c>
      <c r="E210" t="inlineStr">
        <is>
          <t>UMEÅ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41058-2019</t>
        </is>
      </c>
      <c r="B211" s="1" t="n">
        <v>43693</v>
      </c>
      <c r="C211" s="1" t="n">
        <v>45340</v>
      </c>
      <c r="D211" t="inlineStr">
        <is>
          <t>VÄSTERBOTTENS LÄN</t>
        </is>
      </c>
      <c r="E211" t="inlineStr">
        <is>
          <t>UMEÅ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40120-2019</t>
        </is>
      </c>
      <c r="B212" s="1" t="n">
        <v>43693</v>
      </c>
      <c r="C212" s="1" t="n">
        <v>45340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41352-2019</t>
        </is>
      </c>
      <c r="B213" s="1" t="n">
        <v>43698</v>
      </c>
      <c r="C213" s="1" t="n">
        <v>45340</v>
      </c>
      <c r="D213" t="inlineStr">
        <is>
          <t>VÄSTERBOTTENS LÄN</t>
        </is>
      </c>
      <c r="E213" t="inlineStr">
        <is>
          <t>UMEÅ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41754-2019</t>
        </is>
      </c>
      <c r="B214" s="1" t="n">
        <v>43699</v>
      </c>
      <c r="C214" s="1" t="n">
        <v>45340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42477-2019</t>
        </is>
      </c>
      <c r="B215" s="1" t="n">
        <v>43704</v>
      </c>
      <c r="C215" s="1" t="n">
        <v>45340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42721-2019</t>
        </is>
      </c>
      <c r="B216" s="1" t="n">
        <v>43704</v>
      </c>
      <c r="C216" s="1" t="n">
        <v>45340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42599-2019</t>
        </is>
      </c>
      <c r="B217" s="1" t="n">
        <v>43704</v>
      </c>
      <c r="C217" s="1" t="n">
        <v>45340</v>
      </c>
      <c r="D217" t="inlineStr">
        <is>
          <t>VÄSTERBOTTENS LÄN</t>
        </is>
      </c>
      <c r="E217" t="inlineStr">
        <is>
          <t>UMEÅ</t>
        </is>
      </c>
      <c r="F217" t="inlineStr">
        <is>
          <t>Övriga Aktiebolag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43613-2019</t>
        </is>
      </c>
      <c r="B218" s="1" t="n">
        <v>43704</v>
      </c>
      <c r="C218" s="1" t="n">
        <v>45340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44537-2019</t>
        </is>
      </c>
      <c r="B219" s="1" t="n">
        <v>43706</v>
      </c>
      <c r="C219" s="1" t="n">
        <v>45340</v>
      </c>
      <c r="D219" t="inlineStr">
        <is>
          <t>VÄSTERBOTTENS LÄN</t>
        </is>
      </c>
      <c r="E219" t="inlineStr">
        <is>
          <t>UMEÅ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45322-2019</t>
        </is>
      </c>
      <c r="B220" s="1" t="n">
        <v>43707</v>
      </c>
      <c r="C220" s="1" t="n">
        <v>45340</v>
      </c>
      <c r="D220" t="inlineStr">
        <is>
          <t>VÄSTERBOTTENS LÄN</t>
        </is>
      </c>
      <c r="E220" t="inlineStr">
        <is>
          <t>UMEÅ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45536-2019</t>
        </is>
      </c>
      <c r="B221" s="1" t="n">
        <v>43714</v>
      </c>
      <c r="C221" s="1" t="n">
        <v>45340</v>
      </c>
      <c r="D221" t="inlineStr">
        <is>
          <t>VÄSTERBOTTENS LÄN</t>
        </is>
      </c>
      <c r="E221" t="inlineStr">
        <is>
          <t>UMEÅ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45905-2019</t>
        </is>
      </c>
      <c r="B222" s="1" t="n">
        <v>43717</v>
      </c>
      <c r="C222" s="1" t="n">
        <v>45340</v>
      </c>
      <c r="D222" t="inlineStr">
        <is>
          <t>VÄSTERBOTTENS LÄN</t>
        </is>
      </c>
      <c r="E222" t="inlineStr">
        <is>
          <t>UMEÅ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45906-2019</t>
        </is>
      </c>
      <c r="B223" s="1" t="n">
        <v>43717</v>
      </c>
      <c r="C223" s="1" t="n">
        <v>45340</v>
      </c>
      <c r="D223" t="inlineStr">
        <is>
          <t>VÄSTERBOTTENS LÄN</t>
        </is>
      </c>
      <c r="E223" t="inlineStr">
        <is>
          <t>UMEÅ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46601-2019</t>
        </is>
      </c>
      <c r="B224" s="1" t="n">
        <v>43719</v>
      </c>
      <c r="C224" s="1" t="n">
        <v>45340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47110-2019</t>
        </is>
      </c>
      <c r="B225" s="1" t="n">
        <v>43720</v>
      </c>
      <c r="C225" s="1" t="n">
        <v>45340</v>
      </c>
      <c r="D225" t="inlineStr">
        <is>
          <t>VÄSTERBOTTENS LÄN</t>
        </is>
      </c>
      <c r="E225" t="inlineStr">
        <is>
          <t>UMEÅ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47111-2019</t>
        </is>
      </c>
      <c r="B226" s="1" t="n">
        <v>43720</v>
      </c>
      <c r="C226" s="1" t="n">
        <v>45340</v>
      </c>
      <c r="D226" t="inlineStr">
        <is>
          <t>VÄSTERBOTTENS LÄN</t>
        </is>
      </c>
      <c r="E226" t="inlineStr">
        <is>
          <t>UMEÅ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47601-2019</t>
        </is>
      </c>
      <c r="B227" s="1" t="n">
        <v>43724</v>
      </c>
      <c r="C227" s="1" t="n">
        <v>45340</v>
      </c>
      <c r="D227" t="inlineStr">
        <is>
          <t>VÄSTERBOTTENS LÄN</t>
        </is>
      </c>
      <c r="E227" t="inlineStr">
        <is>
          <t>UMEÅ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47573-2019</t>
        </is>
      </c>
      <c r="B228" s="1" t="n">
        <v>43724</v>
      </c>
      <c r="C228" s="1" t="n">
        <v>45340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17.1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47708-2019</t>
        </is>
      </c>
      <c r="B229" s="1" t="n">
        <v>43724</v>
      </c>
      <c r="C229" s="1" t="n">
        <v>45340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48558-2019</t>
        </is>
      </c>
      <c r="B230" s="1" t="n">
        <v>43727</v>
      </c>
      <c r="C230" s="1" t="n">
        <v>45340</v>
      </c>
      <c r="D230" t="inlineStr">
        <is>
          <t>VÄSTERBOTTENS LÄN</t>
        </is>
      </c>
      <c r="E230" t="inlineStr">
        <is>
          <t>UMEÅ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51751-2019</t>
        </is>
      </c>
      <c r="B231" s="1" t="n">
        <v>43734</v>
      </c>
      <c r="C231" s="1" t="n">
        <v>45340</v>
      </c>
      <c r="D231" t="inlineStr">
        <is>
          <t>VÄSTERBOTTENS LÄN</t>
        </is>
      </c>
      <c r="E231" t="inlineStr">
        <is>
          <t>UMEÅ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51743-2019</t>
        </is>
      </c>
      <c r="B232" s="1" t="n">
        <v>43734</v>
      </c>
      <c r="C232" s="1" t="n">
        <v>45340</v>
      </c>
      <c r="D232" t="inlineStr">
        <is>
          <t>VÄSTERBOTTENS LÄN</t>
        </is>
      </c>
      <c r="E232" t="inlineStr">
        <is>
          <t>UMEÅ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51555-2019</t>
        </is>
      </c>
      <c r="B233" s="1" t="n">
        <v>43734</v>
      </c>
      <c r="C233" s="1" t="n">
        <v>45340</v>
      </c>
      <c r="D233" t="inlineStr">
        <is>
          <t>VÄSTERBOTTENS LÄN</t>
        </is>
      </c>
      <c r="E233" t="inlineStr">
        <is>
          <t>UMEÅ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53203-2019</t>
        </is>
      </c>
      <c r="B234" s="1" t="n">
        <v>43735</v>
      </c>
      <c r="C234" s="1" t="n">
        <v>45340</v>
      </c>
      <c r="D234" t="inlineStr">
        <is>
          <t>VÄSTERBOTTENS LÄN</t>
        </is>
      </c>
      <c r="E234" t="inlineStr">
        <is>
          <t>UMEÅ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50793-2019</t>
        </is>
      </c>
      <c r="B235" s="1" t="n">
        <v>43738</v>
      </c>
      <c r="C235" s="1" t="n">
        <v>45340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51077-2019</t>
        </is>
      </c>
      <c r="B236" s="1" t="n">
        <v>43739</v>
      </c>
      <c r="C236" s="1" t="n">
        <v>45340</v>
      </c>
      <c r="D236" t="inlineStr">
        <is>
          <t>VÄSTERBOTTENS LÄN</t>
        </is>
      </c>
      <c r="E236" t="inlineStr">
        <is>
          <t>UMEÅ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51087-2019</t>
        </is>
      </c>
      <c r="B237" s="1" t="n">
        <v>43739</v>
      </c>
      <c r="C237" s="1" t="n">
        <v>45340</v>
      </c>
      <c r="D237" t="inlineStr">
        <is>
          <t>VÄSTERBOTTENS LÄN</t>
        </is>
      </c>
      <c r="E237" t="inlineStr">
        <is>
          <t>UMEÅ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51124-2019</t>
        </is>
      </c>
      <c r="B238" s="1" t="n">
        <v>43739</v>
      </c>
      <c r="C238" s="1" t="n">
        <v>45340</v>
      </c>
      <c r="D238" t="inlineStr">
        <is>
          <t>VÄSTERBOTTENS LÄN</t>
        </is>
      </c>
      <c r="E238" t="inlineStr">
        <is>
          <t>UMEÅ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51767-2019</t>
        </is>
      </c>
      <c r="B239" s="1" t="n">
        <v>43741</v>
      </c>
      <c r="C239" s="1" t="n">
        <v>45340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52024-2019</t>
        </is>
      </c>
      <c r="B240" s="1" t="n">
        <v>43742</v>
      </c>
      <c r="C240" s="1" t="n">
        <v>45340</v>
      </c>
      <c r="D240" t="inlineStr">
        <is>
          <t>VÄSTERBOTTENS LÄN</t>
        </is>
      </c>
      <c r="E240" t="inlineStr">
        <is>
          <t>UMEÅ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52475-2019</t>
        </is>
      </c>
      <c r="B241" s="1" t="n">
        <v>43745</v>
      </c>
      <c r="C241" s="1" t="n">
        <v>45340</v>
      </c>
      <c r="D241" t="inlineStr">
        <is>
          <t>VÄSTERBOTTENS LÄN</t>
        </is>
      </c>
      <c r="E241" t="inlineStr">
        <is>
          <t>UMEÅ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53268-2019</t>
        </is>
      </c>
      <c r="B242" s="1" t="n">
        <v>43748</v>
      </c>
      <c r="C242" s="1" t="n">
        <v>45340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53410-2019</t>
        </is>
      </c>
      <c r="B243" s="1" t="n">
        <v>43748</v>
      </c>
      <c r="C243" s="1" t="n">
        <v>45340</v>
      </c>
      <c r="D243" t="inlineStr">
        <is>
          <t>VÄSTERBOTTENS LÄN</t>
        </is>
      </c>
      <c r="E243" t="inlineStr">
        <is>
          <t>UMEÅ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53813-2019</t>
        </is>
      </c>
      <c r="B244" s="1" t="n">
        <v>43751</v>
      </c>
      <c r="C244" s="1" t="n">
        <v>45340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55275-2019</t>
        </is>
      </c>
      <c r="B245" s="1" t="n">
        <v>43753</v>
      </c>
      <c r="C245" s="1" t="n">
        <v>45340</v>
      </c>
      <c r="D245" t="inlineStr">
        <is>
          <t>VÄSTERBOTTENS LÄN</t>
        </is>
      </c>
      <c r="E245" t="inlineStr">
        <is>
          <t>UMEÅ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54880-2019</t>
        </is>
      </c>
      <c r="B246" s="1" t="n">
        <v>43755</v>
      </c>
      <c r="C246" s="1" t="n">
        <v>45340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55906-2019</t>
        </is>
      </c>
      <c r="B247" s="1" t="n">
        <v>43755</v>
      </c>
      <c r="C247" s="1" t="n">
        <v>45340</v>
      </c>
      <c r="D247" t="inlineStr">
        <is>
          <t>VÄSTERBOTTENS LÄN</t>
        </is>
      </c>
      <c r="E247" t="inlineStr">
        <is>
          <t>UMEÅ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56088-2019</t>
        </is>
      </c>
      <c r="B248" s="1" t="n">
        <v>43755</v>
      </c>
      <c r="C248" s="1" t="n">
        <v>45340</v>
      </c>
      <c r="D248" t="inlineStr">
        <is>
          <t>VÄSTERBOTTENS LÄN</t>
        </is>
      </c>
      <c r="E248" t="inlineStr">
        <is>
          <t>UMEÅ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58338-2019</t>
        </is>
      </c>
      <c r="B249" s="1" t="n">
        <v>43770</v>
      </c>
      <c r="C249" s="1" t="n">
        <v>45340</v>
      </c>
      <c r="D249" t="inlineStr">
        <is>
          <t>VÄSTERBOTTENS LÄN</t>
        </is>
      </c>
      <c r="E249" t="inlineStr">
        <is>
          <t>UMEÅ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59459-2019</t>
        </is>
      </c>
      <c r="B250" s="1" t="n">
        <v>43776</v>
      </c>
      <c r="C250" s="1" t="n">
        <v>45340</v>
      </c>
      <c r="D250" t="inlineStr">
        <is>
          <t>VÄSTERBOTTENS LÄN</t>
        </is>
      </c>
      <c r="E250" t="inlineStr">
        <is>
          <t>UMEÅ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59757-2019</t>
        </is>
      </c>
      <c r="B251" s="1" t="n">
        <v>43776</v>
      </c>
      <c r="C251" s="1" t="n">
        <v>45340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62298-2019</t>
        </is>
      </c>
      <c r="B252" s="1" t="n">
        <v>43782</v>
      </c>
      <c r="C252" s="1" t="n">
        <v>45340</v>
      </c>
      <c r="D252" t="inlineStr">
        <is>
          <t>VÄSTERBOTTENS LÄN</t>
        </is>
      </c>
      <c r="E252" t="inlineStr">
        <is>
          <t>UMEÅ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62219-2019</t>
        </is>
      </c>
      <c r="B253" s="1" t="n">
        <v>43782</v>
      </c>
      <c r="C253" s="1" t="n">
        <v>45340</v>
      </c>
      <c r="D253" t="inlineStr">
        <is>
          <t>VÄSTERBOTTENS LÄN</t>
        </is>
      </c>
      <c r="E253" t="inlineStr">
        <is>
          <t>UMEÅ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61231-2019</t>
        </is>
      </c>
      <c r="B254" s="1" t="n">
        <v>43782</v>
      </c>
      <c r="C254" s="1" t="n">
        <v>45340</v>
      </c>
      <c r="D254" t="inlineStr">
        <is>
          <t>VÄSTERBOTTENS LÄN</t>
        </is>
      </c>
      <c r="E254" t="inlineStr">
        <is>
          <t>UMEÅ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61491-2019</t>
        </is>
      </c>
      <c r="B255" s="1" t="n">
        <v>43783</v>
      </c>
      <c r="C255" s="1" t="n">
        <v>45340</v>
      </c>
      <c r="D255" t="inlineStr">
        <is>
          <t>VÄSTERBOTTENS LÄN</t>
        </is>
      </c>
      <c r="E255" t="inlineStr">
        <is>
          <t>UMEÅ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61485-2019</t>
        </is>
      </c>
      <c r="B256" s="1" t="n">
        <v>43783</v>
      </c>
      <c r="C256" s="1" t="n">
        <v>45340</v>
      </c>
      <c r="D256" t="inlineStr">
        <is>
          <t>VÄSTERBOTTENS LÄN</t>
        </is>
      </c>
      <c r="E256" t="inlineStr">
        <is>
          <t>UMEÅ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61251-2019</t>
        </is>
      </c>
      <c r="B257" s="1" t="n">
        <v>43783</v>
      </c>
      <c r="C257" s="1" t="n">
        <v>45340</v>
      </c>
      <c r="D257" t="inlineStr">
        <is>
          <t>VÄSTERBOTTENS LÄN</t>
        </is>
      </c>
      <c r="E257" t="inlineStr">
        <is>
          <t>UMEÅ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63424-2019</t>
        </is>
      </c>
      <c r="B258" s="1" t="n">
        <v>43787</v>
      </c>
      <c r="C258" s="1" t="n">
        <v>45340</v>
      </c>
      <c r="D258" t="inlineStr">
        <is>
          <t>VÄSTERBOTTENS LÄN</t>
        </is>
      </c>
      <c r="E258" t="inlineStr">
        <is>
          <t>UMEÅ</t>
        </is>
      </c>
      <c r="F258" t="inlineStr">
        <is>
          <t>SCA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62268-2019</t>
        </is>
      </c>
      <c r="B259" s="1" t="n">
        <v>43788</v>
      </c>
      <c r="C259" s="1" t="n">
        <v>45340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62202-2019</t>
        </is>
      </c>
      <c r="B260" s="1" t="n">
        <v>43788</v>
      </c>
      <c r="C260" s="1" t="n">
        <v>45340</v>
      </c>
      <c r="D260" t="inlineStr">
        <is>
          <t>VÄSTERBOTTENS LÄN</t>
        </is>
      </c>
      <c r="E260" t="inlineStr">
        <is>
          <t>UMEÅ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62229-2019</t>
        </is>
      </c>
      <c r="B261" s="1" t="n">
        <v>43788</v>
      </c>
      <c r="C261" s="1" t="n">
        <v>45340</v>
      </c>
      <c r="D261" t="inlineStr">
        <is>
          <t>VÄSTERBOTTENS LÄN</t>
        </is>
      </c>
      <c r="E261" t="inlineStr">
        <is>
          <t>UMEÅ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63617-2019</t>
        </is>
      </c>
      <c r="B262" s="1" t="n">
        <v>43788</v>
      </c>
      <c r="C262" s="1" t="n">
        <v>45340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63559-2019</t>
        </is>
      </c>
      <c r="B263" s="1" t="n">
        <v>43795</v>
      </c>
      <c r="C263" s="1" t="n">
        <v>45340</v>
      </c>
      <c r="D263" t="inlineStr">
        <is>
          <t>VÄSTERBOTTENS LÄN</t>
        </is>
      </c>
      <c r="E263" t="inlineStr">
        <is>
          <t>UMEÅ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64785-2019</t>
        </is>
      </c>
      <c r="B264" s="1" t="n">
        <v>43801</v>
      </c>
      <c r="C264" s="1" t="n">
        <v>45340</v>
      </c>
      <c r="D264" t="inlineStr">
        <is>
          <t>VÄSTERBOTTENS LÄN</t>
        </is>
      </c>
      <c r="E264" t="inlineStr">
        <is>
          <t>UMEÅ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65020-2019</t>
        </is>
      </c>
      <c r="B265" s="1" t="n">
        <v>43801</v>
      </c>
      <c r="C265" s="1" t="n">
        <v>45340</v>
      </c>
      <c r="D265" t="inlineStr">
        <is>
          <t>VÄSTERBOTTENS LÄN</t>
        </is>
      </c>
      <c r="E265" t="inlineStr">
        <is>
          <t>UMEÅ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66124-2019</t>
        </is>
      </c>
      <c r="B266" s="1" t="n">
        <v>43801</v>
      </c>
      <c r="C266" s="1" t="n">
        <v>45340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66120-2019</t>
        </is>
      </c>
      <c r="B267" s="1" t="n">
        <v>43801</v>
      </c>
      <c r="C267" s="1" t="n">
        <v>45340</v>
      </c>
      <c r="D267" t="inlineStr">
        <is>
          <t>VÄSTERBOTTENS LÄN</t>
        </is>
      </c>
      <c r="E267" t="inlineStr">
        <is>
          <t>UMEÅ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65227-2019</t>
        </is>
      </c>
      <c r="B268" s="1" t="n">
        <v>43802</v>
      </c>
      <c r="C268" s="1" t="n">
        <v>45340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66455-2019</t>
        </is>
      </c>
      <c r="B269" s="1" t="n">
        <v>43802</v>
      </c>
      <c r="C269" s="1" t="n">
        <v>45340</v>
      </c>
      <c r="D269" t="inlineStr">
        <is>
          <t>VÄSTERBOTTENS LÄN</t>
        </is>
      </c>
      <c r="E269" t="inlineStr">
        <is>
          <t>UMEÅ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45340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45340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45340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45340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45340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45340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45340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45340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45340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45340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45340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45340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45340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45340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45340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45340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45340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45340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45340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45340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45340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45340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45340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45340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45340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45340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45340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45340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45340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45340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45340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45340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45340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45340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45340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45340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45340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45340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45340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45340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45340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45340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45340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45340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45340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45340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45340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45340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45340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45340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45340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45340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45340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45340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45340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45340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45340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45340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45340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45340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45340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45340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45340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45340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45340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45340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45340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45340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45340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45340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45340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45340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45340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45340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45340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45340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45340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45340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45340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45340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45340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45340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45340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45340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45340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45340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45340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45340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45340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45340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45340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45340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45340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45340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45340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45340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45340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45340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45340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45340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45340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45340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45340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45340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45340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45340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45340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45340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45340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45340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45340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45340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45340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45340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45340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45340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45340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45340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45340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45340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45340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45340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45340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45340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45340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45340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45340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45340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45340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45340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45340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45340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45340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45340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45340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45340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45340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45340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45340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45340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45340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45340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45340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45340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45340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45340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45340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45340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45340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45340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45340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45340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45340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45340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45340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45340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45340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45340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45340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45340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45340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45340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45340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45340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45340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45340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45340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45340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45340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45340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45340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45340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21628-2021</t>
        </is>
      </c>
      <c r="B442" s="1" t="n">
        <v>44322</v>
      </c>
      <c r="C442" s="1" t="n">
        <v>45340</v>
      </c>
      <c r="D442" t="inlineStr">
        <is>
          <t>VÄSTERBOTTENS LÄN</t>
        </is>
      </c>
      <c r="E442" t="inlineStr">
        <is>
          <t>UMEÅ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22279-2021</t>
        </is>
      </c>
      <c r="B443" s="1" t="n">
        <v>44326</v>
      </c>
      <c r="C443" s="1" t="n">
        <v>45340</v>
      </c>
      <c r="D443" t="inlineStr">
        <is>
          <t>VÄSTERBOTTENS LÄN</t>
        </is>
      </c>
      <c r="E443" t="inlineStr">
        <is>
          <t>UMEÅ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22503-2021</t>
        </is>
      </c>
      <c r="B444" s="1" t="n">
        <v>44326</v>
      </c>
      <c r="C444" s="1" t="n">
        <v>45340</v>
      </c>
      <c r="D444" t="inlineStr">
        <is>
          <t>VÄSTERBOTTENS LÄN</t>
        </is>
      </c>
      <c r="E444" t="inlineStr">
        <is>
          <t>UMEÅ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23285-2021</t>
        </is>
      </c>
      <c r="B445" s="1" t="n">
        <v>44330</v>
      </c>
      <c r="C445" s="1" t="n">
        <v>45340</v>
      </c>
      <c r="D445" t="inlineStr">
        <is>
          <t>VÄSTERBOTTENS LÄN</t>
        </is>
      </c>
      <c r="E445" t="inlineStr">
        <is>
          <t>UMEÅ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23372-2021</t>
        </is>
      </c>
      <c r="B446" s="1" t="n">
        <v>44333</v>
      </c>
      <c r="C446" s="1" t="n">
        <v>45340</v>
      </c>
      <c r="D446" t="inlineStr">
        <is>
          <t>VÄSTERBOTTENS LÄN</t>
        </is>
      </c>
      <c r="E446" t="inlineStr">
        <is>
          <t>UMEÅ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24942-2021</t>
        </is>
      </c>
      <c r="B447" s="1" t="n">
        <v>44341</v>
      </c>
      <c r="C447" s="1" t="n">
        <v>45340</v>
      </c>
      <c r="D447" t="inlineStr">
        <is>
          <t>VÄSTERBOTTENS LÄN</t>
        </is>
      </c>
      <c r="E447" t="inlineStr">
        <is>
          <t>UMEÅ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25859-2021</t>
        </is>
      </c>
      <c r="B448" s="1" t="n">
        <v>44343</v>
      </c>
      <c r="C448" s="1" t="n">
        <v>45340</v>
      </c>
      <c r="D448" t="inlineStr">
        <is>
          <t>VÄSTERBOTTENS LÄN</t>
        </is>
      </c>
      <c r="E448" t="inlineStr">
        <is>
          <t>UMEÅ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27172-2021</t>
        </is>
      </c>
      <c r="B449" s="1" t="n">
        <v>44350</v>
      </c>
      <c r="C449" s="1" t="n">
        <v>45340</v>
      </c>
      <c r="D449" t="inlineStr">
        <is>
          <t>VÄSTERBOTTENS LÄN</t>
        </is>
      </c>
      <c r="E449" t="inlineStr">
        <is>
          <t>UMEÅ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27804-2021</t>
        </is>
      </c>
      <c r="B450" s="1" t="n">
        <v>44354</v>
      </c>
      <c r="C450" s="1" t="n">
        <v>45340</v>
      </c>
      <c r="D450" t="inlineStr">
        <is>
          <t>VÄSTERBOTTENS LÄN</t>
        </is>
      </c>
      <c r="E450" t="inlineStr">
        <is>
          <t>UMEÅ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27998-2021</t>
        </is>
      </c>
      <c r="B451" s="1" t="n">
        <v>44354</v>
      </c>
      <c r="C451" s="1" t="n">
        <v>45340</v>
      </c>
      <c r="D451" t="inlineStr">
        <is>
          <t>VÄSTERBOTTENS LÄN</t>
        </is>
      </c>
      <c r="E451" t="inlineStr">
        <is>
          <t>UMEÅ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28109-2021</t>
        </is>
      </c>
      <c r="B452" s="1" t="n">
        <v>44355</v>
      </c>
      <c r="C452" s="1" t="n">
        <v>45340</v>
      </c>
      <c r="D452" t="inlineStr">
        <is>
          <t>VÄSTERBOTTENS LÄN</t>
        </is>
      </c>
      <c r="E452" t="inlineStr">
        <is>
          <t>UMEÅ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28267-2021</t>
        </is>
      </c>
      <c r="B453" s="1" t="n">
        <v>44355</v>
      </c>
      <c r="C453" s="1" t="n">
        <v>45340</v>
      </c>
      <c r="D453" t="inlineStr">
        <is>
          <t>VÄSTERBOTTENS LÄN</t>
        </is>
      </c>
      <c r="E453" t="inlineStr">
        <is>
          <t>UMEÅ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29534-2021</t>
        </is>
      </c>
      <c r="B454" s="1" t="n">
        <v>44361</v>
      </c>
      <c r="C454" s="1" t="n">
        <v>45340</v>
      </c>
      <c r="D454" t="inlineStr">
        <is>
          <t>VÄSTERBOTTENS LÄN</t>
        </is>
      </c>
      <c r="E454" t="inlineStr">
        <is>
          <t>UMEÅ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29529-2021</t>
        </is>
      </c>
      <c r="B455" s="1" t="n">
        <v>44361</v>
      </c>
      <c r="C455" s="1" t="n">
        <v>45340</v>
      </c>
      <c r="D455" t="inlineStr">
        <is>
          <t>VÄSTERBOTTENS LÄN</t>
        </is>
      </c>
      <c r="E455" t="inlineStr">
        <is>
          <t>UMEÅ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33095-2021</t>
        </is>
      </c>
      <c r="B456" s="1" t="n">
        <v>44376</v>
      </c>
      <c r="C456" s="1" t="n">
        <v>45340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33159-2021</t>
        </is>
      </c>
      <c r="B457" s="1" t="n">
        <v>44376</v>
      </c>
      <c r="C457" s="1" t="n">
        <v>45340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18.4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33229-2021</t>
        </is>
      </c>
      <c r="B458" s="1" t="n">
        <v>44376</v>
      </c>
      <c r="C458" s="1" t="n">
        <v>45340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33753-2021</t>
        </is>
      </c>
      <c r="B459" s="1" t="n">
        <v>44378</v>
      </c>
      <c r="C459" s="1" t="n">
        <v>45340</v>
      </c>
      <c r="D459" t="inlineStr">
        <is>
          <t>VÄSTERBOTTENS LÄN</t>
        </is>
      </c>
      <c r="E459" t="inlineStr">
        <is>
          <t>UMEÅ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34121-2021</t>
        </is>
      </c>
      <c r="B460" s="1" t="n">
        <v>44379</v>
      </c>
      <c r="C460" s="1" t="n">
        <v>45340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34488-2021</t>
        </is>
      </c>
      <c r="B461" s="1" t="n">
        <v>44382</v>
      </c>
      <c r="C461" s="1" t="n">
        <v>45340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34754-2021</t>
        </is>
      </c>
      <c r="B462" s="1" t="n">
        <v>44382</v>
      </c>
      <c r="C462" s="1" t="n">
        <v>45340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34777-2021</t>
        </is>
      </c>
      <c r="B463" s="1" t="n">
        <v>44382</v>
      </c>
      <c r="C463" s="1" t="n">
        <v>45340</v>
      </c>
      <c r="D463" t="inlineStr">
        <is>
          <t>VÄSTERBOTTENS LÄN</t>
        </is>
      </c>
      <c r="E463" t="inlineStr">
        <is>
          <t>UMEÅ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35465-2021</t>
        </is>
      </c>
      <c r="B464" s="1" t="n">
        <v>44385</v>
      </c>
      <c r="C464" s="1" t="n">
        <v>45340</v>
      </c>
      <c r="D464" t="inlineStr">
        <is>
          <t>VÄSTERBOTTENS LÄN</t>
        </is>
      </c>
      <c r="E464" t="inlineStr">
        <is>
          <t>UMEÅ</t>
        </is>
      </c>
      <c r="F464" t="inlineStr">
        <is>
          <t>Sveaskog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35480-2021</t>
        </is>
      </c>
      <c r="B465" s="1" t="n">
        <v>44385</v>
      </c>
      <c r="C465" s="1" t="n">
        <v>45340</v>
      </c>
      <c r="D465" t="inlineStr">
        <is>
          <t>VÄSTERBOTTENS LÄN</t>
        </is>
      </c>
      <c r="E465" t="inlineStr">
        <is>
          <t>UMEÅ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35738-2021</t>
        </is>
      </c>
      <c r="B466" s="1" t="n">
        <v>44386</v>
      </c>
      <c r="C466" s="1" t="n">
        <v>45340</v>
      </c>
      <c r="D466" t="inlineStr">
        <is>
          <t>VÄSTERBOTTENS LÄN</t>
        </is>
      </c>
      <c r="E466" t="inlineStr">
        <is>
          <t>UMEÅ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38391-2021</t>
        </is>
      </c>
      <c r="B467" s="1" t="n">
        <v>44406</v>
      </c>
      <c r="C467" s="1" t="n">
        <v>45340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38434-2021</t>
        </is>
      </c>
      <c r="B468" s="1" t="n">
        <v>44406</v>
      </c>
      <c r="C468" s="1" t="n">
        <v>45340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38394-2021</t>
        </is>
      </c>
      <c r="B469" s="1" t="n">
        <v>44406</v>
      </c>
      <c r="C469" s="1" t="n">
        <v>45340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38398-2021</t>
        </is>
      </c>
      <c r="B470" s="1" t="n">
        <v>44406</v>
      </c>
      <c r="C470" s="1" t="n">
        <v>45340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38403-2021</t>
        </is>
      </c>
      <c r="B471" s="1" t="n">
        <v>44406</v>
      </c>
      <c r="C471" s="1" t="n">
        <v>45340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38397-2021</t>
        </is>
      </c>
      <c r="B472" s="1" t="n">
        <v>44406</v>
      </c>
      <c r="C472" s="1" t="n">
        <v>45340</v>
      </c>
      <c r="D472" t="inlineStr">
        <is>
          <t>VÄSTERBOTTENS LÄN</t>
        </is>
      </c>
      <c r="E472" t="inlineStr">
        <is>
          <t>UMEÅ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38402-2021</t>
        </is>
      </c>
      <c r="B473" s="1" t="n">
        <v>44406</v>
      </c>
      <c r="C473" s="1" t="n">
        <v>45340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38435-2021</t>
        </is>
      </c>
      <c r="B474" s="1" t="n">
        <v>44406</v>
      </c>
      <c r="C474" s="1" t="n">
        <v>45340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38395-2021</t>
        </is>
      </c>
      <c r="B475" s="1" t="n">
        <v>44406</v>
      </c>
      <c r="C475" s="1" t="n">
        <v>45340</v>
      </c>
      <c r="D475" t="inlineStr">
        <is>
          <t>VÄSTERBOTTENS LÄN</t>
        </is>
      </c>
      <c r="E475" t="inlineStr">
        <is>
          <t>UMEÅ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38399-2021</t>
        </is>
      </c>
      <c r="B476" s="1" t="n">
        <v>44406</v>
      </c>
      <c r="C476" s="1" t="n">
        <v>45340</v>
      </c>
      <c r="D476" t="inlineStr">
        <is>
          <t>VÄSTERBOTTENS LÄN</t>
        </is>
      </c>
      <c r="E476" t="inlineStr">
        <is>
          <t>UMEÅ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38406-2021</t>
        </is>
      </c>
      <c r="B477" s="1" t="n">
        <v>44406</v>
      </c>
      <c r="C477" s="1" t="n">
        <v>45340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38438-2021</t>
        </is>
      </c>
      <c r="B478" s="1" t="n">
        <v>44406</v>
      </c>
      <c r="C478" s="1" t="n">
        <v>45340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38445-2021</t>
        </is>
      </c>
      <c r="B479" s="1" t="n">
        <v>44406</v>
      </c>
      <c r="C479" s="1" t="n">
        <v>45340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38439-2021</t>
        </is>
      </c>
      <c r="B480" s="1" t="n">
        <v>44406</v>
      </c>
      <c r="C480" s="1" t="n">
        <v>45340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38447-2021</t>
        </is>
      </c>
      <c r="B481" s="1" t="n">
        <v>44406</v>
      </c>
      <c r="C481" s="1" t="n">
        <v>45340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38449-2021</t>
        </is>
      </c>
      <c r="B482" s="1" t="n">
        <v>44406</v>
      </c>
      <c r="C482" s="1" t="n">
        <v>45340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38515-2021</t>
        </is>
      </c>
      <c r="B483" s="1" t="n">
        <v>44407</v>
      </c>
      <c r="C483" s="1" t="n">
        <v>45340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38537-2021</t>
        </is>
      </c>
      <c r="B484" s="1" t="n">
        <v>44407</v>
      </c>
      <c r="C484" s="1" t="n">
        <v>45340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38503-2021</t>
        </is>
      </c>
      <c r="B485" s="1" t="n">
        <v>44407</v>
      </c>
      <c r="C485" s="1" t="n">
        <v>45340</v>
      </c>
      <c r="D485" t="inlineStr">
        <is>
          <t>VÄSTERBOTTENS LÄN</t>
        </is>
      </c>
      <c r="E485" t="inlineStr">
        <is>
          <t>UMEÅ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38220-2021</t>
        </is>
      </c>
      <c r="B486" s="1" t="n">
        <v>44407</v>
      </c>
      <c r="C486" s="1" t="n">
        <v>45340</v>
      </c>
      <c r="D486" t="inlineStr">
        <is>
          <t>VÄSTERBOTTENS LÄN</t>
        </is>
      </c>
      <c r="E486" t="inlineStr">
        <is>
          <t>UMEÅ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38514-2021</t>
        </is>
      </c>
      <c r="B487" s="1" t="n">
        <v>44407</v>
      </c>
      <c r="C487" s="1" t="n">
        <v>45340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38519-2021</t>
        </is>
      </c>
      <c r="B488" s="1" t="n">
        <v>44407</v>
      </c>
      <c r="C488" s="1" t="n">
        <v>45340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38535-2021</t>
        </is>
      </c>
      <c r="B489" s="1" t="n">
        <v>44407</v>
      </c>
      <c r="C489" s="1" t="n">
        <v>45340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38516-2021</t>
        </is>
      </c>
      <c r="B490" s="1" t="n">
        <v>44407</v>
      </c>
      <c r="C490" s="1" t="n">
        <v>45340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38523-2021</t>
        </is>
      </c>
      <c r="B491" s="1" t="n">
        <v>44407</v>
      </c>
      <c r="C491" s="1" t="n">
        <v>45340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38541-2021</t>
        </is>
      </c>
      <c r="B492" s="1" t="n">
        <v>44407</v>
      </c>
      <c r="C492" s="1" t="n">
        <v>45340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38547-2021</t>
        </is>
      </c>
      <c r="B493" s="1" t="n">
        <v>44407</v>
      </c>
      <c r="C493" s="1" t="n">
        <v>45340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38559-2021</t>
        </is>
      </c>
      <c r="B494" s="1" t="n">
        <v>44407</v>
      </c>
      <c r="C494" s="1" t="n">
        <v>45340</v>
      </c>
      <c r="D494" t="inlineStr">
        <is>
          <t>VÄSTERBOTTENS LÄN</t>
        </is>
      </c>
      <c r="E494" t="inlineStr">
        <is>
          <t>UMEÅ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38517-2021</t>
        </is>
      </c>
      <c r="B495" s="1" t="n">
        <v>44407</v>
      </c>
      <c r="C495" s="1" t="n">
        <v>45340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38524-2021</t>
        </is>
      </c>
      <c r="B496" s="1" t="n">
        <v>44407</v>
      </c>
      <c r="C496" s="1" t="n">
        <v>45340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38543-2021</t>
        </is>
      </c>
      <c r="B497" s="1" t="n">
        <v>44407</v>
      </c>
      <c r="C497" s="1" t="n">
        <v>45340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38560-2021</t>
        </is>
      </c>
      <c r="B498" s="1" t="n">
        <v>44407</v>
      </c>
      <c r="C498" s="1" t="n">
        <v>45340</v>
      </c>
      <c r="D498" t="inlineStr">
        <is>
          <t>VÄSTERBOTTENS LÄN</t>
        </is>
      </c>
      <c r="E498" t="inlineStr">
        <is>
          <t>UMEÅ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38681-2021</t>
        </is>
      </c>
      <c r="B499" s="1" t="n">
        <v>44407</v>
      </c>
      <c r="C499" s="1" t="n">
        <v>45340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38679-2021</t>
        </is>
      </c>
      <c r="B500" s="1" t="n">
        <v>44407</v>
      </c>
      <c r="C500" s="1" t="n">
        <v>45340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38685-2021</t>
        </is>
      </c>
      <c r="B501" s="1" t="n">
        <v>44407</v>
      </c>
      <c r="C501" s="1" t="n">
        <v>45340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38690-2021</t>
        </is>
      </c>
      <c r="B502" s="1" t="n">
        <v>44407</v>
      </c>
      <c r="C502" s="1" t="n">
        <v>45340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38683-2021</t>
        </is>
      </c>
      <c r="B503" s="1" t="n">
        <v>44407</v>
      </c>
      <c r="C503" s="1" t="n">
        <v>45340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38691-2021</t>
        </is>
      </c>
      <c r="B504" s="1" t="n">
        <v>44407</v>
      </c>
      <c r="C504" s="1" t="n">
        <v>45340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38684-2021</t>
        </is>
      </c>
      <c r="B505" s="1" t="n">
        <v>44407</v>
      </c>
      <c r="C505" s="1" t="n">
        <v>45340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38729-2021</t>
        </is>
      </c>
      <c r="B506" s="1" t="n">
        <v>44410</v>
      </c>
      <c r="C506" s="1" t="n">
        <v>45340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38746-2021</t>
        </is>
      </c>
      <c r="B507" s="1" t="n">
        <v>44410</v>
      </c>
      <c r="C507" s="1" t="n">
        <v>45340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38720-2021</t>
        </is>
      </c>
      <c r="B508" s="1" t="n">
        <v>44410</v>
      </c>
      <c r="C508" s="1" t="n">
        <v>45340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38725-2021</t>
        </is>
      </c>
      <c r="B509" s="1" t="n">
        <v>44410</v>
      </c>
      <c r="C509" s="1" t="n">
        <v>45340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38731-2021</t>
        </is>
      </c>
      <c r="B510" s="1" t="n">
        <v>44410</v>
      </c>
      <c r="C510" s="1" t="n">
        <v>45340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38739-2021</t>
        </is>
      </c>
      <c r="B511" s="1" t="n">
        <v>44410</v>
      </c>
      <c r="C511" s="1" t="n">
        <v>45340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38750-2021</t>
        </is>
      </c>
      <c r="B512" s="1" t="n">
        <v>44410</v>
      </c>
      <c r="C512" s="1" t="n">
        <v>45340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38721-2021</t>
        </is>
      </c>
      <c r="B513" s="1" t="n">
        <v>44410</v>
      </c>
      <c r="C513" s="1" t="n">
        <v>45340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38717-2021</t>
        </is>
      </c>
      <c r="B514" s="1" t="n">
        <v>44410</v>
      </c>
      <c r="C514" s="1" t="n">
        <v>45340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38722-2021</t>
        </is>
      </c>
      <c r="B515" s="1" t="n">
        <v>44410</v>
      </c>
      <c r="C515" s="1" t="n">
        <v>45340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38891-2021</t>
        </is>
      </c>
      <c r="B516" s="1" t="n">
        <v>44410</v>
      </c>
      <c r="C516" s="1" t="n">
        <v>45340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38893-2021</t>
        </is>
      </c>
      <c r="B517" s="1" t="n">
        <v>44410</v>
      </c>
      <c r="C517" s="1" t="n">
        <v>45340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38910-2021</t>
        </is>
      </c>
      <c r="B518" s="1" t="n">
        <v>44410</v>
      </c>
      <c r="C518" s="1" t="n">
        <v>45340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38920-2021</t>
        </is>
      </c>
      <c r="B519" s="1" t="n">
        <v>44410</v>
      </c>
      <c r="C519" s="1" t="n">
        <v>45340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38895-2021</t>
        </is>
      </c>
      <c r="B520" s="1" t="n">
        <v>44410</v>
      </c>
      <c r="C520" s="1" t="n">
        <v>45340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38912-2021</t>
        </is>
      </c>
      <c r="B521" s="1" t="n">
        <v>44410</v>
      </c>
      <c r="C521" s="1" t="n">
        <v>45340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38921-2021</t>
        </is>
      </c>
      <c r="B522" s="1" t="n">
        <v>44410</v>
      </c>
      <c r="C522" s="1" t="n">
        <v>45340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38906-2021</t>
        </is>
      </c>
      <c r="B523" s="1" t="n">
        <v>44410</v>
      </c>
      <c r="C523" s="1" t="n">
        <v>45340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38915-2021</t>
        </is>
      </c>
      <c r="B524" s="1" t="n">
        <v>44410</v>
      </c>
      <c r="C524" s="1" t="n">
        <v>45340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38923-2021</t>
        </is>
      </c>
      <c r="B525" s="1" t="n">
        <v>44410</v>
      </c>
      <c r="C525" s="1" t="n">
        <v>45340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38892-2021</t>
        </is>
      </c>
      <c r="B526" s="1" t="n">
        <v>44410</v>
      </c>
      <c r="C526" s="1" t="n">
        <v>45340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38909-2021</t>
        </is>
      </c>
      <c r="B527" s="1" t="n">
        <v>44410</v>
      </c>
      <c r="C527" s="1" t="n">
        <v>45340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38918-2021</t>
        </is>
      </c>
      <c r="B528" s="1" t="n">
        <v>44410</v>
      </c>
      <c r="C528" s="1" t="n">
        <v>45340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38924-2021</t>
        </is>
      </c>
      <c r="B529" s="1" t="n">
        <v>44410</v>
      </c>
      <c r="C529" s="1" t="n">
        <v>45340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40348-2021</t>
        </is>
      </c>
      <c r="B530" s="1" t="n">
        <v>44419</v>
      </c>
      <c r="C530" s="1" t="n">
        <v>45340</v>
      </c>
      <c r="D530" t="inlineStr">
        <is>
          <t>VÄSTERBOTTENS LÄN</t>
        </is>
      </c>
      <c r="E530" t="inlineStr">
        <is>
          <t>UMEÅ</t>
        </is>
      </c>
      <c r="F530" t="inlineStr">
        <is>
          <t>Kommuner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40962-2021</t>
        </is>
      </c>
      <c r="B531" s="1" t="n">
        <v>44421</v>
      </c>
      <c r="C531" s="1" t="n">
        <v>45340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42352-2021</t>
        </is>
      </c>
      <c r="B532" s="1" t="n">
        <v>44427</v>
      </c>
      <c r="C532" s="1" t="n">
        <v>45340</v>
      </c>
      <c r="D532" t="inlineStr">
        <is>
          <t>VÄSTERBOTTENS LÄN</t>
        </is>
      </c>
      <c r="E532" t="inlineStr">
        <is>
          <t>UMEÅ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43357-2021</t>
        </is>
      </c>
      <c r="B533" s="1" t="n">
        <v>44432</v>
      </c>
      <c r="C533" s="1" t="n">
        <v>45340</v>
      </c>
      <c r="D533" t="inlineStr">
        <is>
          <t>VÄSTERBOTTENS LÄN</t>
        </is>
      </c>
      <c r="E533" t="inlineStr">
        <is>
          <t>UMEÅ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43591-2021</t>
        </is>
      </c>
      <c r="B534" s="1" t="n">
        <v>44433</v>
      </c>
      <c r="C534" s="1" t="n">
        <v>45340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44817-2021</t>
        </is>
      </c>
      <c r="B535" s="1" t="n">
        <v>44438</v>
      </c>
      <c r="C535" s="1" t="n">
        <v>45340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47142-2021</t>
        </is>
      </c>
      <c r="B536" s="1" t="n">
        <v>44447</v>
      </c>
      <c r="C536" s="1" t="n">
        <v>45340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47141-2021</t>
        </is>
      </c>
      <c r="B537" s="1" t="n">
        <v>44447</v>
      </c>
      <c r="C537" s="1" t="n">
        <v>45340</v>
      </c>
      <c r="D537" t="inlineStr">
        <is>
          <t>VÄSTERBOTTENS LÄN</t>
        </is>
      </c>
      <c r="E537" t="inlineStr">
        <is>
          <t>UMEÅ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48607-2021</t>
        </is>
      </c>
      <c r="B538" s="1" t="n">
        <v>44452</v>
      </c>
      <c r="C538" s="1" t="n">
        <v>45340</v>
      </c>
      <c r="D538" t="inlineStr">
        <is>
          <t>VÄSTERBOTTENS LÄN</t>
        </is>
      </c>
      <c r="E538" t="inlineStr">
        <is>
          <t>UMEÅ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48613-2021</t>
        </is>
      </c>
      <c r="B539" s="1" t="n">
        <v>44452</v>
      </c>
      <c r="C539" s="1" t="n">
        <v>45340</v>
      </c>
      <c r="D539" t="inlineStr">
        <is>
          <t>VÄSTERBOTTENS LÄN</t>
        </is>
      </c>
      <c r="E539" t="inlineStr">
        <is>
          <t>UMEÅ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48837-2021</t>
        </is>
      </c>
      <c r="B540" s="1" t="n">
        <v>44453</v>
      </c>
      <c r="C540" s="1" t="n">
        <v>45340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49353-2021</t>
        </is>
      </c>
      <c r="B541" s="1" t="n">
        <v>44453</v>
      </c>
      <c r="C541" s="1" t="n">
        <v>45340</v>
      </c>
      <c r="D541" t="inlineStr">
        <is>
          <t>VÄSTERBOTTENS LÄN</t>
        </is>
      </c>
      <c r="E541" t="inlineStr">
        <is>
          <t>UMEÅ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49850-2021</t>
        </is>
      </c>
      <c r="B542" s="1" t="n">
        <v>44455</v>
      </c>
      <c r="C542" s="1" t="n">
        <v>45340</v>
      </c>
      <c r="D542" t="inlineStr">
        <is>
          <t>VÄSTERBOTTENS LÄN</t>
        </is>
      </c>
      <c r="E542" t="inlineStr">
        <is>
          <t>UMEÅ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50084-2021</t>
        </is>
      </c>
      <c r="B543" s="1" t="n">
        <v>44456</v>
      </c>
      <c r="C543" s="1" t="n">
        <v>45340</v>
      </c>
      <c r="D543" t="inlineStr">
        <is>
          <t>VÄSTERBOTTENS LÄN</t>
        </is>
      </c>
      <c r="E543" t="inlineStr">
        <is>
          <t>UMEÅ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50110-2021</t>
        </is>
      </c>
      <c r="B544" s="1" t="n">
        <v>44456</v>
      </c>
      <c r="C544" s="1" t="n">
        <v>45340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50700-2021</t>
        </is>
      </c>
      <c r="B545" s="1" t="n">
        <v>44460</v>
      </c>
      <c r="C545" s="1" t="n">
        <v>45340</v>
      </c>
      <c r="D545" t="inlineStr">
        <is>
          <t>VÄSTERBOTTENS LÄN</t>
        </is>
      </c>
      <c r="E545" t="inlineStr">
        <is>
          <t>UMEÅ</t>
        </is>
      </c>
      <c r="F545" t="inlineStr">
        <is>
          <t>Övriga Aktiebolag</t>
        </is>
      </c>
      <c r="G545" t="n">
        <v>54.2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51507-2021</t>
        </is>
      </c>
      <c r="B546" s="1" t="n">
        <v>44462</v>
      </c>
      <c r="C546" s="1" t="n">
        <v>45340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17.5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52314-2021</t>
        </is>
      </c>
      <c r="B547" s="1" t="n">
        <v>44464</v>
      </c>
      <c r="C547" s="1" t="n">
        <v>45340</v>
      </c>
      <c r="D547" t="inlineStr">
        <is>
          <t>VÄSTERBOTTENS LÄN</t>
        </is>
      </c>
      <c r="E547" t="inlineStr">
        <is>
          <t>UMEÅ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52311-2021</t>
        </is>
      </c>
      <c r="B548" s="1" t="n">
        <v>44464</v>
      </c>
      <c r="C548" s="1" t="n">
        <v>45340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52309-2021</t>
        </is>
      </c>
      <c r="B549" s="1" t="n">
        <v>44463</v>
      </c>
      <c r="C549" s="1" t="n">
        <v>45340</v>
      </c>
      <c r="D549" t="inlineStr">
        <is>
          <t>VÄSTERBOTTENS LÄN</t>
        </is>
      </c>
      <c r="E549" t="inlineStr">
        <is>
          <t>UMEÅ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52740-2021</t>
        </is>
      </c>
      <c r="B550" s="1" t="n">
        <v>44467</v>
      </c>
      <c r="C550" s="1" t="n">
        <v>45340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53181-2021</t>
        </is>
      </c>
      <c r="B551" s="1" t="n">
        <v>44467</v>
      </c>
      <c r="C551" s="1" t="n">
        <v>45340</v>
      </c>
      <c r="D551" t="inlineStr">
        <is>
          <t>VÄSTERBOTTENS LÄN</t>
        </is>
      </c>
      <c r="E551" t="inlineStr">
        <is>
          <t>UMEÅ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53570-2021</t>
        </is>
      </c>
      <c r="B552" s="1" t="n">
        <v>44469</v>
      </c>
      <c r="C552" s="1" t="n">
        <v>45340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54225-2021</t>
        </is>
      </c>
      <c r="B553" s="1" t="n">
        <v>44470</v>
      </c>
      <c r="C553" s="1" t="n">
        <v>45340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54439-2021</t>
        </is>
      </c>
      <c r="B554" s="1" t="n">
        <v>44473</v>
      </c>
      <c r="C554" s="1" t="n">
        <v>45340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54354-2021</t>
        </is>
      </c>
      <c r="B555" s="1" t="n">
        <v>44473</v>
      </c>
      <c r="C555" s="1" t="n">
        <v>45340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55590-2021</t>
        </is>
      </c>
      <c r="B556" s="1" t="n">
        <v>44476</v>
      </c>
      <c r="C556" s="1" t="n">
        <v>45340</v>
      </c>
      <c r="D556" t="inlineStr">
        <is>
          <t>VÄSTERBOTTENS LÄN</t>
        </is>
      </c>
      <c r="E556" t="inlineStr">
        <is>
          <t>UMEÅ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55910-2021</t>
        </is>
      </c>
      <c r="B557" s="1" t="n">
        <v>44476</v>
      </c>
      <c r="C557" s="1" t="n">
        <v>45340</v>
      </c>
      <c r="D557" t="inlineStr">
        <is>
          <t>VÄSTERBOTTENS LÄN</t>
        </is>
      </c>
      <c r="E557" t="inlineStr">
        <is>
          <t>UMEÅ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56563-2021</t>
        </is>
      </c>
      <c r="B558" s="1" t="n">
        <v>44480</v>
      </c>
      <c r="C558" s="1" t="n">
        <v>45340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56675-2021</t>
        </is>
      </c>
      <c r="B559" s="1" t="n">
        <v>44481</v>
      </c>
      <c r="C559" s="1" t="n">
        <v>45340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56676-2021</t>
        </is>
      </c>
      <c r="B560" s="1" t="n">
        <v>44481</v>
      </c>
      <c r="C560" s="1" t="n">
        <v>45340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56963-2021</t>
        </is>
      </c>
      <c r="B561" s="1" t="n">
        <v>44482</v>
      </c>
      <c r="C561" s="1" t="n">
        <v>45340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57603-2021</t>
        </is>
      </c>
      <c r="B562" s="1" t="n">
        <v>44483</v>
      </c>
      <c r="C562" s="1" t="n">
        <v>45340</v>
      </c>
      <c r="D562" t="inlineStr">
        <is>
          <t>VÄSTERBOTTENS LÄN</t>
        </is>
      </c>
      <c r="E562" t="inlineStr">
        <is>
          <t>UMEÅ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58284-2021</t>
        </is>
      </c>
      <c r="B563" s="1" t="n">
        <v>44488</v>
      </c>
      <c r="C563" s="1" t="n">
        <v>45340</v>
      </c>
      <c r="D563" t="inlineStr">
        <is>
          <t>VÄSTERBOTTENS LÄN</t>
        </is>
      </c>
      <c r="E563" t="inlineStr">
        <is>
          <t>UMEÅ</t>
        </is>
      </c>
      <c r="F563" t="inlineStr">
        <is>
          <t>Kommuner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58538-2021</t>
        </is>
      </c>
      <c r="B564" s="1" t="n">
        <v>44488</v>
      </c>
      <c r="C564" s="1" t="n">
        <v>45340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58612-2021</t>
        </is>
      </c>
      <c r="B565" s="1" t="n">
        <v>44489</v>
      </c>
      <c r="C565" s="1" t="n">
        <v>45340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60088-2021</t>
        </is>
      </c>
      <c r="B566" s="1" t="n">
        <v>44495</v>
      </c>
      <c r="C566" s="1" t="n">
        <v>45340</v>
      </c>
      <c r="D566" t="inlineStr">
        <is>
          <t>VÄSTERBOTTENS LÄN</t>
        </is>
      </c>
      <c r="E566" t="inlineStr">
        <is>
          <t>UMEÅ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60832-2021</t>
        </is>
      </c>
      <c r="B567" s="1" t="n">
        <v>44496</v>
      </c>
      <c r="C567" s="1" t="n">
        <v>45340</v>
      </c>
      <c r="D567" t="inlineStr">
        <is>
          <t>VÄSTERBOTTENS LÄN</t>
        </is>
      </c>
      <c r="E567" t="inlineStr">
        <is>
          <t>UMEÅ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62084-2021</t>
        </is>
      </c>
      <c r="B568" s="1" t="n">
        <v>44502</v>
      </c>
      <c r="C568" s="1" t="n">
        <v>45340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62648-2021</t>
        </is>
      </c>
      <c r="B569" s="1" t="n">
        <v>44503</v>
      </c>
      <c r="C569" s="1" t="n">
        <v>45340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62982-2021</t>
        </is>
      </c>
      <c r="B570" s="1" t="n">
        <v>44504</v>
      </c>
      <c r="C570" s="1" t="n">
        <v>45340</v>
      </c>
      <c r="D570" t="inlineStr">
        <is>
          <t>VÄSTERBOTTENS LÄN</t>
        </is>
      </c>
      <c r="E570" t="inlineStr">
        <is>
          <t>UMEÅ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64355-2021</t>
        </is>
      </c>
      <c r="B571" s="1" t="n">
        <v>44511</v>
      </c>
      <c r="C571" s="1" t="n">
        <v>45340</v>
      </c>
      <c r="D571" t="inlineStr">
        <is>
          <t>VÄSTERBOTTENS LÄN</t>
        </is>
      </c>
      <c r="E571" t="inlineStr">
        <is>
          <t>UMEÅ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65251-2021</t>
        </is>
      </c>
      <c r="B572" s="1" t="n">
        <v>44515</v>
      </c>
      <c r="C572" s="1" t="n">
        <v>45340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65242-2021</t>
        </is>
      </c>
      <c r="B573" s="1" t="n">
        <v>44515</v>
      </c>
      <c r="C573" s="1" t="n">
        <v>45340</v>
      </c>
      <c r="D573" t="inlineStr">
        <is>
          <t>VÄSTERBOTTENS LÄN</t>
        </is>
      </c>
      <c r="E573" t="inlineStr">
        <is>
          <t>UMEÅ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68757-2021</t>
        </is>
      </c>
      <c r="B574" s="1" t="n">
        <v>44529</v>
      </c>
      <c r="C574" s="1" t="n">
        <v>45340</v>
      </c>
      <c r="D574" t="inlineStr">
        <is>
          <t>VÄSTERBOTTENS LÄN</t>
        </is>
      </c>
      <c r="E574" t="inlineStr">
        <is>
          <t>UMEÅ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70077-2021</t>
        </is>
      </c>
      <c r="B575" s="1" t="n">
        <v>44533</v>
      </c>
      <c r="C575" s="1" t="n">
        <v>45340</v>
      </c>
      <c r="D575" t="inlineStr">
        <is>
          <t>VÄSTERBOTTENS LÄN</t>
        </is>
      </c>
      <c r="E575" t="inlineStr">
        <is>
          <t>UMEÅ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70068-2021</t>
        </is>
      </c>
      <c r="B576" s="1" t="n">
        <v>44533</v>
      </c>
      <c r="C576" s="1" t="n">
        <v>45340</v>
      </c>
      <c r="D576" t="inlineStr">
        <is>
          <t>VÄSTERBOTTENS LÄN</t>
        </is>
      </c>
      <c r="E576" t="inlineStr">
        <is>
          <t>UMEÅ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71806-2021</t>
        </is>
      </c>
      <c r="B577" s="1" t="n">
        <v>44543</v>
      </c>
      <c r="C577" s="1" t="n">
        <v>45340</v>
      </c>
      <c r="D577" t="inlineStr">
        <is>
          <t>VÄSTERBOTTENS LÄN</t>
        </is>
      </c>
      <c r="E577" t="inlineStr">
        <is>
          <t>UMEÅ</t>
        </is>
      </c>
      <c r="F577" t="inlineStr">
        <is>
          <t>Sveaskog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72125-2021</t>
        </is>
      </c>
      <c r="B578" s="1" t="n">
        <v>44543</v>
      </c>
      <c r="C578" s="1" t="n">
        <v>45340</v>
      </c>
      <c r="D578" t="inlineStr">
        <is>
          <t>VÄSTERBOTTENS LÄN</t>
        </is>
      </c>
      <c r="E578" t="inlineStr">
        <is>
          <t>UMEÅ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73537-2021</t>
        </is>
      </c>
      <c r="B579" s="1" t="n">
        <v>44550</v>
      </c>
      <c r="C579" s="1" t="n">
        <v>45340</v>
      </c>
      <c r="D579" t="inlineStr">
        <is>
          <t>VÄSTERBOTTENS LÄN</t>
        </is>
      </c>
      <c r="E579" t="inlineStr">
        <is>
          <t>UMEÅ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73534-2021</t>
        </is>
      </c>
      <c r="B580" s="1" t="n">
        <v>44550</v>
      </c>
      <c r="C580" s="1" t="n">
        <v>45340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73532-2021</t>
        </is>
      </c>
      <c r="B581" s="1" t="n">
        <v>44550</v>
      </c>
      <c r="C581" s="1" t="n">
        <v>45340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73538-2021</t>
        </is>
      </c>
      <c r="B582" s="1" t="n">
        <v>44550</v>
      </c>
      <c r="C582" s="1" t="n">
        <v>45340</v>
      </c>
      <c r="D582" t="inlineStr">
        <is>
          <t>VÄSTERBOTTENS LÄN</t>
        </is>
      </c>
      <c r="E582" t="inlineStr">
        <is>
          <t>UMEÅ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74480-2021</t>
        </is>
      </c>
      <c r="B583" s="1" t="n">
        <v>44560</v>
      </c>
      <c r="C583" s="1" t="n">
        <v>45340</v>
      </c>
      <c r="D583" t="inlineStr">
        <is>
          <t>VÄSTERBOTTENS LÄN</t>
        </is>
      </c>
      <c r="E583" t="inlineStr">
        <is>
          <t>UMEÅ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703-2022</t>
        </is>
      </c>
      <c r="B584" s="1" t="n">
        <v>44566</v>
      </c>
      <c r="C584" s="1" t="n">
        <v>45340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1821-2022</t>
        </is>
      </c>
      <c r="B585" s="1" t="n">
        <v>44574</v>
      </c>
      <c r="C585" s="1" t="n">
        <v>45340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2586-2022</t>
        </is>
      </c>
      <c r="B586" s="1" t="n">
        <v>44580</v>
      </c>
      <c r="C586" s="1" t="n">
        <v>45340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2608-2022</t>
        </is>
      </c>
      <c r="B587" s="1" t="n">
        <v>44580</v>
      </c>
      <c r="C587" s="1" t="n">
        <v>45340</v>
      </c>
      <c r="D587" t="inlineStr">
        <is>
          <t>VÄSTERBOTTENS LÄN</t>
        </is>
      </c>
      <c r="E587" t="inlineStr">
        <is>
          <t>UMEÅ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2857-2022</t>
        </is>
      </c>
      <c r="B588" s="1" t="n">
        <v>44581</v>
      </c>
      <c r="C588" s="1" t="n">
        <v>45340</v>
      </c>
      <c r="D588" t="inlineStr">
        <is>
          <t>VÄSTERBOTTENS LÄN</t>
        </is>
      </c>
      <c r="E588" t="inlineStr">
        <is>
          <t>UMEÅ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3940-2022</t>
        </is>
      </c>
      <c r="B589" s="1" t="n">
        <v>44587</v>
      </c>
      <c r="C589" s="1" t="n">
        <v>45340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4084-2022</t>
        </is>
      </c>
      <c r="B590" s="1" t="n">
        <v>44588</v>
      </c>
      <c r="C590" s="1" t="n">
        <v>45340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4629-2022</t>
        </is>
      </c>
      <c r="B591" s="1" t="n">
        <v>44592</v>
      </c>
      <c r="C591" s="1" t="n">
        <v>45340</v>
      </c>
      <c r="D591" t="inlineStr">
        <is>
          <t>VÄSTERBOTTENS LÄN</t>
        </is>
      </c>
      <c r="E591" t="inlineStr">
        <is>
          <t>UMEÅ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4893-2022</t>
        </is>
      </c>
      <c r="B592" s="1" t="n">
        <v>44592</v>
      </c>
      <c r="C592" s="1" t="n">
        <v>45340</v>
      </c>
      <c r="D592" t="inlineStr">
        <is>
          <t>VÄSTERBOTTENS LÄN</t>
        </is>
      </c>
      <c r="E592" t="inlineStr">
        <is>
          <t>UMEÅ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5029-2022</t>
        </is>
      </c>
      <c r="B593" s="1" t="n">
        <v>44593</v>
      </c>
      <c r="C593" s="1" t="n">
        <v>45340</v>
      </c>
      <c r="D593" t="inlineStr">
        <is>
          <t>VÄSTERBOTTENS LÄN</t>
        </is>
      </c>
      <c r="E593" t="inlineStr">
        <is>
          <t>UMEÅ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5374-2022</t>
        </is>
      </c>
      <c r="B594" s="1" t="n">
        <v>44594</v>
      </c>
      <c r="C594" s="1" t="n">
        <v>45340</v>
      </c>
      <c r="D594" t="inlineStr">
        <is>
          <t>VÄSTERBOTTENS LÄN</t>
        </is>
      </c>
      <c r="E594" t="inlineStr">
        <is>
          <t>UMEÅ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5899-2022</t>
        </is>
      </c>
      <c r="B595" s="1" t="n">
        <v>44596</v>
      </c>
      <c r="C595" s="1" t="n">
        <v>45340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5969-2022</t>
        </is>
      </c>
      <c r="B596" s="1" t="n">
        <v>44599</v>
      </c>
      <c r="C596" s="1" t="n">
        <v>45340</v>
      </c>
      <c r="D596" t="inlineStr">
        <is>
          <t>VÄSTERBOTTENS LÄN</t>
        </is>
      </c>
      <c r="E596" t="inlineStr">
        <is>
          <t>UMEÅ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6169-2022</t>
        </is>
      </c>
      <c r="B597" s="1" t="n">
        <v>44599</v>
      </c>
      <c r="C597" s="1" t="n">
        <v>45340</v>
      </c>
      <c r="D597" t="inlineStr">
        <is>
          <t>VÄSTERBOTTENS LÄN</t>
        </is>
      </c>
      <c r="E597" t="inlineStr">
        <is>
          <t>UMEÅ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6342-2022</t>
        </is>
      </c>
      <c r="B598" s="1" t="n">
        <v>44600</v>
      </c>
      <c r="C598" s="1" t="n">
        <v>45340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6711-2022</t>
        </is>
      </c>
      <c r="B599" s="1" t="n">
        <v>44602</v>
      </c>
      <c r="C599" s="1" t="n">
        <v>45340</v>
      </c>
      <c r="D599" t="inlineStr">
        <is>
          <t>VÄSTERBOTTENS LÄN</t>
        </is>
      </c>
      <c r="E599" t="inlineStr">
        <is>
          <t>UMEÅ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7263-2022</t>
        </is>
      </c>
      <c r="B600" s="1" t="n">
        <v>44606</v>
      </c>
      <c r="C600" s="1" t="n">
        <v>45340</v>
      </c>
      <c r="D600" t="inlineStr">
        <is>
          <t>VÄSTERBOTTENS LÄN</t>
        </is>
      </c>
      <c r="E600" t="inlineStr">
        <is>
          <t>UMEÅ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7210-2022</t>
        </is>
      </c>
      <c r="B601" s="1" t="n">
        <v>44606</v>
      </c>
      <c r="C601" s="1" t="n">
        <v>45340</v>
      </c>
      <c r="D601" t="inlineStr">
        <is>
          <t>VÄSTERBOTTENS LÄN</t>
        </is>
      </c>
      <c r="E601" t="inlineStr">
        <is>
          <t>UMEÅ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7316-2022</t>
        </is>
      </c>
      <c r="B602" s="1" t="n">
        <v>44606</v>
      </c>
      <c r="C602" s="1" t="n">
        <v>45340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7376-2022</t>
        </is>
      </c>
      <c r="B603" s="1" t="n">
        <v>44606</v>
      </c>
      <c r="C603" s="1" t="n">
        <v>45340</v>
      </c>
      <c r="D603" t="inlineStr">
        <is>
          <t>VÄSTERBOTTENS LÄN</t>
        </is>
      </c>
      <c r="E603" t="inlineStr">
        <is>
          <t>UMEÅ</t>
        </is>
      </c>
      <c r="G603" t="n">
        <v>16.1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7382-2022</t>
        </is>
      </c>
      <c r="B604" s="1" t="n">
        <v>44606</v>
      </c>
      <c r="C604" s="1" t="n">
        <v>45340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7356-2022</t>
        </is>
      </c>
      <c r="B605" s="1" t="n">
        <v>44606</v>
      </c>
      <c r="C605" s="1" t="n">
        <v>45340</v>
      </c>
      <c r="D605" t="inlineStr">
        <is>
          <t>VÄSTERBOTTENS LÄN</t>
        </is>
      </c>
      <c r="E605" t="inlineStr">
        <is>
          <t>UMEÅ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7384-2022</t>
        </is>
      </c>
      <c r="B606" s="1" t="n">
        <v>44606</v>
      </c>
      <c r="C606" s="1" t="n">
        <v>45340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7430-2022</t>
        </is>
      </c>
      <c r="B607" s="1" t="n">
        <v>44606</v>
      </c>
      <c r="C607" s="1" t="n">
        <v>45340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7438-2022</t>
        </is>
      </c>
      <c r="B608" s="1" t="n">
        <v>44606</v>
      </c>
      <c r="C608" s="1" t="n">
        <v>45340</v>
      </c>
      <c r="D608" t="inlineStr">
        <is>
          <t>VÄSTERBOTTENS LÄN</t>
        </is>
      </c>
      <c r="E608" t="inlineStr">
        <is>
          <t>UMEÅ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7383-2022</t>
        </is>
      </c>
      <c r="B609" s="1" t="n">
        <v>44606</v>
      </c>
      <c r="C609" s="1" t="n">
        <v>45340</v>
      </c>
      <c r="D609" t="inlineStr">
        <is>
          <t>VÄSTERBOTTENS LÄN</t>
        </is>
      </c>
      <c r="E609" t="inlineStr">
        <is>
          <t>UMEÅ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8223-2022</t>
        </is>
      </c>
      <c r="B610" s="1" t="n">
        <v>44609</v>
      </c>
      <c r="C610" s="1" t="n">
        <v>45340</v>
      </c>
      <c r="D610" t="inlineStr">
        <is>
          <t>VÄSTERBOTTENS LÄN</t>
        </is>
      </c>
      <c r="E610" t="inlineStr">
        <is>
          <t>UMEÅ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8409-2022</t>
        </is>
      </c>
      <c r="B611" s="1" t="n">
        <v>44610</v>
      </c>
      <c r="C611" s="1" t="n">
        <v>45340</v>
      </c>
      <c r="D611" t="inlineStr">
        <is>
          <t>VÄSTERBOTTENS LÄN</t>
        </is>
      </c>
      <c r="E611" t="inlineStr">
        <is>
          <t>UMEÅ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8412-2022</t>
        </is>
      </c>
      <c r="B612" s="1" t="n">
        <v>44610</v>
      </c>
      <c r="C612" s="1" t="n">
        <v>45340</v>
      </c>
      <c r="D612" t="inlineStr">
        <is>
          <t>VÄSTERBOTTENS LÄN</t>
        </is>
      </c>
      <c r="E612" t="inlineStr">
        <is>
          <t>UMEÅ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9684-2022</t>
        </is>
      </c>
      <c r="B613" s="1" t="n">
        <v>44617</v>
      </c>
      <c r="C613" s="1" t="n">
        <v>45340</v>
      </c>
      <c r="D613" t="inlineStr">
        <is>
          <t>VÄSTERBOTTENS LÄN</t>
        </is>
      </c>
      <c r="E613" t="inlineStr">
        <is>
          <t>UMEÅ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9769-2022</t>
        </is>
      </c>
      <c r="B614" s="1" t="n">
        <v>44619</v>
      </c>
      <c r="C614" s="1" t="n">
        <v>45340</v>
      </c>
      <c r="D614" t="inlineStr">
        <is>
          <t>VÄSTERBOTTENS LÄN</t>
        </is>
      </c>
      <c r="E614" t="inlineStr">
        <is>
          <t>UMEÅ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9770-2022</t>
        </is>
      </c>
      <c r="B615" s="1" t="n">
        <v>44619</v>
      </c>
      <c r="C615" s="1" t="n">
        <v>45340</v>
      </c>
      <c r="D615" t="inlineStr">
        <is>
          <t>VÄSTERBOTTENS LÄN</t>
        </is>
      </c>
      <c r="E615" t="inlineStr">
        <is>
          <t>UMEÅ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9924-2022</t>
        </is>
      </c>
      <c r="B616" s="1" t="n">
        <v>44620</v>
      </c>
      <c r="C616" s="1" t="n">
        <v>45340</v>
      </c>
      <c r="D616" t="inlineStr">
        <is>
          <t>VÄSTERBOTTENS LÄN</t>
        </is>
      </c>
      <c r="E616" t="inlineStr">
        <is>
          <t>UMEÅ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11109-2022</t>
        </is>
      </c>
      <c r="B617" s="1" t="n">
        <v>44628</v>
      </c>
      <c r="C617" s="1" t="n">
        <v>45340</v>
      </c>
      <c r="D617" t="inlineStr">
        <is>
          <t>VÄSTERBOTTENS LÄN</t>
        </is>
      </c>
      <c r="E617" t="inlineStr">
        <is>
          <t>UMEÅ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11157-2022</t>
        </is>
      </c>
      <c r="B618" s="1" t="n">
        <v>44629</v>
      </c>
      <c r="C618" s="1" t="n">
        <v>45340</v>
      </c>
      <c r="D618" t="inlineStr">
        <is>
          <t>VÄSTERBOTTENS LÄN</t>
        </is>
      </c>
      <c r="E618" t="inlineStr">
        <is>
          <t>UMEÅ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11538-2022</t>
        </is>
      </c>
      <c r="B619" s="1" t="n">
        <v>44631</v>
      </c>
      <c r="C619" s="1" t="n">
        <v>45340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11515-2022</t>
        </is>
      </c>
      <c r="B620" s="1" t="n">
        <v>44631</v>
      </c>
      <c r="C620" s="1" t="n">
        <v>45340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11511-2022</t>
        </is>
      </c>
      <c r="B621" s="1" t="n">
        <v>44631</v>
      </c>
      <c r="C621" s="1" t="n">
        <v>45340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12942-2022</t>
        </is>
      </c>
      <c r="B622" s="1" t="n">
        <v>44642</v>
      </c>
      <c r="C622" s="1" t="n">
        <v>45340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14431-2022</t>
        </is>
      </c>
      <c r="B623" s="1" t="n">
        <v>44653</v>
      </c>
      <c r="C623" s="1" t="n">
        <v>45340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14432-2022</t>
        </is>
      </c>
      <c r="B624" s="1" t="n">
        <v>44653</v>
      </c>
      <c r="C624" s="1" t="n">
        <v>45340</v>
      </c>
      <c r="D624" t="inlineStr">
        <is>
          <t>VÄSTERBOTTENS LÄN</t>
        </is>
      </c>
      <c r="E624" t="inlineStr">
        <is>
          <t>UMEÅ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16138-2022</t>
        </is>
      </c>
      <c r="B625" s="1" t="n">
        <v>44666</v>
      </c>
      <c r="C625" s="1" t="n">
        <v>45340</v>
      </c>
      <c r="D625" t="inlineStr">
        <is>
          <t>VÄSTERBOTTENS LÄN</t>
        </is>
      </c>
      <c r="E625" t="inlineStr">
        <is>
          <t>UMEÅ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16210-2022</t>
        </is>
      </c>
      <c r="B626" s="1" t="n">
        <v>44670</v>
      </c>
      <c r="C626" s="1" t="n">
        <v>45340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16606-2022</t>
        </is>
      </c>
      <c r="B627" s="1" t="n">
        <v>44672</v>
      </c>
      <c r="C627" s="1" t="n">
        <v>45340</v>
      </c>
      <c r="D627" t="inlineStr">
        <is>
          <t>VÄSTERBOTTENS LÄN</t>
        </is>
      </c>
      <c r="E627" t="inlineStr">
        <is>
          <t>UMEÅ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17484-2022</t>
        </is>
      </c>
      <c r="B628" s="1" t="n">
        <v>44679</v>
      </c>
      <c r="C628" s="1" t="n">
        <v>45340</v>
      </c>
      <c r="D628" t="inlineStr">
        <is>
          <t>VÄSTERBOTTENS LÄN</t>
        </is>
      </c>
      <c r="E628" t="inlineStr">
        <is>
          <t>UMEÅ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17477-2022</t>
        </is>
      </c>
      <c r="B629" s="1" t="n">
        <v>44679</v>
      </c>
      <c r="C629" s="1" t="n">
        <v>45340</v>
      </c>
      <c r="D629" t="inlineStr">
        <is>
          <t>VÄSTERBOTTENS LÄN</t>
        </is>
      </c>
      <c r="E629" t="inlineStr">
        <is>
          <t>UMEÅ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18788-2022</t>
        </is>
      </c>
      <c r="B630" s="1" t="n">
        <v>44687</v>
      </c>
      <c r="C630" s="1" t="n">
        <v>45340</v>
      </c>
      <c r="D630" t="inlineStr">
        <is>
          <t>VÄSTERBOTTENS LÄN</t>
        </is>
      </c>
      <c r="E630" t="inlineStr">
        <is>
          <t>UMEÅ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20862-2022</t>
        </is>
      </c>
      <c r="B631" s="1" t="n">
        <v>44701</v>
      </c>
      <c r="C631" s="1" t="n">
        <v>45340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21574-2022</t>
        </is>
      </c>
      <c r="B632" s="1" t="n">
        <v>44706</v>
      </c>
      <c r="C632" s="1" t="n">
        <v>45340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22609-2022</t>
        </is>
      </c>
      <c r="B633" s="1" t="n">
        <v>44714</v>
      </c>
      <c r="C633" s="1" t="n">
        <v>45340</v>
      </c>
      <c r="D633" t="inlineStr">
        <is>
          <t>VÄSTERBOTTENS LÄN</t>
        </is>
      </c>
      <c r="E633" t="inlineStr">
        <is>
          <t>UMEÅ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22795-2022</t>
        </is>
      </c>
      <c r="B634" s="1" t="n">
        <v>44715</v>
      </c>
      <c r="C634" s="1" t="n">
        <v>45340</v>
      </c>
      <c r="D634" t="inlineStr">
        <is>
          <t>VÄSTERBOTTENS LÄN</t>
        </is>
      </c>
      <c r="E634" t="inlineStr">
        <is>
          <t>UMEÅ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23006-2022</t>
        </is>
      </c>
      <c r="B635" s="1" t="n">
        <v>44715</v>
      </c>
      <c r="C635" s="1" t="n">
        <v>45340</v>
      </c>
      <c r="D635" t="inlineStr">
        <is>
          <t>VÄSTERBOTTENS LÄN</t>
        </is>
      </c>
      <c r="E635" t="inlineStr">
        <is>
          <t>UMEÅ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24586-2022</t>
        </is>
      </c>
      <c r="B636" s="1" t="n">
        <v>44727</v>
      </c>
      <c r="C636" s="1" t="n">
        <v>45340</v>
      </c>
      <c r="D636" t="inlineStr">
        <is>
          <t>VÄSTERBOTTENS LÄN</t>
        </is>
      </c>
      <c r="E636" t="inlineStr">
        <is>
          <t>UMEÅ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25068-2022</t>
        </is>
      </c>
      <c r="B637" s="1" t="n">
        <v>44729</v>
      </c>
      <c r="C637" s="1" t="n">
        <v>45340</v>
      </c>
      <c r="D637" t="inlineStr">
        <is>
          <t>VÄSTERBOTTENS LÄN</t>
        </is>
      </c>
      <c r="E637" t="inlineStr">
        <is>
          <t>UMEÅ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25093-2022</t>
        </is>
      </c>
      <c r="B638" s="1" t="n">
        <v>44729</v>
      </c>
      <c r="C638" s="1" t="n">
        <v>45340</v>
      </c>
      <c r="D638" t="inlineStr">
        <is>
          <t>VÄSTERBOTTENS LÄN</t>
        </is>
      </c>
      <c r="E638" t="inlineStr">
        <is>
          <t>UMEÅ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25099-2022</t>
        </is>
      </c>
      <c r="B639" s="1" t="n">
        <v>44729</v>
      </c>
      <c r="C639" s="1" t="n">
        <v>45340</v>
      </c>
      <c r="D639" t="inlineStr">
        <is>
          <t>VÄSTERBOTTENS LÄN</t>
        </is>
      </c>
      <c r="E639" t="inlineStr">
        <is>
          <t>UMEÅ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25315-2022</t>
        </is>
      </c>
      <c r="B640" s="1" t="n">
        <v>44731</v>
      </c>
      <c r="C640" s="1" t="n">
        <v>45340</v>
      </c>
      <c r="D640" t="inlineStr">
        <is>
          <t>VÄSTERBOTTENS LÄN</t>
        </is>
      </c>
      <c r="E640" t="inlineStr">
        <is>
          <t>UMEÅ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25966-2022</t>
        </is>
      </c>
      <c r="B641" s="1" t="n">
        <v>44734</v>
      </c>
      <c r="C641" s="1" t="n">
        <v>45340</v>
      </c>
      <c r="D641" t="inlineStr">
        <is>
          <t>VÄSTERBOTTENS LÄN</t>
        </is>
      </c>
      <c r="E641" t="inlineStr">
        <is>
          <t>UMEÅ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26872-2022</t>
        </is>
      </c>
      <c r="B642" s="1" t="n">
        <v>44740</v>
      </c>
      <c r="C642" s="1" t="n">
        <v>45340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26878-2022</t>
        </is>
      </c>
      <c r="B643" s="1" t="n">
        <v>44740</v>
      </c>
      <c r="C643" s="1" t="n">
        <v>45340</v>
      </c>
      <c r="D643" t="inlineStr">
        <is>
          <t>VÄSTERBOTTENS LÄN</t>
        </is>
      </c>
      <c r="E643" t="inlineStr">
        <is>
          <t>UMEÅ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26919-2022</t>
        </is>
      </c>
      <c r="B644" s="1" t="n">
        <v>44740</v>
      </c>
      <c r="C644" s="1" t="n">
        <v>45340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27104-2022</t>
        </is>
      </c>
      <c r="B645" s="1" t="n">
        <v>44741</v>
      </c>
      <c r="C645" s="1" t="n">
        <v>45340</v>
      </c>
      <c r="D645" t="inlineStr">
        <is>
          <t>VÄSTERBOTTENS LÄN</t>
        </is>
      </c>
      <c r="E645" t="inlineStr">
        <is>
          <t>UMEÅ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27307-2022</t>
        </is>
      </c>
      <c r="B646" s="1" t="n">
        <v>44742</v>
      </c>
      <c r="C646" s="1" t="n">
        <v>45340</v>
      </c>
      <c r="D646" t="inlineStr">
        <is>
          <t>VÄSTERBOTTENS LÄN</t>
        </is>
      </c>
      <c r="E646" t="inlineStr">
        <is>
          <t>UMEÅ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27620-2022</t>
        </is>
      </c>
      <c r="B647" s="1" t="n">
        <v>44742</v>
      </c>
      <c r="C647" s="1" t="n">
        <v>45340</v>
      </c>
      <c r="D647" t="inlineStr">
        <is>
          <t>VÄSTERBOTTENS LÄN</t>
        </is>
      </c>
      <c r="E647" t="inlineStr">
        <is>
          <t>UMEÅ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29027-2022</t>
        </is>
      </c>
      <c r="B648" s="1" t="n">
        <v>44750</v>
      </c>
      <c r="C648" s="1" t="n">
        <v>45340</v>
      </c>
      <c r="D648" t="inlineStr">
        <is>
          <t>VÄSTERBOTTENS LÄN</t>
        </is>
      </c>
      <c r="E648" t="inlineStr">
        <is>
          <t>UMEÅ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29969-2022</t>
        </is>
      </c>
      <c r="B649" s="1" t="n">
        <v>44756</v>
      </c>
      <c r="C649" s="1" t="n">
        <v>45340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31318-2022</t>
        </is>
      </c>
      <c r="B650" s="1" t="n">
        <v>44772</v>
      </c>
      <c r="C650" s="1" t="n">
        <v>45340</v>
      </c>
      <c r="D650" t="inlineStr">
        <is>
          <t>VÄSTERBOTTENS LÄN</t>
        </is>
      </c>
      <c r="E650" t="inlineStr">
        <is>
          <t>UMEÅ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31296-2022</t>
        </is>
      </c>
      <c r="B651" s="1" t="n">
        <v>44772</v>
      </c>
      <c r="C651" s="1" t="n">
        <v>45340</v>
      </c>
      <c r="D651" t="inlineStr">
        <is>
          <t>VÄSTERBOTTENS LÄN</t>
        </is>
      </c>
      <c r="E651" t="inlineStr">
        <is>
          <t>UMEÅ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31314-2022</t>
        </is>
      </c>
      <c r="B652" s="1" t="n">
        <v>44774</v>
      </c>
      <c r="C652" s="1" t="n">
        <v>45340</v>
      </c>
      <c r="D652" t="inlineStr">
        <is>
          <t>VÄSTERBOTTENS LÄN</t>
        </is>
      </c>
      <c r="E652" t="inlineStr">
        <is>
          <t>UMEÅ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31337-2022</t>
        </is>
      </c>
      <c r="B653" s="1" t="n">
        <v>44774</v>
      </c>
      <c r="C653" s="1" t="n">
        <v>45340</v>
      </c>
      <c r="D653" t="inlineStr">
        <is>
          <t>VÄSTERBOTTENS LÄN</t>
        </is>
      </c>
      <c r="E653" t="inlineStr">
        <is>
          <t>UMEÅ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31421-2022</t>
        </is>
      </c>
      <c r="B654" s="1" t="n">
        <v>44774</v>
      </c>
      <c r="C654" s="1" t="n">
        <v>45340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31920-2022</t>
        </is>
      </c>
      <c r="B655" s="1" t="n">
        <v>44777</v>
      </c>
      <c r="C655" s="1" t="n">
        <v>45340</v>
      </c>
      <c r="D655" t="inlineStr">
        <is>
          <t>VÄSTERBOTTENS LÄN</t>
        </is>
      </c>
      <c r="E655" t="inlineStr">
        <is>
          <t>UMEÅ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32316-2022</t>
        </is>
      </c>
      <c r="B656" s="1" t="n">
        <v>44781</v>
      </c>
      <c r="C656" s="1" t="n">
        <v>45340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32787-2022</t>
        </is>
      </c>
      <c r="B657" s="1" t="n">
        <v>44784</v>
      </c>
      <c r="C657" s="1" t="n">
        <v>45340</v>
      </c>
      <c r="D657" t="inlineStr">
        <is>
          <t>VÄSTERBOTTENS LÄN</t>
        </is>
      </c>
      <c r="E657" t="inlineStr">
        <is>
          <t>UMEÅ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32958-2022</t>
        </is>
      </c>
      <c r="B658" s="1" t="n">
        <v>44784</v>
      </c>
      <c r="C658" s="1" t="n">
        <v>45340</v>
      </c>
      <c r="D658" t="inlineStr">
        <is>
          <t>VÄSTERBOTTENS LÄN</t>
        </is>
      </c>
      <c r="E658" t="inlineStr">
        <is>
          <t>UMEÅ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33007-2022</t>
        </is>
      </c>
      <c r="B659" s="1" t="n">
        <v>44785</v>
      </c>
      <c r="C659" s="1" t="n">
        <v>45340</v>
      </c>
      <c r="D659" t="inlineStr">
        <is>
          <t>VÄSTERBOTTENS LÄN</t>
        </is>
      </c>
      <c r="E659" t="inlineStr">
        <is>
          <t>UMEÅ</t>
        </is>
      </c>
      <c r="F659" t="inlineStr">
        <is>
          <t>Kommuner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33409-2022</t>
        </is>
      </c>
      <c r="B660" s="1" t="n">
        <v>44788</v>
      </c>
      <c r="C660" s="1" t="n">
        <v>45340</v>
      </c>
      <c r="D660" t="inlineStr">
        <is>
          <t>VÄSTERBOTTENS LÄN</t>
        </is>
      </c>
      <c r="E660" t="inlineStr">
        <is>
          <t>UMEÅ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33952-2022</t>
        </is>
      </c>
      <c r="B661" s="1" t="n">
        <v>44790</v>
      </c>
      <c r="C661" s="1" t="n">
        <v>45340</v>
      </c>
      <c r="D661" t="inlineStr">
        <is>
          <t>VÄSTERBOTTENS LÄN</t>
        </is>
      </c>
      <c r="E661" t="inlineStr">
        <is>
          <t>UMEÅ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34412-2022</t>
        </is>
      </c>
      <c r="B662" s="1" t="n">
        <v>44792</v>
      </c>
      <c r="C662" s="1" t="n">
        <v>45340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35207-2022</t>
        </is>
      </c>
      <c r="B663" s="1" t="n">
        <v>44797</v>
      </c>
      <c r="C663" s="1" t="n">
        <v>45340</v>
      </c>
      <c r="D663" t="inlineStr">
        <is>
          <t>VÄSTERBOTTENS LÄN</t>
        </is>
      </c>
      <c r="E663" t="inlineStr">
        <is>
          <t>UMEÅ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35405-2022</t>
        </is>
      </c>
      <c r="B664" s="1" t="n">
        <v>44798</v>
      </c>
      <c r="C664" s="1" t="n">
        <v>45340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35808-2022</t>
        </is>
      </c>
      <c r="B665" s="1" t="n">
        <v>44802</v>
      </c>
      <c r="C665" s="1" t="n">
        <v>45340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35878-2022</t>
        </is>
      </c>
      <c r="B666" s="1" t="n">
        <v>44802</v>
      </c>
      <c r="C666" s="1" t="n">
        <v>45340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36598-2022</t>
        </is>
      </c>
      <c r="B667" s="1" t="n">
        <v>44804</v>
      </c>
      <c r="C667" s="1" t="n">
        <v>45340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36816-2022</t>
        </is>
      </c>
      <c r="B668" s="1" t="n">
        <v>44805</v>
      </c>
      <c r="C668" s="1" t="n">
        <v>45340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36854-2022</t>
        </is>
      </c>
      <c r="B669" s="1" t="n">
        <v>44805</v>
      </c>
      <c r="C669" s="1" t="n">
        <v>45340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37644-2022</t>
        </is>
      </c>
      <c r="B670" s="1" t="n">
        <v>44810</v>
      </c>
      <c r="C670" s="1" t="n">
        <v>45340</v>
      </c>
      <c r="D670" t="inlineStr">
        <is>
          <t>VÄSTERBOTTENS LÄN</t>
        </is>
      </c>
      <c r="E670" t="inlineStr">
        <is>
          <t>UMEÅ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37951-2022</t>
        </is>
      </c>
      <c r="B671" s="1" t="n">
        <v>44811</v>
      </c>
      <c r="C671" s="1" t="n">
        <v>45340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38023-2022</t>
        </is>
      </c>
      <c r="B672" s="1" t="n">
        <v>44811</v>
      </c>
      <c r="C672" s="1" t="n">
        <v>45340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38571-2022</t>
        </is>
      </c>
      <c r="B673" s="1" t="n">
        <v>44813</v>
      </c>
      <c r="C673" s="1" t="n">
        <v>45340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38646-2022</t>
        </is>
      </c>
      <c r="B674" s="1" t="n">
        <v>44813</v>
      </c>
      <c r="C674" s="1" t="n">
        <v>45340</v>
      </c>
      <c r="D674" t="inlineStr">
        <is>
          <t>VÄSTERBOTTENS LÄN</t>
        </is>
      </c>
      <c r="E674" t="inlineStr">
        <is>
          <t>UMEÅ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38584-2022</t>
        </is>
      </c>
      <c r="B675" s="1" t="n">
        <v>44813</v>
      </c>
      <c r="C675" s="1" t="n">
        <v>45340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38915-2022</t>
        </is>
      </c>
      <c r="B676" s="1" t="n">
        <v>44816</v>
      </c>
      <c r="C676" s="1" t="n">
        <v>45340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38812-2022</t>
        </is>
      </c>
      <c r="B677" s="1" t="n">
        <v>44816</v>
      </c>
      <c r="C677" s="1" t="n">
        <v>45340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38959-2022</t>
        </is>
      </c>
      <c r="B678" s="1" t="n">
        <v>44816</v>
      </c>
      <c r="C678" s="1" t="n">
        <v>45340</v>
      </c>
      <c r="D678" t="inlineStr">
        <is>
          <t>VÄSTERBOTTENS LÄN</t>
        </is>
      </c>
      <c r="E678" t="inlineStr">
        <is>
          <t>UMEÅ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39233-2022</t>
        </is>
      </c>
      <c r="B679" s="1" t="n">
        <v>44817</v>
      </c>
      <c r="C679" s="1" t="n">
        <v>45340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39247-2022</t>
        </is>
      </c>
      <c r="B680" s="1" t="n">
        <v>44817</v>
      </c>
      <c r="C680" s="1" t="n">
        <v>45340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39561-2022</t>
        </is>
      </c>
      <c r="B681" s="1" t="n">
        <v>44818</v>
      </c>
      <c r="C681" s="1" t="n">
        <v>45340</v>
      </c>
      <c r="D681" t="inlineStr">
        <is>
          <t>VÄSTERBOTTENS LÄN</t>
        </is>
      </c>
      <c r="E681" t="inlineStr">
        <is>
          <t>UMEÅ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39592-2022</t>
        </is>
      </c>
      <c r="B682" s="1" t="n">
        <v>44818</v>
      </c>
      <c r="C682" s="1" t="n">
        <v>45340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39482-2022</t>
        </is>
      </c>
      <c r="B683" s="1" t="n">
        <v>44818</v>
      </c>
      <c r="C683" s="1" t="n">
        <v>45340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40024-2022</t>
        </is>
      </c>
      <c r="B684" s="1" t="n">
        <v>44820</v>
      </c>
      <c r="C684" s="1" t="n">
        <v>45340</v>
      </c>
      <c r="D684" t="inlineStr">
        <is>
          <t>VÄSTERBOTTENS LÄN</t>
        </is>
      </c>
      <c r="E684" t="inlineStr">
        <is>
          <t>UMEÅ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40825-2022</t>
        </is>
      </c>
      <c r="B685" s="1" t="n">
        <v>44824</v>
      </c>
      <c r="C685" s="1" t="n">
        <v>45340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41213-2022</t>
        </is>
      </c>
      <c r="B686" s="1" t="n">
        <v>44825</v>
      </c>
      <c r="C686" s="1" t="n">
        <v>45340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41267-2022</t>
        </is>
      </c>
      <c r="B687" s="1" t="n">
        <v>44825</v>
      </c>
      <c r="C687" s="1" t="n">
        <v>45340</v>
      </c>
      <c r="D687" t="inlineStr">
        <is>
          <t>VÄSTERBOTTENS LÄN</t>
        </is>
      </c>
      <c r="E687" t="inlineStr">
        <is>
          <t>UMEÅ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41947-2022</t>
        </is>
      </c>
      <c r="B688" s="1" t="n">
        <v>44830</v>
      </c>
      <c r="C688" s="1" t="n">
        <v>45340</v>
      </c>
      <c r="D688" t="inlineStr">
        <is>
          <t>VÄSTERBOTTENS LÄN</t>
        </is>
      </c>
      <c r="E688" t="inlineStr">
        <is>
          <t>UMEÅ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42043-2022</t>
        </is>
      </c>
      <c r="B689" s="1" t="n">
        <v>44830</v>
      </c>
      <c r="C689" s="1" t="n">
        <v>45340</v>
      </c>
      <c r="D689" t="inlineStr">
        <is>
          <t>VÄSTERBOTTENS LÄN</t>
        </is>
      </c>
      <c r="E689" t="inlineStr">
        <is>
          <t>UMEÅ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42221-2022</t>
        </is>
      </c>
      <c r="B690" s="1" t="n">
        <v>44830</v>
      </c>
      <c r="C690" s="1" t="n">
        <v>45340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43767-2022</t>
        </is>
      </c>
      <c r="B691" s="1" t="n">
        <v>44838</v>
      </c>
      <c r="C691" s="1" t="n">
        <v>45340</v>
      </c>
      <c r="D691" t="inlineStr">
        <is>
          <t>VÄSTERBOTTENS LÄN</t>
        </is>
      </c>
      <c r="E691" t="inlineStr">
        <is>
          <t>UMEÅ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43768-2022</t>
        </is>
      </c>
      <c r="B692" s="1" t="n">
        <v>44838</v>
      </c>
      <c r="C692" s="1" t="n">
        <v>45340</v>
      </c>
      <c r="D692" t="inlineStr">
        <is>
          <t>VÄSTERBOTTENS LÄN</t>
        </is>
      </c>
      <c r="E692" t="inlineStr">
        <is>
          <t>UMEÅ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43998-2022</t>
        </is>
      </c>
      <c r="B693" s="1" t="n">
        <v>44838</v>
      </c>
      <c r="C693" s="1" t="n">
        <v>45340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44375-2022</t>
        </is>
      </c>
      <c r="B694" s="1" t="n">
        <v>44838</v>
      </c>
      <c r="C694" s="1" t="n">
        <v>45340</v>
      </c>
      <c r="D694" t="inlineStr">
        <is>
          <t>VÄSTERBOTTENS LÄN</t>
        </is>
      </c>
      <c r="E694" t="inlineStr">
        <is>
          <t>UMEÅ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44121-2022</t>
        </is>
      </c>
      <c r="B695" s="1" t="n">
        <v>44839</v>
      </c>
      <c r="C695" s="1" t="n">
        <v>45340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44132-2022</t>
        </is>
      </c>
      <c r="B696" s="1" t="n">
        <v>44839</v>
      </c>
      <c r="C696" s="1" t="n">
        <v>45340</v>
      </c>
      <c r="D696" t="inlineStr">
        <is>
          <t>VÄSTERBOTTENS LÄN</t>
        </is>
      </c>
      <c r="E696" t="inlineStr">
        <is>
          <t>UMEÅ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44185-2022</t>
        </is>
      </c>
      <c r="B697" s="1" t="n">
        <v>44839</v>
      </c>
      <c r="C697" s="1" t="n">
        <v>45340</v>
      </c>
      <c r="D697" t="inlineStr">
        <is>
          <t>VÄSTERBOTTENS LÄN</t>
        </is>
      </c>
      <c r="E697" t="inlineStr">
        <is>
          <t>UMEÅ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44334-2022</t>
        </is>
      </c>
      <c r="B698" s="1" t="n">
        <v>44839</v>
      </c>
      <c r="C698" s="1" t="n">
        <v>45340</v>
      </c>
      <c r="D698" t="inlineStr">
        <is>
          <t>VÄSTERBOTTENS LÄN</t>
        </is>
      </c>
      <c r="E698" t="inlineStr">
        <is>
          <t>UMEÅ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44684-2022</t>
        </is>
      </c>
      <c r="B699" s="1" t="n">
        <v>44839</v>
      </c>
      <c r="C699" s="1" t="n">
        <v>45340</v>
      </c>
      <c r="D699" t="inlineStr">
        <is>
          <t>VÄSTERBOTTENS LÄN</t>
        </is>
      </c>
      <c r="E699" t="inlineStr">
        <is>
          <t>UMEÅ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44481-2022</t>
        </is>
      </c>
      <c r="B700" s="1" t="n">
        <v>44840</v>
      </c>
      <c r="C700" s="1" t="n">
        <v>45340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44729-2022</t>
        </is>
      </c>
      <c r="B701" s="1" t="n">
        <v>44840</v>
      </c>
      <c r="C701" s="1" t="n">
        <v>45340</v>
      </c>
      <c r="D701" t="inlineStr">
        <is>
          <t>VÄSTERBOTTENS LÄN</t>
        </is>
      </c>
      <c r="E701" t="inlineStr">
        <is>
          <t>UMEÅ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44737-2022</t>
        </is>
      </c>
      <c r="B702" s="1" t="n">
        <v>44841</v>
      </c>
      <c r="C702" s="1" t="n">
        <v>45340</v>
      </c>
      <c r="D702" t="inlineStr">
        <is>
          <t>VÄSTERBOTTENS LÄN</t>
        </is>
      </c>
      <c r="E702" t="inlineStr">
        <is>
          <t>UMEÅ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44730-2022</t>
        </is>
      </c>
      <c r="B703" s="1" t="n">
        <v>44840</v>
      </c>
      <c r="C703" s="1" t="n">
        <v>45340</v>
      </c>
      <c r="D703" t="inlineStr">
        <is>
          <t>VÄSTERBOTTENS LÄN</t>
        </is>
      </c>
      <c r="E703" t="inlineStr">
        <is>
          <t>UMEÅ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44738-2022</t>
        </is>
      </c>
      <c r="B704" s="1" t="n">
        <v>44841</v>
      </c>
      <c r="C704" s="1" t="n">
        <v>45340</v>
      </c>
      <c r="D704" t="inlineStr">
        <is>
          <t>VÄSTERBOTTENS LÄN</t>
        </is>
      </c>
      <c r="E704" t="inlineStr">
        <is>
          <t>UMEÅ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44736-2022</t>
        </is>
      </c>
      <c r="B705" s="1" t="n">
        <v>44841</v>
      </c>
      <c r="C705" s="1" t="n">
        <v>45340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44968-2022</t>
        </is>
      </c>
      <c r="B706" s="1" t="n">
        <v>44840</v>
      </c>
      <c r="C706" s="1" t="n">
        <v>45340</v>
      </c>
      <c r="D706" t="inlineStr">
        <is>
          <t>VÄSTERBOTTENS LÄN</t>
        </is>
      </c>
      <c r="E706" t="inlineStr">
        <is>
          <t>UMEÅ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44957-2022</t>
        </is>
      </c>
      <c r="B707" s="1" t="n">
        <v>44840</v>
      </c>
      <c r="C707" s="1" t="n">
        <v>45340</v>
      </c>
      <c r="D707" t="inlineStr">
        <is>
          <t>VÄSTERBOTTENS LÄN</t>
        </is>
      </c>
      <c r="E707" t="inlineStr">
        <is>
          <t>UMEÅ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44830-2022</t>
        </is>
      </c>
      <c r="B708" s="1" t="n">
        <v>44841</v>
      </c>
      <c r="C708" s="1" t="n">
        <v>45340</v>
      </c>
      <c r="D708" t="inlineStr">
        <is>
          <t>VÄSTERBOTTENS LÄN</t>
        </is>
      </c>
      <c r="E708" t="inlineStr">
        <is>
          <t>UMEÅ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45031-2022</t>
        </is>
      </c>
      <c r="B709" s="1" t="n">
        <v>44841</v>
      </c>
      <c r="C709" s="1" t="n">
        <v>45340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44983-2022</t>
        </is>
      </c>
      <c r="B710" s="1" t="n">
        <v>44841</v>
      </c>
      <c r="C710" s="1" t="n">
        <v>45340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45012-2022</t>
        </is>
      </c>
      <c r="B711" s="1" t="n">
        <v>44841</v>
      </c>
      <c r="C711" s="1" t="n">
        <v>45340</v>
      </c>
      <c r="D711" t="inlineStr">
        <is>
          <t>VÄSTERBOTTENS LÄN</t>
        </is>
      </c>
      <c r="E711" t="inlineStr">
        <is>
          <t>UMEÅ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45273-2022</t>
        </is>
      </c>
      <c r="B712" s="1" t="n">
        <v>44844</v>
      </c>
      <c r="C712" s="1" t="n">
        <v>45340</v>
      </c>
      <c r="D712" t="inlineStr">
        <is>
          <t>VÄSTERBOTTENS LÄN</t>
        </is>
      </c>
      <c r="E712" t="inlineStr">
        <is>
          <t>UMEÅ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45902-2022</t>
        </is>
      </c>
      <c r="B713" s="1" t="n">
        <v>44846</v>
      </c>
      <c r="C713" s="1" t="n">
        <v>45340</v>
      </c>
      <c r="D713" t="inlineStr">
        <is>
          <t>VÄSTERBOTTENS LÄN</t>
        </is>
      </c>
      <c r="E713" t="inlineStr">
        <is>
          <t>UMEÅ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45881-2022</t>
        </is>
      </c>
      <c r="B714" s="1" t="n">
        <v>44846</v>
      </c>
      <c r="C714" s="1" t="n">
        <v>45340</v>
      </c>
      <c r="D714" t="inlineStr">
        <is>
          <t>VÄSTERBOTTENS LÄN</t>
        </is>
      </c>
      <c r="E714" t="inlineStr">
        <is>
          <t>UMEÅ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45907-2022</t>
        </is>
      </c>
      <c r="B715" s="1" t="n">
        <v>44846</v>
      </c>
      <c r="C715" s="1" t="n">
        <v>45340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46408-2022</t>
        </is>
      </c>
      <c r="B716" s="1" t="n">
        <v>44846</v>
      </c>
      <c r="C716" s="1" t="n">
        <v>45340</v>
      </c>
      <c r="D716" t="inlineStr">
        <is>
          <t>VÄSTERBOTTENS LÄN</t>
        </is>
      </c>
      <c r="E716" t="inlineStr">
        <is>
          <t>UMEÅ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46410-2022</t>
        </is>
      </c>
      <c r="B717" s="1" t="n">
        <v>44846</v>
      </c>
      <c r="C717" s="1" t="n">
        <v>45340</v>
      </c>
      <c r="D717" t="inlineStr">
        <is>
          <t>VÄSTERBOTTENS LÄN</t>
        </is>
      </c>
      <c r="E717" t="inlineStr">
        <is>
          <t>UMEÅ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46413-2022</t>
        </is>
      </c>
      <c r="B718" s="1" t="n">
        <v>44846</v>
      </c>
      <c r="C718" s="1" t="n">
        <v>45340</v>
      </c>
      <c r="D718" t="inlineStr">
        <is>
          <t>VÄSTERBOTTENS LÄN</t>
        </is>
      </c>
      <c r="E718" t="inlineStr">
        <is>
          <t>UMEÅ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46287-2022</t>
        </is>
      </c>
      <c r="B719" s="1" t="n">
        <v>44847</v>
      </c>
      <c r="C719" s="1" t="n">
        <v>45340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46573-2022</t>
        </is>
      </c>
      <c r="B720" s="1" t="n">
        <v>44847</v>
      </c>
      <c r="C720" s="1" t="n">
        <v>45340</v>
      </c>
      <c r="D720" t="inlineStr">
        <is>
          <t>VÄSTERBOTTENS LÄN</t>
        </is>
      </c>
      <c r="E720" t="inlineStr">
        <is>
          <t>UMEÅ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46439-2022</t>
        </is>
      </c>
      <c r="B721" s="1" t="n">
        <v>44848</v>
      </c>
      <c r="C721" s="1" t="n">
        <v>45340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46450-2022</t>
        </is>
      </c>
      <c r="B722" s="1" t="n">
        <v>44848</v>
      </c>
      <c r="C722" s="1" t="n">
        <v>45340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47124-2022</t>
        </is>
      </c>
      <c r="B723" s="1" t="n">
        <v>44851</v>
      </c>
      <c r="C723" s="1" t="n">
        <v>45340</v>
      </c>
      <c r="D723" t="inlineStr">
        <is>
          <t>VÄSTERBOTTENS LÄN</t>
        </is>
      </c>
      <c r="E723" t="inlineStr">
        <is>
          <t>UMEÅ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47403-2022</t>
        </is>
      </c>
      <c r="B724" s="1" t="n">
        <v>44853</v>
      </c>
      <c r="C724" s="1" t="n">
        <v>45340</v>
      </c>
      <c r="D724" t="inlineStr">
        <is>
          <t>VÄSTERBOTTENS LÄN</t>
        </is>
      </c>
      <c r="E724" t="inlineStr">
        <is>
          <t>UMEÅ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47642-2022</t>
        </is>
      </c>
      <c r="B725" s="1" t="n">
        <v>44854</v>
      </c>
      <c r="C725" s="1" t="n">
        <v>45340</v>
      </c>
      <c r="D725" t="inlineStr">
        <is>
          <t>VÄSTERBOTTENS LÄN</t>
        </is>
      </c>
      <c r="E725" t="inlineStr">
        <is>
          <t>UMEÅ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48043-2022</t>
        </is>
      </c>
      <c r="B726" s="1" t="n">
        <v>44855</v>
      </c>
      <c r="C726" s="1" t="n">
        <v>45340</v>
      </c>
      <c r="D726" t="inlineStr">
        <is>
          <t>VÄSTERBOTTENS LÄN</t>
        </is>
      </c>
      <c r="E726" t="inlineStr">
        <is>
          <t>UMEÅ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48156-2022</t>
        </is>
      </c>
      <c r="B727" s="1" t="n">
        <v>44858</v>
      </c>
      <c r="C727" s="1" t="n">
        <v>45340</v>
      </c>
      <c r="D727" t="inlineStr">
        <is>
          <t>VÄSTERBOTTENS LÄN</t>
        </is>
      </c>
      <c r="E727" t="inlineStr">
        <is>
          <t>UMEÅ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48779-2022</t>
        </is>
      </c>
      <c r="B728" s="1" t="n">
        <v>44859</v>
      </c>
      <c r="C728" s="1" t="n">
        <v>45340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48843-2022</t>
        </is>
      </c>
      <c r="B729" s="1" t="n">
        <v>44859</v>
      </c>
      <c r="C729" s="1" t="n">
        <v>45340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48771-2022</t>
        </is>
      </c>
      <c r="B730" s="1" t="n">
        <v>44859</v>
      </c>
      <c r="C730" s="1" t="n">
        <v>45340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45340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45340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45340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45340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49447-2022</t>
        </is>
      </c>
      <c r="B735" s="1" t="n">
        <v>44861</v>
      </c>
      <c r="C735" s="1" t="n">
        <v>45340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49661-2022</t>
        </is>
      </c>
      <c r="B736" s="1" t="n">
        <v>44862</v>
      </c>
      <c r="C736" s="1" t="n">
        <v>45340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50206-2022</t>
        </is>
      </c>
      <c r="B737" s="1" t="n">
        <v>44865</v>
      </c>
      <c r="C737" s="1" t="n">
        <v>45340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50140-2022</t>
        </is>
      </c>
      <c r="B738" s="1" t="n">
        <v>44865</v>
      </c>
      <c r="C738" s="1" t="n">
        <v>45340</v>
      </c>
      <c r="D738" t="inlineStr">
        <is>
          <t>VÄSTERBOTTENS LÄN</t>
        </is>
      </c>
      <c r="E738" t="inlineStr">
        <is>
          <t>UMEÅ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50148-2022</t>
        </is>
      </c>
      <c r="B739" s="1" t="n">
        <v>44865</v>
      </c>
      <c r="C739" s="1" t="n">
        <v>45340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50946-2022</t>
        </is>
      </c>
      <c r="B740" s="1" t="n">
        <v>44867</v>
      </c>
      <c r="C740" s="1" t="n">
        <v>45340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52881-2022</t>
        </is>
      </c>
      <c r="B741" s="1" t="n">
        <v>44872</v>
      </c>
      <c r="C741" s="1" t="n">
        <v>45340</v>
      </c>
      <c r="D741" t="inlineStr">
        <is>
          <t>VÄSTERBOTTENS LÄN</t>
        </is>
      </c>
      <c r="E741" t="inlineStr">
        <is>
          <t>UMEÅ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52862-2022</t>
        </is>
      </c>
      <c r="B742" s="1" t="n">
        <v>44872</v>
      </c>
      <c r="C742" s="1" t="n">
        <v>45340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52126-2022</t>
        </is>
      </c>
      <c r="B743" s="1" t="n">
        <v>44873</v>
      </c>
      <c r="C743" s="1" t="n">
        <v>45340</v>
      </c>
      <c r="D743" t="inlineStr">
        <is>
          <t>VÄSTERBOTTENS LÄN</t>
        </is>
      </c>
      <c r="E743" t="inlineStr">
        <is>
          <t>UMEÅ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52162-2022</t>
        </is>
      </c>
      <c r="B744" s="1" t="n">
        <v>44873</v>
      </c>
      <c r="C744" s="1" t="n">
        <v>45340</v>
      </c>
      <c r="D744" t="inlineStr">
        <is>
          <t>VÄSTERBOTTENS LÄN</t>
        </is>
      </c>
      <c r="E744" t="inlineStr">
        <is>
          <t>UMEÅ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52158-2022</t>
        </is>
      </c>
      <c r="B745" s="1" t="n">
        <v>44873</v>
      </c>
      <c r="C745" s="1" t="n">
        <v>45340</v>
      </c>
      <c r="D745" t="inlineStr">
        <is>
          <t>VÄSTERBOTTENS LÄN</t>
        </is>
      </c>
      <c r="E745" t="inlineStr">
        <is>
          <t>UMEÅ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52312-2022</t>
        </is>
      </c>
      <c r="B746" s="1" t="n">
        <v>44873</v>
      </c>
      <c r="C746" s="1" t="n">
        <v>45340</v>
      </c>
      <c r="D746" t="inlineStr">
        <is>
          <t>VÄSTERBOTTENS LÄN</t>
        </is>
      </c>
      <c r="E746" t="inlineStr">
        <is>
          <t>UMEÅ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52681-2022</t>
        </is>
      </c>
      <c r="B747" s="1" t="n">
        <v>44874</v>
      </c>
      <c r="C747" s="1" t="n">
        <v>45340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52679-2022</t>
        </is>
      </c>
      <c r="B748" s="1" t="n">
        <v>44874</v>
      </c>
      <c r="C748" s="1" t="n">
        <v>45340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52585-2022</t>
        </is>
      </c>
      <c r="B749" s="1" t="n">
        <v>44874</v>
      </c>
      <c r="C749" s="1" t="n">
        <v>45340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52680-2022</t>
        </is>
      </c>
      <c r="B750" s="1" t="n">
        <v>44874</v>
      </c>
      <c r="C750" s="1" t="n">
        <v>45340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53153-2022</t>
        </is>
      </c>
      <c r="B751" s="1" t="n">
        <v>44876</v>
      </c>
      <c r="C751" s="1" t="n">
        <v>45340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53106-2022</t>
        </is>
      </c>
      <c r="B752" s="1" t="n">
        <v>44876</v>
      </c>
      <c r="C752" s="1" t="n">
        <v>45340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53111-2022</t>
        </is>
      </c>
      <c r="B753" s="1" t="n">
        <v>44876</v>
      </c>
      <c r="C753" s="1" t="n">
        <v>45340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53160-2022</t>
        </is>
      </c>
      <c r="B754" s="1" t="n">
        <v>44876</v>
      </c>
      <c r="C754" s="1" t="n">
        <v>45340</v>
      </c>
      <c r="D754" t="inlineStr">
        <is>
          <t>VÄSTERBOTTENS LÄN</t>
        </is>
      </c>
      <c r="E754" t="inlineStr">
        <is>
          <t>UMEÅ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55938-2022</t>
        </is>
      </c>
      <c r="B755" s="1" t="n">
        <v>44889</v>
      </c>
      <c r="C755" s="1" t="n">
        <v>45340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57317-2022</t>
        </is>
      </c>
      <c r="B756" s="1" t="n">
        <v>44896</v>
      </c>
      <c r="C756" s="1" t="n">
        <v>45340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57572-2022</t>
        </is>
      </c>
      <c r="B757" s="1" t="n">
        <v>44896</v>
      </c>
      <c r="C757" s="1" t="n">
        <v>45340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57556-2022</t>
        </is>
      </c>
      <c r="B758" s="1" t="n">
        <v>44896</v>
      </c>
      <c r="C758" s="1" t="n">
        <v>45340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57914-2022</t>
        </is>
      </c>
      <c r="B759" s="1" t="n">
        <v>44900</v>
      </c>
      <c r="C759" s="1" t="n">
        <v>45340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57968-2022</t>
        </is>
      </c>
      <c r="B760" s="1" t="n">
        <v>44900</v>
      </c>
      <c r="C760" s="1" t="n">
        <v>45340</v>
      </c>
      <c r="D760" t="inlineStr">
        <is>
          <t>VÄSTERBOTTENS LÄN</t>
        </is>
      </c>
      <c r="E760" t="inlineStr">
        <is>
          <t>UMEÅ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58132-2022</t>
        </is>
      </c>
      <c r="B761" s="1" t="n">
        <v>44900</v>
      </c>
      <c r="C761" s="1" t="n">
        <v>45340</v>
      </c>
      <c r="D761" t="inlineStr">
        <is>
          <t>VÄSTERBOTTENS LÄN</t>
        </is>
      </c>
      <c r="E761" t="inlineStr">
        <is>
          <t>UMEÅ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58196-2022</t>
        </is>
      </c>
      <c r="B762" s="1" t="n">
        <v>44900</v>
      </c>
      <c r="C762" s="1" t="n">
        <v>45340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58605-2022</t>
        </is>
      </c>
      <c r="B763" s="1" t="n">
        <v>44902</v>
      </c>
      <c r="C763" s="1" t="n">
        <v>45340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58722-2022</t>
        </is>
      </c>
      <c r="B764" s="1" t="n">
        <v>44902</v>
      </c>
      <c r="C764" s="1" t="n">
        <v>45340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59080-2022</t>
        </is>
      </c>
      <c r="B765" s="1" t="n">
        <v>44904</v>
      </c>
      <c r="C765" s="1" t="n">
        <v>45340</v>
      </c>
      <c r="D765" t="inlineStr">
        <is>
          <t>VÄSTERBOTTENS LÄN</t>
        </is>
      </c>
      <c r="E765" t="inlineStr">
        <is>
          <t>UMEÅ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59883-2022</t>
        </is>
      </c>
      <c r="B766" s="1" t="n">
        <v>44908</v>
      </c>
      <c r="C766" s="1" t="n">
        <v>45340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59860-2022</t>
        </is>
      </c>
      <c r="B767" s="1" t="n">
        <v>44908</v>
      </c>
      <c r="C767" s="1" t="n">
        <v>45340</v>
      </c>
      <c r="D767" t="inlineStr">
        <is>
          <t>VÄSTERBOTTENS LÄN</t>
        </is>
      </c>
      <c r="E767" t="inlineStr">
        <is>
          <t>UMEÅ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60811-2022</t>
        </is>
      </c>
      <c r="B768" s="1" t="n">
        <v>44914</v>
      </c>
      <c r="C768" s="1" t="n">
        <v>45340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60960-2022</t>
        </is>
      </c>
      <c r="B769" s="1" t="n">
        <v>44914</v>
      </c>
      <c r="C769" s="1" t="n">
        <v>45340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61034-2022</t>
        </is>
      </c>
      <c r="B770" s="1" t="n">
        <v>44914</v>
      </c>
      <c r="C770" s="1" t="n">
        <v>45340</v>
      </c>
      <c r="D770" t="inlineStr">
        <is>
          <t>VÄSTERBOTTENS LÄN</t>
        </is>
      </c>
      <c r="E770" t="inlineStr">
        <is>
          <t>UMEÅ</t>
        </is>
      </c>
      <c r="G770" t="n">
        <v>16.7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62307-2022</t>
        </is>
      </c>
      <c r="B771" s="1" t="n">
        <v>44916</v>
      </c>
      <c r="C771" s="1" t="n">
        <v>45340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62540-2022</t>
        </is>
      </c>
      <c r="B772" s="1" t="n">
        <v>44917</v>
      </c>
      <c r="C772" s="1" t="n">
        <v>45340</v>
      </c>
      <c r="D772" t="inlineStr">
        <is>
          <t>VÄSTERBOTTENS LÄN</t>
        </is>
      </c>
      <c r="E772" t="inlineStr">
        <is>
          <t>UMEÅ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62106-2022</t>
        </is>
      </c>
      <c r="B773" s="1" t="n">
        <v>44920</v>
      </c>
      <c r="C773" s="1" t="n">
        <v>45340</v>
      </c>
      <c r="D773" t="inlineStr">
        <is>
          <t>VÄSTERBOTTENS LÄN</t>
        </is>
      </c>
      <c r="E773" t="inlineStr">
        <is>
          <t>UMEÅ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388-2023</t>
        </is>
      </c>
      <c r="B774" s="1" t="n">
        <v>44929</v>
      </c>
      <c r="C774" s="1" t="n">
        <v>45340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478-2023</t>
        </is>
      </c>
      <c r="B775" s="1" t="n">
        <v>44929</v>
      </c>
      <c r="C775" s="1" t="n">
        <v>45340</v>
      </c>
      <c r="D775" t="inlineStr">
        <is>
          <t>VÄSTERBOTTENS LÄN</t>
        </is>
      </c>
      <c r="E775" t="inlineStr">
        <is>
          <t>UMEÅ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751-2023</t>
        </is>
      </c>
      <c r="B776" s="1" t="n">
        <v>44931</v>
      </c>
      <c r="C776" s="1" t="n">
        <v>45340</v>
      </c>
      <c r="D776" t="inlineStr">
        <is>
          <t>VÄSTERBOTTENS LÄN</t>
        </is>
      </c>
      <c r="E776" t="inlineStr">
        <is>
          <t>UMEÅ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759-2023</t>
        </is>
      </c>
      <c r="B777" s="1" t="n">
        <v>44931</v>
      </c>
      <c r="C777" s="1" t="n">
        <v>45340</v>
      </c>
      <c r="D777" t="inlineStr">
        <is>
          <t>VÄSTERBOTTENS LÄN</t>
        </is>
      </c>
      <c r="E777" t="inlineStr">
        <is>
          <t>UMEÅ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1480-2023</t>
        </is>
      </c>
      <c r="B778" s="1" t="n">
        <v>44937</v>
      </c>
      <c r="C778" s="1" t="n">
        <v>45340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2048-2023</t>
        </is>
      </c>
      <c r="B779" s="1" t="n">
        <v>44939</v>
      </c>
      <c r="C779" s="1" t="n">
        <v>45340</v>
      </c>
      <c r="D779" t="inlineStr">
        <is>
          <t>VÄSTERBOTTENS LÄN</t>
        </is>
      </c>
      <c r="E779" t="inlineStr">
        <is>
          <t>UMEÅ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2695-2023</t>
        </is>
      </c>
      <c r="B780" s="1" t="n">
        <v>44944</v>
      </c>
      <c r="C780" s="1" t="n">
        <v>45340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2659-2023</t>
        </is>
      </c>
      <c r="B781" s="1" t="n">
        <v>44944</v>
      </c>
      <c r="C781" s="1" t="n">
        <v>45340</v>
      </c>
      <c r="D781" t="inlineStr">
        <is>
          <t>VÄSTERBOTTENS LÄN</t>
        </is>
      </c>
      <c r="E781" t="inlineStr">
        <is>
          <t>UMEÅ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2748-2023</t>
        </is>
      </c>
      <c r="B782" s="1" t="n">
        <v>44944</v>
      </c>
      <c r="C782" s="1" t="n">
        <v>45340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2632-2023</t>
        </is>
      </c>
      <c r="B783" s="1" t="n">
        <v>44944</v>
      </c>
      <c r="C783" s="1" t="n">
        <v>45340</v>
      </c>
      <c r="D783" t="inlineStr">
        <is>
          <t>VÄSTERBOTTENS LÄN</t>
        </is>
      </c>
      <c r="E783" t="inlineStr">
        <is>
          <t>UMEÅ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2634-2023</t>
        </is>
      </c>
      <c r="B784" s="1" t="n">
        <v>44944</v>
      </c>
      <c r="C784" s="1" t="n">
        <v>45340</v>
      </c>
      <c r="D784" t="inlineStr">
        <is>
          <t>VÄSTERBOTTENS LÄN</t>
        </is>
      </c>
      <c r="E784" t="inlineStr">
        <is>
          <t>UMEÅ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2737-2023</t>
        </is>
      </c>
      <c r="B785" s="1" t="n">
        <v>44944</v>
      </c>
      <c r="C785" s="1" t="n">
        <v>45340</v>
      </c>
      <c r="D785" t="inlineStr">
        <is>
          <t>VÄSTERBOTTENS LÄN</t>
        </is>
      </c>
      <c r="E785" t="inlineStr">
        <is>
          <t>UMEÅ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3050-2023</t>
        </is>
      </c>
      <c r="B786" s="1" t="n">
        <v>44946</v>
      </c>
      <c r="C786" s="1" t="n">
        <v>45340</v>
      </c>
      <c r="D786" t="inlineStr">
        <is>
          <t>VÄSTERBOTTENS LÄN</t>
        </is>
      </c>
      <c r="E786" t="inlineStr">
        <is>
          <t>UMEÅ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3411-2023</t>
        </is>
      </c>
      <c r="B787" s="1" t="n">
        <v>44949</v>
      </c>
      <c r="C787" s="1" t="n">
        <v>45340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4725-2023</t>
        </is>
      </c>
      <c r="B788" s="1" t="n">
        <v>44953</v>
      </c>
      <c r="C788" s="1" t="n">
        <v>45340</v>
      </c>
      <c r="D788" t="inlineStr">
        <is>
          <t>VÄSTERBOTTENS LÄN</t>
        </is>
      </c>
      <c r="E788" t="inlineStr">
        <is>
          <t>UMEÅ</t>
        </is>
      </c>
      <c r="F788" t="inlineStr">
        <is>
          <t>Övriga statliga verk och myndigheter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4730-2023</t>
        </is>
      </c>
      <c r="B789" s="1" t="n">
        <v>44957</v>
      </c>
      <c r="C789" s="1" t="n">
        <v>45340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5844-2023</t>
        </is>
      </c>
      <c r="B790" s="1" t="n">
        <v>44958</v>
      </c>
      <c r="C790" s="1" t="n">
        <v>45340</v>
      </c>
      <c r="D790" t="inlineStr">
        <is>
          <t>VÄSTERBOTTENS LÄN</t>
        </is>
      </c>
      <c r="E790" t="inlineStr">
        <is>
          <t>UMEÅ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5840-2023</t>
        </is>
      </c>
      <c r="B791" s="1" t="n">
        <v>44958</v>
      </c>
      <c r="C791" s="1" t="n">
        <v>45340</v>
      </c>
      <c r="D791" t="inlineStr">
        <is>
          <t>VÄSTERBOTTENS LÄN</t>
        </is>
      </c>
      <c r="E791" t="inlineStr">
        <is>
          <t>UMEÅ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6889-2023</t>
        </is>
      </c>
      <c r="B792" s="1" t="n">
        <v>44967</v>
      </c>
      <c r="C792" s="1" t="n">
        <v>45340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8539-2023</t>
        </is>
      </c>
      <c r="B793" s="1" t="n">
        <v>44972</v>
      </c>
      <c r="C793" s="1" t="n">
        <v>45340</v>
      </c>
      <c r="D793" t="inlineStr">
        <is>
          <t>VÄSTERBOTTENS LÄN</t>
        </is>
      </c>
      <c r="E793" t="inlineStr">
        <is>
          <t>UMEÅ</t>
        </is>
      </c>
      <c r="G793" t="n">
        <v>21.8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9229-2023</t>
        </is>
      </c>
      <c r="B794" s="1" t="n">
        <v>44977</v>
      </c>
      <c r="C794" s="1" t="n">
        <v>45340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9304-2023</t>
        </is>
      </c>
      <c r="B795" s="1" t="n">
        <v>44980</v>
      </c>
      <c r="C795" s="1" t="n">
        <v>45340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10357-2023</t>
        </is>
      </c>
      <c r="B796" s="1" t="n">
        <v>44980</v>
      </c>
      <c r="C796" s="1" t="n">
        <v>45340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9493-2023</t>
        </is>
      </c>
      <c r="B797" s="1" t="n">
        <v>44981</v>
      </c>
      <c r="C797" s="1" t="n">
        <v>45340</v>
      </c>
      <c r="D797" t="inlineStr">
        <is>
          <t>VÄSTERBOTTENS LÄN</t>
        </is>
      </c>
      <c r="E797" t="inlineStr">
        <is>
          <t>UMEÅ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9531-2023</t>
        </is>
      </c>
      <c r="B798" s="1" t="n">
        <v>44981</v>
      </c>
      <c r="C798" s="1" t="n">
        <v>45340</v>
      </c>
      <c r="D798" t="inlineStr">
        <is>
          <t>VÄSTERBOTTENS LÄN</t>
        </is>
      </c>
      <c r="E798" t="inlineStr">
        <is>
          <t>UMEÅ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10487-2023</t>
        </is>
      </c>
      <c r="B799" s="1" t="n">
        <v>44981</v>
      </c>
      <c r="C799" s="1" t="n">
        <v>45340</v>
      </c>
      <c r="D799" t="inlineStr">
        <is>
          <t>VÄSTERBOTTENS LÄN</t>
        </is>
      </c>
      <c r="E799" t="inlineStr">
        <is>
          <t>UMEÅ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9607-2023</t>
        </is>
      </c>
      <c r="B800" s="1" t="n">
        <v>44983</v>
      </c>
      <c r="C800" s="1" t="n">
        <v>45340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10587-2023</t>
        </is>
      </c>
      <c r="B801" s="1" t="n">
        <v>44984</v>
      </c>
      <c r="C801" s="1" t="n">
        <v>45340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10636-2023</t>
        </is>
      </c>
      <c r="B802" s="1" t="n">
        <v>44984</v>
      </c>
      <c r="C802" s="1" t="n">
        <v>45340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10532-2023</t>
        </is>
      </c>
      <c r="B803" s="1" t="n">
        <v>44987</v>
      </c>
      <c r="C803" s="1" t="n">
        <v>45340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10693-2023</t>
        </is>
      </c>
      <c r="B804" s="1" t="n">
        <v>44988</v>
      </c>
      <c r="C804" s="1" t="n">
        <v>45340</v>
      </c>
      <c r="D804" t="inlineStr">
        <is>
          <t>VÄSTERBOTTENS LÄN</t>
        </is>
      </c>
      <c r="E804" t="inlineStr">
        <is>
          <t>UMEÅ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13768-2023</t>
        </is>
      </c>
      <c r="B805" s="1" t="n">
        <v>45006</v>
      </c>
      <c r="C805" s="1" t="n">
        <v>45340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13730-2023</t>
        </is>
      </c>
      <c r="B806" s="1" t="n">
        <v>45007</v>
      </c>
      <c r="C806" s="1" t="n">
        <v>45340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14091-2023</t>
        </is>
      </c>
      <c r="B807" s="1" t="n">
        <v>45007</v>
      </c>
      <c r="C807" s="1" t="n">
        <v>45340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14209-2023</t>
        </is>
      </c>
      <c r="B808" s="1" t="n">
        <v>45009</v>
      </c>
      <c r="C808" s="1" t="n">
        <v>45340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14242-2023</t>
        </is>
      </c>
      <c r="B809" s="1" t="n">
        <v>45009</v>
      </c>
      <c r="C809" s="1" t="n">
        <v>45340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14407-2023</t>
        </is>
      </c>
      <c r="B810" s="1" t="n">
        <v>45012</v>
      </c>
      <c r="C810" s="1" t="n">
        <v>45340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14734-2023</t>
        </is>
      </c>
      <c r="B811" s="1" t="n">
        <v>45013</v>
      </c>
      <c r="C811" s="1" t="n">
        <v>45340</v>
      </c>
      <c r="D811" t="inlineStr">
        <is>
          <t>VÄSTERBOTTENS LÄN</t>
        </is>
      </c>
      <c r="E811" t="inlineStr">
        <is>
          <t>UMEÅ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14928-2023</t>
        </is>
      </c>
      <c r="B812" s="1" t="n">
        <v>45014</v>
      </c>
      <c r="C812" s="1" t="n">
        <v>45340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15031-2023</t>
        </is>
      </c>
      <c r="B813" s="1" t="n">
        <v>45015</v>
      </c>
      <c r="C813" s="1" t="n">
        <v>45340</v>
      </c>
      <c r="D813" t="inlineStr">
        <is>
          <t>VÄSTERBOTTENS LÄN</t>
        </is>
      </c>
      <c r="E813" t="inlineStr">
        <is>
          <t>UMEÅ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15358-2023</t>
        </is>
      </c>
      <c r="B814" s="1" t="n">
        <v>45016</v>
      </c>
      <c r="C814" s="1" t="n">
        <v>45340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15347-2023</t>
        </is>
      </c>
      <c r="B815" s="1" t="n">
        <v>45016</v>
      </c>
      <c r="C815" s="1" t="n">
        <v>45340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15453-2023</t>
        </is>
      </c>
      <c r="B816" s="1" t="n">
        <v>45016</v>
      </c>
      <c r="C816" s="1" t="n">
        <v>45340</v>
      </c>
      <c r="D816" t="inlineStr">
        <is>
          <t>VÄSTERBOTTENS LÄN</t>
        </is>
      </c>
      <c r="E816" t="inlineStr">
        <is>
          <t>UMEÅ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15411-2023</t>
        </is>
      </c>
      <c r="B817" s="1" t="n">
        <v>45016</v>
      </c>
      <c r="C817" s="1" t="n">
        <v>45340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15352-2023</t>
        </is>
      </c>
      <c r="B818" s="1" t="n">
        <v>45016</v>
      </c>
      <c r="C818" s="1" t="n">
        <v>45340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15465-2023</t>
        </is>
      </c>
      <c r="B819" s="1" t="n">
        <v>45016</v>
      </c>
      <c r="C819" s="1" t="n">
        <v>45340</v>
      </c>
      <c r="D819" t="inlineStr">
        <is>
          <t>VÄSTERBOTTENS LÄN</t>
        </is>
      </c>
      <c r="E819" t="inlineStr">
        <is>
          <t>UMEÅ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15199-2023</t>
        </is>
      </c>
      <c r="B820" s="1" t="n">
        <v>45017</v>
      </c>
      <c r="C820" s="1" t="n">
        <v>45340</v>
      </c>
      <c r="D820" t="inlineStr">
        <is>
          <t>VÄSTERBOTTENS LÄN</t>
        </is>
      </c>
      <c r="E820" t="inlineStr">
        <is>
          <t>UMEÅ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15591-2023</t>
        </is>
      </c>
      <c r="B821" s="1" t="n">
        <v>45019</v>
      </c>
      <c r="C821" s="1" t="n">
        <v>45340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15656-2023</t>
        </is>
      </c>
      <c r="B822" s="1" t="n">
        <v>45019</v>
      </c>
      <c r="C822" s="1" t="n">
        <v>45340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15886-2023</t>
        </is>
      </c>
      <c r="B823" s="1" t="n">
        <v>45022</v>
      </c>
      <c r="C823" s="1" t="n">
        <v>45340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15902-2023</t>
        </is>
      </c>
      <c r="B824" s="1" t="n">
        <v>45022</v>
      </c>
      <c r="C824" s="1" t="n">
        <v>45340</v>
      </c>
      <c r="D824" t="inlineStr">
        <is>
          <t>VÄSTERBOTTENS LÄN</t>
        </is>
      </c>
      <c r="E824" t="inlineStr">
        <is>
          <t>UMEÅ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16330-2023</t>
        </is>
      </c>
      <c r="B825" s="1" t="n">
        <v>45028</v>
      </c>
      <c r="C825" s="1" t="n">
        <v>45340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16392-2023</t>
        </is>
      </c>
      <c r="B826" s="1" t="n">
        <v>45029</v>
      </c>
      <c r="C826" s="1" t="n">
        <v>45340</v>
      </c>
      <c r="D826" t="inlineStr">
        <is>
          <t>VÄSTERBOTTENS LÄN</t>
        </is>
      </c>
      <c r="E826" t="inlineStr">
        <is>
          <t>UMEÅ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17110-2023</t>
        </is>
      </c>
      <c r="B827" s="1" t="n">
        <v>45030</v>
      </c>
      <c r="C827" s="1" t="n">
        <v>45340</v>
      </c>
      <c r="D827" t="inlineStr">
        <is>
          <t>VÄSTERBOTTENS LÄN</t>
        </is>
      </c>
      <c r="E827" t="inlineStr">
        <is>
          <t>UMEÅ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16827-2023</t>
        </is>
      </c>
      <c r="B828" s="1" t="n">
        <v>45033</v>
      </c>
      <c r="C828" s="1" t="n">
        <v>45340</v>
      </c>
      <c r="D828" t="inlineStr">
        <is>
          <t>VÄSTERBOTTENS LÄN</t>
        </is>
      </c>
      <c r="E828" t="inlineStr">
        <is>
          <t>UMEÅ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16999-2023</t>
        </is>
      </c>
      <c r="B829" s="1" t="n">
        <v>45034</v>
      </c>
      <c r="C829" s="1" t="n">
        <v>45340</v>
      </c>
      <c r="D829" t="inlineStr">
        <is>
          <t>VÄSTERBOTTENS LÄN</t>
        </is>
      </c>
      <c r="E829" t="inlineStr">
        <is>
          <t>UMEÅ</t>
        </is>
      </c>
      <c r="G829" t="n">
        <v>20.1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17352-2023</t>
        </is>
      </c>
      <c r="B830" s="1" t="n">
        <v>45033</v>
      </c>
      <c r="C830" s="1" t="n">
        <v>45340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17359-2023</t>
        </is>
      </c>
      <c r="B831" s="1" t="n">
        <v>45033</v>
      </c>
      <c r="C831" s="1" t="n">
        <v>45340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17537-2023</t>
        </is>
      </c>
      <c r="B832" s="1" t="n">
        <v>45034</v>
      </c>
      <c r="C832" s="1" t="n">
        <v>45340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17562-2023</t>
        </is>
      </c>
      <c r="B833" s="1" t="n">
        <v>45034</v>
      </c>
      <c r="C833" s="1" t="n">
        <v>45340</v>
      </c>
      <c r="D833" t="inlineStr">
        <is>
          <t>VÄSTERBOTTENS LÄN</t>
        </is>
      </c>
      <c r="E833" t="inlineStr">
        <is>
          <t>UMEÅ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17528-2023</t>
        </is>
      </c>
      <c r="B834" s="1" t="n">
        <v>45034</v>
      </c>
      <c r="C834" s="1" t="n">
        <v>45340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17924-2023</t>
        </is>
      </c>
      <c r="B835" s="1" t="n">
        <v>45037</v>
      </c>
      <c r="C835" s="1" t="n">
        <v>45340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17928-2023</t>
        </is>
      </c>
      <c r="B836" s="1" t="n">
        <v>45037</v>
      </c>
      <c r="C836" s="1" t="n">
        <v>45340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17949-2023</t>
        </is>
      </c>
      <c r="B837" s="1" t="n">
        <v>45037</v>
      </c>
      <c r="C837" s="1" t="n">
        <v>45340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17945-2023</t>
        </is>
      </c>
      <c r="B838" s="1" t="n">
        <v>45037</v>
      </c>
      <c r="C838" s="1" t="n">
        <v>45340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17989-2023</t>
        </is>
      </c>
      <c r="B839" s="1" t="n">
        <v>45040</v>
      </c>
      <c r="C839" s="1" t="n">
        <v>45340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18265-2023</t>
        </is>
      </c>
      <c r="B840" s="1" t="n">
        <v>45041</v>
      </c>
      <c r="C840" s="1" t="n">
        <v>45340</v>
      </c>
      <c r="D840" t="inlineStr">
        <is>
          <t>VÄSTERBOTTENS LÄN</t>
        </is>
      </c>
      <c r="E840" t="inlineStr">
        <is>
          <t>UMEÅ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18322-2023</t>
        </is>
      </c>
      <c r="B841" s="1" t="n">
        <v>45041</v>
      </c>
      <c r="C841" s="1" t="n">
        <v>45340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18527-2023</t>
        </is>
      </c>
      <c r="B842" s="1" t="n">
        <v>45041</v>
      </c>
      <c r="C842" s="1" t="n">
        <v>45340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18520-2023</t>
        </is>
      </c>
      <c r="B843" s="1" t="n">
        <v>45041</v>
      </c>
      <c r="C843" s="1" t="n">
        <v>45340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18448-2023</t>
        </is>
      </c>
      <c r="B844" s="1" t="n">
        <v>45042</v>
      </c>
      <c r="C844" s="1" t="n">
        <v>45340</v>
      </c>
      <c r="D844" t="inlineStr">
        <is>
          <t>VÄSTERBOTTENS LÄN</t>
        </is>
      </c>
      <c r="E844" t="inlineStr">
        <is>
          <t>UMEÅ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18913-2023</t>
        </is>
      </c>
      <c r="B845" s="1" t="n">
        <v>45043</v>
      </c>
      <c r="C845" s="1" t="n">
        <v>45340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19119-2023</t>
        </is>
      </c>
      <c r="B846" s="1" t="n">
        <v>45043</v>
      </c>
      <c r="C846" s="1" t="n">
        <v>45340</v>
      </c>
      <c r="D846" t="inlineStr">
        <is>
          <t>VÄSTERBOTTENS LÄN</t>
        </is>
      </c>
      <c r="E846" t="inlineStr">
        <is>
          <t>UMEÅ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18907-2023</t>
        </is>
      </c>
      <c r="B847" s="1" t="n">
        <v>45043</v>
      </c>
      <c r="C847" s="1" t="n">
        <v>45340</v>
      </c>
      <c r="D847" t="inlineStr">
        <is>
          <t>VÄSTERBOTTENS LÄN</t>
        </is>
      </c>
      <c r="E847" t="inlineStr">
        <is>
          <t>UMEÅ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19053-2023</t>
        </is>
      </c>
      <c r="B848" s="1" t="n">
        <v>45047</v>
      </c>
      <c r="C848" s="1" t="n">
        <v>45340</v>
      </c>
      <c r="D848" t="inlineStr">
        <is>
          <t>VÄSTERBOTTENS LÄN</t>
        </is>
      </c>
      <c r="E848" t="inlineStr">
        <is>
          <t>UMEÅ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19192-2023</t>
        </is>
      </c>
      <c r="B849" s="1" t="n">
        <v>45048</v>
      </c>
      <c r="C849" s="1" t="n">
        <v>45340</v>
      </c>
      <c r="D849" t="inlineStr">
        <is>
          <t>VÄSTERBOTTENS LÄN</t>
        </is>
      </c>
      <c r="E849" t="inlineStr">
        <is>
          <t>UMEÅ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19200-2023</t>
        </is>
      </c>
      <c r="B850" s="1" t="n">
        <v>45048</v>
      </c>
      <c r="C850" s="1" t="n">
        <v>45340</v>
      </c>
      <c r="D850" t="inlineStr">
        <is>
          <t>VÄSTERBOTTENS LÄN</t>
        </is>
      </c>
      <c r="E850" t="inlineStr">
        <is>
          <t>UMEÅ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20795-2023</t>
        </is>
      </c>
      <c r="B851" s="1" t="n">
        <v>45055</v>
      </c>
      <c r="C851" s="1" t="n">
        <v>45340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20991-2023</t>
        </is>
      </c>
      <c r="B852" s="1" t="n">
        <v>45056</v>
      </c>
      <c r="C852" s="1" t="n">
        <v>45340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21013-2023</t>
        </is>
      </c>
      <c r="B853" s="1" t="n">
        <v>45056</v>
      </c>
      <c r="C853" s="1" t="n">
        <v>45340</v>
      </c>
      <c r="D853" t="inlineStr">
        <is>
          <t>VÄSTERBOTTENS LÄN</t>
        </is>
      </c>
      <c r="E853" t="inlineStr">
        <is>
          <t>UMEÅ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20858-2023</t>
        </is>
      </c>
      <c r="B854" s="1" t="n">
        <v>45058</v>
      </c>
      <c r="C854" s="1" t="n">
        <v>45340</v>
      </c>
      <c r="D854" t="inlineStr">
        <is>
          <t>VÄSTERBOTTENS LÄN</t>
        </is>
      </c>
      <c r="E854" t="inlineStr">
        <is>
          <t>UMEÅ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21743-2023</t>
        </is>
      </c>
      <c r="B855" s="1" t="n">
        <v>45065</v>
      </c>
      <c r="C855" s="1" t="n">
        <v>45340</v>
      </c>
      <c r="D855" t="inlineStr">
        <is>
          <t>VÄSTERBOTTENS LÄN</t>
        </is>
      </c>
      <c r="E855" t="inlineStr">
        <is>
          <t>UMEÅ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21917-2023</t>
        </is>
      </c>
      <c r="B856" s="1" t="n">
        <v>45065</v>
      </c>
      <c r="C856" s="1" t="n">
        <v>45340</v>
      </c>
      <c r="D856" t="inlineStr">
        <is>
          <t>VÄSTERBOTTENS LÄN</t>
        </is>
      </c>
      <c r="E856" t="inlineStr">
        <is>
          <t>UMEÅ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22000-2023</t>
        </is>
      </c>
      <c r="B857" s="1" t="n">
        <v>45069</v>
      </c>
      <c r="C857" s="1" t="n">
        <v>45340</v>
      </c>
      <c r="D857" t="inlineStr">
        <is>
          <t>VÄSTERBOTTENS LÄN</t>
        </is>
      </c>
      <c r="E857" t="inlineStr">
        <is>
          <t>UMEÅ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22003-2023</t>
        </is>
      </c>
      <c r="B858" s="1" t="n">
        <v>45068</v>
      </c>
      <c r="C858" s="1" t="n">
        <v>45340</v>
      </c>
      <c r="D858" t="inlineStr">
        <is>
          <t>VÄSTERBOTTENS LÄN</t>
        </is>
      </c>
      <c r="E858" t="inlineStr">
        <is>
          <t>UMEÅ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22292-2023</t>
        </is>
      </c>
      <c r="B859" s="1" t="n">
        <v>45070</v>
      </c>
      <c r="C859" s="1" t="n">
        <v>45340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22291-2023</t>
        </is>
      </c>
      <c r="B860" s="1" t="n">
        <v>45070</v>
      </c>
      <c r="C860" s="1" t="n">
        <v>45340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23343-2023</t>
        </is>
      </c>
      <c r="B861" s="1" t="n">
        <v>45071</v>
      </c>
      <c r="C861" s="1" t="n">
        <v>45340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23340-2023</t>
        </is>
      </c>
      <c r="B862" s="1" t="n">
        <v>45071</v>
      </c>
      <c r="C862" s="1" t="n">
        <v>45340</v>
      </c>
      <c r="D862" t="inlineStr">
        <is>
          <t>VÄSTERBOTTENS LÄN</t>
        </is>
      </c>
      <c r="E862" t="inlineStr">
        <is>
          <t>UMEÅ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24392-2023</t>
        </is>
      </c>
      <c r="B863" s="1" t="n">
        <v>45076</v>
      </c>
      <c r="C863" s="1" t="n">
        <v>45340</v>
      </c>
      <c r="D863" t="inlineStr">
        <is>
          <t>VÄSTERBOTTENS LÄN</t>
        </is>
      </c>
      <c r="E863" t="inlineStr">
        <is>
          <t>UMEÅ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23697-2023</t>
        </is>
      </c>
      <c r="B864" s="1" t="n">
        <v>45077</v>
      </c>
      <c r="C864" s="1" t="n">
        <v>45340</v>
      </c>
      <c r="D864" t="inlineStr">
        <is>
          <t>VÄSTERBOTTENS LÄN</t>
        </is>
      </c>
      <c r="E864" t="inlineStr">
        <is>
          <t>UMEÅ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23718-2023</t>
        </is>
      </c>
      <c r="B865" s="1" t="n">
        <v>45077</v>
      </c>
      <c r="C865" s="1" t="n">
        <v>45340</v>
      </c>
      <c r="D865" t="inlineStr">
        <is>
          <t>VÄSTERBOTTENS LÄN</t>
        </is>
      </c>
      <c r="E865" t="inlineStr">
        <is>
          <t>UMEÅ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23733-2023</t>
        </is>
      </c>
      <c r="B866" s="1" t="n">
        <v>45077</v>
      </c>
      <c r="C866" s="1" t="n">
        <v>45340</v>
      </c>
      <c r="D866" t="inlineStr">
        <is>
          <t>VÄSTERBOTTENS LÄN</t>
        </is>
      </c>
      <c r="E866" t="inlineStr">
        <is>
          <t>UMEÅ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23888-2023</t>
        </is>
      </c>
      <c r="B867" s="1" t="n">
        <v>45078</v>
      </c>
      <c r="C867" s="1" t="n">
        <v>45340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23983-2023</t>
        </is>
      </c>
      <c r="B868" s="1" t="n">
        <v>45078</v>
      </c>
      <c r="C868" s="1" t="n">
        <v>45340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24000-2023</t>
        </is>
      </c>
      <c r="B869" s="1" t="n">
        <v>45078</v>
      </c>
      <c r="C869" s="1" t="n">
        <v>45340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24875-2023</t>
        </is>
      </c>
      <c r="B870" s="1" t="n">
        <v>45078</v>
      </c>
      <c r="C870" s="1" t="n">
        <v>45340</v>
      </c>
      <c r="D870" t="inlineStr">
        <is>
          <t>VÄSTERBOTTENS LÄN</t>
        </is>
      </c>
      <c r="E870" t="inlineStr">
        <is>
          <t>UMEÅ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24879-2023</t>
        </is>
      </c>
      <c r="B871" s="1" t="n">
        <v>45078</v>
      </c>
      <c r="C871" s="1" t="n">
        <v>45340</v>
      </c>
      <c r="D871" t="inlineStr">
        <is>
          <t>VÄSTERBOTTENS LÄN</t>
        </is>
      </c>
      <c r="E871" t="inlineStr">
        <is>
          <t>UMEÅ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24532-2023</t>
        </is>
      </c>
      <c r="B872" s="1" t="n">
        <v>45082</v>
      </c>
      <c r="C872" s="1" t="n">
        <v>45340</v>
      </c>
      <c r="D872" t="inlineStr">
        <is>
          <t>VÄSTERBOTTENS LÄN</t>
        </is>
      </c>
      <c r="E872" t="inlineStr">
        <is>
          <t>UMEÅ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24797-2023</t>
        </is>
      </c>
      <c r="B873" s="1" t="n">
        <v>45084</v>
      </c>
      <c r="C873" s="1" t="n">
        <v>45340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24816-2023</t>
        </is>
      </c>
      <c r="B874" s="1" t="n">
        <v>45084</v>
      </c>
      <c r="C874" s="1" t="n">
        <v>45340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25872-2023</t>
        </is>
      </c>
      <c r="B875" s="1" t="n">
        <v>45085</v>
      </c>
      <c r="C875" s="1" t="n">
        <v>45340</v>
      </c>
      <c r="D875" t="inlineStr">
        <is>
          <t>VÄSTERBOTTENS LÄN</t>
        </is>
      </c>
      <c r="E875" t="inlineStr">
        <is>
          <t>UMEÅ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25889-2023</t>
        </is>
      </c>
      <c r="B876" s="1" t="n">
        <v>45085</v>
      </c>
      <c r="C876" s="1" t="n">
        <v>45340</v>
      </c>
      <c r="D876" t="inlineStr">
        <is>
          <t>VÄSTERBOTTENS LÄN</t>
        </is>
      </c>
      <c r="E876" t="inlineStr">
        <is>
          <t>UMEÅ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26247-2023</t>
        </is>
      </c>
      <c r="B877" s="1" t="n">
        <v>45086</v>
      </c>
      <c r="C877" s="1" t="n">
        <v>45340</v>
      </c>
      <c r="D877" t="inlineStr">
        <is>
          <t>VÄSTERBOTTENS LÄN</t>
        </is>
      </c>
      <c r="E877" t="inlineStr">
        <is>
          <t>UMEÅ</t>
        </is>
      </c>
      <c r="G877" t="n">
        <v>13.3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26250-2023</t>
        </is>
      </c>
      <c r="B878" s="1" t="n">
        <v>45086</v>
      </c>
      <c r="C878" s="1" t="n">
        <v>45340</v>
      </c>
      <c r="D878" t="inlineStr">
        <is>
          <t>VÄSTERBOTTENS LÄN</t>
        </is>
      </c>
      <c r="E878" t="inlineStr">
        <is>
          <t>UMEÅ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25365-2023</t>
        </is>
      </c>
      <c r="B879" s="1" t="n">
        <v>45088</v>
      </c>
      <c r="C879" s="1" t="n">
        <v>45340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25367-2023</t>
        </is>
      </c>
      <c r="B880" s="1" t="n">
        <v>45089</v>
      </c>
      <c r="C880" s="1" t="n">
        <v>45340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25457-2023</t>
        </is>
      </c>
      <c r="B881" s="1" t="n">
        <v>45089</v>
      </c>
      <c r="C881" s="1" t="n">
        <v>45340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25505-2023</t>
        </is>
      </c>
      <c r="B882" s="1" t="n">
        <v>45089</v>
      </c>
      <c r="C882" s="1" t="n">
        <v>45340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26177-2023</t>
        </is>
      </c>
      <c r="B883" s="1" t="n">
        <v>45091</v>
      </c>
      <c r="C883" s="1" t="n">
        <v>45340</v>
      </c>
      <c r="D883" t="inlineStr">
        <is>
          <t>VÄSTERBOTTENS LÄN</t>
        </is>
      </c>
      <c r="E883" t="inlineStr">
        <is>
          <t>UMEÅ</t>
        </is>
      </c>
      <c r="G883" t="n">
        <v>12.7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26137-2023</t>
        </is>
      </c>
      <c r="B884" s="1" t="n">
        <v>45091</v>
      </c>
      <c r="C884" s="1" t="n">
        <v>45340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26970-2023</t>
        </is>
      </c>
      <c r="B885" s="1" t="n">
        <v>45091</v>
      </c>
      <c r="C885" s="1" t="n">
        <v>45340</v>
      </c>
      <c r="D885" t="inlineStr">
        <is>
          <t>VÄSTERBOTTENS LÄN</t>
        </is>
      </c>
      <c r="E885" t="inlineStr">
        <is>
          <t>UMEÅ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26138-2023</t>
        </is>
      </c>
      <c r="B886" s="1" t="n">
        <v>45091</v>
      </c>
      <c r="C886" s="1" t="n">
        <v>45340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26967-2023</t>
        </is>
      </c>
      <c r="B887" s="1" t="n">
        <v>45091</v>
      </c>
      <c r="C887" s="1" t="n">
        <v>45340</v>
      </c>
      <c r="D887" t="inlineStr">
        <is>
          <t>VÄSTERBOTTENS LÄN</t>
        </is>
      </c>
      <c r="E887" t="inlineStr">
        <is>
          <t>UMEÅ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27338-2023</t>
        </is>
      </c>
      <c r="B888" s="1" t="n">
        <v>45096</v>
      </c>
      <c r="C888" s="1" t="n">
        <v>45340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28970-2023</t>
        </is>
      </c>
      <c r="B889" s="1" t="n">
        <v>45096</v>
      </c>
      <c r="C889" s="1" t="n">
        <v>45340</v>
      </c>
      <c r="D889" t="inlineStr">
        <is>
          <t>VÄSTERBOTTENS LÄN</t>
        </is>
      </c>
      <c r="E889" t="inlineStr">
        <is>
          <t>UMEÅ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28877-2023</t>
        </is>
      </c>
      <c r="B890" s="1" t="n">
        <v>45096</v>
      </c>
      <c r="C890" s="1" t="n">
        <v>45340</v>
      </c>
      <c r="D890" t="inlineStr">
        <is>
          <t>VÄSTERBOTTENS LÄN</t>
        </is>
      </c>
      <c r="E890" t="inlineStr">
        <is>
          <t>UMEÅ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29447-2023</t>
        </is>
      </c>
      <c r="B891" s="1" t="n">
        <v>45096</v>
      </c>
      <c r="C891" s="1" t="n">
        <v>45340</v>
      </c>
      <c r="D891" t="inlineStr">
        <is>
          <t>VÄSTERBOTTENS LÄN</t>
        </is>
      </c>
      <c r="E891" t="inlineStr">
        <is>
          <t>UMEÅ</t>
        </is>
      </c>
      <c r="G891" t="n">
        <v>19.7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28679-2023</t>
        </is>
      </c>
      <c r="B892" s="1" t="n">
        <v>45096</v>
      </c>
      <c r="C892" s="1" t="n">
        <v>45340</v>
      </c>
      <c r="D892" t="inlineStr">
        <is>
          <t>VÄSTERBOTTENS LÄN</t>
        </is>
      </c>
      <c r="E892" t="inlineStr">
        <is>
          <t>UMEÅ</t>
        </is>
      </c>
      <c r="G892" t="n">
        <v>13.3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29454-2023</t>
        </is>
      </c>
      <c r="B893" s="1" t="n">
        <v>45098</v>
      </c>
      <c r="C893" s="1" t="n">
        <v>45340</v>
      </c>
      <c r="D893" t="inlineStr">
        <is>
          <t>VÄSTERBOTTENS LÄN</t>
        </is>
      </c>
      <c r="E893" t="inlineStr">
        <is>
          <t>UMEÅ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28099-2023</t>
        </is>
      </c>
      <c r="B894" s="1" t="n">
        <v>45099</v>
      </c>
      <c r="C894" s="1" t="n">
        <v>45340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28164-2023</t>
        </is>
      </c>
      <c r="B895" s="1" t="n">
        <v>45099</v>
      </c>
      <c r="C895" s="1" t="n">
        <v>45340</v>
      </c>
      <c r="D895" t="inlineStr">
        <is>
          <t>VÄSTERBOTTENS LÄN</t>
        </is>
      </c>
      <c r="E895" t="inlineStr">
        <is>
          <t>UMEÅ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28193-2023</t>
        </is>
      </c>
      <c r="B896" s="1" t="n">
        <v>45099</v>
      </c>
      <c r="C896" s="1" t="n">
        <v>45340</v>
      </c>
      <c r="D896" t="inlineStr">
        <is>
          <t>VÄSTERBOTTENS LÄN</t>
        </is>
      </c>
      <c r="E896" t="inlineStr">
        <is>
          <t>UMEÅ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30210-2023</t>
        </is>
      </c>
      <c r="B897" s="1" t="n">
        <v>45099</v>
      </c>
      <c r="C897" s="1" t="n">
        <v>45340</v>
      </c>
      <c r="D897" t="inlineStr">
        <is>
          <t>VÄSTERBOTTENS LÄN</t>
        </is>
      </c>
      <c r="E897" t="inlineStr">
        <is>
          <t>UMEÅ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28628-2023</t>
        </is>
      </c>
      <c r="B898" s="1" t="n">
        <v>45103</v>
      </c>
      <c r="C898" s="1" t="n">
        <v>45340</v>
      </c>
      <c r="D898" t="inlineStr">
        <is>
          <t>VÄSTERBOTTENS LÄN</t>
        </is>
      </c>
      <c r="E898" t="inlineStr">
        <is>
          <t>UMEÅ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29148-2023</t>
        </is>
      </c>
      <c r="B899" s="1" t="n">
        <v>45105</v>
      </c>
      <c r="C899" s="1" t="n">
        <v>45340</v>
      </c>
      <c r="D899" t="inlineStr">
        <is>
          <t>VÄSTERBOTTENS LÄN</t>
        </is>
      </c>
      <c r="E899" t="inlineStr">
        <is>
          <t>UMEÅ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29463-2023</t>
        </is>
      </c>
      <c r="B900" s="1" t="n">
        <v>45106</v>
      </c>
      <c r="C900" s="1" t="n">
        <v>45340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29640-2023</t>
        </is>
      </c>
      <c r="B901" s="1" t="n">
        <v>45106</v>
      </c>
      <c r="C901" s="1" t="n">
        <v>45340</v>
      </c>
      <c r="D901" t="inlineStr">
        <is>
          <t>VÄSTERBOTTENS LÄN</t>
        </is>
      </c>
      <c r="E901" t="inlineStr">
        <is>
          <t>UMEÅ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29827-2023</t>
        </is>
      </c>
      <c r="B902" s="1" t="n">
        <v>45107</v>
      </c>
      <c r="C902" s="1" t="n">
        <v>45340</v>
      </c>
      <c r="D902" t="inlineStr">
        <is>
          <t>VÄSTERBOTTENS LÄN</t>
        </is>
      </c>
      <c r="E902" t="inlineStr">
        <is>
          <t>UMEÅ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29814-2023</t>
        </is>
      </c>
      <c r="B903" s="1" t="n">
        <v>45107</v>
      </c>
      <c r="C903" s="1" t="n">
        <v>45340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30266-2023</t>
        </is>
      </c>
      <c r="B904" s="1" t="n">
        <v>45110</v>
      </c>
      <c r="C904" s="1" t="n">
        <v>45340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30258-2023</t>
        </is>
      </c>
      <c r="B905" s="1" t="n">
        <v>45110</v>
      </c>
      <c r="C905" s="1" t="n">
        <v>45340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30216-2023</t>
        </is>
      </c>
      <c r="B906" s="1" t="n">
        <v>45110</v>
      </c>
      <c r="C906" s="1" t="n">
        <v>45340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30553-2023</t>
        </is>
      </c>
      <c r="B907" s="1" t="n">
        <v>45111</v>
      </c>
      <c r="C907" s="1" t="n">
        <v>45340</v>
      </c>
      <c r="D907" t="inlineStr">
        <is>
          <t>VÄSTERBOTTENS LÄN</t>
        </is>
      </c>
      <c r="E907" t="inlineStr">
        <is>
          <t>UMEÅ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32628-2023</t>
        </is>
      </c>
      <c r="B908" s="1" t="n">
        <v>45112</v>
      </c>
      <c r="C908" s="1" t="n">
        <v>45340</v>
      </c>
      <c r="D908" t="inlineStr">
        <is>
          <t>VÄSTERBOTTENS LÄN</t>
        </is>
      </c>
      <c r="E908" t="inlineStr">
        <is>
          <t>UMEÅ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32626-2023</t>
        </is>
      </c>
      <c r="B909" s="1" t="n">
        <v>45112</v>
      </c>
      <c r="C909" s="1" t="n">
        <v>45340</v>
      </c>
      <c r="D909" t="inlineStr">
        <is>
          <t>VÄSTERBOTTENS LÄN</t>
        </is>
      </c>
      <c r="E909" t="inlineStr">
        <is>
          <t>UMEÅ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31068-2023</t>
        </is>
      </c>
      <c r="B910" s="1" t="n">
        <v>45113</v>
      </c>
      <c r="C910" s="1" t="n">
        <v>45340</v>
      </c>
      <c r="D910" t="inlineStr">
        <is>
          <t>VÄSTERBOTTENS LÄN</t>
        </is>
      </c>
      <c r="E910" t="inlineStr">
        <is>
          <t>UMEÅ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31468-2023</t>
        </is>
      </c>
      <c r="B911" s="1" t="n">
        <v>45114</v>
      </c>
      <c r="C911" s="1" t="n">
        <v>45340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31444-2023</t>
        </is>
      </c>
      <c r="B912" s="1" t="n">
        <v>45114</v>
      </c>
      <c r="C912" s="1" t="n">
        <v>45340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31531-2023</t>
        </is>
      </c>
      <c r="B913" s="1" t="n">
        <v>45116</v>
      </c>
      <c r="C913" s="1" t="n">
        <v>45340</v>
      </c>
      <c r="D913" t="inlineStr">
        <is>
          <t>VÄSTERBOTTENS LÄN</t>
        </is>
      </c>
      <c r="E913" t="inlineStr">
        <is>
          <t>UMEÅ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32464-2023</t>
        </is>
      </c>
      <c r="B914" s="1" t="n">
        <v>45121</v>
      </c>
      <c r="C914" s="1" t="n">
        <v>45340</v>
      </c>
      <c r="D914" t="inlineStr">
        <is>
          <t>VÄSTERBOTTENS LÄN</t>
        </is>
      </c>
      <c r="E914" t="inlineStr">
        <is>
          <t>UMEÅ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32463-2023</t>
        </is>
      </c>
      <c r="B915" s="1" t="n">
        <v>45121</v>
      </c>
      <c r="C915" s="1" t="n">
        <v>45340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32467-2023</t>
        </is>
      </c>
      <c r="B916" s="1" t="n">
        <v>45121</v>
      </c>
      <c r="C916" s="1" t="n">
        <v>45340</v>
      </c>
      <c r="D916" t="inlineStr">
        <is>
          <t>VÄSTERBOTTENS LÄN</t>
        </is>
      </c>
      <c r="E916" t="inlineStr">
        <is>
          <t>UMEÅ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32462-2023</t>
        </is>
      </c>
      <c r="B917" s="1" t="n">
        <v>45121</v>
      </c>
      <c r="C917" s="1" t="n">
        <v>45340</v>
      </c>
      <c r="D917" t="inlineStr">
        <is>
          <t>VÄSTERBOTTENS LÄN</t>
        </is>
      </c>
      <c r="E917" t="inlineStr">
        <is>
          <t>UMEÅ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33418-2023</t>
        </is>
      </c>
      <c r="B918" s="1" t="n">
        <v>45128</v>
      </c>
      <c r="C918" s="1" t="n">
        <v>45340</v>
      </c>
      <c r="D918" t="inlineStr">
        <is>
          <t>VÄSTERBOTTENS LÄN</t>
        </is>
      </c>
      <c r="E918" t="inlineStr">
        <is>
          <t>UMEÅ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34266-2023</t>
        </is>
      </c>
      <c r="B919" s="1" t="n">
        <v>45138</v>
      </c>
      <c r="C919" s="1" t="n">
        <v>45340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34535-2023</t>
        </is>
      </c>
      <c r="B920" s="1" t="n">
        <v>45140</v>
      </c>
      <c r="C920" s="1" t="n">
        <v>45340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34550-2023</t>
        </is>
      </c>
      <c r="B921" s="1" t="n">
        <v>45140</v>
      </c>
      <c r="C921" s="1" t="n">
        <v>45340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34589-2023</t>
        </is>
      </c>
      <c r="B922" s="1" t="n">
        <v>45140</v>
      </c>
      <c r="C922" s="1" t="n">
        <v>45340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34709-2023</t>
        </is>
      </c>
      <c r="B923" s="1" t="n">
        <v>45141</v>
      </c>
      <c r="C923" s="1" t="n">
        <v>45340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34991-2023</t>
        </is>
      </c>
      <c r="B924" s="1" t="n">
        <v>45142</v>
      </c>
      <c r="C924" s="1" t="n">
        <v>45340</v>
      </c>
      <c r="D924" t="inlineStr">
        <is>
          <t>VÄSTERBOTTENS LÄN</t>
        </is>
      </c>
      <c r="E924" t="inlineStr">
        <is>
          <t>UMEÅ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35096-2023</t>
        </is>
      </c>
      <c r="B925" s="1" t="n">
        <v>45145</v>
      </c>
      <c r="C925" s="1" t="n">
        <v>45340</v>
      </c>
      <c r="D925" t="inlineStr">
        <is>
          <t>VÄSTERBOTTENS LÄN</t>
        </is>
      </c>
      <c r="E925" t="inlineStr">
        <is>
          <t>UMEÅ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37443-2023</t>
        </is>
      </c>
      <c r="B926" s="1" t="n">
        <v>45147</v>
      </c>
      <c r="C926" s="1" t="n">
        <v>45340</v>
      </c>
      <c r="D926" t="inlineStr">
        <is>
          <t>VÄSTERBOTTENS LÄN</t>
        </is>
      </c>
      <c r="E926" t="inlineStr">
        <is>
          <t>UMEÅ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36120-2023</t>
        </is>
      </c>
      <c r="B927" s="1" t="n">
        <v>45148</v>
      </c>
      <c r="C927" s="1" t="n">
        <v>45340</v>
      </c>
      <c r="D927" t="inlineStr">
        <is>
          <t>VÄSTERBOTTENS LÄN</t>
        </is>
      </c>
      <c r="E927" t="inlineStr">
        <is>
          <t>UMEÅ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36201-2023</t>
        </is>
      </c>
      <c r="B928" s="1" t="n">
        <v>45149</v>
      </c>
      <c r="C928" s="1" t="n">
        <v>45340</v>
      </c>
      <c r="D928" t="inlineStr">
        <is>
          <t>VÄSTERBOTTENS LÄN</t>
        </is>
      </c>
      <c r="E928" t="inlineStr">
        <is>
          <t>UMEÅ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36955-2023</t>
        </is>
      </c>
      <c r="B929" s="1" t="n">
        <v>45154</v>
      </c>
      <c r="C929" s="1" t="n">
        <v>45340</v>
      </c>
      <c r="D929" t="inlineStr">
        <is>
          <t>VÄSTERBOTTENS LÄN</t>
        </is>
      </c>
      <c r="E929" t="inlineStr">
        <is>
          <t>UMEÅ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37889-2023</t>
        </is>
      </c>
      <c r="B930" s="1" t="n">
        <v>45160</v>
      </c>
      <c r="C930" s="1" t="n">
        <v>45340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38417-2023</t>
        </is>
      </c>
      <c r="B931" s="1" t="n">
        <v>45160</v>
      </c>
      <c r="C931" s="1" t="n">
        <v>45340</v>
      </c>
      <c r="D931" t="inlineStr">
        <is>
          <t>VÄSTERBOTTENS LÄN</t>
        </is>
      </c>
      <c r="E931" t="inlineStr">
        <is>
          <t>UMEÅ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38266-2023</t>
        </is>
      </c>
      <c r="B932" s="1" t="n">
        <v>45160</v>
      </c>
      <c r="C932" s="1" t="n">
        <v>45340</v>
      </c>
      <c r="D932" t="inlineStr">
        <is>
          <t>VÄSTERBOTTENS LÄN</t>
        </is>
      </c>
      <c r="E932" t="inlineStr">
        <is>
          <t>UMEÅ</t>
        </is>
      </c>
      <c r="G932" t="n">
        <v>9.1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38289-2023</t>
        </is>
      </c>
      <c r="B933" s="1" t="n">
        <v>45161</v>
      </c>
      <c r="C933" s="1" t="n">
        <v>45340</v>
      </c>
      <c r="D933" t="inlineStr">
        <is>
          <t>VÄSTERBOTTENS LÄN</t>
        </is>
      </c>
      <c r="E933" t="inlineStr">
        <is>
          <t>UMEÅ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38412-2023</t>
        </is>
      </c>
      <c r="B934" s="1" t="n">
        <v>45162</v>
      </c>
      <c r="C934" s="1" t="n">
        <v>45340</v>
      </c>
      <c r="D934" t="inlineStr">
        <is>
          <t>VÄSTERBOTTENS LÄN</t>
        </is>
      </c>
      <c r="E934" t="inlineStr">
        <is>
          <t>UMEÅ</t>
        </is>
      </c>
      <c r="F934" t="inlineStr">
        <is>
          <t>Sveaskog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39607-2023</t>
        </is>
      </c>
      <c r="B935" s="1" t="n">
        <v>45163</v>
      </c>
      <c r="C935" s="1" t="n">
        <v>45340</v>
      </c>
      <c r="D935" t="inlineStr">
        <is>
          <t>VÄSTERBOTTENS LÄN</t>
        </is>
      </c>
      <c r="E935" t="inlineStr">
        <is>
          <t>UMEÅ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39115-2023</t>
        </is>
      </c>
      <c r="B936" s="1" t="n">
        <v>45165</v>
      </c>
      <c r="C936" s="1" t="n">
        <v>45340</v>
      </c>
      <c r="D936" t="inlineStr">
        <is>
          <t>VÄSTERBOTTENS LÄN</t>
        </is>
      </c>
      <c r="E936" t="inlineStr">
        <is>
          <t>UMEÅ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39146-2023</t>
        </is>
      </c>
      <c r="B937" s="1" t="n">
        <v>45166</v>
      </c>
      <c r="C937" s="1" t="n">
        <v>45340</v>
      </c>
      <c r="D937" t="inlineStr">
        <is>
          <t>VÄSTERBOTTENS LÄN</t>
        </is>
      </c>
      <c r="E937" t="inlineStr">
        <is>
          <t>UMEÅ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39244-2023</t>
        </is>
      </c>
      <c r="B938" s="1" t="n">
        <v>45166</v>
      </c>
      <c r="C938" s="1" t="n">
        <v>45340</v>
      </c>
      <c r="D938" t="inlineStr">
        <is>
          <t>VÄSTERBOTTENS LÄN</t>
        </is>
      </c>
      <c r="E938" t="inlineStr">
        <is>
          <t>UMEÅ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39445-2023</t>
        </is>
      </c>
      <c r="B939" s="1" t="n">
        <v>45166</v>
      </c>
      <c r="C939" s="1" t="n">
        <v>45340</v>
      </c>
      <c r="D939" t="inlineStr">
        <is>
          <t>VÄSTERBOTTENS LÄN</t>
        </is>
      </c>
      <c r="E939" t="inlineStr">
        <is>
          <t>UMEÅ</t>
        </is>
      </c>
      <c r="G939" t="n">
        <v>33.4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39913-2023</t>
        </is>
      </c>
      <c r="B940" s="1" t="n">
        <v>45166</v>
      </c>
      <c r="C940" s="1" t="n">
        <v>45340</v>
      </c>
      <c r="D940" t="inlineStr">
        <is>
          <t>VÄSTERBOTTENS LÄN</t>
        </is>
      </c>
      <c r="E940" t="inlineStr">
        <is>
          <t>UMEÅ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39594-2023</t>
        </is>
      </c>
      <c r="B941" s="1" t="n">
        <v>45167</v>
      </c>
      <c r="C941" s="1" t="n">
        <v>45340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8.6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39599-2023</t>
        </is>
      </c>
      <c r="B942" s="1" t="n">
        <v>45167</v>
      </c>
      <c r="C942" s="1" t="n">
        <v>45340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39606-2023</t>
        </is>
      </c>
      <c r="B943" s="1" t="n">
        <v>45167</v>
      </c>
      <c r="C943" s="1" t="n">
        <v>45340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39521-2023</t>
        </is>
      </c>
      <c r="B944" s="1" t="n">
        <v>45167</v>
      </c>
      <c r="C944" s="1" t="n">
        <v>45340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39602-2023</t>
        </is>
      </c>
      <c r="B945" s="1" t="n">
        <v>45167</v>
      </c>
      <c r="C945" s="1" t="n">
        <v>45340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39554-2023</t>
        </is>
      </c>
      <c r="B946" s="1" t="n">
        <v>45167</v>
      </c>
      <c r="C946" s="1" t="n">
        <v>45340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40032-2023</t>
        </is>
      </c>
      <c r="B947" s="1" t="n">
        <v>45167</v>
      </c>
      <c r="C947" s="1" t="n">
        <v>45340</v>
      </c>
      <c r="D947" t="inlineStr">
        <is>
          <t>VÄSTERBOTTENS LÄN</t>
        </is>
      </c>
      <c r="E947" t="inlineStr">
        <is>
          <t>UMEÅ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39661-2023</t>
        </is>
      </c>
      <c r="B948" s="1" t="n">
        <v>45167</v>
      </c>
      <c r="C948" s="1" t="n">
        <v>45340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39724-2023</t>
        </is>
      </c>
      <c r="B949" s="1" t="n">
        <v>45167</v>
      </c>
      <c r="C949" s="1" t="n">
        <v>45340</v>
      </c>
      <c r="D949" t="inlineStr">
        <is>
          <t>VÄSTERBOTTENS LÄN</t>
        </is>
      </c>
      <c r="E949" t="inlineStr">
        <is>
          <t>UMEÅ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39945-2023</t>
        </is>
      </c>
      <c r="B950" s="1" t="n">
        <v>45168</v>
      </c>
      <c r="C950" s="1" t="n">
        <v>45340</v>
      </c>
      <c r="D950" t="inlineStr">
        <is>
          <t>VÄSTERBOTTENS LÄN</t>
        </is>
      </c>
      <c r="E950" t="inlineStr">
        <is>
          <t>UMEÅ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39960-2023</t>
        </is>
      </c>
      <c r="B951" s="1" t="n">
        <v>45168</v>
      </c>
      <c r="C951" s="1" t="n">
        <v>45340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39979-2023</t>
        </is>
      </c>
      <c r="B952" s="1" t="n">
        <v>45168</v>
      </c>
      <c r="C952" s="1" t="n">
        <v>45340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41287-2023</t>
        </is>
      </c>
      <c r="B953" s="1" t="n">
        <v>45170</v>
      </c>
      <c r="C953" s="1" t="n">
        <v>45340</v>
      </c>
      <c r="D953" t="inlineStr">
        <is>
          <t>VÄSTERBOTTENS LÄN</t>
        </is>
      </c>
      <c r="E953" t="inlineStr">
        <is>
          <t>UMEÅ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40805-2023</t>
        </is>
      </c>
      <c r="B954" s="1" t="n">
        <v>45171</v>
      </c>
      <c r="C954" s="1" t="n">
        <v>45340</v>
      </c>
      <c r="D954" t="inlineStr">
        <is>
          <t>VÄSTERBOTTENS LÄN</t>
        </is>
      </c>
      <c r="E954" t="inlineStr">
        <is>
          <t>UMEÅ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40855-2023</t>
        </is>
      </c>
      <c r="B955" s="1" t="n">
        <v>45173</v>
      </c>
      <c r="C955" s="1" t="n">
        <v>45340</v>
      </c>
      <c r="D955" t="inlineStr">
        <is>
          <t>VÄSTERBOTTENS LÄN</t>
        </is>
      </c>
      <c r="E955" t="inlineStr">
        <is>
          <t>UMEÅ</t>
        </is>
      </c>
      <c r="G955" t="n">
        <v>13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41095-2023</t>
        </is>
      </c>
      <c r="B956" s="1" t="n">
        <v>45173</v>
      </c>
      <c r="C956" s="1" t="n">
        <v>45340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41516-2023</t>
        </is>
      </c>
      <c r="B957" s="1" t="n">
        <v>45173</v>
      </c>
      <c r="C957" s="1" t="n">
        <v>45340</v>
      </c>
      <c r="D957" t="inlineStr">
        <is>
          <t>VÄSTERBOTTENS LÄN</t>
        </is>
      </c>
      <c r="E957" t="inlineStr">
        <is>
          <t>UMEÅ</t>
        </is>
      </c>
      <c r="G957" t="n">
        <v>11.6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41501-2023</t>
        </is>
      </c>
      <c r="B958" s="1" t="n">
        <v>45173</v>
      </c>
      <c r="C958" s="1" t="n">
        <v>45340</v>
      </c>
      <c r="D958" t="inlineStr">
        <is>
          <t>VÄSTERBOTTENS LÄN</t>
        </is>
      </c>
      <c r="E958" t="inlineStr">
        <is>
          <t>UMEÅ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41525-2023</t>
        </is>
      </c>
      <c r="B959" s="1" t="n">
        <v>45173</v>
      </c>
      <c r="C959" s="1" t="n">
        <v>45340</v>
      </c>
      <c r="D959" t="inlineStr">
        <is>
          <t>VÄSTERBOTTENS LÄN</t>
        </is>
      </c>
      <c r="E959" t="inlineStr">
        <is>
          <t>UMEÅ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41064-2023</t>
        </is>
      </c>
      <c r="B960" s="1" t="n">
        <v>45173</v>
      </c>
      <c r="C960" s="1" t="n">
        <v>45340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41524-2023</t>
        </is>
      </c>
      <c r="B961" s="1" t="n">
        <v>45173</v>
      </c>
      <c r="C961" s="1" t="n">
        <v>45340</v>
      </c>
      <c r="D961" t="inlineStr">
        <is>
          <t>VÄSTERBOTTENS LÄN</t>
        </is>
      </c>
      <c r="E961" t="inlineStr">
        <is>
          <t>UMEÅ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41218-2023</t>
        </is>
      </c>
      <c r="B962" s="1" t="n">
        <v>45174</v>
      </c>
      <c r="C962" s="1" t="n">
        <v>45340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42012-2023</t>
        </is>
      </c>
      <c r="B963" s="1" t="n">
        <v>45174</v>
      </c>
      <c r="C963" s="1" t="n">
        <v>45340</v>
      </c>
      <c r="D963" t="inlineStr">
        <is>
          <t>VÄSTERBOTTENS LÄN</t>
        </is>
      </c>
      <c r="E963" t="inlineStr">
        <is>
          <t>UMEÅ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41594-2023</t>
        </is>
      </c>
      <c r="B964" s="1" t="n">
        <v>45175</v>
      </c>
      <c r="C964" s="1" t="n">
        <v>45340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41732-2023</t>
        </is>
      </c>
      <c r="B965" s="1" t="n">
        <v>45176</v>
      </c>
      <c r="C965" s="1" t="n">
        <v>45340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41714-2023</t>
        </is>
      </c>
      <c r="B966" s="1" t="n">
        <v>45176</v>
      </c>
      <c r="C966" s="1" t="n">
        <v>45340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42105-2023</t>
        </is>
      </c>
      <c r="B967" s="1" t="n">
        <v>45177</v>
      </c>
      <c r="C967" s="1" t="n">
        <v>45340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42463-2023</t>
        </is>
      </c>
      <c r="B968" s="1" t="n">
        <v>45180</v>
      </c>
      <c r="C968" s="1" t="n">
        <v>45340</v>
      </c>
      <c r="D968" t="inlineStr">
        <is>
          <t>VÄSTERBOTTENS LÄN</t>
        </is>
      </c>
      <c r="E968" t="inlineStr">
        <is>
          <t>UMEÅ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42263-2023</t>
        </is>
      </c>
      <c r="B969" s="1" t="n">
        <v>45180</v>
      </c>
      <c r="C969" s="1" t="n">
        <v>45340</v>
      </c>
      <c r="D969" t="inlineStr">
        <is>
          <t>VÄSTERBOTTENS LÄN</t>
        </is>
      </c>
      <c r="E969" t="inlineStr">
        <is>
          <t>UMEÅ</t>
        </is>
      </c>
      <c r="G969" t="n">
        <v>8.699999999999999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42697-2023</t>
        </is>
      </c>
      <c r="B970" s="1" t="n">
        <v>45181</v>
      </c>
      <c r="C970" s="1" t="n">
        <v>45340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43011-2023</t>
        </is>
      </c>
      <c r="B971" s="1" t="n">
        <v>45182</v>
      </c>
      <c r="C971" s="1" t="n">
        <v>45340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43154-2023</t>
        </is>
      </c>
      <c r="B972" s="1" t="n">
        <v>45183</v>
      </c>
      <c r="C972" s="1" t="n">
        <v>45340</v>
      </c>
      <c r="D972" t="inlineStr">
        <is>
          <t>VÄSTERBOTTENS LÄN</t>
        </is>
      </c>
      <c r="E972" t="inlineStr">
        <is>
          <t>UMEÅ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43163-2023</t>
        </is>
      </c>
      <c r="B973" s="1" t="n">
        <v>45183</v>
      </c>
      <c r="C973" s="1" t="n">
        <v>45340</v>
      </c>
      <c r="D973" t="inlineStr">
        <is>
          <t>VÄSTERBOTTENS LÄN</t>
        </is>
      </c>
      <c r="E973" t="inlineStr">
        <is>
          <t>UMEÅ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44008-2023</t>
        </is>
      </c>
      <c r="B974" s="1" t="n">
        <v>45188</v>
      </c>
      <c r="C974" s="1" t="n">
        <v>45340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44279-2023</t>
        </is>
      </c>
      <c r="B975" s="1" t="n">
        <v>45188</v>
      </c>
      <c r="C975" s="1" t="n">
        <v>45340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44207-2023</t>
        </is>
      </c>
      <c r="B976" s="1" t="n">
        <v>45188</v>
      </c>
      <c r="C976" s="1" t="n">
        <v>45340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44563-2023</t>
        </is>
      </c>
      <c r="B977" s="1" t="n">
        <v>45189</v>
      </c>
      <c r="C977" s="1" t="n">
        <v>45340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44459-2023</t>
        </is>
      </c>
      <c r="B978" s="1" t="n">
        <v>45189</v>
      </c>
      <c r="C978" s="1" t="n">
        <v>45340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45131-2023</t>
        </is>
      </c>
      <c r="B979" s="1" t="n">
        <v>45191</v>
      </c>
      <c r="C979" s="1" t="n">
        <v>45340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45603-2023</t>
        </is>
      </c>
      <c r="B980" s="1" t="n">
        <v>45194</v>
      </c>
      <c r="C980" s="1" t="n">
        <v>45340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46372-2023</t>
        </is>
      </c>
      <c r="B981" s="1" t="n">
        <v>45197</v>
      </c>
      <c r="C981" s="1" t="n">
        <v>45340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46320-2023</t>
        </is>
      </c>
      <c r="B982" s="1" t="n">
        <v>45197</v>
      </c>
      <c r="C982" s="1" t="n">
        <v>45340</v>
      </c>
      <c r="D982" t="inlineStr">
        <is>
          <t>VÄSTERBOTTENS LÄN</t>
        </is>
      </c>
      <c r="E982" t="inlineStr">
        <is>
          <t>UMEÅ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46356-2023</t>
        </is>
      </c>
      <c r="B983" s="1" t="n">
        <v>45197</v>
      </c>
      <c r="C983" s="1" t="n">
        <v>45340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46649-2023</t>
        </is>
      </c>
      <c r="B984" s="1" t="n">
        <v>45198</v>
      </c>
      <c r="C984" s="1" t="n">
        <v>45340</v>
      </c>
      <c r="D984" t="inlineStr">
        <is>
          <t>VÄSTERBOTTENS LÄN</t>
        </is>
      </c>
      <c r="E984" t="inlineStr">
        <is>
          <t>UMEÅ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46653-2023</t>
        </is>
      </c>
      <c r="B985" s="1" t="n">
        <v>45198</v>
      </c>
      <c r="C985" s="1" t="n">
        <v>45340</v>
      </c>
      <c r="D985" t="inlineStr">
        <is>
          <t>VÄSTERBOTTENS LÄN</t>
        </is>
      </c>
      <c r="E985" t="inlineStr">
        <is>
          <t>UMEÅ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46727-2023</t>
        </is>
      </c>
      <c r="B986" s="1" t="n">
        <v>45198</v>
      </c>
      <c r="C986" s="1" t="n">
        <v>45340</v>
      </c>
      <c r="D986" t="inlineStr">
        <is>
          <t>VÄSTERBOTTENS LÄN</t>
        </is>
      </c>
      <c r="E986" t="inlineStr">
        <is>
          <t>UMEÅ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46746-2023</t>
        </is>
      </c>
      <c r="B987" s="1" t="n">
        <v>45198</v>
      </c>
      <c r="C987" s="1" t="n">
        <v>45340</v>
      </c>
      <c r="D987" t="inlineStr">
        <is>
          <t>VÄSTERBOTTENS LÄN</t>
        </is>
      </c>
      <c r="E987" t="inlineStr">
        <is>
          <t>UMEÅ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46773-2023</t>
        </is>
      </c>
      <c r="B988" s="1" t="n">
        <v>45198</v>
      </c>
      <c r="C988" s="1" t="n">
        <v>45340</v>
      </c>
      <c r="D988" t="inlineStr">
        <is>
          <t>VÄSTERBOTTENS LÄN</t>
        </is>
      </c>
      <c r="E988" t="inlineStr">
        <is>
          <t>UMEÅ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47834-2023</t>
        </is>
      </c>
      <c r="B989" s="1" t="n">
        <v>45198</v>
      </c>
      <c r="C989" s="1" t="n">
        <v>45340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47870-2023</t>
        </is>
      </c>
      <c r="B990" s="1" t="n">
        <v>45198</v>
      </c>
      <c r="C990" s="1" t="n">
        <v>45340</v>
      </c>
      <c r="D990" t="inlineStr">
        <is>
          <t>VÄSTERBOTTENS LÄN</t>
        </is>
      </c>
      <c r="E990" t="inlineStr">
        <is>
          <t>UMEÅ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46849-2023</t>
        </is>
      </c>
      <c r="B991" s="1" t="n">
        <v>45199</v>
      </c>
      <c r="C991" s="1" t="n">
        <v>45340</v>
      </c>
      <c r="D991" t="inlineStr">
        <is>
          <t>VÄSTERBOTTENS LÄN</t>
        </is>
      </c>
      <c r="E991" t="inlineStr">
        <is>
          <t>UMEÅ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48656-2023</t>
        </is>
      </c>
      <c r="B992" s="1" t="n">
        <v>45202</v>
      </c>
      <c r="C992" s="1" t="n">
        <v>45340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48667-2023</t>
        </is>
      </c>
      <c r="B993" s="1" t="n">
        <v>45202</v>
      </c>
      <c r="C993" s="1" t="n">
        <v>45340</v>
      </c>
      <c r="D993" t="inlineStr">
        <is>
          <t>VÄSTERBOTTENS LÄN</t>
        </is>
      </c>
      <c r="E993" t="inlineStr">
        <is>
          <t>UMEÅ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48618-2023</t>
        </is>
      </c>
      <c r="B994" s="1" t="n">
        <v>45202</v>
      </c>
      <c r="C994" s="1" t="n">
        <v>45340</v>
      </c>
      <c r="D994" t="inlineStr">
        <is>
          <t>VÄSTERBOTTENS LÄN</t>
        </is>
      </c>
      <c r="E994" t="inlineStr">
        <is>
          <t>UMEÅ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48631-2023</t>
        </is>
      </c>
      <c r="B995" s="1" t="n">
        <v>45202</v>
      </c>
      <c r="C995" s="1" t="n">
        <v>45340</v>
      </c>
      <c r="D995" t="inlineStr">
        <is>
          <t>VÄSTERBOTTENS LÄN</t>
        </is>
      </c>
      <c r="E995" t="inlineStr">
        <is>
          <t>UMEÅ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48661-2023</t>
        </is>
      </c>
      <c r="B996" s="1" t="n">
        <v>45202</v>
      </c>
      <c r="C996" s="1" t="n">
        <v>45340</v>
      </c>
      <c r="D996" t="inlineStr">
        <is>
          <t>VÄSTERBOTTENS LÄN</t>
        </is>
      </c>
      <c r="E996" t="inlineStr">
        <is>
          <t>UMEÅ</t>
        </is>
      </c>
      <c r="G996" t="n">
        <v>9.5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48659-2023</t>
        </is>
      </c>
      <c r="B997" s="1" t="n">
        <v>45202</v>
      </c>
      <c r="C997" s="1" t="n">
        <v>45340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47816-2023</t>
        </is>
      </c>
      <c r="B998" s="1" t="n">
        <v>45204</v>
      </c>
      <c r="C998" s="1" t="n">
        <v>45340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47813-2023</t>
        </is>
      </c>
      <c r="B999" s="1" t="n">
        <v>45204</v>
      </c>
      <c r="C999" s="1" t="n">
        <v>45340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49525-2023</t>
        </is>
      </c>
      <c r="B1000" s="1" t="n">
        <v>45205</v>
      </c>
      <c r="C1000" s="1" t="n">
        <v>45340</v>
      </c>
      <c r="D1000" t="inlineStr">
        <is>
          <t>VÄSTERBOTTENS LÄN</t>
        </is>
      </c>
      <c r="E1000" t="inlineStr">
        <is>
          <t>UMEÅ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48751-2023</t>
        </is>
      </c>
      <c r="B1001" s="1" t="n">
        <v>45208</v>
      </c>
      <c r="C1001" s="1" t="n">
        <v>45340</v>
      </c>
      <c r="D1001" t="inlineStr">
        <is>
          <t>VÄSTERBOTTENS LÄN</t>
        </is>
      </c>
      <c r="E1001" t="inlineStr">
        <is>
          <t>UMEÅ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48748-2023</t>
        </is>
      </c>
      <c r="B1002" s="1" t="n">
        <v>45208</v>
      </c>
      <c r="C1002" s="1" t="n">
        <v>45340</v>
      </c>
      <c r="D1002" t="inlineStr">
        <is>
          <t>VÄSTERBOTTENS LÄN</t>
        </is>
      </c>
      <c r="E1002" t="inlineStr">
        <is>
          <t>UMEÅ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48816-2023</t>
        </is>
      </c>
      <c r="B1003" s="1" t="n">
        <v>45209</v>
      </c>
      <c r="C1003" s="1" t="n">
        <v>45340</v>
      </c>
      <c r="D1003" t="inlineStr">
        <is>
          <t>VÄSTERBOTTENS LÄN</t>
        </is>
      </c>
      <c r="E1003" t="inlineStr">
        <is>
          <t>UMEÅ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49031-2023</t>
        </is>
      </c>
      <c r="B1004" s="1" t="n">
        <v>45209</v>
      </c>
      <c r="C1004" s="1" t="n">
        <v>45340</v>
      </c>
      <c r="D1004" t="inlineStr">
        <is>
          <t>VÄSTERBOTTENS LÄN</t>
        </is>
      </c>
      <c r="E1004" t="inlineStr">
        <is>
          <t>UMEÅ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49192-2023</t>
        </is>
      </c>
      <c r="B1005" s="1" t="n">
        <v>45210</v>
      </c>
      <c r="C1005" s="1" t="n">
        <v>45340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Holmen skog AB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49359-2023</t>
        </is>
      </c>
      <c r="B1006" s="1" t="n">
        <v>45211</v>
      </c>
      <c r="C1006" s="1" t="n">
        <v>45340</v>
      </c>
      <c r="D1006" t="inlineStr">
        <is>
          <t>VÄSTERBOTTENS LÄN</t>
        </is>
      </c>
      <c r="E1006" t="inlineStr">
        <is>
          <t>UMEÅ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49383-2023</t>
        </is>
      </c>
      <c r="B1007" s="1" t="n">
        <v>45211</v>
      </c>
      <c r="C1007" s="1" t="n">
        <v>45340</v>
      </c>
      <c r="D1007" t="inlineStr">
        <is>
          <t>VÄSTERBOTTENS LÄN</t>
        </is>
      </c>
      <c r="E1007" t="inlineStr">
        <is>
          <t>UMEÅ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50879-2023</t>
        </is>
      </c>
      <c r="B1008" s="1" t="n">
        <v>45211</v>
      </c>
      <c r="C1008" s="1" t="n">
        <v>45340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51589-2023</t>
        </is>
      </c>
      <c r="B1009" s="1" t="n">
        <v>45215</v>
      </c>
      <c r="C1009" s="1" t="n">
        <v>45340</v>
      </c>
      <c r="D1009" t="inlineStr">
        <is>
          <t>VÄSTERBOTTENS LÄN</t>
        </is>
      </c>
      <c r="E1009" t="inlineStr">
        <is>
          <t>UMEÅ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49989-2023</t>
        </is>
      </c>
      <c r="B1010" s="1" t="n">
        <v>45215</v>
      </c>
      <c r="C1010" s="1" t="n">
        <v>45340</v>
      </c>
      <c r="D1010" t="inlineStr">
        <is>
          <t>VÄSTERBOTTENS LÄN</t>
        </is>
      </c>
      <c r="E1010" t="inlineStr">
        <is>
          <t>UMEÅ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51585-2023</t>
        </is>
      </c>
      <c r="B1011" s="1" t="n">
        <v>45215</v>
      </c>
      <c r="C1011" s="1" t="n">
        <v>45340</v>
      </c>
      <c r="D1011" t="inlineStr">
        <is>
          <t>VÄSTERBOTTENS LÄN</t>
        </is>
      </c>
      <c r="E1011" t="inlineStr">
        <is>
          <t>UMEÅ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51649-2023</t>
        </is>
      </c>
      <c r="B1012" s="1" t="n">
        <v>45215</v>
      </c>
      <c r="C1012" s="1" t="n">
        <v>45340</v>
      </c>
      <c r="D1012" t="inlineStr">
        <is>
          <t>VÄSTERBOTTENS LÄN</t>
        </is>
      </c>
      <c r="E1012" t="inlineStr">
        <is>
          <t>UMEÅ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51870-2023</t>
        </is>
      </c>
      <c r="B1013" s="1" t="n">
        <v>45215</v>
      </c>
      <c r="C1013" s="1" t="n">
        <v>45340</v>
      </c>
      <c r="D1013" t="inlineStr">
        <is>
          <t>VÄSTERBOTTENS LÄN</t>
        </is>
      </c>
      <c r="E1013" t="inlineStr">
        <is>
          <t>UMEÅ</t>
        </is>
      </c>
      <c r="G1013" t="n">
        <v>11.1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51554-2023</t>
        </is>
      </c>
      <c r="B1014" s="1" t="n">
        <v>45215</v>
      </c>
      <c r="C1014" s="1" t="n">
        <v>45340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51709-2023</t>
        </is>
      </c>
      <c r="B1015" s="1" t="n">
        <v>45215</v>
      </c>
      <c r="C1015" s="1" t="n">
        <v>45340</v>
      </c>
      <c r="D1015" t="inlineStr">
        <is>
          <t>VÄSTERBOTTENS LÄN</t>
        </is>
      </c>
      <c r="E1015" t="inlineStr">
        <is>
          <t>UMEÅ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51855-2023</t>
        </is>
      </c>
      <c r="B1016" s="1" t="n">
        <v>45215</v>
      </c>
      <c r="C1016" s="1" t="n">
        <v>45340</v>
      </c>
      <c r="D1016" t="inlineStr">
        <is>
          <t>VÄSTERBOTTENS LÄN</t>
        </is>
      </c>
      <c r="E1016" t="inlineStr">
        <is>
          <t>UMEÅ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50266-2023</t>
        </is>
      </c>
      <c r="B1017" s="1" t="n">
        <v>45216</v>
      </c>
      <c r="C1017" s="1" t="n">
        <v>45340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50465-2023</t>
        </is>
      </c>
      <c r="B1018" s="1" t="n">
        <v>45216</v>
      </c>
      <c r="C1018" s="1" t="n">
        <v>45340</v>
      </c>
      <c r="D1018" t="inlineStr">
        <is>
          <t>VÄSTERBOTTENS LÄN</t>
        </is>
      </c>
      <c r="E1018" t="inlineStr">
        <is>
          <t>UMEÅ</t>
        </is>
      </c>
      <c r="G1018" t="n">
        <v>12.9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52022-2023</t>
        </is>
      </c>
      <c r="B1019" s="1" t="n">
        <v>45216</v>
      </c>
      <c r="C1019" s="1" t="n">
        <v>45340</v>
      </c>
      <c r="D1019" t="inlineStr">
        <is>
          <t>VÄSTERBOTTENS LÄN</t>
        </is>
      </c>
      <c r="E1019" t="inlineStr">
        <is>
          <t>UMEÅ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50463-2023</t>
        </is>
      </c>
      <c r="B1020" s="1" t="n">
        <v>45216</v>
      </c>
      <c r="C1020" s="1" t="n">
        <v>45340</v>
      </c>
      <c r="D1020" t="inlineStr">
        <is>
          <t>VÄSTERBOTTENS LÄN</t>
        </is>
      </c>
      <c r="E1020" t="inlineStr">
        <is>
          <t>UMEÅ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51983-2023</t>
        </is>
      </c>
      <c r="B1021" s="1" t="n">
        <v>45216</v>
      </c>
      <c r="C1021" s="1" t="n">
        <v>45340</v>
      </c>
      <c r="D1021" t="inlineStr">
        <is>
          <t>VÄSTERBOTTENS LÄN</t>
        </is>
      </c>
      <c r="E1021" t="inlineStr">
        <is>
          <t>UMEÅ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50287-2023</t>
        </is>
      </c>
      <c r="B1022" s="1" t="n">
        <v>45216</v>
      </c>
      <c r="C1022" s="1" t="n">
        <v>45340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50263-2023</t>
        </is>
      </c>
      <c r="B1023" s="1" t="n">
        <v>45216</v>
      </c>
      <c r="C1023" s="1" t="n">
        <v>45340</v>
      </c>
      <c r="D1023" t="inlineStr">
        <is>
          <t>VÄSTERBOTTENS LÄN</t>
        </is>
      </c>
      <c r="E1023" t="inlineStr">
        <is>
          <t>UMEÅ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51990-2023</t>
        </is>
      </c>
      <c r="B1024" s="1" t="n">
        <v>45216</v>
      </c>
      <c r="C1024" s="1" t="n">
        <v>45340</v>
      </c>
      <c r="D1024" t="inlineStr">
        <is>
          <t>VÄSTERBOTTENS LÄN</t>
        </is>
      </c>
      <c r="E1024" t="inlineStr">
        <is>
          <t>UMEÅ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50468-2023</t>
        </is>
      </c>
      <c r="B1025" s="1" t="n">
        <v>45216</v>
      </c>
      <c r="C1025" s="1" t="n">
        <v>45340</v>
      </c>
      <c r="D1025" t="inlineStr">
        <is>
          <t>VÄSTERBOTTENS LÄN</t>
        </is>
      </c>
      <c r="E1025" t="inlineStr">
        <is>
          <t>UMEÅ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50260-2023</t>
        </is>
      </c>
      <c r="B1026" s="1" t="n">
        <v>45216</v>
      </c>
      <c r="C1026" s="1" t="n">
        <v>45340</v>
      </c>
      <c r="D1026" t="inlineStr">
        <is>
          <t>VÄSTERBOTTENS LÄN</t>
        </is>
      </c>
      <c r="E1026" t="inlineStr">
        <is>
          <t>UMEÅ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50726-2023</t>
        </is>
      </c>
      <c r="B1027" s="1" t="n">
        <v>45217</v>
      </c>
      <c r="C1027" s="1" t="n">
        <v>45340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50725-2023</t>
        </is>
      </c>
      <c r="B1028" s="1" t="n">
        <v>45217</v>
      </c>
      <c r="C1028" s="1" t="n">
        <v>45340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50676-2023</t>
        </is>
      </c>
      <c r="B1029" s="1" t="n">
        <v>45217</v>
      </c>
      <c r="C1029" s="1" t="n">
        <v>45340</v>
      </c>
      <c r="D1029" t="inlineStr">
        <is>
          <t>VÄSTERBOTTENS LÄN</t>
        </is>
      </c>
      <c r="E1029" t="inlineStr">
        <is>
          <t>UMEÅ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52229-2023</t>
        </is>
      </c>
      <c r="B1030" s="1" t="n">
        <v>45217</v>
      </c>
      <c r="C1030" s="1" t="n">
        <v>45340</v>
      </c>
      <c r="D1030" t="inlineStr">
        <is>
          <t>VÄSTERBOTTENS LÄN</t>
        </is>
      </c>
      <c r="E1030" t="inlineStr">
        <is>
          <t>UMEÅ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51544-2023</t>
        </is>
      </c>
      <c r="B1031" s="1" t="n">
        <v>45222</v>
      </c>
      <c r="C1031" s="1" t="n">
        <v>45340</v>
      </c>
      <c r="D1031" t="inlineStr">
        <is>
          <t>VÄSTERBOTTENS LÄN</t>
        </is>
      </c>
      <c r="E1031" t="inlineStr">
        <is>
          <t>UMEÅ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51693-2023</t>
        </is>
      </c>
      <c r="B1032" s="1" t="n">
        <v>45222</v>
      </c>
      <c r="C1032" s="1" t="n">
        <v>45340</v>
      </c>
      <c r="D1032" t="inlineStr">
        <is>
          <t>VÄSTERBOTTENS LÄN</t>
        </is>
      </c>
      <c r="E1032" t="inlineStr">
        <is>
          <t>UMEÅ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52530-2023</t>
        </is>
      </c>
      <c r="B1033" s="1" t="n">
        <v>45225</v>
      </c>
      <c r="C1033" s="1" t="n">
        <v>45340</v>
      </c>
      <c r="D1033" t="inlineStr">
        <is>
          <t>VÄSTERBOTTENS LÄN</t>
        </is>
      </c>
      <c r="E1033" t="inlineStr">
        <is>
          <t>UMEÅ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52529-2023</t>
        </is>
      </c>
      <c r="B1034" s="1" t="n">
        <v>45225</v>
      </c>
      <c r="C1034" s="1" t="n">
        <v>45340</v>
      </c>
      <c r="D1034" t="inlineStr">
        <is>
          <t>VÄSTERBOTTENS LÄN</t>
        </is>
      </c>
      <c r="E1034" t="inlineStr">
        <is>
          <t>UMEÅ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52900-2023</t>
        </is>
      </c>
      <c r="B1035" s="1" t="n">
        <v>45226</v>
      </c>
      <c r="C1035" s="1" t="n">
        <v>45340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53481-2023</t>
        </is>
      </c>
      <c r="B1036" s="1" t="n">
        <v>45230</v>
      </c>
      <c r="C1036" s="1" t="n">
        <v>45340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55082-2023</t>
        </is>
      </c>
      <c r="B1037" s="1" t="n">
        <v>45230</v>
      </c>
      <c r="C1037" s="1" t="n">
        <v>45340</v>
      </c>
      <c r="D1037" t="inlineStr">
        <is>
          <t>VÄSTERBOTTENS LÄN</t>
        </is>
      </c>
      <c r="E1037" t="inlineStr">
        <is>
          <t>UMEÅ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54718-2023</t>
        </is>
      </c>
      <c r="B1038" s="1" t="n">
        <v>45236</v>
      </c>
      <c r="C1038" s="1" t="n">
        <v>45340</v>
      </c>
      <c r="D1038" t="inlineStr">
        <is>
          <t>VÄSTERBOTTENS LÄN</t>
        </is>
      </c>
      <c r="E1038" t="inlineStr">
        <is>
          <t>UMEÅ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55053-2023</t>
        </is>
      </c>
      <c r="B1039" s="1" t="n">
        <v>45237</v>
      </c>
      <c r="C1039" s="1" t="n">
        <v>45340</v>
      </c>
      <c r="D1039" t="inlineStr">
        <is>
          <t>VÄSTERBOTTENS LÄN</t>
        </is>
      </c>
      <c r="E1039" t="inlineStr">
        <is>
          <t>UMEÅ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55406-2023</t>
        </is>
      </c>
      <c r="B1040" s="1" t="n">
        <v>45238</v>
      </c>
      <c r="C1040" s="1" t="n">
        <v>45340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55909-2023</t>
        </is>
      </c>
      <c r="B1041" s="1" t="n">
        <v>45239</v>
      </c>
      <c r="C1041" s="1" t="n">
        <v>45340</v>
      </c>
      <c r="D1041" t="inlineStr">
        <is>
          <t>VÄSTERBOTTENS LÄN</t>
        </is>
      </c>
      <c r="E1041" t="inlineStr">
        <is>
          <t>UMEÅ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55790-2023</t>
        </is>
      </c>
      <c r="B1042" s="1" t="n">
        <v>45239</v>
      </c>
      <c r="C1042" s="1" t="n">
        <v>45340</v>
      </c>
      <c r="D1042" t="inlineStr">
        <is>
          <t>VÄSTERBOTTENS LÄN</t>
        </is>
      </c>
      <c r="E1042" t="inlineStr">
        <is>
          <t>UMEÅ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55911-2023</t>
        </is>
      </c>
      <c r="B1043" s="1" t="n">
        <v>45239</v>
      </c>
      <c r="C1043" s="1" t="n">
        <v>45340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56302-2023</t>
        </is>
      </c>
      <c r="B1044" s="1" t="n">
        <v>45242</v>
      </c>
      <c r="C1044" s="1" t="n">
        <v>45340</v>
      </c>
      <c r="D1044" t="inlineStr">
        <is>
          <t>VÄSTERBOTTENS LÄN</t>
        </is>
      </c>
      <c r="E1044" t="inlineStr">
        <is>
          <t>UMEÅ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56332-2023</t>
        </is>
      </c>
      <c r="B1045" s="1" t="n">
        <v>45243</v>
      </c>
      <c r="C1045" s="1" t="n">
        <v>45340</v>
      </c>
      <c r="D1045" t="inlineStr">
        <is>
          <t>VÄSTERBOTTENS LÄN</t>
        </is>
      </c>
      <c r="E1045" t="inlineStr">
        <is>
          <t>UMEÅ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56743-2023</t>
        </is>
      </c>
      <c r="B1046" s="1" t="n">
        <v>45244</v>
      </c>
      <c r="C1046" s="1" t="n">
        <v>45340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56749-2023</t>
        </is>
      </c>
      <c r="B1047" s="1" t="n">
        <v>45244</v>
      </c>
      <c r="C1047" s="1" t="n">
        <v>45340</v>
      </c>
      <c r="D1047" t="inlineStr">
        <is>
          <t>VÄSTERBOTTENS LÄN</t>
        </is>
      </c>
      <c r="E1047" t="inlineStr">
        <is>
          <t>UMEÅ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57883-2023</t>
        </is>
      </c>
      <c r="B1048" s="1" t="n">
        <v>45247</v>
      </c>
      <c r="C1048" s="1" t="n">
        <v>45340</v>
      </c>
      <c r="D1048" t="inlineStr">
        <is>
          <t>VÄSTERBOTTENS LÄN</t>
        </is>
      </c>
      <c r="E1048" t="inlineStr">
        <is>
          <t>UMEÅ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58130-2023</t>
        </is>
      </c>
      <c r="B1049" s="1" t="n">
        <v>45249</v>
      </c>
      <c r="C1049" s="1" t="n">
        <v>45340</v>
      </c>
      <c r="D1049" t="inlineStr">
        <is>
          <t>VÄSTERBOTTENS LÄN</t>
        </is>
      </c>
      <c r="E1049" t="inlineStr">
        <is>
          <t>UMEÅ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58262-2023</t>
        </is>
      </c>
      <c r="B1050" s="1" t="n">
        <v>45250</v>
      </c>
      <c r="C1050" s="1" t="n">
        <v>45340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58256-2023</t>
        </is>
      </c>
      <c r="B1051" s="1" t="n">
        <v>45250</v>
      </c>
      <c r="C1051" s="1" t="n">
        <v>45340</v>
      </c>
      <c r="D1051" t="inlineStr">
        <is>
          <t>VÄSTERBOTTENS LÄN</t>
        </is>
      </c>
      <c r="E1051" t="inlineStr">
        <is>
          <t>UMEÅ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58245-2023</t>
        </is>
      </c>
      <c r="B1052" s="1" t="n">
        <v>45250</v>
      </c>
      <c r="C1052" s="1" t="n">
        <v>45340</v>
      </c>
      <c r="D1052" t="inlineStr">
        <is>
          <t>VÄSTERBOTTENS LÄN</t>
        </is>
      </c>
      <c r="E1052" t="inlineStr">
        <is>
          <t>UMEÅ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45340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59157-2023</t>
        </is>
      </c>
      <c r="B1054" s="1" t="n">
        <v>45251</v>
      </c>
      <c r="C1054" s="1" t="n">
        <v>45340</v>
      </c>
      <c r="D1054" t="inlineStr">
        <is>
          <t>VÄSTERBOTTENS LÄN</t>
        </is>
      </c>
      <c r="E1054" t="inlineStr">
        <is>
          <t>UMEÅ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59220-2023</t>
        </is>
      </c>
      <c r="B1055" s="1" t="n">
        <v>45252</v>
      </c>
      <c r="C1055" s="1" t="n">
        <v>45340</v>
      </c>
      <c r="D1055" t="inlineStr">
        <is>
          <t>VÄSTERBOTTENS LÄN</t>
        </is>
      </c>
      <c r="E1055" t="inlineStr">
        <is>
          <t>UMEÅ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59289-2023</t>
        </is>
      </c>
      <c r="B1056" s="1" t="n">
        <v>45252</v>
      </c>
      <c r="C1056" s="1" t="n">
        <v>45340</v>
      </c>
      <c r="D1056" t="inlineStr">
        <is>
          <t>VÄSTERBOTTENS LÄN</t>
        </is>
      </c>
      <c r="E1056" t="inlineStr">
        <is>
          <t>UMEÅ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59333-2023</t>
        </is>
      </c>
      <c r="B1057" s="1" t="n">
        <v>45252</v>
      </c>
      <c r="C1057" s="1" t="n">
        <v>45340</v>
      </c>
      <c r="D1057" t="inlineStr">
        <is>
          <t>VÄSTERBOTTENS LÄN</t>
        </is>
      </c>
      <c r="E1057" t="inlineStr">
        <is>
          <t>UMEÅ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45340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45340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45340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61275-2023</t>
        </is>
      </c>
      <c r="B1061" s="1" t="n">
        <v>45260</v>
      </c>
      <c r="C1061" s="1" t="n">
        <v>45340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60645-2023</t>
        </is>
      </c>
      <c r="B1062" s="1" t="n">
        <v>45260</v>
      </c>
      <c r="C1062" s="1" t="n">
        <v>45340</v>
      </c>
      <c r="D1062" t="inlineStr">
        <is>
          <t>VÄSTERBOTTENS LÄN</t>
        </is>
      </c>
      <c r="E1062" t="inlineStr">
        <is>
          <t>UMEÅ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61204-2023</t>
        </is>
      </c>
      <c r="B1063" s="1" t="n">
        <v>45260</v>
      </c>
      <c r="C1063" s="1" t="n">
        <v>45340</v>
      </c>
      <c r="D1063" t="inlineStr">
        <is>
          <t>VÄSTERBOTTENS LÄN</t>
        </is>
      </c>
      <c r="E1063" t="inlineStr">
        <is>
          <t>UMEÅ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61280-2023</t>
        </is>
      </c>
      <c r="B1064" s="1" t="n">
        <v>45260</v>
      </c>
      <c r="C1064" s="1" t="n">
        <v>45340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61105-2023</t>
        </is>
      </c>
      <c r="B1065" s="1" t="n">
        <v>45261</v>
      </c>
      <c r="C1065" s="1" t="n">
        <v>45340</v>
      </c>
      <c r="D1065" t="inlineStr">
        <is>
          <t>VÄSTERBOTTENS LÄN</t>
        </is>
      </c>
      <c r="E1065" t="inlineStr">
        <is>
          <t>UMEÅ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45340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45340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60959-2023</t>
        </is>
      </c>
      <c r="B1068" s="1" t="n">
        <v>45261</v>
      </c>
      <c r="C1068" s="1" t="n">
        <v>45340</v>
      </c>
      <c r="D1068" t="inlineStr">
        <is>
          <t>VÄSTERBOTTENS LÄN</t>
        </is>
      </c>
      <c r="E1068" t="inlineStr">
        <is>
          <t>UMEÅ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45340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61749-2023</t>
        </is>
      </c>
      <c r="B1070" s="1" t="n">
        <v>45264</v>
      </c>
      <c r="C1070" s="1" t="n">
        <v>45340</v>
      </c>
      <c r="D1070" t="inlineStr">
        <is>
          <t>VÄSTERBOTTENS LÄN</t>
        </is>
      </c>
      <c r="E1070" t="inlineStr">
        <is>
          <t>UMEÅ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62538-2023</t>
        </is>
      </c>
      <c r="B1071" s="1" t="n">
        <v>45267</v>
      </c>
      <c r="C1071" s="1" t="n">
        <v>45340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62520-2023</t>
        </is>
      </c>
      <c r="B1072" s="1" t="n">
        <v>45268</v>
      </c>
      <c r="C1072" s="1" t="n">
        <v>45340</v>
      </c>
      <c r="D1072" t="inlineStr">
        <is>
          <t>VÄSTERBOTTENS LÄN</t>
        </is>
      </c>
      <c r="E1072" t="inlineStr">
        <is>
          <t>UMEÅ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45340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62721-2023</t>
        </is>
      </c>
      <c r="B1074" s="1" t="n">
        <v>45271</v>
      </c>
      <c r="C1074" s="1" t="n">
        <v>45340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63188-2023</t>
        </is>
      </c>
      <c r="B1075" s="1" t="n">
        <v>45272</v>
      </c>
      <c r="C1075" s="1" t="n">
        <v>45340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63135-2023</t>
        </is>
      </c>
      <c r="B1076" s="1" t="n">
        <v>45273</v>
      </c>
      <c r="C1076" s="1" t="n">
        <v>45340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63151-2023</t>
        </is>
      </c>
      <c r="B1077" s="1" t="n">
        <v>45273</v>
      </c>
      <c r="C1077" s="1" t="n">
        <v>45340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63136-2023</t>
        </is>
      </c>
      <c r="B1078" s="1" t="n">
        <v>45273</v>
      </c>
      <c r="C1078" s="1" t="n">
        <v>45340</v>
      </c>
      <c r="D1078" t="inlineStr">
        <is>
          <t>VÄSTERBOTTENS LÄN</t>
        </is>
      </c>
      <c r="E1078" t="inlineStr">
        <is>
          <t>UMEÅ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63787-2023</t>
        </is>
      </c>
      <c r="B1079" s="1" t="n">
        <v>45275</v>
      </c>
      <c r="C1079" s="1" t="n">
        <v>45340</v>
      </c>
      <c r="D1079" t="inlineStr">
        <is>
          <t>VÄSTERBOTTENS LÄN</t>
        </is>
      </c>
      <c r="E1079" t="inlineStr">
        <is>
          <t>UMEÅ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63810-2023</t>
        </is>
      </c>
      <c r="B1080" s="1" t="n">
        <v>45275</v>
      </c>
      <c r="C1080" s="1" t="n">
        <v>45340</v>
      </c>
      <c r="D1080" t="inlineStr">
        <is>
          <t>VÄSTERBOTTENS LÄN</t>
        </is>
      </c>
      <c r="E1080" t="inlineStr">
        <is>
          <t>UMEÅ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63809-2023</t>
        </is>
      </c>
      <c r="B1081" s="1" t="n">
        <v>45278</v>
      </c>
      <c r="C1081" s="1" t="n">
        <v>45340</v>
      </c>
      <c r="D1081" t="inlineStr">
        <is>
          <t>VÄSTERBOTTENS LÄN</t>
        </is>
      </c>
      <c r="E1081" t="inlineStr">
        <is>
          <t>UMEÅ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64655-2023</t>
        </is>
      </c>
      <c r="B1082" s="1" t="n">
        <v>45281</v>
      </c>
      <c r="C1082" s="1" t="n">
        <v>45340</v>
      </c>
      <c r="D1082" t="inlineStr">
        <is>
          <t>VÄSTERBOTTENS LÄN</t>
        </is>
      </c>
      <c r="E1082" t="inlineStr">
        <is>
          <t>UMEÅ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64895-2023</t>
        </is>
      </c>
      <c r="B1083" s="1" t="n">
        <v>45282</v>
      </c>
      <c r="C1083" s="1" t="n">
        <v>45340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489-2024</t>
        </is>
      </c>
      <c r="B1084" s="1" t="n">
        <v>45298</v>
      </c>
      <c r="C1084" s="1" t="n">
        <v>45340</v>
      </c>
      <c r="D1084" t="inlineStr">
        <is>
          <t>VÄSTERBOTTENS LÄN</t>
        </is>
      </c>
      <c r="E1084" t="inlineStr">
        <is>
          <t>UMEÅ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611-2024</t>
        </is>
      </c>
      <c r="B1085" s="1" t="n">
        <v>45299</v>
      </c>
      <c r="C1085" s="1" t="n">
        <v>45340</v>
      </c>
      <c r="D1085" t="inlineStr">
        <is>
          <t>VÄSTERBOTTENS LÄN</t>
        </is>
      </c>
      <c r="E1085" t="inlineStr">
        <is>
          <t>UMEÅ</t>
        </is>
      </c>
      <c r="G1085" t="n">
        <v>10.5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628-2024</t>
        </is>
      </c>
      <c r="B1086" s="1" t="n">
        <v>45299</v>
      </c>
      <c r="C1086" s="1" t="n">
        <v>45340</v>
      </c>
      <c r="D1086" t="inlineStr">
        <is>
          <t>VÄSTERBOTTENS LÄN</t>
        </is>
      </c>
      <c r="E1086" t="inlineStr">
        <is>
          <t>UMEÅ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590-2024</t>
        </is>
      </c>
      <c r="B1087" s="1" t="n">
        <v>45299</v>
      </c>
      <c r="C1087" s="1" t="n">
        <v>45340</v>
      </c>
      <c r="D1087" t="inlineStr">
        <is>
          <t>VÄSTERBOTTENS LÄN</t>
        </is>
      </c>
      <c r="E1087" t="inlineStr">
        <is>
          <t>UMEÅ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598-2024</t>
        </is>
      </c>
      <c r="B1088" s="1" t="n">
        <v>45299</v>
      </c>
      <c r="C1088" s="1" t="n">
        <v>45340</v>
      </c>
      <c r="D1088" t="inlineStr">
        <is>
          <t>VÄSTERBOTTENS LÄN</t>
        </is>
      </c>
      <c r="E1088" t="inlineStr">
        <is>
          <t>UMEÅ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634-2024</t>
        </is>
      </c>
      <c r="B1089" s="1" t="n">
        <v>45299</v>
      </c>
      <c r="C1089" s="1" t="n">
        <v>45340</v>
      </c>
      <c r="D1089" t="inlineStr">
        <is>
          <t>VÄSTERBOTTENS LÄN</t>
        </is>
      </c>
      <c r="E1089" t="inlineStr">
        <is>
          <t>UMEÅ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955-2024</t>
        </is>
      </c>
      <c r="B1090" s="1" t="n">
        <v>45301</v>
      </c>
      <c r="C1090" s="1" t="n">
        <v>45340</v>
      </c>
      <c r="D1090" t="inlineStr">
        <is>
          <t>VÄSTERBOTTENS LÄN</t>
        </is>
      </c>
      <c r="E1090" t="inlineStr">
        <is>
          <t>UMEÅ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959-2024</t>
        </is>
      </c>
      <c r="B1091" s="1" t="n">
        <v>45301</v>
      </c>
      <c r="C1091" s="1" t="n">
        <v>45340</v>
      </c>
      <c r="D1091" t="inlineStr">
        <is>
          <t>VÄSTERBOTTENS LÄN</t>
        </is>
      </c>
      <c r="E1091" t="inlineStr">
        <is>
          <t>UMEÅ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964-2024</t>
        </is>
      </c>
      <c r="B1092" s="1" t="n">
        <v>45301</v>
      </c>
      <c r="C1092" s="1" t="n">
        <v>45340</v>
      </c>
      <c r="D1092" t="inlineStr">
        <is>
          <t>VÄSTERBOTTENS LÄN</t>
        </is>
      </c>
      <c r="E1092" t="inlineStr">
        <is>
          <t>UMEÅ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1089-2024</t>
        </is>
      </c>
      <c r="B1093" s="1" t="n">
        <v>45301</v>
      </c>
      <c r="C1093" s="1" t="n">
        <v>45340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1876-2024</t>
        </is>
      </c>
      <c r="B1094" s="1" t="n">
        <v>45307</v>
      </c>
      <c r="C1094" s="1" t="n">
        <v>45340</v>
      </c>
      <c r="D1094" t="inlineStr">
        <is>
          <t>VÄSTERBOTTENS LÄN</t>
        </is>
      </c>
      <c r="E1094" t="inlineStr">
        <is>
          <t>UMEÅ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2075-2024</t>
        </is>
      </c>
      <c r="B1095" s="1" t="n">
        <v>45309</v>
      </c>
      <c r="C1095" s="1" t="n">
        <v>45340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Sveaskog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2073-2024</t>
        </is>
      </c>
      <c r="B1096" s="1" t="n">
        <v>45309</v>
      </c>
      <c r="C1096" s="1" t="n">
        <v>45340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2146-2024</t>
        </is>
      </c>
      <c r="B1097" s="1" t="n">
        <v>45309</v>
      </c>
      <c r="C1097" s="1" t="n">
        <v>45340</v>
      </c>
      <c r="D1097" t="inlineStr">
        <is>
          <t>VÄSTERBOTTENS LÄN</t>
        </is>
      </c>
      <c r="E1097" t="inlineStr">
        <is>
          <t>UMEÅ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2148-2024</t>
        </is>
      </c>
      <c r="B1098" s="1" t="n">
        <v>45309</v>
      </c>
      <c r="C1098" s="1" t="n">
        <v>45340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2617-2024</t>
        </is>
      </c>
      <c r="B1099" s="1" t="n">
        <v>45313</v>
      </c>
      <c r="C1099" s="1" t="n">
        <v>45340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45340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2906-2024</t>
        </is>
      </c>
      <c r="B1101" s="1" t="n">
        <v>45315</v>
      </c>
      <c r="C1101" s="1" t="n">
        <v>45340</v>
      </c>
      <c r="D1101" t="inlineStr">
        <is>
          <t>VÄSTERBOTTENS LÄN</t>
        </is>
      </c>
      <c r="E1101" t="inlineStr">
        <is>
          <t>UMEÅ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2972-2024</t>
        </is>
      </c>
      <c r="B1102" s="1" t="n">
        <v>45315</v>
      </c>
      <c r="C1102" s="1" t="n">
        <v>45340</v>
      </c>
      <c r="D1102" t="inlineStr">
        <is>
          <t>VÄSTERBOTTENS LÄN</t>
        </is>
      </c>
      <c r="E1102" t="inlineStr">
        <is>
          <t>UMEÅ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2910-2024</t>
        </is>
      </c>
      <c r="B1103" s="1" t="n">
        <v>45315</v>
      </c>
      <c r="C1103" s="1" t="n">
        <v>45340</v>
      </c>
      <c r="D1103" t="inlineStr">
        <is>
          <t>VÄSTERBOTTENS LÄN</t>
        </is>
      </c>
      <c r="E1103" t="inlineStr">
        <is>
          <t>UMEÅ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3227-2024</t>
        </is>
      </c>
      <c r="B1104" s="1" t="n">
        <v>45316</v>
      </c>
      <c r="C1104" s="1" t="n">
        <v>45340</v>
      </c>
      <c r="D1104" t="inlineStr">
        <is>
          <t>VÄSTERBOTTENS LÄN</t>
        </is>
      </c>
      <c r="E1104" t="inlineStr">
        <is>
          <t>UMEÅ</t>
        </is>
      </c>
      <c r="G1104" t="n">
        <v>10.1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3251-2024</t>
        </is>
      </c>
      <c r="B1105" s="1" t="n">
        <v>45316</v>
      </c>
      <c r="C1105" s="1" t="n">
        <v>45340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3254-2024</t>
        </is>
      </c>
      <c r="B1106" s="1" t="n">
        <v>45316</v>
      </c>
      <c r="C1106" s="1" t="n">
        <v>45340</v>
      </c>
      <c r="D1106" t="inlineStr">
        <is>
          <t>VÄSTERBOTTENS LÄN</t>
        </is>
      </c>
      <c r="E1106" t="inlineStr">
        <is>
          <t>UMEÅ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3366-2024</t>
        </is>
      </c>
      <c r="B1107" s="1" t="n">
        <v>45317</v>
      </c>
      <c r="C1107" s="1" t="n">
        <v>45340</v>
      </c>
      <c r="D1107" t="inlineStr">
        <is>
          <t>VÄSTERBOTTENS LÄN</t>
        </is>
      </c>
      <c r="E1107" t="inlineStr">
        <is>
          <t>UMEÅ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3514-2024</t>
        </is>
      </c>
      <c r="B1108" s="1" t="n">
        <v>45320</v>
      </c>
      <c r="C1108" s="1" t="n">
        <v>45340</v>
      </c>
      <c r="D1108" t="inlineStr">
        <is>
          <t>VÄSTERBOTTENS LÄN</t>
        </is>
      </c>
      <c r="E1108" t="inlineStr">
        <is>
          <t>UMEÅ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3518-2024</t>
        </is>
      </c>
      <c r="B1109" s="1" t="n">
        <v>45320</v>
      </c>
      <c r="C1109" s="1" t="n">
        <v>45340</v>
      </c>
      <c r="D1109" t="inlineStr">
        <is>
          <t>VÄSTERBOTTENS LÄN</t>
        </is>
      </c>
      <c r="E1109" t="inlineStr">
        <is>
          <t>UMEÅ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3693-2024</t>
        </is>
      </c>
      <c r="B1110" s="1" t="n">
        <v>45321</v>
      </c>
      <c r="C1110" s="1" t="n">
        <v>45340</v>
      </c>
      <c r="D1110" t="inlineStr">
        <is>
          <t>VÄSTERBOTTENS LÄN</t>
        </is>
      </c>
      <c r="E1110" t="inlineStr">
        <is>
          <t>UMEÅ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4131-2024</t>
        </is>
      </c>
      <c r="B1111" s="1" t="n">
        <v>45323</v>
      </c>
      <c r="C1111" s="1" t="n">
        <v>45340</v>
      </c>
      <c r="D1111" t="inlineStr">
        <is>
          <t>VÄSTERBOTTENS LÄN</t>
        </is>
      </c>
      <c r="E1111" t="inlineStr">
        <is>
          <t>UMEÅ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4338-2024</t>
        </is>
      </c>
      <c r="B1112" s="1" t="n">
        <v>45324</v>
      </c>
      <c r="C1112" s="1" t="n">
        <v>45340</v>
      </c>
      <c r="D1112" t="inlineStr">
        <is>
          <t>VÄSTERBOTTENS LÄN</t>
        </is>
      </c>
      <c r="E1112" t="inlineStr">
        <is>
          <t>UMEÅ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4458-2024</t>
        </is>
      </c>
      <c r="B1113" s="1" t="n">
        <v>45324</v>
      </c>
      <c r="C1113" s="1" t="n">
        <v>45340</v>
      </c>
      <c r="D1113" t="inlineStr">
        <is>
          <t>VÄSTERBOTTENS LÄN</t>
        </is>
      </c>
      <c r="E1113" t="inlineStr">
        <is>
          <t>UMEÅ</t>
        </is>
      </c>
      <c r="G1113" t="n">
        <v>16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45340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6361-2024</t>
        </is>
      </c>
      <c r="B1115" s="1" t="n">
        <v>45338</v>
      </c>
      <c r="C1115" s="1" t="n">
        <v>45340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2024-02-18T23:26:06Z</dcterms:created>
  <dcterms:modified xmlns:dcterms="http://purl.org/dc/terms/" xmlns:xsi="http://www.w3.org/2001/XMLSchema-instance" xsi:type="dcterms:W3CDTF">2024-02-18T23:26:07Z</dcterms:modified>
</cp:coreProperties>
</file>