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45734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45734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45734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45734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45734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45734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45734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45734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45734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45734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45734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45734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45734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45734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45734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45734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45734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45734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45734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45734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45734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45734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45734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45734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45734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45734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45734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45734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45734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45734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45734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45734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45734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45734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45734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45734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45734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45734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45734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45734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45734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45734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45734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45734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45734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45734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45734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45734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45734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45734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45734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45734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45734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45734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45734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45734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45734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45734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45734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45734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45734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45734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45734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45734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45734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45734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45734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45734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45734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45734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45734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45734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45734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45734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45734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45734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45734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45734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45734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45734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45734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45734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45734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45734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45734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45734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45734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45734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45734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45734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45734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45734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45734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45734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60496-2024</t>
        </is>
      </c>
      <c r="B164" s="1" t="n">
        <v>45643</v>
      </c>
      <c r="C164" s="1" t="n">
        <v>45734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60496-2024 artfynd.xlsx", "A 60496-2024")</f>
        <v/>
      </c>
      <c r="T164">
        <f>HYPERLINK("https://klasma.github.io/Logging_2480/kartor/A 60496-2024 karta.png", "A 60496-2024")</f>
        <v/>
      </c>
      <c r="V164">
        <f>HYPERLINK("https://klasma.github.io/Logging_2480/klagomål/A 60496-2024 FSC-klagomål.docx", "A 60496-2024")</f>
        <v/>
      </c>
      <c r="W164">
        <f>HYPERLINK("https://klasma.github.io/Logging_2480/klagomålsmail/A 60496-2024 FSC-klagomål mail.docx", "A 60496-2024")</f>
        <v/>
      </c>
      <c r="X164">
        <f>HYPERLINK("https://klasma.github.io/Logging_2480/tillsyn/A 60496-2024 tillsynsbegäran.docx", "A 60496-2024")</f>
        <v/>
      </c>
      <c r="Y164">
        <f>HYPERLINK("https://klasma.github.io/Logging_2480/tillsynsmail/A 60496-2024 tillsynsbegäran mail.docx", "A 60496-2024")</f>
        <v/>
      </c>
      <c r="Z164">
        <f>HYPERLINK("https://klasma.github.io/Logging_2480/fåglar/A 60496-2024 prioriterade fågelarter.docx", "A 60496-2024")</f>
        <v/>
      </c>
    </row>
    <row r="165" ht="15" customHeight="1">
      <c r="A165" t="inlineStr">
        <is>
          <t>A 2972-2025</t>
        </is>
      </c>
      <c r="B165" s="1" t="n">
        <v>45678</v>
      </c>
      <c r="C165" s="1" t="n">
        <v>45734</v>
      </c>
      <c r="D165" t="inlineStr">
        <is>
          <t>VÄSTERBOTTENS LÄN</t>
        </is>
      </c>
      <c r="E165" t="inlineStr">
        <is>
          <t>UMEÅ</t>
        </is>
      </c>
      <c r="F165" t="inlineStr">
        <is>
          <t>SCA</t>
        </is>
      </c>
      <c r="G165" t="n">
        <v>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HYPERLINK("https://klasma.github.io/Logging_2480/artfynd/A 2972-2025 artfynd.xlsx", "A 2972-2025")</f>
        <v/>
      </c>
      <c r="T165">
        <f>HYPERLINK("https://klasma.github.io/Logging_2480/kartor/A 2972-2025 karta.png", "A 2972-2025")</f>
        <v/>
      </c>
      <c r="V165">
        <f>HYPERLINK("https://klasma.github.io/Logging_2480/klagomål/A 2972-2025 FSC-klagomål.docx", "A 2972-2025")</f>
        <v/>
      </c>
      <c r="W165">
        <f>HYPERLINK("https://klasma.github.io/Logging_2480/klagomålsmail/A 2972-2025 FSC-klagomål mail.docx", "A 2972-2025")</f>
        <v/>
      </c>
      <c r="X165">
        <f>HYPERLINK("https://klasma.github.io/Logging_2480/tillsyn/A 2972-2025 tillsynsbegäran.docx", "A 2972-2025")</f>
        <v/>
      </c>
      <c r="Y165">
        <f>HYPERLINK("https://klasma.github.io/Logging_2480/tillsynsmail/A 2972-2025 tillsynsbegäran mail.docx", "A 2972-2025")</f>
        <v/>
      </c>
    </row>
    <row r="166" ht="15" customHeight="1">
      <c r="A166" t="inlineStr">
        <is>
          <t>A 7848-2025</t>
        </is>
      </c>
      <c r="B166" s="1" t="n">
        <v>45706</v>
      </c>
      <c r="C166" s="1" t="n">
        <v>45734</v>
      </c>
      <c r="D166" t="inlineStr">
        <is>
          <t>VÄSTERBOTTENS LÄN</t>
        </is>
      </c>
      <c r="E166" t="inlineStr">
        <is>
          <t>UMEÅ</t>
        </is>
      </c>
      <c r="G166" t="n">
        <v>8.6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HYPERLINK("https://klasma.github.io/Logging_2480/artfynd/A 7848-2025 artfynd.xlsx", "A 7848-2025")</f>
        <v/>
      </c>
      <c r="T166">
        <f>HYPERLINK("https://klasma.github.io/Logging_2480/kartor/A 7848-2025 karta.png", "A 7848-2025")</f>
        <v/>
      </c>
      <c r="V166">
        <f>HYPERLINK("https://klasma.github.io/Logging_2480/klagomål/A 7848-2025 FSC-klagomål.docx", "A 7848-2025")</f>
        <v/>
      </c>
      <c r="W166">
        <f>HYPERLINK("https://klasma.github.io/Logging_2480/klagomålsmail/A 7848-2025 FSC-klagomål mail.docx", "A 7848-2025")</f>
        <v/>
      </c>
      <c r="X166">
        <f>HYPERLINK("https://klasma.github.io/Logging_2480/tillsyn/A 7848-2025 tillsynsbegäran.docx", "A 7848-2025")</f>
        <v/>
      </c>
      <c r="Y166">
        <f>HYPERLINK("https://klasma.github.io/Logging_2480/tillsynsmail/A 7848-2025 tillsynsbegäran mail.docx", "A 7848-2025")</f>
        <v/>
      </c>
      <c r="Z166">
        <f>HYPERLINK("https://klasma.github.io/Logging_2480/fåglar/A 7848-2025 prioriterade fågelarter.docx", "A 7848-2025")</f>
        <v/>
      </c>
    </row>
    <row r="167" ht="15" customHeight="1">
      <c r="A167" t="inlineStr">
        <is>
          <t>A 10945-2025</t>
        </is>
      </c>
      <c r="B167" s="1" t="n">
        <v>45723</v>
      </c>
      <c r="C167" s="1" t="n">
        <v>45734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10945-2025 artfynd.xlsx", "A 10945-2025")</f>
        <v/>
      </c>
      <c r="T167">
        <f>HYPERLINK("https://klasma.github.io/Logging_2480/kartor/A 10945-2025 karta.png", "A 10945-2025")</f>
        <v/>
      </c>
      <c r="V167">
        <f>HYPERLINK("https://klasma.github.io/Logging_2480/klagomål/A 10945-2025 FSC-klagomål.docx", "A 10945-2025")</f>
        <v/>
      </c>
      <c r="W167">
        <f>HYPERLINK("https://klasma.github.io/Logging_2480/klagomålsmail/A 10945-2025 FSC-klagomål mail.docx", "A 10945-2025")</f>
        <v/>
      </c>
      <c r="X167">
        <f>HYPERLINK("https://klasma.github.io/Logging_2480/tillsyn/A 10945-2025 tillsynsbegäran.docx", "A 10945-2025")</f>
        <v/>
      </c>
      <c r="Y167">
        <f>HYPERLINK("https://klasma.github.io/Logging_2480/tillsynsmail/A 10945-2025 tillsynsbegäran mail.docx", "A 10945-2025")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45734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11796-2025</t>
        </is>
      </c>
      <c r="B169" s="1" t="n">
        <v>45727</v>
      </c>
      <c r="C169" s="1" t="n">
        <v>45734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HYPERLINK("https://klasma.github.io/Logging_2480/artfynd/A 11796-2025 artfynd.xlsx", "A 11796-2025")</f>
        <v/>
      </c>
      <c r="T169">
        <f>HYPERLINK("https://klasma.github.io/Logging_2480/kartor/A 11796-2025 karta.png", "A 11796-2025")</f>
        <v/>
      </c>
      <c r="V169">
        <f>HYPERLINK("https://klasma.github.io/Logging_2480/klagomål/A 11796-2025 FSC-klagomål.docx", "A 11796-2025")</f>
        <v/>
      </c>
      <c r="W169">
        <f>HYPERLINK("https://klasma.github.io/Logging_2480/klagomålsmail/A 11796-2025 FSC-klagomål mail.docx", "A 11796-2025")</f>
        <v/>
      </c>
      <c r="X169">
        <f>HYPERLINK("https://klasma.github.io/Logging_2480/tillsyn/A 11796-2025 tillsynsbegäran.docx", "A 11796-2025")</f>
        <v/>
      </c>
      <c r="Y169">
        <f>HYPERLINK("https://klasma.github.io/Logging_2480/tillsynsmail/A 11796-2025 tillsynsbegäran mail.docx", "A 11796-2025")</f>
        <v/>
      </c>
    </row>
    <row r="170" ht="15" customHeight="1">
      <c r="A170" t="inlineStr">
        <is>
          <t>A 12298-2025</t>
        </is>
      </c>
      <c r="B170" s="1" t="n">
        <v>45729</v>
      </c>
      <c r="C170" s="1" t="n">
        <v>45734</v>
      </c>
      <c r="D170" t="inlineStr">
        <is>
          <t>VÄSTERBOTTENS LÄN</t>
        </is>
      </c>
      <c r="E170" t="inlineStr">
        <is>
          <t>UMEÅ</t>
        </is>
      </c>
      <c r="G170" t="n">
        <v>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HYPERLINK("https://klasma.github.io/Logging_2480/artfynd/A 12298-2025 artfynd.xlsx", "A 12298-2025")</f>
        <v/>
      </c>
      <c r="T170">
        <f>HYPERLINK("https://klasma.github.io/Logging_2480/kartor/A 12298-2025 karta.png", "A 12298-2025")</f>
        <v/>
      </c>
      <c r="V170">
        <f>HYPERLINK("https://klasma.github.io/Logging_2480/klagomål/A 12298-2025 FSC-klagomål.docx", "A 12298-2025")</f>
        <v/>
      </c>
      <c r="W170">
        <f>HYPERLINK("https://klasma.github.io/Logging_2480/klagomålsmail/A 12298-2025 FSC-klagomål mail.docx", "A 12298-2025")</f>
        <v/>
      </c>
      <c r="X170">
        <f>HYPERLINK("https://klasma.github.io/Logging_2480/tillsyn/A 12298-2025 tillsynsbegäran.docx", "A 12298-2025")</f>
        <v/>
      </c>
      <c r="Y170">
        <f>HYPERLINK("https://klasma.github.io/Logging_2480/tillsynsmail/A 12298-2025 tillsynsbegäran mail.docx", "A 12298-2025")</f>
        <v/>
      </c>
      <c r="Z170">
        <f>HYPERLINK("https://klasma.github.io/Logging_2480/fåglar/A 12298-2025 prioriterade fågelarter.docx", "A 12298-2025")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45734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45734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45734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45734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45734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45734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45734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45734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45734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45734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45734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45734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45734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45734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45734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45734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45734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45734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45734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45734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45734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45734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45734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45734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45734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45734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45734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45734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45734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45734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45734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45734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45734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45734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45734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45734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45734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45734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45734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45734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45734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45734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45734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45734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45734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45734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45734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45734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45734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45734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45734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45734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45734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45734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45734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45734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45734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45734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45734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45734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45734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45734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45734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45734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45734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45734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45734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45734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45734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45734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45734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45734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45734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45734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45734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45734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45734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45734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45734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45734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45734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45734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45734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45734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45734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45734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45734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45734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45734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45734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45734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45734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45734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45734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45734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45734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45734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45734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45734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45734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45734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45734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45734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45734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45734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45734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45734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45734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45734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45734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45734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45734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45734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45734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45734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45734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45734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45734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45734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45734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45734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45734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45734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45734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45734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45734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45734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45734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45734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45734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45734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45734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45734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45734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45734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45734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45734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45734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45734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45734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45734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45734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45734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45734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45734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45734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45734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45734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45734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45734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45734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45734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45734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45734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45734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45734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45734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45734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45734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45734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45734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45734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45734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45734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45734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45734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45734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45734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45734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45734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45734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45734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45734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45734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45734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45734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45734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45734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45734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45734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45734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45734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45734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45734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45734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45734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45734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45734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45734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45734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45734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45734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45734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45734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45734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45734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45734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45734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45734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45734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45734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45734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45734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45734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45734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45734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45734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45734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45734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45734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45734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45734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45734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45734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45734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45734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45734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45734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45734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45734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45734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45734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45734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45734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45734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45734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45734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45734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45734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45734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45734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45734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45734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45734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45734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45734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45734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45734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45734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45734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45734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45734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45734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45734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45734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45734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45734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45734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45734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45734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45734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45734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45734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45734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45734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45734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45734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45734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45734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45734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45734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45734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45734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45734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45734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45734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45734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45734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45734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45734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45734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45734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45734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45734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45734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45734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45734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45734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45734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45734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45734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45734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45734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45734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45734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45734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45734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45734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45734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45734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45734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45734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45734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45734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45734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45734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45734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45734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45734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45734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45734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45734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45734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45734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45734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45734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45734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45734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45734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45734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45734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45734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45734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45734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45734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45734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45734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45734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45734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45734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45734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45734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45734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45734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45734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45734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45734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45734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45734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45734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45734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45734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45734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45734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45734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45734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45734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45734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45734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45734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45734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45734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45734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45734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45734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45734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45734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45734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45734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45734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45734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45734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45734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45734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45734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45734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45734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45734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45734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45734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45734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45734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45734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45734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45734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45734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45734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45734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45734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45734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45734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45734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45734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45734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45734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45734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45734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45734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45734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45734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45734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45734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45734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45734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45734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45734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45734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45734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45734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45734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45734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45734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45734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45734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45734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45734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45734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45734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45734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45734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45734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45734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45734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45734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45734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45734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45734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45734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45734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45734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45734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45734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45734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45734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45734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45734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45734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45734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45734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45734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45734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45734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45734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45734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45734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45734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45734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45734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45734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45734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45734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45734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45734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45734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45734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45734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45734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45734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45734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45734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45734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45734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45734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45734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45734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45734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45734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45734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45734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45734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45734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45734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45734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45734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45734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45734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45734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45734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45734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45734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45734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45734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45734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45734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45734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45734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45734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45734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45734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45734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45734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45734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45734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45734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45734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45734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45734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45734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45734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45734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45734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45734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45734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45734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45734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45734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45734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45734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45734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45734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45734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45734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45734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45734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45734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45734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45734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45734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45734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45734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45734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45734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45734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45734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45734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45734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45734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45734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45734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45734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45734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45734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45734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45734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45734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45734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45734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45734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45734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45734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45734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45734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45734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45734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45734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45734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45734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45734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45734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45734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45734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45734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45734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45734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45734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45734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45734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45734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45734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45734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45734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45734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45734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45734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45734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45734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45734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45734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45734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45734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45734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45734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45734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45734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45734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45734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45734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45734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45734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45734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45734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45734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45734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45734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45734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45734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45734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45734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45734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45734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45734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45734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45734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45734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45734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45734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45734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45734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45734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45734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45734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45734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45734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45734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45734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45734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45734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45734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45734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45734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45734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45734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45734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45734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45734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45734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45734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45734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45734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45734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45734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45734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45734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45734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45734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45734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45734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45734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45734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45734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45734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45734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45734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45734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45734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45734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45734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45734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45734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45734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45734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45734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45734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45734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45734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45734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45734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45734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45734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45734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45734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45734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45734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45734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45734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45734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45734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45734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45734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45734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45734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45734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45734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45734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45734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45734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45734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45734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45734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45734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45734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45734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45734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45734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45734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45734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45734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45734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45734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45734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45734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45734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45734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45734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45734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45734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45734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45734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45734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45734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45734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45734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45734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45734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45734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45734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45734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45734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45734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45734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45734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45734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45734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45734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45734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45734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45734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45734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45734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45734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45734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45734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45734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45734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45734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45734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45734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45734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45734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45734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45734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45734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45734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45734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45734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45734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45734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45734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45734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45734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45734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45734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45734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45734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45734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45734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45734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45734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45734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45734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45734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45734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45734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45734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45734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45734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45734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45734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45734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45734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45734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45734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45734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45734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45734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45734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45734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45734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45734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45734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45734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45734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45734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45734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45734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45734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45734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45734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45734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45734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45734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45734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45734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45734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45734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45734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45734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45734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45734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45734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45734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45734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45734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45734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45734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45734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45734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45734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45734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45734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45734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45734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45734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45734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45734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45734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45734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45734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45734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45734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45734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45734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45734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45734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45734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45734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45734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45734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45734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45734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45734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45734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45734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45734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45734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45734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45734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45734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45734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45734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45734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45734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45734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45734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45734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45734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45734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45734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45734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45734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45734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45734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45734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45734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45734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45734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45734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45734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45734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45734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45734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45734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45734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45734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45734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45734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45734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45734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45734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45734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45734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45734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45734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45734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45734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45734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45734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45734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45734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45734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45734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45734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45734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45734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45734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45734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45734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45734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45734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45734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45734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45734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45734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45734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45734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45734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45734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45734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45734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45734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45734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45734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45734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45734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45734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45734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45734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45734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45734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45734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45734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45734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45734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45734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45734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45734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45734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45734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45734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45734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45734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45734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45734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45734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45734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45734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45734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45734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45734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45734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45734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45734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45734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45734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45734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45734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45734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45734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45734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45734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45734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45734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45734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45734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45734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45734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45734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45734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45734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45734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45734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45734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45734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45734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45734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45734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45734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45734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45734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45734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45734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45734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45734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45734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45734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45734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45734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45734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45734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45734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45734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45734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45734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45734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45734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45734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45734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45734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45734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45734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45734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45734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45734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45734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45734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45734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45734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45734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45734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45734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45734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45734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45734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45734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45734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45734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45734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45734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45734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45734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45734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45734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45734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45734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45734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45734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45734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45734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45734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45734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45734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45734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45734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45734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45734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45734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45734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45734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45734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45734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45734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45734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45734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45734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45734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45734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45734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45734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45734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45734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45734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45734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45734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45734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45734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45734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45734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45734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45734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45734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45734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45734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45734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45734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45734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45734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45734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45734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45734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45734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45734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45734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45734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45734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45734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45734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45734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45734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45734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45734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45734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45734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45734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45734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45734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45734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45734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45734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45734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45734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45734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45734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45734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45734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45734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45734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45734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45734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45734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45734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45734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45734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45734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45734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45734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45734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45734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45734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45734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45734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45734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45734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7696-2025</t>
        </is>
      </c>
      <c r="B1462" s="1" t="n">
        <v>45706</v>
      </c>
      <c r="C1462" s="1" t="n">
        <v>45734</v>
      </c>
      <c r="D1462" t="inlineStr">
        <is>
          <t>VÄSTERBOTTENS LÄN</t>
        </is>
      </c>
      <c r="E1462" t="inlineStr">
        <is>
          <t>UMEÅ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45734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7693-2025</t>
        </is>
      </c>
      <c r="B1464" s="1" t="n">
        <v>45706</v>
      </c>
      <c r="C1464" s="1" t="n">
        <v>45734</v>
      </c>
      <c r="D1464" t="inlineStr">
        <is>
          <t>VÄSTERBOTTENS LÄN</t>
        </is>
      </c>
      <c r="E1464" t="inlineStr">
        <is>
          <t>UMEÅ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45734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45734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45734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45734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8575-2025</t>
        </is>
      </c>
      <c r="B1469" s="1" t="n">
        <v>45709</v>
      </c>
      <c r="C1469" s="1" t="n">
        <v>45734</v>
      </c>
      <c r="D1469" t="inlineStr">
        <is>
          <t>VÄSTERBOTTENS LÄN</t>
        </is>
      </c>
      <c r="E1469" t="inlineStr">
        <is>
          <t>UMEÅ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8583-2025</t>
        </is>
      </c>
      <c r="B1470" s="1" t="n">
        <v>45709</v>
      </c>
      <c r="C1470" s="1" t="n">
        <v>45734</v>
      </c>
      <c r="D1470" t="inlineStr">
        <is>
          <t>VÄSTERBOTTENS LÄN</t>
        </is>
      </c>
      <c r="E1470" t="inlineStr">
        <is>
          <t>UMEÅ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45734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45734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45734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45734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45734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45734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45734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9272-2025</t>
        </is>
      </c>
      <c r="B1478" s="1" t="n">
        <v>45714</v>
      </c>
      <c r="C1478" s="1" t="n">
        <v>45734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45734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45734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45734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45734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45734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45734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10898-2025</t>
        </is>
      </c>
      <c r="B1485" s="1" t="n">
        <v>45722</v>
      </c>
      <c r="C1485" s="1" t="n">
        <v>45734</v>
      </c>
      <c r="D1485" t="inlineStr">
        <is>
          <t>VÄSTERBOTTENS LÄN</t>
        </is>
      </c>
      <c r="E1485" t="inlineStr">
        <is>
          <t>UMEÅ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10708-2025</t>
        </is>
      </c>
      <c r="B1486" s="1" t="n">
        <v>45722</v>
      </c>
      <c r="C1486" s="1" t="n">
        <v>45734</v>
      </c>
      <c r="D1486" t="inlineStr">
        <is>
          <t>VÄSTERBOTTENS LÄN</t>
        </is>
      </c>
      <c r="E1486" t="inlineStr">
        <is>
          <t>UMEÅ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10729-2025</t>
        </is>
      </c>
      <c r="B1487" s="1" t="n">
        <v>45722</v>
      </c>
      <c r="C1487" s="1" t="n">
        <v>45734</v>
      </c>
      <c r="D1487" t="inlineStr">
        <is>
          <t>VÄSTERBOTTENS LÄN</t>
        </is>
      </c>
      <c r="E1487" t="inlineStr">
        <is>
          <t>UMEÅ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45734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45734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45734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45734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45734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45734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45734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45734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45734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12160-2025</t>
        </is>
      </c>
      <c r="B1497" s="1" t="n">
        <v>45729</v>
      </c>
      <c r="C1497" s="1" t="n">
        <v>45734</v>
      </c>
      <c r="D1497" t="inlineStr">
        <is>
          <t>VÄSTERBOTTENS LÄN</t>
        </is>
      </c>
      <c r="E1497" t="inlineStr">
        <is>
          <t>UMEÅ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12141-2025</t>
        </is>
      </c>
      <c r="B1498" s="1" t="n">
        <v>45729</v>
      </c>
      <c r="C1498" s="1" t="n">
        <v>45734</v>
      </c>
      <c r="D1498" t="inlineStr">
        <is>
          <t>VÄSTERBOTTENS LÄN</t>
        </is>
      </c>
      <c r="E1498" t="inlineStr">
        <is>
          <t>UMEÅ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45734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45734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12488-2025</t>
        </is>
      </c>
      <c r="B1501" s="1" t="n">
        <v>45730</v>
      </c>
      <c r="C1501" s="1" t="n">
        <v>45734</v>
      </c>
      <c r="D1501" t="inlineStr">
        <is>
          <t>VÄSTERBOTTENS LÄN</t>
        </is>
      </c>
      <c r="E1501" t="inlineStr">
        <is>
          <t>UMEÅ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45734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12780-2025</t>
        </is>
      </c>
      <c r="B1503" s="1" t="n">
        <v>45733</v>
      </c>
      <c r="C1503" s="1" t="n">
        <v>45734</v>
      </c>
      <c r="D1503" t="inlineStr">
        <is>
          <t>VÄSTERBOTTENS LÄN</t>
        </is>
      </c>
      <c r="E1503" t="inlineStr">
        <is>
          <t>UMEÅ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2025-03-18T15:35:11Z</dcterms:created>
  <dcterms:modified xmlns:dcterms="http://purl.org/dc/terms/" xmlns:xsi="http://www.w3.org/2001/XMLSchema-instance" xsi:type="dcterms:W3CDTF">2025-03-18T15:35:12Z</dcterms:modified>
</cp:coreProperties>
</file>