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46193</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46193</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46193</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46193</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46193</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46193</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46193</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46193</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46193</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46193</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46193</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46193</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46193</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46193</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46193</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45657-2024</t>
        </is>
      </c>
      <c r="B17" s="1" t="n">
        <v>45579</v>
      </c>
      <c r="C17" s="1" t="n">
        <v>46193</v>
      </c>
      <c r="D17" t="inlineStr">
        <is>
          <t>VÄSTERBOTTENS LÄN</t>
        </is>
      </c>
      <c r="E17" t="inlineStr">
        <is>
          <t>UMEÅ</t>
        </is>
      </c>
      <c r="F17" t="inlineStr">
        <is>
          <t>Kommuner</t>
        </is>
      </c>
      <c r="G17" t="n">
        <v>1.8</v>
      </c>
      <c r="H17" t="n">
        <v>2</v>
      </c>
      <c r="I17" t="n">
        <v>0</v>
      </c>
      <c r="J17" t="n">
        <v>4</v>
      </c>
      <c r="K17" t="n">
        <v>5</v>
      </c>
      <c r="L17" t="n">
        <v>0</v>
      </c>
      <c r="M17" t="n">
        <v>0</v>
      </c>
      <c r="N17" t="n">
        <v>0</v>
      </c>
      <c r="O17" t="n">
        <v>9</v>
      </c>
      <c r="P17" t="n">
        <v>5</v>
      </c>
      <c r="Q17" t="n">
        <v>10</v>
      </c>
      <c r="R17" s="2" t="inlineStr">
        <is>
          <t>Gräddporing
Smalfotad taggsvamp
Spadskinn
Tajgataggsvamp
Torrmusseron
Blå taggsvamp
Skarp dropptaggsvamp
Svartvit taggsvamp
Talltita
Skogsödla</t>
        </is>
      </c>
      <c r="S17">
        <f>HYPERLINK("https://klasma.github.io/Logging_2480/artfynd/A 45657-2024 artfynd.xlsx", "A 45657-2024")</f>
        <v/>
      </c>
      <c r="T17">
        <f>HYPERLINK("https://klasma.github.io/Logging_2480/kartor/A 45657-2024 karta.png", "A 45657-2024")</f>
        <v/>
      </c>
      <c r="V17">
        <f>HYPERLINK("https://klasma.github.io/Logging_2480/klagomål/A 45657-2024 FSC-klagomål.docx", "A 45657-2024")</f>
        <v/>
      </c>
      <c r="W17">
        <f>HYPERLINK("https://klasma.github.io/Logging_2480/klagomålsmail/A 45657-2024 FSC-klagomål mail.docx", "A 45657-2024")</f>
        <v/>
      </c>
      <c r="X17">
        <f>HYPERLINK("https://klasma.github.io/Logging_2480/tillsyn/A 45657-2024 tillsynsbegäran.docx", "A 45657-2024")</f>
        <v/>
      </c>
      <c r="Y17">
        <f>HYPERLINK("https://klasma.github.io/Logging_2480/tillsynsmail/A 45657-2024 tillsynsbegäran mail.docx", "A 45657-2024")</f>
        <v/>
      </c>
      <c r="Z17">
        <f>HYPERLINK("https://klasma.github.io/Logging_2480/fåglar/A 45657-2024 prioriterade fågelarter.docx", "A 45657-2024")</f>
        <v/>
      </c>
    </row>
    <row r="18" ht="15" customHeight="1">
      <c r="A18" t="inlineStr">
        <is>
          <t>A 15455-2025</t>
        </is>
      </c>
      <c r="B18" s="1" t="n">
        <v>45747</v>
      </c>
      <c r="C18" s="1" t="n">
        <v>46193</v>
      </c>
      <c r="D18" t="inlineStr">
        <is>
          <t>VÄSTERBOTTENS LÄN</t>
        </is>
      </c>
      <c r="E18" t="inlineStr">
        <is>
          <t>UMEÅ</t>
        </is>
      </c>
      <c r="G18" t="n">
        <v>10.1</v>
      </c>
      <c r="H18" t="n">
        <v>10</v>
      </c>
      <c r="I18" t="n">
        <v>0</v>
      </c>
      <c r="J18" t="n">
        <v>3</v>
      </c>
      <c r="K18" t="n">
        <v>1</v>
      </c>
      <c r="L18" t="n">
        <v>0</v>
      </c>
      <c r="M18" t="n">
        <v>0</v>
      </c>
      <c r="N18" t="n">
        <v>0</v>
      </c>
      <c r="O18" t="n">
        <v>4</v>
      </c>
      <c r="P18" t="n">
        <v>1</v>
      </c>
      <c r="Q18" t="n">
        <v>10</v>
      </c>
      <c r="R18" s="2" t="inlineStr">
        <is>
          <t>Gråtrut
Kricka
Skrattmås
Talltita
Videsparv
Havsörn
Kråka
Smålom
Sångsvan
Trana</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58829-2025</t>
        </is>
      </c>
      <c r="B19" s="1" t="n">
        <v>45987</v>
      </c>
      <c r="C19" s="1" t="n">
        <v>46193</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46193</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46193</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46193</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46193</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46193</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46193</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47252-2024</t>
        </is>
      </c>
      <c r="B26" s="1" t="n">
        <v>45586</v>
      </c>
      <c r="C26" s="1" t="n">
        <v>46193</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46193</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33974-2024</t>
        </is>
      </c>
      <c r="B28" s="1" t="n">
        <v>45523</v>
      </c>
      <c r="C28" s="1" t="n">
        <v>46193</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46193</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46193</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46193</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46193</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22776-2026</t>
        </is>
      </c>
      <c r="B33" s="1" t="n">
        <v>46157</v>
      </c>
      <c r="C33" s="1" t="n">
        <v>46193</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46193</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684-2023</t>
        </is>
      </c>
      <c r="B35" s="1" t="n">
        <v>44925</v>
      </c>
      <c r="C35" s="1" t="n">
        <v>46193</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13479-2022</t>
        </is>
      </c>
      <c r="B36" s="1" t="n">
        <v>44645</v>
      </c>
      <c r="C36" s="1" t="n">
        <v>46193</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v>
      </c>
      <c r="C37" s="1" t="n">
        <v>46193</v>
      </c>
      <c r="D37" t="inlineStr">
        <is>
          <t>VÄSTERBOTTENS LÄN</t>
        </is>
      </c>
      <c r="E37" t="inlineStr">
        <is>
          <t>UMEÅ</t>
        </is>
      </c>
      <c r="F37" t="inlineStr">
        <is>
          <t>Kommuner</t>
        </is>
      </c>
      <c r="G37" t="n">
        <v>2.2</v>
      </c>
      <c r="H37" t="n">
        <v>1</v>
      </c>
      <c r="I37" t="n">
        <v>0</v>
      </c>
      <c r="J37" t="n">
        <v>3</v>
      </c>
      <c r="K37" t="n">
        <v>2</v>
      </c>
      <c r="L37" t="n">
        <v>0</v>
      </c>
      <c r="M37" t="n">
        <v>0</v>
      </c>
      <c r="N37" t="n">
        <v>0</v>
      </c>
      <c r="O37" t="n">
        <v>5</v>
      </c>
      <c r="P37" t="n">
        <v>2</v>
      </c>
      <c r="Q37" t="n">
        <v>5</v>
      </c>
      <c r="R37" s="2" t="inlineStr">
        <is>
          <t>Skrovlig taggsvamp
Smalfotad taggsvamp
Dropptaggsvamp
Mjölsvärting
Talltita</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46143-2024</t>
        </is>
      </c>
      <c r="B38" s="1" t="n">
        <v>45581</v>
      </c>
      <c r="C38" s="1" t="n">
        <v>46193</v>
      </c>
      <c r="D38" t="inlineStr">
        <is>
          <t>VÄSTERBOTTENS LÄN</t>
        </is>
      </c>
      <c r="E38" t="inlineStr">
        <is>
          <t>UMEÅ</t>
        </is>
      </c>
      <c r="G38" t="n">
        <v>2.7</v>
      </c>
      <c r="H38" t="n">
        <v>2</v>
      </c>
      <c r="I38" t="n">
        <v>2</v>
      </c>
      <c r="J38" t="n">
        <v>2</v>
      </c>
      <c r="K38" t="n">
        <v>1</v>
      </c>
      <c r="L38" t="n">
        <v>0</v>
      </c>
      <c r="M38" t="n">
        <v>0</v>
      </c>
      <c r="N38" t="n">
        <v>0</v>
      </c>
      <c r="O38" t="n">
        <v>3</v>
      </c>
      <c r="P38" t="n">
        <v>1</v>
      </c>
      <c r="Q38" t="n">
        <v>5</v>
      </c>
      <c r="R38" s="2" t="inlineStr">
        <is>
          <t>Garnlav
Talltita
Tretåig hackspett
Thomsons trägnagare
Vedticka</t>
        </is>
      </c>
      <c r="S38">
        <f>HYPERLINK("https://klasma.github.io/Logging_2480/artfynd/A 46143-2024 artfynd.xlsx", "A 46143-2024")</f>
        <v/>
      </c>
      <c r="T38">
        <f>HYPERLINK("https://klasma.github.io/Logging_2480/kartor/A 46143-2024 karta.png", "A 46143-2024")</f>
        <v/>
      </c>
      <c r="V38">
        <f>HYPERLINK("https://klasma.github.io/Logging_2480/klagomål/A 46143-2024 FSC-klagomål.docx", "A 46143-2024")</f>
        <v/>
      </c>
      <c r="W38">
        <f>HYPERLINK("https://klasma.github.io/Logging_2480/klagomålsmail/A 46143-2024 FSC-klagomål mail.docx", "A 46143-2024")</f>
        <v/>
      </c>
      <c r="X38">
        <f>HYPERLINK("https://klasma.github.io/Logging_2480/tillsyn/A 46143-2024 tillsynsbegäran.docx", "A 46143-2024")</f>
        <v/>
      </c>
      <c r="Y38">
        <f>HYPERLINK("https://klasma.github.io/Logging_2480/tillsynsmail/A 46143-2024 tillsynsbegäran mail.docx", "A 46143-2024")</f>
        <v/>
      </c>
      <c r="Z38">
        <f>HYPERLINK("https://klasma.github.io/Logging_2480/fåglar/A 46143-2024 prioriterade fågelarter.docx", "A 46143-2024")</f>
        <v/>
      </c>
    </row>
    <row r="39" ht="15" customHeight="1">
      <c r="A39" t="inlineStr">
        <is>
          <t>A 26361-2026</t>
        </is>
      </c>
      <c r="B39" s="1" t="n">
        <v>46182</v>
      </c>
      <c r="C39" s="1" t="n">
        <v>46193</v>
      </c>
      <c r="D39" t="inlineStr">
        <is>
          <t>VÄSTERBOTTENS LÄN</t>
        </is>
      </c>
      <c r="E39" t="inlineStr">
        <is>
          <t>UMEÅ</t>
        </is>
      </c>
      <c r="F39" t="inlineStr">
        <is>
          <t>Kommuner</t>
        </is>
      </c>
      <c r="G39" t="n">
        <v>0.9</v>
      </c>
      <c r="H39" t="n">
        <v>1</v>
      </c>
      <c r="I39" t="n">
        <v>1</v>
      </c>
      <c r="J39" t="n">
        <v>3</v>
      </c>
      <c r="K39" t="n">
        <v>1</v>
      </c>
      <c r="L39" t="n">
        <v>0</v>
      </c>
      <c r="M39" t="n">
        <v>0</v>
      </c>
      <c r="N39" t="n">
        <v>0</v>
      </c>
      <c r="O39" t="n">
        <v>4</v>
      </c>
      <c r="P39" t="n">
        <v>1</v>
      </c>
      <c r="Q39" t="n">
        <v>5</v>
      </c>
      <c r="R39" s="2" t="inlineStr">
        <is>
          <t>Torrmusseron
Motaggsvamp
Orange taggsvamp
Talltita
Vedticka</t>
        </is>
      </c>
      <c r="S39">
        <f>HYPERLINK("https://klasma.github.io/Logging_2480/artfynd/A 26361-2026 artfynd.xlsx", "A 26361-2026")</f>
        <v/>
      </c>
      <c r="T39">
        <f>HYPERLINK("https://klasma.github.io/Logging_2480/kartor/A 26361-2026 karta.png", "A 26361-2026")</f>
        <v/>
      </c>
      <c r="V39">
        <f>HYPERLINK("https://klasma.github.io/Logging_2480/klagomål/A 26361-2026 FSC-klagomål.docx", "A 26361-2026")</f>
        <v/>
      </c>
      <c r="W39">
        <f>HYPERLINK("https://klasma.github.io/Logging_2480/klagomålsmail/A 26361-2026 FSC-klagomål mail.docx", "A 26361-2026")</f>
        <v/>
      </c>
      <c r="X39">
        <f>HYPERLINK("https://klasma.github.io/Logging_2480/tillsyn/A 26361-2026 tillsynsbegäran.docx", "A 26361-2026")</f>
        <v/>
      </c>
      <c r="Y39">
        <f>HYPERLINK("https://klasma.github.io/Logging_2480/tillsynsmail/A 26361-2026 tillsynsbegäran mail.docx", "A 26361-2026")</f>
        <v/>
      </c>
      <c r="Z39">
        <f>HYPERLINK("https://klasma.github.io/Logging_2480/fåglar/A 26361-2026 prioriterade fågelarter.docx", "A 26361-2026")</f>
        <v/>
      </c>
    </row>
    <row r="40" ht="15" customHeight="1">
      <c r="A40" t="inlineStr">
        <is>
          <t>A 21732-2026</t>
        </is>
      </c>
      <c r="B40" s="1" t="n">
        <v>46149</v>
      </c>
      <c r="C40" s="1" t="n">
        <v>46193</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25549-2026</t>
        </is>
      </c>
      <c r="B41" s="1" t="n">
        <v>46177</v>
      </c>
      <c r="C41" s="1" t="n">
        <v>46193</v>
      </c>
      <c r="D41" t="inlineStr">
        <is>
          <t>VÄSTERBOTTENS LÄN</t>
        </is>
      </c>
      <c r="E41" t="inlineStr">
        <is>
          <t>UMEÅ</t>
        </is>
      </c>
      <c r="F41" t="inlineStr">
        <is>
          <t>Holmen skog AB</t>
        </is>
      </c>
      <c r="G41" t="n">
        <v>8.9</v>
      </c>
      <c r="H41" t="n">
        <v>1</v>
      </c>
      <c r="I41" t="n">
        <v>1</v>
      </c>
      <c r="J41" t="n">
        <v>3</v>
      </c>
      <c r="K41" t="n">
        <v>1</v>
      </c>
      <c r="L41" t="n">
        <v>0</v>
      </c>
      <c r="M41" t="n">
        <v>0</v>
      </c>
      <c r="N41" t="n">
        <v>0</v>
      </c>
      <c r="O41" t="n">
        <v>4</v>
      </c>
      <c r="P41" t="n">
        <v>1</v>
      </c>
      <c r="Q41" t="n">
        <v>5</v>
      </c>
      <c r="R41" s="2" t="inlineStr">
        <is>
          <t>Garnlav
Dropptaggsvamp
Talltita
Ullticka
Vedticka</t>
        </is>
      </c>
      <c r="S41">
        <f>HYPERLINK("https://klasma.github.io/Logging_2480/artfynd/A 25549-2026 artfynd.xlsx", "A 25549-2026")</f>
        <v/>
      </c>
      <c r="T41">
        <f>HYPERLINK("https://klasma.github.io/Logging_2480/kartor/A 25549-2026 karta.png", "A 25549-2026")</f>
        <v/>
      </c>
      <c r="V41">
        <f>HYPERLINK("https://klasma.github.io/Logging_2480/klagomål/A 25549-2026 FSC-klagomål.docx", "A 25549-2026")</f>
        <v/>
      </c>
      <c r="W41">
        <f>HYPERLINK("https://klasma.github.io/Logging_2480/klagomålsmail/A 25549-2026 FSC-klagomål mail.docx", "A 25549-2026")</f>
        <v/>
      </c>
      <c r="X41">
        <f>HYPERLINK("https://klasma.github.io/Logging_2480/tillsyn/A 25549-2026 tillsynsbegäran.docx", "A 25549-2026")</f>
        <v/>
      </c>
      <c r="Y41">
        <f>HYPERLINK("https://klasma.github.io/Logging_2480/tillsynsmail/A 25549-2026 tillsynsbegäran mail.docx", "A 25549-2026")</f>
        <v/>
      </c>
      <c r="Z41">
        <f>HYPERLINK("https://klasma.github.io/Logging_2480/fåglar/A 25549-2026 prioriterade fågelarter.docx", "A 25549-2026")</f>
        <v/>
      </c>
    </row>
    <row r="42" ht="15" customHeight="1">
      <c r="A42" t="inlineStr">
        <is>
          <t>A 45691-2023</t>
        </is>
      </c>
      <c r="B42" s="1" t="n">
        <v>45195</v>
      </c>
      <c r="C42" s="1" t="n">
        <v>46193</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2643-2025</t>
        </is>
      </c>
      <c r="B43" s="1" t="n">
        <v>45676</v>
      </c>
      <c r="C43" s="1" t="n">
        <v>46193</v>
      </c>
      <c r="D43" t="inlineStr">
        <is>
          <t>VÄSTERBOTTENS LÄN</t>
        </is>
      </c>
      <c r="E43" t="inlineStr">
        <is>
          <t>UMEÅ</t>
        </is>
      </c>
      <c r="F43" t="inlineStr">
        <is>
          <t>Övriga Aktiebolag</t>
        </is>
      </c>
      <c r="G43" t="n">
        <v>12.6</v>
      </c>
      <c r="H43" t="n">
        <v>0</v>
      </c>
      <c r="I43" t="n">
        <v>0</v>
      </c>
      <c r="J43" t="n">
        <v>3</v>
      </c>
      <c r="K43" t="n">
        <v>1</v>
      </c>
      <c r="L43" t="n">
        <v>0</v>
      </c>
      <c r="M43" t="n">
        <v>0</v>
      </c>
      <c r="N43" t="n">
        <v>0</v>
      </c>
      <c r="O43" t="n">
        <v>4</v>
      </c>
      <c r="P43" t="n">
        <v>1</v>
      </c>
      <c r="Q43" t="n">
        <v>4</v>
      </c>
      <c r="R43" s="2" t="inlineStr">
        <is>
          <t>Garnlav
Dropptaggsvamp
Kolflarnlav
Ullticka</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15648-2023</t>
        </is>
      </c>
      <c r="B44" s="1" t="n">
        <v>45019</v>
      </c>
      <c r="C44" s="1" t="n">
        <v>46193</v>
      </c>
      <c r="D44" t="inlineStr">
        <is>
          <t>VÄSTERBOTTENS LÄN</t>
        </is>
      </c>
      <c r="E44" t="inlineStr">
        <is>
          <t>UMEÅ</t>
        </is>
      </c>
      <c r="F44" t="inlineStr">
        <is>
          <t>Kommuner</t>
        </is>
      </c>
      <c r="G44" t="n">
        <v>6.9</v>
      </c>
      <c r="H44" t="n">
        <v>0</v>
      </c>
      <c r="I44" t="n">
        <v>1</v>
      </c>
      <c r="J44" t="n">
        <v>2</v>
      </c>
      <c r="K44" t="n">
        <v>1</v>
      </c>
      <c r="L44" t="n">
        <v>0</v>
      </c>
      <c r="M44" t="n">
        <v>0</v>
      </c>
      <c r="N44" t="n">
        <v>0</v>
      </c>
      <c r="O44" t="n">
        <v>3</v>
      </c>
      <c r="P44" t="n">
        <v>1</v>
      </c>
      <c r="Q44" t="n">
        <v>4</v>
      </c>
      <c r="R44" s="2" t="inlineStr">
        <is>
          <t>Garnlav
Gammelgransskål
Ullticka
Bollvitmossa</t>
        </is>
      </c>
      <c r="S44">
        <f>HYPERLINK("https://klasma.github.io/Logging_2480/artfynd/A 15648-2023 artfynd.xlsx", "A 15648-2023")</f>
        <v/>
      </c>
      <c r="T44">
        <f>HYPERLINK("https://klasma.github.io/Logging_2480/kartor/A 15648-2023 karta.png", "A 15648-2023")</f>
        <v/>
      </c>
      <c r="V44">
        <f>HYPERLINK("https://klasma.github.io/Logging_2480/klagomål/A 15648-2023 FSC-klagomål.docx", "A 15648-2023")</f>
        <v/>
      </c>
      <c r="W44">
        <f>HYPERLINK("https://klasma.github.io/Logging_2480/klagomålsmail/A 15648-2023 FSC-klagomål mail.docx", "A 15648-2023")</f>
        <v/>
      </c>
      <c r="X44">
        <f>HYPERLINK("https://klasma.github.io/Logging_2480/tillsyn/A 15648-2023 tillsynsbegäran.docx", "A 15648-2023")</f>
        <v/>
      </c>
      <c r="Y44">
        <f>HYPERLINK("https://klasma.github.io/Logging_2480/tillsynsmail/A 15648-2023 tillsynsbegäran mail.docx", "A 15648-2023")</f>
        <v/>
      </c>
    </row>
    <row r="45" ht="15" customHeight="1">
      <c r="A45" t="inlineStr">
        <is>
          <t>A 36893-2025</t>
        </is>
      </c>
      <c r="B45" s="1" t="n">
        <v>45874</v>
      </c>
      <c r="C45" s="1" t="n">
        <v>46193</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33215-2025</t>
        </is>
      </c>
      <c r="B46" s="1" t="n">
        <v>45840</v>
      </c>
      <c r="C46" s="1" t="n">
        <v>46193</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61749-2023</t>
        </is>
      </c>
      <c r="B47" s="1" t="n">
        <v>45264</v>
      </c>
      <c r="C47" s="1" t="n">
        <v>46193</v>
      </c>
      <c r="D47" t="inlineStr">
        <is>
          <t>VÄSTERBOTTENS LÄN</t>
        </is>
      </c>
      <c r="E47" t="inlineStr">
        <is>
          <t>UMEÅ</t>
        </is>
      </c>
      <c r="G47" t="n">
        <v>2.4</v>
      </c>
      <c r="H47" t="n">
        <v>2</v>
      </c>
      <c r="I47" t="n">
        <v>0</v>
      </c>
      <c r="J47" t="n">
        <v>3</v>
      </c>
      <c r="K47" t="n">
        <v>1</v>
      </c>
      <c r="L47" t="n">
        <v>0</v>
      </c>
      <c r="M47" t="n">
        <v>0</v>
      </c>
      <c r="N47" t="n">
        <v>0</v>
      </c>
      <c r="O47" t="n">
        <v>4</v>
      </c>
      <c r="P47" t="n">
        <v>1</v>
      </c>
      <c r="Q47" t="n">
        <v>4</v>
      </c>
      <c r="R47" s="2" t="inlineStr">
        <is>
          <t>Topplåsbräken
Höstlåsbräken
Månlåsbräken
Nordlåsbräken</t>
        </is>
      </c>
      <c r="S47">
        <f>HYPERLINK("https://klasma.github.io/Logging_2480/artfynd/A 61749-2023 artfynd.xlsx", "A 61749-2023")</f>
        <v/>
      </c>
      <c r="T47">
        <f>HYPERLINK("https://klasma.github.io/Logging_2480/kartor/A 61749-2023 karta.png", "A 61749-2023")</f>
        <v/>
      </c>
      <c r="V47">
        <f>HYPERLINK("https://klasma.github.io/Logging_2480/klagomål/A 61749-2023 FSC-klagomål.docx", "A 61749-2023")</f>
        <v/>
      </c>
      <c r="W47">
        <f>HYPERLINK("https://klasma.github.io/Logging_2480/klagomålsmail/A 61749-2023 FSC-klagomål mail.docx", "A 61749-2023")</f>
        <v/>
      </c>
      <c r="X47">
        <f>HYPERLINK("https://klasma.github.io/Logging_2480/tillsyn/A 61749-2023 tillsynsbegäran.docx", "A 61749-2023")</f>
        <v/>
      </c>
      <c r="Y47">
        <f>HYPERLINK("https://klasma.github.io/Logging_2480/tillsynsmail/A 61749-2023 tillsynsbegäran mail.docx", "A 61749-2023")</f>
        <v/>
      </c>
    </row>
    <row r="48" ht="15" customHeight="1">
      <c r="A48" t="inlineStr">
        <is>
          <t>A 11826-2026</t>
        </is>
      </c>
      <c r="B48" s="1" t="n">
        <v>46085</v>
      </c>
      <c r="C48" s="1" t="n">
        <v>46193</v>
      </c>
      <c r="D48" t="inlineStr">
        <is>
          <t>VÄSTERBOTTENS LÄN</t>
        </is>
      </c>
      <c r="E48" t="inlineStr">
        <is>
          <t>UMEÅ</t>
        </is>
      </c>
      <c r="G48" t="n">
        <v>0.6</v>
      </c>
      <c r="H48" t="n">
        <v>1</v>
      </c>
      <c r="I48" t="n">
        <v>2</v>
      </c>
      <c r="J48" t="n">
        <v>2</v>
      </c>
      <c r="K48" t="n">
        <v>0</v>
      </c>
      <c r="L48" t="n">
        <v>0</v>
      </c>
      <c r="M48" t="n">
        <v>0</v>
      </c>
      <c r="N48" t="n">
        <v>0</v>
      </c>
      <c r="O48" t="n">
        <v>2</v>
      </c>
      <c r="P48" t="n">
        <v>0</v>
      </c>
      <c r="Q48" t="n">
        <v>4</v>
      </c>
      <c r="R48" s="2" t="inlineStr">
        <is>
          <t>Småflikig brosklav
Talltita
Thomsons trägnagare
Vågbandad barkbock</t>
        </is>
      </c>
      <c r="S48">
        <f>HYPERLINK("https://klasma.github.io/Logging_2480/artfynd/A 11826-2026 artfynd.xlsx", "A 11826-2026")</f>
        <v/>
      </c>
      <c r="T48">
        <f>HYPERLINK("https://klasma.github.io/Logging_2480/kartor/A 11826-2026 karta.png", "A 11826-2026")</f>
        <v/>
      </c>
      <c r="V48">
        <f>HYPERLINK("https://klasma.github.io/Logging_2480/klagomål/A 11826-2026 FSC-klagomål.docx", "A 11826-2026")</f>
        <v/>
      </c>
      <c r="W48">
        <f>HYPERLINK("https://klasma.github.io/Logging_2480/klagomålsmail/A 11826-2026 FSC-klagomål mail.docx", "A 11826-2026")</f>
        <v/>
      </c>
      <c r="X48">
        <f>HYPERLINK("https://klasma.github.io/Logging_2480/tillsyn/A 11826-2026 tillsynsbegäran.docx", "A 11826-2026")</f>
        <v/>
      </c>
      <c r="Y48">
        <f>HYPERLINK("https://klasma.github.io/Logging_2480/tillsynsmail/A 11826-2026 tillsynsbegäran mail.docx", "A 11826-2026")</f>
        <v/>
      </c>
      <c r="Z48">
        <f>HYPERLINK("https://klasma.github.io/Logging_2480/fåglar/A 11826-2026 prioriterade fågelarter.docx", "A 11826-2026")</f>
        <v/>
      </c>
    </row>
    <row r="49" ht="15" customHeight="1">
      <c r="A49" t="inlineStr">
        <is>
          <t>A 38685-2021</t>
        </is>
      </c>
      <c r="B49" s="1" t="n">
        <v>44407</v>
      </c>
      <c r="C49" s="1" t="n">
        <v>46193</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46193</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46193</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49136-2024</t>
        </is>
      </c>
      <c r="B52" s="1" t="n">
        <v>45594</v>
      </c>
      <c r="C52" s="1" t="n">
        <v>46193</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42195-2024</t>
        </is>
      </c>
      <c r="B53" s="1" t="n">
        <v>45562</v>
      </c>
      <c r="C53" s="1" t="n">
        <v>46193</v>
      </c>
      <c r="D53" t="inlineStr">
        <is>
          <t>VÄSTERBOTTENS LÄN</t>
        </is>
      </c>
      <c r="E53" t="inlineStr">
        <is>
          <t>UMEÅ</t>
        </is>
      </c>
      <c r="F53" t="inlineStr">
        <is>
          <t>Kommuner</t>
        </is>
      </c>
      <c r="G53" t="n">
        <v>1.2</v>
      </c>
      <c r="H53" t="n">
        <v>1</v>
      </c>
      <c r="I53" t="n">
        <v>0</v>
      </c>
      <c r="J53" t="n">
        <v>1</v>
      </c>
      <c r="K53" t="n">
        <v>1</v>
      </c>
      <c r="L53" t="n">
        <v>0</v>
      </c>
      <c r="M53" t="n">
        <v>0</v>
      </c>
      <c r="N53" t="n">
        <v>0</v>
      </c>
      <c r="O53" t="n">
        <v>2</v>
      </c>
      <c r="P53" t="n">
        <v>1</v>
      </c>
      <c r="Q53" t="n">
        <v>3</v>
      </c>
      <c r="R53" s="2" t="inlineStr">
        <is>
          <t>Smalfotad taggsvamp
Motaggsvamp
Spillkråka</t>
        </is>
      </c>
      <c r="S53">
        <f>HYPERLINK("https://klasma.github.io/Logging_2480/artfynd/A 42195-2024 artfynd.xlsx", "A 42195-2024")</f>
        <v/>
      </c>
      <c r="T53">
        <f>HYPERLINK("https://klasma.github.io/Logging_2480/kartor/A 42195-2024 karta.png", "A 42195-2024")</f>
        <v/>
      </c>
      <c r="V53">
        <f>HYPERLINK("https://klasma.github.io/Logging_2480/klagomål/A 42195-2024 FSC-klagomål.docx", "A 42195-2024")</f>
        <v/>
      </c>
      <c r="W53">
        <f>HYPERLINK("https://klasma.github.io/Logging_2480/klagomålsmail/A 42195-2024 FSC-klagomål mail.docx", "A 42195-2024")</f>
        <v/>
      </c>
      <c r="X53">
        <f>HYPERLINK("https://klasma.github.io/Logging_2480/tillsyn/A 42195-2024 tillsynsbegäran.docx", "A 42195-2024")</f>
        <v/>
      </c>
      <c r="Y53">
        <f>HYPERLINK("https://klasma.github.io/Logging_2480/tillsynsmail/A 42195-2024 tillsynsbegäran mail.docx", "A 42195-2024")</f>
        <v/>
      </c>
      <c r="Z53">
        <f>HYPERLINK("https://klasma.github.io/Logging_2480/fåglar/A 42195-2024 prioriterade fågelarter.docx", "A 42195-2024")</f>
        <v/>
      </c>
    </row>
    <row r="54" ht="15" customHeight="1">
      <c r="A54" t="inlineStr">
        <is>
          <t>A 5029-2022</t>
        </is>
      </c>
      <c r="B54" s="1" t="n">
        <v>44593</v>
      </c>
      <c r="C54" s="1" t="n">
        <v>46193</v>
      </c>
      <c r="D54" t="inlineStr">
        <is>
          <t>VÄSTERBOTTENS LÄN</t>
        </is>
      </c>
      <c r="E54" t="inlineStr">
        <is>
          <t>UMEÅ</t>
        </is>
      </c>
      <c r="G54" t="n">
        <v>9.300000000000001</v>
      </c>
      <c r="H54" t="n">
        <v>0</v>
      </c>
      <c r="I54" t="n">
        <v>1</v>
      </c>
      <c r="J54" t="n">
        <v>2</v>
      </c>
      <c r="K54" t="n">
        <v>0</v>
      </c>
      <c r="L54" t="n">
        <v>0</v>
      </c>
      <c r="M54" t="n">
        <v>0</v>
      </c>
      <c r="N54" t="n">
        <v>0</v>
      </c>
      <c r="O54" t="n">
        <v>2</v>
      </c>
      <c r="P54" t="n">
        <v>0</v>
      </c>
      <c r="Q54" t="n">
        <v>3</v>
      </c>
      <c r="R54" s="2" t="inlineStr">
        <is>
          <t>Rynkskinn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12971-2025</t>
        </is>
      </c>
      <c r="B55" s="1" t="n">
        <v>45734</v>
      </c>
      <c r="C55" s="1" t="n">
        <v>46193</v>
      </c>
      <c r="D55" t="inlineStr">
        <is>
          <t>VÄSTERBOTTENS LÄN</t>
        </is>
      </c>
      <c r="E55" t="inlineStr">
        <is>
          <t>UMEÅ</t>
        </is>
      </c>
      <c r="G55" t="n">
        <v>4.1</v>
      </c>
      <c r="H55" t="n">
        <v>0</v>
      </c>
      <c r="I55" t="n">
        <v>1</v>
      </c>
      <c r="J55" t="n">
        <v>2</v>
      </c>
      <c r="K55" t="n">
        <v>0</v>
      </c>
      <c r="L55" t="n">
        <v>0</v>
      </c>
      <c r="M55" t="n">
        <v>0</v>
      </c>
      <c r="N55" t="n">
        <v>0</v>
      </c>
      <c r="O55" t="n">
        <v>2</v>
      </c>
      <c r="P55" t="n">
        <v>0</v>
      </c>
      <c r="Q55" t="n">
        <v>3</v>
      </c>
      <c r="R55" s="2" t="inlineStr">
        <is>
          <t>Ullticka
Violmussling
Jättesvampmal</t>
        </is>
      </c>
      <c r="S55">
        <f>HYPERLINK("https://klasma.github.io/Logging_2480/artfynd/A 12971-2025 artfynd.xlsx", "A 12971-2025")</f>
        <v/>
      </c>
      <c r="T55">
        <f>HYPERLINK("https://klasma.github.io/Logging_2480/kartor/A 12971-2025 karta.png", "A 12971-2025")</f>
        <v/>
      </c>
      <c r="V55">
        <f>HYPERLINK("https://klasma.github.io/Logging_2480/klagomål/A 12971-2025 FSC-klagomål.docx", "A 12971-2025")</f>
        <v/>
      </c>
      <c r="W55">
        <f>HYPERLINK("https://klasma.github.io/Logging_2480/klagomålsmail/A 12971-2025 FSC-klagomål mail.docx", "A 12971-2025")</f>
        <v/>
      </c>
      <c r="X55">
        <f>HYPERLINK("https://klasma.github.io/Logging_2480/tillsyn/A 12971-2025 tillsynsbegäran.docx", "A 12971-2025")</f>
        <v/>
      </c>
      <c r="Y55">
        <f>HYPERLINK("https://klasma.github.io/Logging_2480/tillsynsmail/A 12971-2025 tillsynsbegäran mail.docx", "A 12971-2025")</f>
        <v/>
      </c>
    </row>
    <row r="56" ht="15" customHeight="1">
      <c r="A56" t="inlineStr">
        <is>
          <t>A 49264-2025</t>
        </is>
      </c>
      <c r="B56" s="1" t="n">
        <v>45938</v>
      </c>
      <c r="C56" s="1" t="n">
        <v>46193</v>
      </c>
      <c r="D56" t="inlineStr">
        <is>
          <t>VÄSTERBOTTENS LÄN</t>
        </is>
      </c>
      <c r="E56" t="inlineStr">
        <is>
          <t>UMEÅ</t>
        </is>
      </c>
      <c r="F56" t="inlineStr">
        <is>
          <t>Sveaskog</t>
        </is>
      </c>
      <c r="G56" t="n">
        <v>7.3</v>
      </c>
      <c r="H56" t="n">
        <v>0</v>
      </c>
      <c r="I56" t="n">
        <v>0</v>
      </c>
      <c r="J56" t="n">
        <v>3</v>
      </c>
      <c r="K56" t="n">
        <v>0</v>
      </c>
      <c r="L56" t="n">
        <v>0</v>
      </c>
      <c r="M56" t="n">
        <v>0</v>
      </c>
      <c r="N56" t="n">
        <v>0</v>
      </c>
      <c r="O56" t="n">
        <v>3</v>
      </c>
      <c r="P56" t="n">
        <v>0</v>
      </c>
      <c r="Q56" t="n">
        <v>3</v>
      </c>
      <c r="R56" s="2" t="inlineStr">
        <is>
          <t>Kolflarnlav
Mörk kolflarnlav
Vedskivlav</t>
        </is>
      </c>
      <c r="S56">
        <f>HYPERLINK("https://klasma.github.io/Logging_2480/artfynd/A 49264-2025 artfynd.xlsx", "A 49264-2025")</f>
        <v/>
      </c>
      <c r="T56">
        <f>HYPERLINK("https://klasma.github.io/Logging_2480/kartor/A 49264-2025 karta.png", "A 49264-2025")</f>
        <v/>
      </c>
      <c r="V56">
        <f>HYPERLINK("https://klasma.github.io/Logging_2480/klagomål/A 49264-2025 FSC-klagomål.docx", "A 49264-2025")</f>
        <v/>
      </c>
      <c r="W56">
        <f>HYPERLINK("https://klasma.github.io/Logging_2480/klagomålsmail/A 49264-2025 FSC-klagomål mail.docx", "A 49264-2025")</f>
        <v/>
      </c>
      <c r="X56">
        <f>HYPERLINK("https://klasma.github.io/Logging_2480/tillsyn/A 49264-2025 tillsynsbegäran.docx", "A 49264-2025")</f>
        <v/>
      </c>
      <c r="Y56">
        <f>HYPERLINK("https://klasma.github.io/Logging_2480/tillsynsmail/A 49264-2025 tillsynsbegäran mail.docx", "A 49264-2025")</f>
        <v/>
      </c>
    </row>
    <row r="57" ht="15" customHeight="1">
      <c r="A57" t="inlineStr">
        <is>
          <t>A 52006-2025</t>
        </is>
      </c>
      <c r="B57" s="1" t="n">
        <v>45952</v>
      </c>
      <c r="C57" s="1" t="n">
        <v>46193</v>
      </c>
      <c r="D57" t="inlineStr">
        <is>
          <t>VÄSTERBOTTENS LÄN</t>
        </is>
      </c>
      <c r="E57" t="inlineStr">
        <is>
          <t>UMEÅ</t>
        </is>
      </c>
      <c r="F57" t="inlineStr">
        <is>
          <t>Holmen skog AB</t>
        </is>
      </c>
      <c r="G57" t="n">
        <v>5.5</v>
      </c>
      <c r="H57" t="n">
        <v>1</v>
      </c>
      <c r="I57" t="n">
        <v>0</v>
      </c>
      <c r="J57" t="n">
        <v>2</v>
      </c>
      <c r="K57" t="n">
        <v>0</v>
      </c>
      <c r="L57" t="n">
        <v>0</v>
      </c>
      <c r="M57" t="n">
        <v>0</v>
      </c>
      <c r="N57" t="n">
        <v>0</v>
      </c>
      <c r="O57" t="n">
        <v>2</v>
      </c>
      <c r="P57" t="n">
        <v>0</v>
      </c>
      <c r="Q57" t="n">
        <v>3</v>
      </c>
      <c r="R57" s="2" t="inlineStr">
        <is>
          <t>Berggräsfjäril
Vaddporing
Fläcknycklar</t>
        </is>
      </c>
      <c r="S57">
        <f>HYPERLINK("https://klasma.github.io/Logging_2480/artfynd/A 52006-2025 artfynd.xlsx", "A 52006-2025")</f>
        <v/>
      </c>
      <c r="T57">
        <f>HYPERLINK("https://klasma.github.io/Logging_2480/kartor/A 52006-2025 karta.png", "A 52006-2025")</f>
        <v/>
      </c>
      <c r="V57">
        <f>HYPERLINK("https://klasma.github.io/Logging_2480/klagomål/A 52006-2025 FSC-klagomål.docx", "A 52006-2025")</f>
        <v/>
      </c>
      <c r="W57">
        <f>HYPERLINK("https://klasma.github.io/Logging_2480/klagomålsmail/A 52006-2025 FSC-klagomål mail.docx", "A 52006-2025")</f>
        <v/>
      </c>
      <c r="X57">
        <f>HYPERLINK("https://klasma.github.io/Logging_2480/tillsyn/A 52006-2025 tillsynsbegäran.docx", "A 52006-2025")</f>
        <v/>
      </c>
      <c r="Y57">
        <f>HYPERLINK("https://klasma.github.io/Logging_2480/tillsynsmail/A 52006-2025 tillsynsbegäran mail.docx", "A 52006-2025")</f>
        <v/>
      </c>
    </row>
    <row r="58" ht="15" customHeight="1">
      <c r="A58" t="inlineStr">
        <is>
          <t>A 32221-2024</t>
        </is>
      </c>
      <c r="B58" s="1" t="n">
        <v>45511</v>
      </c>
      <c r="C58" s="1" t="n">
        <v>46193</v>
      </c>
      <c r="D58" t="inlineStr">
        <is>
          <t>VÄSTERBOTTENS LÄN</t>
        </is>
      </c>
      <c r="E58" t="inlineStr">
        <is>
          <t>UMEÅ</t>
        </is>
      </c>
      <c r="G58" t="n">
        <v>1.1</v>
      </c>
      <c r="H58" t="n">
        <v>1</v>
      </c>
      <c r="I58" t="n">
        <v>2</v>
      </c>
      <c r="J58" t="n">
        <v>1</v>
      </c>
      <c r="K58" t="n">
        <v>0</v>
      </c>
      <c r="L58" t="n">
        <v>0</v>
      </c>
      <c r="M58" t="n">
        <v>0</v>
      </c>
      <c r="N58" t="n">
        <v>0</v>
      </c>
      <c r="O58" t="n">
        <v>1</v>
      </c>
      <c r="P58" t="n">
        <v>0</v>
      </c>
      <c r="Q58" t="n">
        <v>3</v>
      </c>
      <c r="R58" s="2" t="inlineStr">
        <is>
          <t>Talltita
Björksplintborre
Större träfjäril</t>
        </is>
      </c>
      <c r="S58">
        <f>HYPERLINK("https://klasma.github.io/Logging_2480/artfynd/A 32221-2024 artfynd.xlsx", "A 32221-2024")</f>
        <v/>
      </c>
      <c r="T58">
        <f>HYPERLINK("https://klasma.github.io/Logging_2480/kartor/A 32221-2024 karta.png", "A 32221-2024")</f>
        <v/>
      </c>
      <c r="V58">
        <f>HYPERLINK("https://klasma.github.io/Logging_2480/klagomål/A 32221-2024 FSC-klagomål.docx", "A 32221-2024")</f>
        <v/>
      </c>
      <c r="W58">
        <f>HYPERLINK("https://klasma.github.io/Logging_2480/klagomålsmail/A 32221-2024 FSC-klagomål mail.docx", "A 32221-2024")</f>
        <v/>
      </c>
      <c r="X58">
        <f>HYPERLINK("https://klasma.github.io/Logging_2480/tillsyn/A 32221-2024 tillsynsbegäran.docx", "A 32221-2024")</f>
        <v/>
      </c>
      <c r="Y58">
        <f>HYPERLINK("https://klasma.github.io/Logging_2480/tillsynsmail/A 32221-2024 tillsynsbegäran mail.docx", "A 32221-2024")</f>
        <v/>
      </c>
      <c r="Z58">
        <f>HYPERLINK("https://klasma.github.io/Logging_2480/fåglar/A 32221-2024 prioriterade fågelarter.docx", "A 32221-2024")</f>
        <v/>
      </c>
    </row>
    <row r="59" ht="15" customHeight="1">
      <c r="A59" t="inlineStr">
        <is>
          <t>A 36794-2025</t>
        </is>
      </c>
      <c r="B59" s="1" t="n">
        <v>45873</v>
      </c>
      <c r="C59" s="1" t="n">
        <v>46193</v>
      </c>
      <c r="D59" t="inlineStr">
        <is>
          <t>VÄSTERBOTTENS LÄN</t>
        </is>
      </c>
      <c r="E59" t="inlineStr">
        <is>
          <t>UMEÅ</t>
        </is>
      </c>
      <c r="F59" t="inlineStr">
        <is>
          <t>Holmen skog AB</t>
        </is>
      </c>
      <c r="G59" t="n">
        <v>7.5</v>
      </c>
      <c r="H59" t="n">
        <v>3</v>
      </c>
      <c r="I59" t="n">
        <v>0</v>
      </c>
      <c r="J59" t="n">
        <v>1</v>
      </c>
      <c r="K59" t="n">
        <v>0</v>
      </c>
      <c r="L59" t="n">
        <v>0</v>
      </c>
      <c r="M59" t="n">
        <v>0</v>
      </c>
      <c r="N59" t="n">
        <v>0</v>
      </c>
      <c r="O59" t="n">
        <v>1</v>
      </c>
      <c r="P59" t="n">
        <v>0</v>
      </c>
      <c r="Q59" t="n">
        <v>3</v>
      </c>
      <c r="R59" s="2" t="inlineStr">
        <is>
          <t>Talltita
Spillkråka
Kungsfågel</t>
        </is>
      </c>
      <c r="S59">
        <f>HYPERLINK("https://klasma.github.io/Logging_2480/artfynd/A 36794-2025 artfynd.xlsx", "A 36794-2025")</f>
        <v/>
      </c>
      <c r="T59">
        <f>HYPERLINK("https://klasma.github.io/Logging_2480/kartor/A 36794-2025 karta.png", "A 36794-2025")</f>
        <v/>
      </c>
      <c r="V59">
        <f>HYPERLINK("https://klasma.github.io/Logging_2480/klagomål/A 36794-2025 FSC-klagomål.docx", "A 36794-2025")</f>
        <v/>
      </c>
      <c r="W59">
        <f>HYPERLINK("https://klasma.github.io/Logging_2480/klagomålsmail/A 36794-2025 FSC-klagomål mail.docx", "A 36794-2025")</f>
        <v/>
      </c>
      <c r="X59">
        <f>HYPERLINK("https://klasma.github.io/Logging_2480/tillsyn/A 36794-2025 tillsynsbegäran.docx", "A 36794-2025")</f>
        <v/>
      </c>
      <c r="Y59">
        <f>HYPERLINK("https://klasma.github.io/Logging_2480/tillsynsmail/A 36794-2025 tillsynsbegäran mail.docx", "A 36794-2025")</f>
        <v/>
      </c>
      <c r="Z59">
        <f>HYPERLINK("https://klasma.github.io/Logging_2480/fåglar/A 36794-2025 prioriterade fågelarter.docx", "A 36794-2025")</f>
        <v/>
      </c>
    </row>
    <row r="60" ht="15" customHeight="1">
      <c r="A60" t="inlineStr">
        <is>
          <t>A 37889-2023</t>
        </is>
      </c>
      <c r="B60" s="1" t="n">
        <v>45160</v>
      </c>
      <c r="C60" s="1" t="n">
        <v>46193</v>
      </c>
      <c r="D60" t="inlineStr">
        <is>
          <t>VÄSTERBOTTENS LÄN</t>
        </is>
      </c>
      <c r="E60" t="inlineStr">
        <is>
          <t>UMEÅ</t>
        </is>
      </c>
      <c r="F60" t="inlineStr">
        <is>
          <t>Holmen skog AB</t>
        </is>
      </c>
      <c r="G60" t="n">
        <v>1.7</v>
      </c>
      <c r="H60" t="n">
        <v>0</v>
      </c>
      <c r="I60" t="n">
        <v>0</v>
      </c>
      <c r="J60" t="n">
        <v>3</v>
      </c>
      <c r="K60" t="n">
        <v>0</v>
      </c>
      <c r="L60" t="n">
        <v>0</v>
      </c>
      <c r="M60" t="n">
        <v>0</v>
      </c>
      <c r="N60" t="n">
        <v>0</v>
      </c>
      <c r="O60" t="n">
        <v>3</v>
      </c>
      <c r="P60" t="n">
        <v>0</v>
      </c>
      <c r="Q60" t="n">
        <v>3</v>
      </c>
      <c r="R60" s="2" t="inlineStr">
        <is>
          <t>Dropptaggsvamp
Kolflarnlav
Motaggsvamp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14970-2026</t>
        </is>
      </c>
      <c r="B61" s="1" t="n">
        <v>46104</v>
      </c>
      <c r="C61" s="1" t="n">
        <v>46193</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row>
    <row r="62" ht="15" customHeight="1">
      <c r="A62" t="inlineStr">
        <is>
          <t>A 54319-2025</t>
        </is>
      </c>
      <c r="B62" s="1" t="n">
        <v>45965</v>
      </c>
      <c r="C62" s="1" t="n">
        <v>46193</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46193</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60084-2025</t>
        </is>
      </c>
      <c r="B64" s="1" t="n">
        <v>45993</v>
      </c>
      <c r="C64" s="1" t="n">
        <v>46193</v>
      </c>
      <c r="D64" t="inlineStr">
        <is>
          <t>VÄSTERBOTTENS LÄN</t>
        </is>
      </c>
      <c r="E64" t="inlineStr">
        <is>
          <t>UMEÅ</t>
        </is>
      </c>
      <c r="G64" t="n">
        <v>1.5</v>
      </c>
      <c r="H64" t="n">
        <v>1</v>
      </c>
      <c r="I64" t="n">
        <v>1</v>
      </c>
      <c r="J64" t="n">
        <v>1</v>
      </c>
      <c r="K64" t="n">
        <v>1</v>
      </c>
      <c r="L64" t="n">
        <v>0</v>
      </c>
      <c r="M64" t="n">
        <v>0</v>
      </c>
      <c r="N64" t="n">
        <v>0</v>
      </c>
      <c r="O64" t="n">
        <v>2</v>
      </c>
      <c r="P64" t="n">
        <v>1</v>
      </c>
      <c r="Q64" t="n">
        <v>3</v>
      </c>
      <c r="R64" s="2" t="inlineStr">
        <is>
          <t>Garnlav
Tretåig hackspett
Vedticka</t>
        </is>
      </c>
      <c r="S64">
        <f>HYPERLINK("https://klasma.github.io/Logging_2480/artfynd/A 60084-2025 artfynd.xlsx", "A 60084-2025")</f>
        <v/>
      </c>
      <c r="T64">
        <f>HYPERLINK("https://klasma.github.io/Logging_2480/kartor/A 60084-2025 karta.png", "A 60084-2025")</f>
        <v/>
      </c>
      <c r="V64">
        <f>HYPERLINK("https://klasma.github.io/Logging_2480/klagomål/A 60084-2025 FSC-klagomål.docx", "A 60084-2025")</f>
        <v/>
      </c>
      <c r="W64">
        <f>HYPERLINK("https://klasma.github.io/Logging_2480/klagomålsmail/A 60084-2025 FSC-klagomål mail.docx", "A 60084-2025")</f>
        <v/>
      </c>
      <c r="X64">
        <f>HYPERLINK("https://klasma.github.io/Logging_2480/tillsyn/A 60084-2025 tillsynsbegäran.docx", "A 60084-2025")</f>
        <v/>
      </c>
      <c r="Y64">
        <f>HYPERLINK("https://klasma.github.io/Logging_2480/tillsynsmail/A 60084-2025 tillsynsbegäran mail.docx", "A 60084-2025")</f>
        <v/>
      </c>
      <c r="Z64">
        <f>HYPERLINK("https://klasma.github.io/Logging_2480/fåglar/A 60084-2025 prioriterade fågelarter.docx", "A 60084-2025")</f>
        <v/>
      </c>
    </row>
    <row r="65" ht="15" customHeight="1">
      <c r="A65" t="inlineStr">
        <is>
          <t>A 6054-2025</t>
        </is>
      </c>
      <c r="B65" s="1" t="n">
        <v>45695</v>
      </c>
      <c r="C65" s="1" t="n">
        <v>46193</v>
      </c>
      <c r="D65" t="inlineStr">
        <is>
          <t>VÄSTERBOTTENS LÄN</t>
        </is>
      </c>
      <c r="E65" t="inlineStr">
        <is>
          <t>UMEÅ</t>
        </is>
      </c>
      <c r="G65" t="n">
        <v>5.4</v>
      </c>
      <c r="H65" t="n">
        <v>1</v>
      </c>
      <c r="I65" t="n">
        <v>0</v>
      </c>
      <c r="J65" t="n">
        <v>2</v>
      </c>
      <c r="K65" t="n">
        <v>1</v>
      </c>
      <c r="L65" t="n">
        <v>0</v>
      </c>
      <c r="M65" t="n">
        <v>0</v>
      </c>
      <c r="N65" t="n">
        <v>0</v>
      </c>
      <c r="O65" t="n">
        <v>3</v>
      </c>
      <c r="P65" t="n">
        <v>1</v>
      </c>
      <c r="Q65" t="n">
        <v>3</v>
      </c>
      <c r="R65" s="2" t="inlineStr">
        <is>
          <t>Lundsångare
Harticka
Luddfingersvamp</t>
        </is>
      </c>
      <c r="S65">
        <f>HYPERLINK("https://klasma.github.io/Logging_2480/artfynd/A 6054-2025 artfynd.xlsx", "A 6054-2025")</f>
        <v/>
      </c>
      <c r="T65">
        <f>HYPERLINK("https://klasma.github.io/Logging_2480/kartor/A 6054-2025 karta.png", "A 6054-2025")</f>
        <v/>
      </c>
      <c r="V65">
        <f>HYPERLINK("https://klasma.github.io/Logging_2480/klagomål/A 6054-2025 FSC-klagomål.docx", "A 6054-2025")</f>
        <v/>
      </c>
      <c r="W65">
        <f>HYPERLINK("https://klasma.github.io/Logging_2480/klagomålsmail/A 6054-2025 FSC-klagomål mail.docx", "A 6054-2025")</f>
        <v/>
      </c>
      <c r="X65">
        <f>HYPERLINK("https://klasma.github.io/Logging_2480/tillsyn/A 6054-2025 tillsynsbegäran.docx", "A 6054-2025")</f>
        <v/>
      </c>
      <c r="Y65">
        <f>HYPERLINK("https://klasma.github.io/Logging_2480/tillsynsmail/A 6054-2025 tillsynsbegäran mail.docx", "A 6054-2025")</f>
        <v/>
      </c>
      <c r="Z65">
        <f>HYPERLINK("https://klasma.github.io/Logging_2480/fåglar/A 6054-2025 prioriterade fågelarter.docx", "A 6054-2025")</f>
        <v/>
      </c>
    </row>
    <row r="66" ht="15" customHeight="1">
      <c r="A66" t="inlineStr">
        <is>
          <t>A 26933-2024</t>
        </is>
      </c>
      <c r="B66" s="1" t="n">
        <v>45470</v>
      </c>
      <c r="C66" s="1" t="n">
        <v>46193</v>
      </c>
      <c r="D66" t="inlineStr">
        <is>
          <t>VÄSTERBOTTENS LÄN</t>
        </is>
      </c>
      <c r="E66" t="inlineStr">
        <is>
          <t>UMEÅ</t>
        </is>
      </c>
      <c r="G66" t="n">
        <v>0.9</v>
      </c>
      <c r="H66" t="n">
        <v>0</v>
      </c>
      <c r="I66" t="n">
        <v>2</v>
      </c>
      <c r="J66" t="n">
        <v>1</v>
      </c>
      <c r="K66" t="n">
        <v>0</v>
      </c>
      <c r="L66" t="n">
        <v>0</v>
      </c>
      <c r="M66" t="n">
        <v>0</v>
      </c>
      <c r="N66" t="n">
        <v>0</v>
      </c>
      <c r="O66" t="n">
        <v>1</v>
      </c>
      <c r="P66" t="n">
        <v>0</v>
      </c>
      <c r="Q66" t="n">
        <v>3</v>
      </c>
      <c r="R66" s="2" t="inlineStr">
        <is>
          <t>Ullticka
Bronshjon
Vågbandad barkbock</t>
        </is>
      </c>
      <c r="S66">
        <f>HYPERLINK("https://klasma.github.io/Logging_2480/artfynd/A 26933-2024 artfynd.xlsx", "A 26933-2024")</f>
        <v/>
      </c>
      <c r="T66">
        <f>HYPERLINK("https://klasma.github.io/Logging_2480/kartor/A 26933-2024 karta.png", "A 26933-2024")</f>
        <v/>
      </c>
      <c r="V66">
        <f>HYPERLINK("https://klasma.github.io/Logging_2480/klagomål/A 26933-2024 FSC-klagomål.docx", "A 26933-2024")</f>
        <v/>
      </c>
      <c r="W66">
        <f>HYPERLINK("https://klasma.github.io/Logging_2480/klagomålsmail/A 26933-2024 FSC-klagomål mail.docx", "A 26933-2024")</f>
        <v/>
      </c>
      <c r="X66">
        <f>HYPERLINK("https://klasma.github.io/Logging_2480/tillsyn/A 26933-2024 tillsynsbegäran.docx", "A 26933-2024")</f>
        <v/>
      </c>
      <c r="Y66">
        <f>HYPERLINK("https://klasma.github.io/Logging_2480/tillsynsmail/A 26933-2024 tillsynsbegäran mail.docx", "A 26933-2024")</f>
        <v/>
      </c>
    </row>
    <row r="67" ht="15" customHeight="1">
      <c r="A67" t="inlineStr">
        <is>
          <t>A 30645-2025</t>
        </is>
      </c>
      <c r="B67" s="1" t="n">
        <v>45831</v>
      </c>
      <c r="C67" s="1" t="n">
        <v>46193</v>
      </c>
      <c r="D67" t="inlineStr">
        <is>
          <t>VÄSTERBOTTENS LÄN</t>
        </is>
      </c>
      <c r="E67" t="inlineStr">
        <is>
          <t>UMEÅ</t>
        </is>
      </c>
      <c r="G67" t="n">
        <v>1.5</v>
      </c>
      <c r="H67" t="n">
        <v>0</v>
      </c>
      <c r="I67" t="n">
        <v>2</v>
      </c>
      <c r="J67" t="n">
        <v>1</v>
      </c>
      <c r="K67" t="n">
        <v>0</v>
      </c>
      <c r="L67" t="n">
        <v>0</v>
      </c>
      <c r="M67" t="n">
        <v>0</v>
      </c>
      <c r="N67" t="n">
        <v>0</v>
      </c>
      <c r="O67" t="n">
        <v>1</v>
      </c>
      <c r="P67" t="n">
        <v>0</v>
      </c>
      <c r="Q67" t="n">
        <v>3</v>
      </c>
      <c r="R67" s="2" t="inlineStr">
        <is>
          <t>Violettgrå tagellav
Bronshjon
Vågbandad barkbock</t>
        </is>
      </c>
      <c r="S67">
        <f>HYPERLINK("https://klasma.github.io/Logging_2480/artfynd/A 30645-2025 artfynd.xlsx", "A 30645-2025")</f>
        <v/>
      </c>
      <c r="T67">
        <f>HYPERLINK("https://klasma.github.io/Logging_2480/kartor/A 30645-2025 karta.png", "A 30645-2025")</f>
        <v/>
      </c>
      <c r="V67">
        <f>HYPERLINK("https://klasma.github.io/Logging_2480/klagomål/A 30645-2025 FSC-klagomål.docx", "A 30645-2025")</f>
        <v/>
      </c>
      <c r="W67">
        <f>HYPERLINK("https://klasma.github.io/Logging_2480/klagomålsmail/A 30645-2025 FSC-klagomål mail.docx", "A 30645-2025")</f>
        <v/>
      </c>
      <c r="X67">
        <f>HYPERLINK("https://klasma.github.io/Logging_2480/tillsyn/A 30645-2025 tillsynsbegäran.docx", "A 30645-2025")</f>
        <v/>
      </c>
      <c r="Y67">
        <f>HYPERLINK("https://klasma.github.io/Logging_2480/tillsynsmail/A 30645-2025 tillsynsbegäran mail.docx", "A 30645-2025")</f>
        <v/>
      </c>
    </row>
    <row r="68" ht="15" customHeight="1">
      <c r="A68" t="inlineStr">
        <is>
          <t>A 38396-2021</t>
        </is>
      </c>
      <c r="B68" s="1" t="n">
        <v>44406</v>
      </c>
      <c r="C68" s="1" t="n">
        <v>46193</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46193</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46193</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46193</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46193</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46193</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46193</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46193</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46193</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46193</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46193</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9771-2022</t>
        </is>
      </c>
      <c r="B79" s="1" t="n">
        <v>44619</v>
      </c>
      <c r="C79" s="1" t="n">
        <v>46193</v>
      </c>
      <c r="D79" t="inlineStr">
        <is>
          <t>VÄSTERBOTTENS LÄN</t>
        </is>
      </c>
      <c r="E79" t="inlineStr">
        <is>
          <t>UMEÅ</t>
        </is>
      </c>
      <c r="G79" t="n">
        <v>39.1</v>
      </c>
      <c r="H79" t="n">
        <v>0</v>
      </c>
      <c r="I79" t="n">
        <v>0</v>
      </c>
      <c r="J79" t="n">
        <v>2</v>
      </c>
      <c r="K79" t="n">
        <v>0</v>
      </c>
      <c r="L79" t="n">
        <v>0</v>
      </c>
      <c r="M79" t="n">
        <v>0</v>
      </c>
      <c r="N79" t="n">
        <v>0</v>
      </c>
      <c r="O79" t="n">
        <v>2</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47038-2021</t>
        </is>
      </c>
      <c r="B80" s="1" t="n">
        <v>44446</v>
      </c>
      <c r="C80" s="1" t="n">
        <v>46193</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15654-2023</t>
        </is>
      </c>
      <c r="B81" s="1" t="n">
        <v>45019</v>
      </c>
      <c r="C81" s="1" t="n">
        <v>46193</v>
      </c>
      <c r="D81" t="inlineStr">
        <is>
          <t>VÄSTERBOTTENS LÄN</t>
        </is>
      </c>
      <c r="E81" t="inlineStr">
        <is>
          <t>UMEÅ</t>
        </is>
      </c>
      <c r="F81" t="inlineStr">
        <is>
          <t>Kommuner</t>
        </is>
      </c>
      <c r="G81" t="n">
        <v>3.2</v>
      </c>
      <c r="H81" t="n">
        <v>0</v>
      </c>
      <c r="I81" t="n">
        <v>0</v>
      </c>
      <c r="J81" t="n">
        <v>0</v>
      </c>
      <c r="K81" t="n">
        <v>1</v>
      </c>
      <c r="L81" t="n">
        <v>1</v>
      </c>
      <c r="M81" t="n">
        <v>0</v>
      </c>
      <c r="N81" t="n">
        <v>0</v>
      </c>
      <c r="O81" t="n">
        <v>2</v>
      </c>
      <c r="P81" t="n">
        <v>2</v>
      </c>
      <c r="Q81" t="n">
        <v>2</v>
      </c>
      <c r="R81" s="2" t="inlineStr">
        <is>
          <t>Cylinderskägglav
Garnlav</t>
        </is>
      </c>
      <c r="S81">
        <f>HYPERLINK("https://klasma.github.io/Logging_2480/artfynd/A 15654-2023 artfynd.xlsx", "A 15654-2023")</f>
        <v/>
      </c>
      <c r="T81">
        <f>HYPERLINK("https://klasma.github.io/Logging_2480/kartor/A 15654-2023 karta.png", "A 15654-2023")</f>
        <v/>
      </c>
      <c r="V81">
        <f>HYPERLINK("https://klasma.github.io/Logging_2480/klagomål/A 15654-2023 FSC-klagomål.docx", "A 15654-2023")</f>
        <v/>
      </c>
      <c r="W81">
        <f>HYPERLINK("https://klasma.github.io/Logging_2480/klagomålsmail/A 15654-2023 FSC-klagomål mail.docx", "A 15654-2023")</f>
        <v/>
      </c>
      <c r="X81">
        <f>HYPERLINK("https://klasma.github.io/Logging_2480/tillsyn/A 15654-2023 tillsynsbegäran.docx", "A 15654-2023")</f>
        <v/>
      </c>
      <c r="Y81">
        <f>HYPERLINK("https://klasma.github.io/Logging_2480/tillsynsmail/A 15654-2023 tillsynsbegäran mail.docx", "A 15654-2023")</f>
        <v/>
      </c>
    </row>
    <row r="82" ht="15" customHeight="1">
      <c r="A82" t="inlineStr">
        <is>
          <t>A 43029-2024</t>
        </is>
      </c>
      <c r="B82" s="1" t="n">
        <v>45567</v>
      </c>
      <c r="C82" s="1" t="n">
        <v>46193</v>
      </c>
      <c r="D82" t="inlineStr">
        <is>
          <t>VÄSTERBOTTENS LÄN</t>
        </is>
      </c>
      <c r="E82" t="inlineStr">
        <is>
          <t>UMEÅ</t>
        </is>
      </c>
      <c r="G82" t="n">
        <v>5.7</v>
      </c>
      <c r="H82" t="n">
        <v>1</v>
      </c>
      <c r="I82" t="n">
        <v>0</v>
      </c>
      <c r="J82" t="n">
        <v>1</v>
      </c>
      <c r="K82" t="n">
        <v>0</v>
      </c>
      <c r="L82" t="n">
        <v>0</v>
      </c>
      <c r="M82" t="n">
        <v>0</v>
      </c>
      <c r="N82" t="n">
        <v>0</v>
      </c>
      <c r="O82" t="n">
        <v>1</v>
      </c>
      <c r="P82" t="n">
        <v>0</v>
      </c>
      <c r="Q82" t="n">
        <v>2</v>
      </c>
      <c r="R82" s="2" t="inlineStr">
        <is>
          <t>Dropptaggsvamp
Fläcknycklar</t>
        </is>
      </c>
      <c r="S82">
        <f>HYPERLINK("https://klasma.github.io/Logging_2480/artfynd/A 43029-2024 artfynd.xlsx", "A 43029-2024")</f>
        <v/>
      </c>
      <c r="T82">
        <f>HYPERLINK("https://klasma.github.io/Logging_2480/kartor/A 43029-2024 karta.png", "A 43029-2024")</f>
        <v/>
      </c>
      <c r="V82">
        <f>HYPERLINK("https://klasma.github.io/Logging_2480/klagomål/A 43029-2024 FSC-klagomål.docx", "A 43029-2024")</f>
        <v/>
      </c>
      <c r="W82">
        <f>HYPERLINK("https://klasma.github.io/Logging_2480/klagomålsmail/A 43029-2024 FSC-klagomål mail.docx", "A 43029-2024")</f>
        <v/>
      </c>
      <c r="X82">
        <f>HYPERLINK("https://klasma.github.io/Logging_2480/tillsyn/A 43029-2024 tillsynsbegäran.docx", "A 43029-2024")</f>
        <v/>
      </c>
      <c r="Y82">
        <f>HYPERLINK("https://klasma.github.io/Logging_2480/tillsynsmail/A 43029-2024 tillsynsbegäran mail.docx", "A 43029-2024")</f>
        <v/>
      </c>
    </row>
    <row r="83" ht="15" customHeight="1">
      <c r="A83" t="inlineStr">
        <is>
          <t>A 38689-2021</t>
        </is>
      </c>
      <c r="B83" s="1" t="n">
        <v>44407</v>
      </c>
      <c r="C83" s="1" t="n">
        <v>46193</v>
      </c>
      <c r="D83" t="inlineStr">
        <is>
          <t>VÄSTERBOTTENS LÄN</t>
        </is>
      </c>
      <c r="E83" t="inlineStr">
        <is>
          <t>UMEÅ</t>
        </is>
      </c>
      <c r="F83" t="inlineStr">
        <is>
          <t>Kommuner</t>
        </is>
      </c>
      <c r="G83" t="n">
        <v>1.4</v>
      </c>
      <c r="H83" t="n">
        <v>0</v>
      </c>
      <c r="I83" t="n">
        <v>0</v>
      </c>
      <c r="J83" t="n">
        <v>2</v>
      </c>
      <c r="K83" t="n">
        <v>0</v>
      </c>
      <c r="L83" t="n">
        <v>0</v>
      </c>
      <c r="M83" t="n">
        <v>0</v>
      </c>
      <c r="N83" t="n">
        <v>0</v>
      </c>
      <c r="O83" t="n">
        <v>2</v>
      </c>
      <c r="P83" t="n">
        <v>0</v>
      </c>
      <c r="Q83" t="n">
        <v>2</v>
      </c>
      <c r="R83" s="2" t="inlineStr">
        <is>
          <t>Gulbandad brunbagge
Rödhalsad vedsvampbagge</t>
        </is>
      </c>
      <c r="S83">
        <f>HYPERLINK("https://klasma.github.io/Logging_2480/artfynd/A 38689-2021 artfynd.xlsx", "A 38689-2021")</f>
        <v/>
      </c>
      <c r="T83">
        <f>HYPERLINK("https://klasma.github.io/Logging_2480/kartor/A 38689-2021 karta.png", "A 38689-2021")</f>
        <v/>
      </c>
      <c r="V83">
        <f>HYPERLINK("https://klasma.github.io/Logging_2480/klagomål/A 38689-2021 FSC-klagomål.docx", "A 38689-2021")</f>
        <v/>
      </c>
      <c r="W83">
        <f>HYPERLINK("https://klasma.github.io/Logging_2480/klagomålsmail/A 38689-2021 FSC-klagomål mail.docx", "A 38689-2021")</f>
        <v/>
      </c>
      <c r="X83">
        <f>HYPERLINK("https://klasma.github.io/Logging_2480/tillsyn/A 38689-2021 tillsynsbegäran.docx", "A 38689-2021")</f>
        <v/>
      </c>
      <c r="Y83">
        <f>HYPERLINK("https://klasma.github.io/Logging_2480/tillsynsmail/A 38689-2021 tillsynsbegäran mail.docx", "A 38689-2021")</f>
        <v/>
      </c>
    </row>
    <row r="84" ht="15" customHeight="1">
      <c r="A84" t="inlineStr">
        <is>
          <t>A 45659-2024</t>
        </is>
      </c>
      <c r="B84" s="1" t="n">
        <v>45579</v>
      </c>
      <c r="C84" s="1" t="n">
        <v>46193</v>
      </c>
      <c r="D84" t="inlineStr">
        <is>
          <t>VÄSTERBOTTENS LÄN</t>
        </is>
      </c>
      <c r="E84" t="inlineStr">
        <is>
          <t>UMEÅ</t>
        </is>
      </c>
      <c r="F84" t="inlineStr">
        <is>
          <t>Kommuner</t>
        </is>
      </c>
      <c r="G84" t="n">
        <v>9.199999999999999</v>
      </c>
      <c r="H84" t="n">
        <v>1</v>
      </c>
      <c r="I84" t="n">
        <v>0</v>
      </c>
      <c r="J84" t="n">
        <v>1</v>
      </c>
      <c r="K84" t="n">
        <v>0</v>
      </c>
      <c r="L84" t="n">
        <v>0</v>
      </c>
      <c r="M84" t="n">
        <v>0</v>
      </c>
      <c r="N84" t="n">
        <v>0</v>
      </c>
      <c r="O84" t="n">
        <v>1</v>
      </c>
      <c r="P84" t="n">
        <v>0</v>
      </c>
      <c r="Q84" t="n">
        <v>2</v>
      </c>
      <c r="R84" s="2" t="inlineStr">
        <is>
          <t>Dropptaggsvamp
Revlummer</t>
        </is>
      </c>
      <c r="S84">
        <f>HYPERLINK("https://klasma.github.io/Logging_2480/artfynd/A 45659-2024 artfynd.xlsx", "A 45659-2024")</f>
        <v/>
      </c>
      <c r="T84">
        <f>HYPERLINK("https://klasma.github.io/Logging_2480/kartor/A 45659-2024 karta.png", "A 45659-2024")</f>
        <v/>
      </c>
      <c r="V84">
        <f>HYPERLINK("https://klasma.github.io/Logging_2480/klagomål/A 45659-2024 FSC-klagomål.docx", "A 45659-2024")</f>
        <v/>
      </c>
      <c r="W84">
        <f>HYPERLINK("https://klasma.github.io/Logging_2480/klagomålsmail/A 45659-2024 FSC-klagomål mail.docx", "A 45659-2024")</f>
        <v/>
      </c>
      <c r="X84">
        <f>HYPERLINK("https://klasma.github.io/Logging_2480/tillsyn/A 45659-2024 tillsynsbegäran.docx", "A 45659-2024")</f>
        <v/>
      </c>
      <c r="Y84">
        <f>HYPERLINK("https://klasma.github.io/Logging_2480/tillsynsmail/A 45659-2024 tillsynsbegäran mail.docx", "A 45659-2024")</f>
        <v/>
      </c>
    </row>
    <row r="85" ht="15" customHeight="1">
      <c r="A85" t="inlineStr">
        <is>
          <t>A 31805-2025</t>
        </is>
      </c>
      <c r="B85" s="1" t="n">
        <v>45834</v>
      </c>
      <c r="C85" s="1" t="n">
        <v>46193</v>
      </c>
      <c r="D85" t="inlineStr">
        <is>
          <t>VÄSTERBOTTENS LÄN</t>
        </is>
      </c>
      <c r="E85" t="inlineStr">
        <is>
          <t>UMEÅ</t>
        </is>
      </c>
      <c r="G85" t="n">
        <v>3.5</v>
      </c>
      <c r="H85" t="n">
        <v>0</v>
      </c>
      <c r="I85" t="n">
        <v>1</v>
      </c>
      <c r="J85" t="n">
        <v>0</v>
      </c>
      <c r="K85" t="n">
        <v>1</v>
      </c>
      <c r="L85" t="n">
        <v>0</v>
      </c>
      <c r="M85" t="n">
        <v>0</v>
      </c>
      <c r="N85" t="n">
        <v>0</v>
      </c>
      <c r="O85" t="n">
        <v>1</v>
      </c>
      <c r="P85" t="n">
        <v>1</v>
      </c>
      <c r="Q85" t="n">
        <v>2</v>
      </c>
      <c r="R85" s="2" t="inlineStr">
        <is>
          <t>Garnlav
Thomsons trägnagare</t>
        </is>
      </c>
      <c r="S85">
        <f>HYPERLINK("https://klasma.github.io/Logging_2480/artfynd/A 31805-2025 artfynd.xlsx", "A 31805-2025")</f>
        <v/>
      </c>
      <c r="T85">
        <f>HYPERLINK("https://klasma.github.io/Logging_2480/kartor/A 31805-2025 karta.png", "A 31805-2025")</f>
        <v/>
      </c>
      <c r="V85">
        <f>HYPERLINK("https://klasma.github.io/Logging_2480/klagomål/A 31805-2025 FSC-klagomål.docx", "A 31805-2025")</f>
        <v/>
      </c>
      <c r="W85">
        <f>HYPERLINK("https://klasma.github.io/Logging_2480/klagomålsmail/A 31805-2025 FSC-klagomål mail.docx", "A 31805-2025")</f>
        <v/>
      </c>
      <c r="X85">
        <f>HYPERLINK("https://klasma.github.io/Logging_2480/tillsyn/A 31805-2025 tillsynsbegäran.docx", "A 31805-2025")</f>
        <v/>
      </c>
      <c r="Y85">
        <f>HYPERLINK("https://klasma.github.io/Logging_2480/tillsynsmail/A 31805-2025 tillsynsbegäran mail.docx", "A 31805-2025")</f>
        <v/>
      </c>
    </row>
    <row r="86" ht="15" customHeight="1">
      <c r="A86" t="inlineStr">
        <is>
          <t>A 43708-2025</t>
        </is>
      </c>
      <c r="B86" s="1" t="n">
        <v>45912</v>
      </c>
      <c r="C86" s="1" t="n">
        <v>46193</v>
      </c>
      <c r="D86" t="inlineStr">
        <is>
          <t>VÄSTERBOTTENS LÄN</t>
        </is>
      </c>
      <c r="E86" t="inlineStr">
        <is>
          <t>UMEÅ</t>
        </is>
      </c>
      <c r="G86" t="n">
        <v>2.3</v>
      </c>
      <c r="H86" t="n">
        <v>0</v>
      </c>
      <c r="I86" t="n">
        <v>0</v>
      </c>
      <c r="J86" t="n">
        <v>1</v>
      </c>
      <c r="K86" t="n">
        <v>1</v>
      </c>
      <c r="L86" t="n">
        <v>0</v>
      </c>
      <c r="M86" t="n">
        <v>0</v>
      </c>
      <c r="N86" t="n">
        <v>0</v>
      </c>
      <c r="O86" t="n">
        <v>2</v>
      </c>
      <c r="P86" t="n">
        <v>1</v>
      </c>
      <c r="Q86" t="n">
        <v>2</v>
      </c>
      <c r="R86" s="2" t="inlineStr">
        <is>
          <t>Garnlav
Violettgrå tagellav</t>
        </is>
      </c>
      <c r="S86">
        <f>HYPERLINK("https://klasma.github.io/Logging_2480/artfynd/A 43708-2025 artfynd.xlsx", "A 43708-2025")</f>
        <v/>
      </c>
      <c r="T86">
        <f>HYPERLINK("https://klasma.github.io/Logging_2480/kartor/A 43708-2025 karta.png", "A 43708-2025")</f>
        <v/>
      </c>
      <c r="V86">
        <f>HYPERLINK("https://klasma.github.io/Logging_2480/klagomål/A 43708-2025 FSC-klagomål.docx", "A 43708-2025")</f>
        <v/>
      </c>
      <c r="W86">
        <f>HYPERLINK("https://klasma.github.io/Logging_2480/klagomålsmail/A 43708-2025 FSC-klagomål mail.docx", "A 43708-2025")</f>
        <v/>
      </c>
      <c r="X86">
        <f>HYPERLINK("https://klasma.github.io/Logging_2480/tillsyn/A 43708-2025 tillsynsbegäran.docx", "A 43708-2025")</f>
        <v/>
      </c>
      <c r="Y86">
        <f>HYPERLINK("https://klasma.github.io/Logging_2480/tillsynsmail/A 43708-2025 tillsynsbegäran mail.docx", "A 43708-2025")</f>
        <v/>
      </c>
    </row>
    <row r="87" ht="15" customHeight="1">
      <c r="A87" t="inlineStr">
        <is>
          <t>A 58680-2024</t>
        </is>
      </c>
      <c r="B87" s="1" t="n">
        <v>45635</v>
      </c>
      <c r="C87" s="1" t="n">
        <v>46193</v>
      </c>
      <c r="D87" t="inlineStr">
        <is>
          <t>VÄSTERBOTTENS LÄN</t>
        </is>
      </c>
      <c r="E87" t="inlineStr">
        <is>
          <t>UMEÅ</t>
        </is>
      </c>
      <c r="G87" t="n">
        <v>1.6</v>
      </c>
      <c r="H87" t="n">
        <v>1</v>
      </c>
      <c r="I87" t="n">
        <v>0</v>
      </c>
      <c r="J87" t="n">
        <v>0</v>
      </c>
      <c r="K87" t="n">
        <v>1</v>
      </c>
      <c r="L87" t="n">
        <v>0</v>
      </c>
      <c r="M87" t="n">
        <v>0</v>
      </c>
      <c r="N87" t="n">
        <v>0</v>
      </c>
      <c r="O87" t="n">
        <v>1</v>
      </c>
      <c r="P87" t="n">
        <v>1</v>
      </c>
      <c r="Q87" t="n">
        <v>2</v>
      </c>
      <c r="R87" s="2" t="inlineStr">
        <is>
          <t>Finflikig brosklav
Vanlig groda</t>
        </is>
      </c>
      <c r="S87">
        <f>HYPERLINK("https://klasma.github.io/Logging_2480/artfynd/A 58680-2024 artfynd.xlsx", "A 58680-2024")</f>
        <v/>
      </c>
      <c r="T87">
        <f>HYPERLINK("https://klasma.github.io/Logging_2480/kartor/A 58680-2024 karta.png", "A 58680-2024")</f>
        <v/>
      </c>
      <c r="V87">
        <f>HYPERLINK("https://klasma.github.io/Logging_2480/klagomål/A 58680-2024 FSC-klagomål.docx", "A 58680-2024")</f>
        <v/>
      </c>
      <c r="W87">
        <f>HYPERLINK("https://klasma.github.io/Logging_2480/klagomålsmail/A 58680-2024 FSC-klagomål mail.docx", "A 58680-2024")</f>
        <v/>
      </c>
      <c r="X87">
        <f>HYPERLINK("https://klasma.github.io/Logging_2480/tillsyn/A 58680-2024 tillsynsbegäran.docx", "A 58680-2024")</f>
        <v/>
      </c>
      <c r="Y87">
        <f>HYPERLINK("https://klasma.github.io/Logging_2480/tillsynsmail/A 58680-2024 tillsynsbegäran mail.docx", "A 58680-2024")</f>
        <v/>
      </c>
    </row>
    <row r="88" ht="15" customHeight="1">
      <c r="A88" t="inlineStr">
        <is>
          <t>A 42835-2025</t>
        </is>
      </c>
      <c r="B88" s="1" t="n">
        <v>45908</v>
      </c>
      <c r="C88" s="1" t="n">
        <v>46193</v>
      </c>
      <c r="D88" t="inlineStr">
        <is>
          <t>VÄSTERBOTTENS LÄN</t>
        </is>
      </c>
      <c r="E88" t="inlineStr">
        <is>
          <t>UMEÅ</t>
        </is>
      </c>
      <c r="F88" t="inlineStr">
        <is>
          <t>Övriga statliga verk och myndigheter</t>
        </is>
      </c>
      <c r="G88" t="n">
        <v>1.1</v>
      </c>
      <c r="H88" t="n">
        <v>1</v>
      </c>
      <c r="I88" t="n">
        <v>0</v>
      </c>
      <c r="J88" t="n">
        <v>2</v>
      </c>
      <c r="K88" t="n">
        <v>0</v>
      </c>
      <c r="L88" t="n">
        <v>0</v>
      </c>
      <c r="M88" t="n">
        <v>0</v>
      </c>
      <c r="N88" t="n">
        <v>0</v>
      </c>
      <c r="O88" t="n">
        <v>2</v>
      </c>
      <c r="P88" t="n">
        <v>0</v>
      </c>
      <c r="Q88" t="n">
        <v>2</v>
      </c>
      <c r="R88" s="2" t="inlineStr">
        <is>
          <t>Klofibbla
Talltita</t>
        </is>
      </c>
      <c r="S88">
        <f>HYPERLINK("https://klasma.github.io/Logging_2480/artfynd/A 42835-2025 artfynd.xlsx", "A 42835-2025")</f>
        <v/>
      </c>
      <c r="T88">
        <f>HYPERLINK("https://klasma.github.io/Logging_2480/kartor/A 42835-2025 karta.png", "A 42835-2025")</f>
        <v/>
      </c>
      <c r="V88">
        <f>HYPERLINK("https://klasma.github.io/Logging_2480/klagomål/A 42835-2025 FSC-klagomål.docx", "A 42835-2025")</f>
        <v/>
      </c>
      <c r="W88">
        <f>HYPERLINK("https://klasma.github.io/Logging_2480/klagomålsmail/A 42835-2025 FSC-klagomål mail.docx", "A 42835-2025")</f>
        <v/>
      </c>
      <c r="X88">
        <f>HYPERLINK("https://klasma.github.io/Logging_2480/tillsyn/A 42835-2025 tillsynsbegäran.docx", "A 42835-2025")</f>
        <v/>
      </c>
      <c r="Y88">
        <f>HYPERLINK("https://klasma.github.io/Logging_2480/tillsynsmail/A 42835-2025 tillsynsbegäran mail.docx", "A 42835-2025")</f>
        <v/>
      </c>
      <c r="Z88">
        <f>HYPERLINK("https://klasma.github.io/Logging_2480/fåglar/A 42835-2025 prioriterade fågelarter.docx", "A 42835-2025")</f>
        <v/>
      </c>
    </row>
    <row r="89" ht="15" customHeight="1">
      <c r="A89" t="inlineStr">
        <is>
          <t>A 29827-2023</t>
        </is>
      </c>
      <c r="B89" s="1" t="n">
        <v>45107</v>
      </c>
      <c r="C89" s="1" t="n">
        <v>46193</v>
      </c>
      <c r="D89" t="inlineStr">
        <is>
          <t>VÄSTERBOTTENS LÄN</t>
        </is>
      </c>
      <c r="E89" t="inlineStr">
        <is>
          <t>UMEÅ</t>
        </is>
      </c>
      <c r="G89" t="n">
        <v>11.9</v>
      </c>
      <c r="H89" t="n">
        <v>1</v>
      </c>
      <c r="I89" t="n">
        <v>1</v>
      </c>
      <c r="J89" t="n">
        <v>0</v>
      </c>
      <c r="K89" t="n">
        <v>0</v>
      </c>
      <c r="L89" t="n">
        <v>0</v>
      </c>
      <c r="M89" t="n">
        <v>0</v>
      </c>
      <c r="N89" t="n">
        <v>0</v>
      </c>
      <c r="O89" t="n">
        <v>0</v>
      </c>
      <c r="P89" t="n">
        <v>0</v>
      </c>
      <c r="Q89" t="n">
        <v>2</v>
      </c>
      <c r="R89" s="2" t="inlineStr">
        <is>
          <t>Vedticka
Revlummer</t>
        </is>
      </c>
      <c r="S89">
        <f>HYPERLINK("https://klasma.github.io/Logging_2480/artfynd/A 29827-2023 artfynd.xlsx", "A 29827-2023")</f>
        <v/>
      </c>
      <c r="T89">
        <f>HYPERLINK("https://klasma.github.io/Logging_2480/kartor/A 29827-2023 karta.png", "A 29827-2023")</f>
        <v/>
      </c>
      <c r="V89">
        <f>HYPERLINK("https://klasma.github.io/Logging_2480/klagomål/A 29827-2023 FSC-klagomål.docx", "A 29827-2023")</f>
        <v/>
      </c>
      <c r="W89">
        <f>HYPERLINK("https://klasma.github.io/Logging_2480/klagomålsmail/A 29827-2023 FSC-klagomål mail.docx", "A 29827-2023")</f>
        <v/>
      </c>
      <c r="X89">
        <f>HYPERLINK("https://klasma.github.io/Logging_2480/tillsyn/A 29827-2023 tillsynsbegäran.docx", "A 29827-2023")</f>
        <v/>
      </c>
      <c r="Y89">
        <f>HYPERLINK("https://klasma.github.io/Logging_2480/tillsynsmail/A 29827-2023 tillsynsbegäran mail.docx", "A 29827-2023")</f>
        <v/>
      </c>
    </row>
    <row r="90" ht="15" customHeight="1">
      <c r="A90" t="inlineStr">
        <is>
          <t>A 51971-2025</t>
        </is>
      </c>
      <c r="B90" s="1" t="n">
        <v>45952</v>
      </c>
      <c r="C90" s="1" t="n">
        <v>46193</v>
      </c>
      <c r="D90" t="inlineStr">
        <is>
          <t>VÄSTERBOTTENS LÄN</t>
        </is>
      </c>
      <c r="E90" t="inlineStr">
        <is>
          <t>UMEÅ</t>
        </is>
      </c>
      <c r="G90" t="n">
        <v>3.4</v>
      </c>
      <c r="H90" t="n">
        <v>0</v>
      </c>
      <c r="I90" t="n">
        <v>0</v>
      </c>
      <c r="J90" t="n">
        <v>0</v>
      </c>
      <c r="K90" t="n">
        <v>0</v>
      </c>
      <c r="L90" t="n">
        <v>0</v>
      </c>
      <c r="M90" t="n">
        <v>0</v>
      </c>
      <c r="N90" t="n">
        <v>0</v>
      </c>
      <c r="O90" t="n">
        <v>0</v>
      </c>
      <c r="P90" t="n">
        <v>0</v>
      </c>
      <c r="Q90" t="n">
        <v>2</v>
      </c>
      <c r="R90" s="2" t="inlineStr">
        <is>
          <t>Skogsstjärna
Vitsippa</t>
        </is>
      </c>
      <c r="S90">
        <f>HYPERLINK("https://klasma.github.io/Logging_2480/artfynd/A 51971-2025 artfynd.xlsx", "A 51971-2025")</f>
        <v/>
      </c>
      <c r="T90">
        <f>HYPERLINK("https://klasma.github.io/Logging_2480/kartor/A 51971-2025 karta.png", "A 51971-2025")</f>
        <v/>
      </c>
      <c r="V90">
        <f>HYPERLINK("https://klasma.github.io/Logging_2480/klagomål/A 51971-2025 FSC-klagomål.docx", "A 51971-2025")</f>
        <v/>
      </c>
      <c r="W90">
        <f>HYPERLINK("https://klasma.github.io/Logging_2480/klagomålsmail/A 51971-2025 FSC-klagomål mail.docx", "A 51971-2025")</f>
        <v/>
      </c>
      <c r="X90">
        <f>HYPERLINK("https://klasma.github.io/Logging_2480/tillsyn/A 51971-2025 tillsynsbegäran.docx", "A 51971-2025")</f>
        <v/>
      </c>
      <c r="Y90">
        <f>HYPERLINK("https://klasma.github.io/Logging_2480/tillsynsmail/A 51971-2025 tillsynsbegäran mail.docx", "A 51971-2025")</f>
        <v/>
      </c>
    </row>
    <row r="91" ht="15" customHeight="1">
      <c r="A91" t="inlineStr">
        <is>
          <t>A 72125-2021</t>
        </is>
      </c>
      <c r="B91" s="1" t="n">
        <v>44543</v>
      </c>
      <c r="C91" s="1" t="n">
        <v>46193</v>
      </c>
      <c r="D91" t="inlineStr">
        <is>
          <t>VÄSTERBOTTENS LÄN</t>
        </is>
      </c>
      <c r="E91" t="inlineStr">
        <is>
          <t>UMEÅ</t>
        </is>
      </c>
      <c r="G91" t="n">
        <v>4.4</v>
      </c>
      <c r="H91" t="n">
        <v>1</v>
      </c>
      <c r="I91" t="n">
        <v>0</v>
      </c>
      <c r="J91" t="n">
        <v>1</v>
      </c>
      <c r="K91" t="n">
        <v>0</v>
      </c>
      <c r="L91" t="n">
        <v>0</v>
      </c>
      <c r="M91" t="n">
        <v>0</v>
      </c>
      <c r="N91" t="n">
        <v>0</v>
      </c>
      <c r="O91" t="n">
        <v>1</v>
      </c>
      <c r="P91" t="n">
        <v>0</v>
      </c>
      <c r="Q91" t="n">
        <v>2</v>
      </c>
      <c r="R91" s="2" t="inlineStr">
        <is>
          <t>Sumpviol
Mindre vattensalamander</t>
        </is>
      </c>
      <c r="S91">
        <f>HYPERLINK("https://klasma.github.io/Logging_2480/artfynd/A 72125-2021 artfynd.xlsx", "A 72125-2021")</f>
        <v/>
      </c>
      <c r="T91">
        <f>HYPERLINK("https://klasma.github.io/Logging_2480/kartor/A 72125-2021 karta.png", "A 72125-2021")</f>
        <v/>
      </c>
      <c r="V91">
        <f>HYPERLINK("https://klasma.github.io/Logging_2480/klagomål/A 72125-2021 FSC-klagomål.docx", "A 72125-2021")</f>
        <v/>
      </c>
      <c r="W91">
        <f>HYPERLINK("https://klasma.github.io/Logging_2480/klagomålsmail/A 72125-2021 FSC-klagomål mail.docx", "A 72125-2021")</f>
        <v/>
      </c>
      <c r="X91">
        <f>HYPERLINK("https://klasma.github.io/Logging_2480/tillsyn/A 72125-2021 tillsynsbegäran.docx", "A 72125-2021")</f>
        <v/>
      </c>
      <c r="Y91">
        <f>HYPERLINK("https://klasma.github.io/Logging_2480/tillsynsmail/A 72125-2021 tillsynsbegäran mail.docx", "A 72125-2021")</f>
        <v/>
      </c>
    </row>
    <row r="92" ht="15" customHeight="1">
      <c r="A92" t="inlineStr">
        <is>
          <t>A 34496-2025</t>
        </is>
      </c>
      <c r="B92" s="1" t="n">
        <v>45847</v>
      </c>
      <c r="C92" s="1" t="n">
        <v>46193</v>
      </c>
      <c r="D92" t="inlineStr">
        <is>
          <t>VÄSTERBOTTENS LÄN</t>
        </is>
      </c>
      <c r="E92" t="inlineStr">
        <is>
          <t>UMEÅ</t>
        </is>
      </c>
      <c r="G92" t="n">
        <v>4.6</v>
      </c>
      <c r="H92" t="n">
        <v>1</v>
      </c>
      <c r="I92" t="n">
        <v>0</v>
      </c>
      <c r="J92" t="n">
        <v>0</v>
      </c>
      <c r="K92" t="n">
        <v>1</v>
      </c>
      <c r="L92" t="n">
        <v>0</v>
      </c>
      <c r="M92" t="n">
        <v>0</v>
      </c>
      <c r="N92" t="n">
        <v>0</v>
      </c>
      <c r="O92" t="n">
        <v>1</v>
      </c>
      <c r="P92" t="n">
        <v>1</v>
      </c>
      <c r="Q92" t="n">
        <v>2</v>
      </c>
      <c r="R92" s="2" t="inlineStr">
        <is>
          <t>Mörk kådsvartspik
Kungsfågel</t>
        </is>
      </c>
      <c r="S92">
        <f>HYPERLINK("https://klasma.github.io/Logging_2480/artfynd/A 34496-2025 artfynd.xlsx", "A 34496-2025")</f>
        <v/>
      </c>
      <c r="T92">
        <f>HYPERLINK("https://klasma.github.io/Logging_2480/kartor/A 34496-2025 karta.png", "A 34496-2025")</f>
        <v/>
      </c>
      <c r="V92">
        <f>HYPERLINK("https://klasma.github.io/Logging_2480/klagomål/A 34496-2025 FSC-klagomål.docx", "A 34496-2025")</f>
        <v/>
      </c>
      <c r="W92">
        <f>HYPERLINK("https://klasma.github.io/Logging_2480/klagomålsmail/A 34496-2025 FSC-klagomål mail.docx", "A 34496-2025")</f>
        <v/>
      </c>
      <c r="X92">
        <f>HYPERLINK("https://klasma.github.io/Logging_2480/tillsyn/A 34496-2025 tillsynsbegäran.docx", "A 34496-2025")</f>
        <v/>
      </c>
      <c r="Y92">
        <f>HYPERLINK("https://klasma.github.io/Logging_2480/tillsynsmail/A 34496-2025 tillsynsbegäran mail.docx", "A 34496-2025")</f>
        <v/>
      </c>
      <c r="Z92">
        <f>HYPERLINK("https://klasma.github.io/Logging_2480/fåglar/A 34496-2025 prioriterade fågelarter.docx", "A 34496-2025")</f>
        <v/>
      </c>
    </row>
    <row r="93" ht="15" customHeight="1">
      <c r="A93" t="inlineStr">
        <is>
          <t>A 60047-2025</t>
        </is>
      </c>
      <c r="B93" s="1" t="n">
        <v>45993</v>
      </c>
      <c r="C93" s="1" t="n">
        <v>46193</v>
      </c>
      <c r="D93" t="inlineStr">
        <is>
          <t>VÄSTERBOTTENS LÄN</t>
        </is>
      </c>
      <c r="E93" t="inlineStr">
        <is>
          <t>UMEÅ</t>
        </is>
      </c>
      <c r="F93" t="inlineStr">
        <is>
          <t>Sveaskog</t>
        </is>
      </c>
      <c r="G93" t="n">
        <v>1.6</v>
      </c>
      <c r="H93" t="n">
        <v>0</v>
      </c>
      <c r="I93" t="n">
        <v>0</v>
      </c>
      <c r="J93" t="n">
        <v>2</v>
      </c>
      <c r="K93" t="n">
        <v>0</v>
      </c>
      <c r="L93" t="n">
        <v>0</v>
      </c>
      <c r="M93" t="n">
        <v>0</v>
      </c>
      <c r="N93" t="n">
        <v>0</v>
      </c>
      <c r="O93" t="n">
        <v>2</v>
      </c>
      <c r="P93" t="n">
        <v>0</v>
      </c>
      <c r="Q93" t="n">
        <v>2</v>
      </c>
      <c r="R93" s="2" t="inlineStr">
        <is>
          <t>Dropptaggsvamp
Kolflarnlav</t>
        </is>
      </c>
      <c r="S93">
        <f>HYPERLINK("https://klasma.github.io/Logging_2480/artfynd/A 60047-2025 artfynd.xlsx", "A 60047-2025")</f>
        <v/>
      </c>
      <c r="T93">
        <f>HYPERLINK("https://klasma.github.io/Logging_2480/kartor/A 60047-2025 karta.png", "A 60047-2025")</f>
        <v/>
      </c>
      <c r="V93">
        <f>HYPERLINK("https://klasma.github.io/Logging_2480/klagomål/A 60047-2025 FSC-klagomål.docx", "A 60047-2025")</f>
        <v/>
      </c>
      <c r="W93">
        <f>HYPERLINK("https://klasma.github.io/Logging_2480/klagomålsmail/A 60047-2025 FSC-klagomål mail.docx", "A 60047-2025")</f>
        <v/>
      </c>
      <c r="X93">
        <f>HYPERLINK("https://klasma.github.io/Logging_2480/tillsyn/A 60047-2025 tillsynsbegäran.docx", "A 60047-2025")</f>
        <v/>
      </c>
      <c r="Y93">
        <f>HYPERLINK("https://klasma.github.io/Logging_2480/tillsynsmail/A 60047-2025 tillsynsbegäran mail.docx", "A 60047-2025")</f>
        <v/>
      </c>
    </row>
    <row r="94" ht="15" customHeight="1">
      <c r="A94" t="inlineStr">
        <is>
          <t>A 16839-2022</t>
        </is>
      </c>
      <c r="B94" s="1" t="n">
        <v>44673</v>
      </c>
      <c r="C94" s="1" t="n">
        <v>46193</v>
      </c>
      <c r="D94" t="inlineStr">
        <is>
          <t>VÄSTERBOTTENS LÄN</t>
        </is>
      </c>
      <c r="E94" t="inlineStr">
        <is>
          <t>UMEÅ</t>
        </is>
      </c>
      <c r="G94" t="n">
        <v>3</v>
      </c>
      <c r="H94" t="n">
        <v>2</v>
      </c>
      <c r="I94" t="n">
        <v>0</v>
      </c>
      <c r="J94" t="n">
        <v>0</v>
      </c>
      <c r="K94" t="n">
        <v>0</v>
      </c>
      <c r="L94" t="n">
        <v>0</v>
      </c>
      <c r="M94" t="n">
        <v>0</v>
      </c>
      <c r="N94" t="n">
        <v>0</v>
      </c>
      <c r="O94" t="n">
        <v>0</v>
      </c>
      <c r="P94" t="n">
        <v>0</v>
      </c>
      <c r="Q94" t="n">
        <v>2</v>
      </c>
      <c r="R94" s="2" t="inlineStr">
        <is>
          <t>Kråka
Orre</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25699-2025</t>
        </is>
      </c>
      <c r="B95" s="1" t="n">
        <v>45803</v>
      </c>
      <c r="C95" s="1" t="n">
        <v>46193</v>
      </c>
      <c r="D95" t="inlineStr">
        <is>
          <t>VÄSTERBOTTENS LÄN</t>
        </is>
      </c>
      <c r="E95" t="inlineStr">
        <is>
          <t>UMEÅ</t>
        </is>
      </c>
      <c r="G95" t="n">
        <v>1.8</v>
      </c>
      <c r="H95" t="n">
        <v>0</v>
      </c>
      <c r="I95" t="n">
        <v>1</v>
      </c>
      <c r="J95" t="n">
        <v>1</v>
      </c>
      <c r="K95" t="n">
        <v>0</v>
      </c>
      <c r="L95" t="n">
        <v>0</v>
      </c>
      <c r="M95" t="n">
        <v>0</v>
      </c>
      <c r="N95" t="n">
        <v>0</v>
      </c>
      <c r="O95" t="n">
        <v>1</v>
      </c>
      <c r="P95" t="n">
        <v>0</v>
      </c>
      <c r="Q95" t="n">
        <v>2</v>
      </c>
      <c r="R95" s="2" t="inlineStr">
        <is>
          <t>Småflikig brosklav
Nästlav</t>
        </is>
      </c>
      <c r="S95">
        <f>HYPERLINK("https://klasma.github.io/Logging_2480/artfynd/A 25699-2025 artfynd.xlsx", "A 25699-2025")</f>
        <v/>
      </c>
      <c r="T95">
        <f>HYPERLINK("https://klasma.github.io/Logging_2480/kartor/A 25699-2025 karta.png", "A 25699-2025")</f>
        <v/>
      </c>
      <c r="V95">
        <f>HYPERLINK("https://klasma.github.io/Logging_2480/klagomål/A 25699-2025 FSC-klagomål.docx", "A 25699-2025")</f>
        <v/>
      </c>
      <c r="W95">
        <f>HYPERLINK("https://klasma.github.io/Logging_2480/klagomålsmail/A 25699-2025 FSC-klagomål mail.docx", "A 25699-2025")</f>
        <v/>
      </c>
      <c r="X95">
        <f>HYPERLINK("https://klasma.github.io/Logging_2480/tillsyn/A 25699-2025 tillsynsbegäran.docx", "A 25699-2025")</f>
        <v/>
      </c>
      <c r="Y95">
        <f>HYPERLINK("https://klasma.github.io/Logging_2480/tillsynsmail/A 25699-2025 tillsynsbegäran mail.docx", "A 25699-2025")</f>
        <v/>
      </c>
    </row>
    <row r="96" ht="15" customHeight="1">
      <c r="A96" t="inlineStr">
        <is>
          <t>A 3933-2025</t>
        </is>
      </c>
      <c r="B96" s="1" t="n">
        <v>45684</v>
      </c>
      <c r="C96" s="1" t="n">
        <v>46193</v>
      </c>
      <c r="D96" t="inlineStr">
        <is>
          <t>VÄSTERBOTTENS LÄN</t>
        </is>
      </c>
      <c r="E96" t="inlineStr">
        <is>
          <t>UMEÅ</t>
        </is>
      </c>
      <c r="G96" t="n">
        <v>8.300000000000001</v>
      </c>
      <c r="H96" t="n">
        <v>0</v>
      </c>
      <c r="I96" t="n">
        <v>0</v>
      </c>
      <c r="J96" t="n">
        <v>1</v>
      </c>
      <c r="K96" t="n">
        <v>1</v>
      </c>
      <c r="L96" t="n">
        <v>0</v>
      </c>
      <c r="M96" t="n">
        <v>0</v>
      </c>
      <c r="N96" t="n">
        <v>0</v>
      </c>
      <c r="O96" t="n">
        <v>2</v>
      </c>
      <c r="P96" t="n">
        <v>1</v>
      </c>
      <c r="Q96" t="n">
        <v>2</v>
      </c>
      <c r="R96" s="2" t="inlineStr">
        <is>
          <t>Garnlav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22777-2026</t>
        </is>
      </c>
      <c r="B97" s="1" t="n">
        <v>46157</v>
      </c>
      <c r="C97" s="1" t="n">
        <v>46193</v>
      </c>
      <c r="D97" t="inlineStr">
        <is>
          <t>VÄSTERBOTTENS LÄN</t>
        </is>
      </c>
      <c r="E97" t="inlineStr">
        <is>
          <t>UMEÅ</t>
        </is>
      </c>
      <c r="F97" t="inlineStr">
        <is>
          <t>Holmen skog AB</t>
        </is>
      </c>
      <c r="G97" t="n">
        <v>7</v>
      </c>
      <c r="H97" t="n">
        <v>1</v>
      </c>
      <c r="I97" t="n">
        <v>0</v>
      </c>
      <c r="J97" t="n">
        <v>1</v>
      </c>
      <c r="K97" t="n">
        <v>1</v>
      </c>
      <c r="L97" t="n">
        <v>0</v>
      </c>
      <c r="M97" t="n">
        <v>0</v>
      </c>
      <c r="N97" t="n">
        <v>0</v>
      </c>
      <c r="O97" t="n">
        <v>2</v>
      </c>
      <c r="P97" t="n">
        <v>1</v>
      </c>
      <c r="Q97" t="n">
        <v>2</v>
      </c>
      <c r="R97" s="2" t="inlineStr">
        <is>
          <t>Garnlav
Tretåig hackspett</t>
        </is>
      </c>
      <c r="S97">
        <f>HYPERLINK("https://klasma.github.io/Logging_2480/artfynd/A 22777-2026 artfynd.xlsx", "A 22777-2026")</f>
        <v/>
      </c>
      <c r="T97">
        <f>HYPERLINK("https://klasma.github.io/Logging_2480/kartor/A 22777-2026 karta.png", "A 22777-2026")</f>
        <v/>
      </c>
      <c r="V97">
        <f>HYPERLINK("https://klasma.github.io/Logging_2480/klagomål/A 22777-2026 FSC-klagomål.docx", "A 22777-2026")</f>
        <v/>
      </c>
      <c r="W97">
        <f>HYPERLINK("https://klasma.github.io/Logging_2480/klagomålsmail/A 22777-2026 FSC-klagomål mail.docx", "A 22777-2026")</f>
        <v/>
      </c>
      <c r="X97">
        <f>HYPERLINK("https://klasma.github.io/Logging_2480/tillsyn/A 22777-2026 tillsynsbegäran.docx", "A 22777-2026")</f>
        <v/>
      </c>
      <c r="Y97">
        <f>HYPERLINK("https://klasma.github.io/Logging_2480/tillsynsmail/A 22777-2026 tillsynsbegäran mail.docx", "A 22777-2026")</f>
        <v/>
      </c>
      <c r="Z97">
        <f>HYPERLINK("https://klasma.github.io/Logging_2480/fåglar/A 22777-2026 prioriterade fågelarter.docx", "A 22777-2026")</f>
        <v/>
      </c>
    </row>
    <row r="98" ht="15" customHeight="1">
      <c r="A98" t="inlineStr">
        <is>
          <t>A 6178-2026</t>
        </is>
      </c>
      <c r="B98" s="1" t="n">
        <v>46055</v>
      </c>
      <c r="C98" s="1" t="n">
        <v>46193</v>
      </c>
      <c r="D98" t="inlineStr">
        <is>
          <t>VÄSTERBOTTENS LÄN</t>
        </is>
      </c>
      <c r="E98" t="inlineStr">
        <is>
          <t>UMEÅ</t>
        </is>
      </c>
      <c r="G98" t="n">
        <v>3.8</v>
      </c>
      <c r="H98" t="n">
        <v>2</v>
      </c>
      <c r="I98" t="n">
        <v>0</v>
      </c>
      <c r="J98" t="n">
        <v>0</v>
      </c>
      <c r="K98" t="n">
        <v>0</v>
      </c>
      <c r="L98" t="n">
        <v>0</v>
      </c>
      <c r="M98" t="n">
        <v>0</v>
      </c>
      <c r="N98" t="n">
        <v>0</v>
      </c>
      <c r="O98" t="n">
        <v>0</v>
      </c>
      <c r="P98" t="n">
        <v>0</v>
      </c>
      <c r="Q98" t="n">
        <v>2</v>
      </c>
      <c r="R98" s="2" t="inlineStr">
        <is>
          <t>Orre
Fläcknycklar</t>
        </is>
      </c>
      <c r="S98">
        <f>HYPERLINK("https://klasma.github.io/Logging_2480/artfynd/A 6178-2026 artfynd.xlsx", "A 6178-2026")</f>
        <v/>
      </c>
      <c r="T98">
        <f>HYPERLINK("https://klasma.github.io/Logging_2480/kartor/A 6178-2026 karta.png", "A 6178-2026")</f>
        <v/>
      </c>
      <c r="V98">
        <f>HYPERLINK("https://klasma.github.io/Logging_2480/klagomål/A 6178-2026 FSC-klagomål.docx", "A 6178-2026")</f>
        <v/>
      </c>
      <c r="W98">
        <f>HYPERLINK("https://klasma.github.io/Logging_2480/klagomålsmail/A 6178-2026 FSC-klagomål mail.docx", "A 6178-2026")</f>
        <v/>
      </c>
      <c r="X98">
        <f>HYPERLINK("https://klasma.github.io/Logging_2480/tillsyn/A 6178-2026 tillsynsbegäran.docx", "A 6178-2026")</f>
        <v/>
      </c>
      <c r="Y98">
        <f>HYPERLINK("https://klasma.github.io/Logging_2480/tillsynsmail/A 6178-2026 tillsynsbegäran mail.docx", "A 6178-2026")</f>
        <v/>
      </c>
      <c r="Z98">
        <f>HYPERLINK("https://klasma.github.io/Logging_2480/fåglar/A 6178-2026 prioriterade fågelarter.docx", "A 6178-2026")</f>
        <v/>
      </c>
    </row>
    <row r="99" ht="15" customHeight="1">
      <c r="A99" t="inlineStr">
        <is>
          <t>A 13279-2026</t>
        </is>
      </c>
      <c r="B99" s="1" t="n">
        <v>46093</v>
      </c>
      <c r="C99" s="1" t="n">
        <v>46193</v>
      </c>
      <c r="D99" t="inlineStr">
        <is>
          <t>VÄSTERBOTTENS LÄN</t>
        </is>
      </c>
      <c r="E99" t="inlineStr">
        <is>
          <t>UMEÅ</t>
        </is>
      </c>
      <c r="F99" t="inlineStr">
        <is>
          <t>Kommuner</t>
        </is>
      </c>
      <c r="G99" t="n">
        <v>0.6</v>
      </c>
      <c r="H99" t="n">
        <v>1</v>
      </c>
      <c r="I99" t="n">
        <v>0</v>
      </c>
      <c r="J99" t="n">
        <v>0</v>
      </c>
      <c r="K99" t="n">
        <v>1</v>
      </c>
      <c r="L99" t="n">
        <v>0</v>
      </c>
      <c r="M99" t="n">
        <v>0</v>
      </c>
      <c r="N99" t="n">
        <v>0</v>
      </c>
      <c r="O99" t="n">
        <v>1</v>
      </c>
      <c r="P99" t="n">
        <v>1</v>
      </c>
      <c r="Q99" t="n">
        <v>2</v>
      </c>
      <c r="R99" s="2" t="inlineStr">
        <is>
          <t>Igelkott
Kråka</t>
        </is>
      </c>
      <c r="S99">
        <f>HYPERLINK("https://klasma.github.io/Logging_2480/artfynd/A 13279-2026 artfynd.xlsx", "A 13279-2026")</f>
        <v/>
      </c>
      <c r="T99">
        <f>HYPERLINK("https://klasma.github.io/Logging_2480/kartor/A 13279-2026 karta.png", "A 13279-2026")</f>
        <v/>
      </c>
      <c r="V99">
        <f>HYPERLINK("https://klasma.github.io/Logging_2480/klagomål/A 13279-2026 FSC-klagomål.docx", "A 13279-2026")</f>
        <v/>
      </c>
      <c r="W99">
        <f>HYPERLINK("https://klasma.github.io/Logging_2480/klagomålsmail/A 13279-2026 FSC-klagomål mail.docx", "A 13279-2026")</f>
        <v/>
      </c>
      <c r="X99">
        <f>HYPERLINK("https://klasma.github.io/Logging_2480/tillsyn/A 13279-2026 tillsynsbegäran.docx", "A 13279-2026")</f>
        <v/>
      </c>
      <c r="Y99">
        <f>HYPERLINK("https://klasma.github.io/Logging_2480/tillsynsmail/A 13279-2026 tillsynsbegäran mail.docx", "A 13279-2026")</f>
        <v/>
      </c>
      <c r="Z99">
        <f>HYPERLINK("https://klasma.github.io/Logging_2480/fåglar/A 13279-2026 prioriterade fågelarter.docx", "A 13279-2026")</f>
        <v/>
      </c>
    </row>
    <row r="100" ht="15" customHeight="1">
      <c r="A100" t="inlineStr">
        <is>
          <t>A 258-2026</t>
        </is>
      </c>
      <c r="B100" s="1" t="n">
        <v>46027</v>
      </c>
      <c r="C100" s="1" t="n">
        <v>46193</v>
      </c>
      <c r="D100" t="inlineStr">
        <is>
          <t>VÄSTERBOTTENS LÄN</t>
        </is>
      </c>
      <c r="E100" t="inlineStr">
        <is>
          <t>UMEÅ</t>
        </is>
      </c>
      <c r="G100" t="n">
        <v>3.2</v>
      </c>
      <c r="H100" t="n">
        <v>2</v>
      </c>
      <c r="I100" t="n">
        <v>0</v>
      </c>
      <c r="J100" t="n">
        <v>2</v>
      </c>
      <c r="K100" t="n">
        <v>0</v>
      </c>
      <c r="L100" t="n">
        <v>0</v>
      </c>
      <c r="M100" t="n">
        <v>0</v>
      </c>
      <c r="N100" t="n">
        <v>0</v>
      </c>
      <c r="O100" t="n">
        <v>2</v>
      </c>
      <c r="P100" t="n">
        <v>0</v>
      </c>
      <c r="Q100" t="n">
        <v>2</v>
      </c>
      <c r="R100" s="2" t="inlineStr">
        <is>
          <t>Talltita
Tretåig hackspett</t>
        </is>
      </c>
      <c r="S100">
        <f>HYPERLINK("https://klasma.github.io/Logging_2480/artfynd/A 258-2026 artfynd.xlsx", "A 258-2026")</f>
        <v/>
      </c>
      <c r="T100">
        <f>HYPERLINK("https://klasma.github.io/Logging_2480/kartor/A 258-2026 karta.png", "A 258-2026")</f>
        <v/>
      </c>
      <c r="V100">
        <f>HYPERLINK("https://klasma.github.io/Logging_2480/klagomål/A 258-2026 FSC-klagomål.docx", "A 258-2026")</f>
        <v/>
      </c>
      <c r="W100">
        <f>HYPERLINK("https://klasma.github.io/Logging_2480/klagomålsmail/A 258-2026 FSC-klagomål mail.docx", "A 258-2026")</f>
        <v/>
      </c>
      <c r="X100">
        <f>HYPERLINK("https://klasma.github.io/Logging_2480/tillsyn/A 258-2026 tillsynsbegäran.docx", "A 258-2026")</f>
        <v/>
      </c>
      <c r="Y100">
        <f>HYPERLINK("https://klasma.github.io/Logging_2480/tillsynsmail/A 258-2026 tillsynsbegäran mail.docx", "A 258-2026")</f>
        <v/>
      </c>
      <c r="Z100">
        <f>HYPERLINK("https://klasma.github.io/Logging_2480/fåglar/A 258-2026 prioriterade fågelarter.docx", "A 258-2026")</f>
        <v/>
      </c>
    </row>
    <row r="101" ht="15" customHeight="1">
      <c r="A101" t="inlineStr">
        <is>
          <t>A 251-2026</t>
        </is>
      </c>
      <c r="B101" s="1" t="n">
        <v>46027</v>
      </c>
      <c r="C101" s="1" t="n">
        <v>46193</v>
      </c>
      <c r="D101" t="inlineStr">
        <is>
          <t>VÄSTERBOTTENS LÄN</t>
        </is>
      </c>
      <c r="E101" t="inlineStr">
        <is>
          <t>UMEÅ</t>
        </is>
      </c>
      <c r="G101" t="n">
        <v>2.5</v>
      </c>
      <c r="H101" t="n">
        <v>1</v>
      </c>
      <c r="I101" t="n">
        <v>0</v>
      </c>
      <c r="J101" t="n">
        <v>1</v>
      </c>
      <c r="K101" t="n">
        <v>1</v>
      </c>
      <c r="L101" t="n">
        <v>0</v>
      </c>
      <c r="M101" t="n">
        <v>0</v>
      </c>
      <c r="N101" t="n">
        <v>0</v>
      </c>
      <c r="O101" t="n">
        <v>2</v>
      </c>
      <c r="P101" t="n">
        <v>1</v>
      </c>
      <c r="Q101" t="n">
        <v>2</v>
      </c>
      <c r="R101" s="2" t="inlineStr">
        <is>
          <t>Garnlav
Tretåig hackspett</t>
        </is>
      </c>
      <c r="S101">
        <f>HYPERLINK("https://klasma.github.io/Logging_2480/artfynd/A 251-2026 artfynd.xlsx", "A 251-2026")</f>
        <v/>
      </c>
      <c r="T101">
        <f>HYPERLINK("https://klasma.github.io/Logging_2480/kartor/A 251-2026 karta.png", "A 251-2026")</f>
        <v/>
      </c>
      <c r="V101">
        <f>HYPERLINK("https://klasma.github.io/Logging_2480/klagomål/A 251-2026 FSC-klagomål.docx", "A 251-2026")</f>
        <v/>
      </c>
      <c r="W101">
        <f>HYPERLINK("https://klasma.github.io/Logging_2480/klagomålsmail/A 251-2026 FSC-klagomål mail.docx", "A 251-2026")</f>
        <v/>
      </c>
      <c r="X101">
        <f>HYPERLINK("https://klasma.github.io/Logging_2480/tillsyn/A 251-2026 tillsynsbegäran.docx", "A 251-2026")</f>
        <v/>
      </c>
      <c r="Y101">
        <f>HYPERLINK("https://klasma.github.io/Logging_2480/tillsynsmail/A 251-2026 tillsynsbegäran mail.docx", "A 251-2026")</f>
        <v/>
      </c>
      <c r="Z101">
        <f>HYPERLINK("https://klasma.github.io/Logging_2480/fåglar/A 251-2026 prioriterade fågelarter.docx", "A 251-2026")</f>
        <v/>
      </c>
    </row>
    <row r="102" ht="15" customHeight="1">
      <c r="A102" t="inlineStr">
        <is>
          <t>A 23738-2026</t>
        </is>
      </c>
      <c r="B102" s="1" t="n">
        <v>46164</v>
      </c>
      <c r="C102" s="1" t="n">
        <v>46193</v>
      </c>
      <c r="D102" t="inlineStr">
        <is>
          <t>VÄSTERBOTTENS LÄN</t>
        </is>
      </c>
      <c r="E102" t="inlineStr">
        <is>
          <t>UMEÅ</t>
        </is>
      </c>
      <c r="G102" t="n">
        <v>2.1</v>
      </c>
      <c r="H102" t="n">
        <v>2</v>
      </c>
      <c r="I102" t="n">
        <v>0</v>
      </c>
      <c r="J102" t="n">
        <v>0</v>
      </c>
      <c r="K102" t="n">
        <v>0</v>
      </c>
      <c r="L102" t="n">
        <v>0</v>
      </c>
      <c r="M102" t="n">
        <v>0</v>
      </c>
      <c r="N102" t="n">
        <v>0</v>
      </c>
      <c r="O102" t="n">
        <v>0</v>
      </c>
      <c r="P102" t="n">
        <v>0</v>
      </c>
      <c r="Q102" t="n">
        <v>2</v>
      </c>
      <c r="R102" s="2" t="inlineStr">
        <is>
          <t>Svartvit flugsnappare
Ärtsångare</t>
        </is>
      </c>
      <c r="S102">
        <f>HYPERLINK("https://klasma.github.io/Logging_2480/artfynd/A 23738-2026 artfynd.xlsx", "A 23738-2026")</f>
        <v/>
      </c>
      <c r="T102">
        <f>HYPERLINK("https://klasma.github.io/Logging_2480/kartor/A 23738-2026 karta.png", "A 23738-2026")</f>
        <v/>
      </c>
      <c r="V102">
        <f>HYPERLINK("https://klasma.github.io/Logging_2480/klagomål/A 23738-2026 FSC-klagomål.docx", "A 23738-2026")</f>
        <v/>
      </c>
      <c r="W102">
        <f>HYPERLINK("https://klasma.github.io/Logging_2480/klagomålsmail/A 23738-2026 FSC-klagomål mail.docx", "A 23738-2026")</f>
        <v/>
      </c>
      <c r="X102">
        <f>HYPERLINK("https://klasma.github.io/Logging_2480/tillsyn/A 23738-2026 tillsynsbegäran.docx", "A 23738-2026")</f>
        <v/>
      </c>
      <c r="Y102">
        <f>HYPERLINK("https://klasma.github.io/Logging_2480/tillsynsmail/A 23738-2026 tillsynsbegäran mail.docx", "A 23738-2026")</f>
        <v/>
      </c>
      <c r="Z102">
        <f>HYPERLINK("https://klasma.github.io/Logging_2480/fåglar/A 23738-2026 prioriterade fågelarter.docx", "A 23738-2026")</f>
        <v/>
      </c>
    </row>
    <row r="103" ht="15" customHeight="1">
      <c r="A103" t="inlineStr">
        <is>
          <t>A 17359-2023</t>
        </is>
      </c>
      <c r="B103" s="1" t="n">
        <v>45033</v>
      </c>
      <c r="C103" s="1" t="n">
        <v>46193</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38393-2021</t>
        </is>
      </c>
      <c r="B104" s="1" t="n">
        <v>44406</v>
      </c>
      <c r="C104" s="1" t="n">
        <v>46193</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46193</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46193</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46193</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46193</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46193</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38395-2021</t>
        </is>
      </c>
      <c r="B110" s="1" t="n">
        <v>44406</v>
      </c>
      <c r="C110" s="1" t="n">
        <v>46193</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38891-2021</t>
        </is>
      </c>
      <c r="B111" s="1" t="n">
        <v>44410</v>
      </c>
      <c r="C111" s="1" t="n">
        <v>46193</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46193</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46193</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46193</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46193</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46193</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38683-2021</t>
        </is>
      </c>
      <c r="B117" s="1" t="n">
        <v>44407</v>
      </c>
      <c r="C117" s="1" t="n">
        <v>46193</v>
      </c>
      <c r="D117" t="inlineStr">
        <is>
          <t>VÄSTERBOTTENS LÄN</t>
        </is>
      </c>
      <c r="E117" t="inlineStr">
        <is>
          <t>UMEÅ</t>
        </is>
      </c>
      <c r="F117" t="inlineStr">
        <is>
          <t>Kommuner</t>
        </is>
      </c>
      <c r="G117" t="n">
        <v>0.6</v>
      </c>
      <c r="H117" t="n">
        <v>0</v>
      </c>
      <c r="I117" t="n">
        <v>0</v>
      </c>
      <c r="J117" t="n">
        <v>1</v>
      </c>
      <c r="K117" t="n">
        <v>0</v>
      </c>
      <c r="L117" t="n">
        <v>0</v>
      </c>
      <c r="M117" t="n">
        <v>0</v>
      </c>
      <c r="N117" t="n">
        <v>0</v>
      </c>
      <c r="O117" t="n">
        <v>1</v>
      </c>
      <c r="P117" t="n">
        <v>0</v>
      </c>
      <c r="Q117" t="n">
        <v>1</v>
      </c>
      <c r="R117" s="2" t="inlineStr">
        <is>
          <t>Springkornsfältmätare</t>
        </is>
      </c>
      <c r="S117">
        <f>HYPERLINK("https://klasma.github.io/Logging_2480/artfynd/A 38683-2021 artfynd.xlsx", "A 38683-2021")</f>
        <v/>
      </c>
      <c r="T117">
        <f>HYPERLINK("https://klasma.github.io/Logging_2480/kartor/A 38683-2021 karta.png", "A 38683-2021")</f>
        <v/>
      </c>
      <c r="V117">
        <f>HYPERLINK("https://klasma.github.io/Logging_2480/klagomål/A 38683-2021 FSC-klagomål.docx", "A 38683-2021")</f>
        <v/>
      </c>
      <c r="W117">
        <f>HYPERLINK("https://klasma.github.io/Logging_2480/klagomålsmail/A 38683-2021 FSC-klagomål mail.docx", "A 38683-2021")</f>
        <v/>
      </c>
      <c r="X117">
        <f>HYPERLINK("https://klasma.github.io/Logging_2480/tillsyn/A 38683-2021 tillsynsbegäran.docx", "A 38683-2021")</f>
        <v/>
      </c>
      <c r="Y117">
        <f>HYPERLINK("https://klasma.github.io/Logging_2480/tillsynsmail/A 38683-2021 tillsynsbegäran mail.docx", "A 38683-2021")</f>
        <v/>
      </c>
    </row>
    <row r="118" ht="15" customHeight="1">
      <c r="A118" t="inlineStr">
        <is>
          <t>A 2737-2023</t>
        </is>
      </c>
      <c r="B118" s="1" t="n">
        <v>44944</v>
      </c>
      <c r="C118" s="1" t="n">
        <v>46193</v>
      </c>
      <c r="D118" t="inlineStr">
        <is>
          <t>VÄSTERBOTTENS LÄN</t>
        </is>
      </c>
      <c r="E118" t="inlineStr">
        <is>
          <t>UMEÅ</t>
        </is>
      </c>
      <c r="G118" t="n">
        <v>0.9</v>
      </c>
      <c r="H118" t="n">
        <v>1</v>
      </c>
      <c r="I118" t="n">
        <v>0</v>
      </c>
      <c r="J118" t="n">
        <v>0</v>
      </c>
      <c r="K118" t="n">
        <v>0</v>
      </c>
      <c r="L118" t="n">
        <v>0</v>
      </c>
      <c r="M118" t="n">
        <v>0</v>
      </c>
      <c r="N118" t="n">
        <v>0</v>
      </c>
      <c r="O118" t="n">
        <v>0</v>
      </c>
      <c r="P118" t="n">
        <v>0</v>
      </c>
      <c r="Q118" t="n">
        <v>1</v>
      </c>
      <c r="R118" s="2" t="inlineStr">
        <is>
          <t>Fläcknycklar</t>
        </is>
      </c>
      <c r="S118">
        <f>HYPERLINK("https://klasma.github.io/Logging_2480/artfynd/A 2737-2023 artfynd.xlsx", "A 2737-2023")</f>
        <v/>
      </c>
      <c r="T118">
        <f>HYPERLINK("https://klasma.github.io/Logging_2480/kartor/A 2737-2023 karta.png", "A 2737-2023")</f>
        <v/>
      </c>
      <c r="V118">
        <f>HYPERLINK("https://klasma.github.io/Logging_2480/klagomål/A 2737-2023 FSC-klagomål.docx", "A 2737-2023")</f>
        <v/>
      </c>
      <c r="W118">
        <f>HYPERLINK("https://klasma.github.io/Logging_2480/klagomålsmail/A 2737-2023 FSC-klagomål mail.docx", "A 2737-2023")</f>
        <v/>
      </c>
      <c r="X118">
        <f>HYPERLINK("https://klasma.github.io/Logging_2480/tillsyn/A 2737-2023 tillsynsbegäran.docx", "A 2737-2023")</f>
        <v/>
      </c>
      <c r="Y118">
        <f>HYPERLINK("https://klasma.github.io/Logging_2480/tillsynsmail/A 2737-2023 tillsynsbegäran mail.docx", "A 2737-2023")</f>
        <v/>
      </c>
    </row>
    <row r="119" ht="15" customHeight="1">
      <c r="A119" t="inlineStr">
        <is>
          <t>A 49850-2021</t>
        </is>
      </c>
      <c r="B119" s="1" t="n">
        <v>44455</v>
      </c>
      <c r="C119" s="1" t="n">
        <v>46193</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11511-2022</t>
        </is>
      </c>
      <c r="B120" s="1" t="n">
        <v>44631</v>
      </c>
      <c r="C120" s="1" t="n">
        <v>46193</v>
      </c>
      <c r="D120" t="inlineStr">
        <is>
          <t>VÄSTERBOTTENS LÄN</t>
        </is>
      </c>
      <c r="E120" t="inlineStr">
        <is>
          <t>UMEÅ</t>
        </is>
      </c>
      <c r="F120" t="inlineStr">
        <is>
          <t>Kommuner</t>
        </is>
      </c>
      <c r="G120" t="n">
        <v>3.2</v>
      </c>
      <c r="H120" t="n">
        <v>0</v>
      </c>
      <c r="I120" t="n">
        <v>0</v>
      </c>
      <c r="J120" t="n">
        <v>0</v>
      </c>
      <c r="K120" t="n">
        <v>1</v>
      </c>
      <c r="L120" t="n">
        <v>0</v>
      </c>
      <c r="M120" t="n">
        <v>0</v>
      </c>
      <c r="N120" t="n">
        <v>0</v>
      </c>
      <c r="O120" t="n">
        <v>1</v>
      </c>
      <c r="P120" t="n">
        <v>1</v>
      </c>
      <c r="Q120" t="n">
        <v>1</v>
      </c>
      <c r="R120" s="2" t="inlineStr">
        <is>
          <t>Brunfläckig pärlemorfjäril</t>
        </is>
      </c>
      <c r="S120">
        <f>HYPERLINK("https://klasma.github.io/Logging_2480/artfynd/A 11511-2022 artfynd.xlsx", "A 11511-2022")</f>
        <v/>
      </c>
      <c r="T120">
        <f>HYPERLINK("https://klasma.github.io/Logging_2480/kartor/A 11511-2022 karta.png", "A 11511-2022")</f>
        <v/>
      </c>
      <c r="V120">
        <f>HYPERLINK("https://klasma.github.io/Logging_2480/klagomål/A 11511-2022 FSC-klagomål.docx", "A 11511-2022")</f>
        <v/>
      </c>
      <c r="W120">
        <f>HYPERLINK("https://klasma.github.io/Logging_2480/klagomålsmail/A 11511-2022 FSC-klagomål mail.docx", "A 11511-2022")</f>
        <v/>
      </c>
      <c r="X120">
        <f>HYPERLINK("https://klasma.github.io/Logging_2480/tillsyn/A 11511-2022 tillsynsbegäran.docx", "A 11511-2022")</f>
        <v/>
      </c>
      <c r="Y120">
        <f>HYPERLINK("https://klasma.github.io/Logging_2480/tillsynsmail/A 11511-2022 tillsynsbegäran mail.docx", "A 11511-2022")</f>
        <v/>
      </c>
    </row>
    <row r="121" ht="15" customHeight="1">
      <c r="A121" t="inlineStr">
        <is>
          <t>A 29454-2023</t>
        </is>
      </c>
      <c r="B121" s="1" t="n">
        <v>45098</v>
      </c>
      <c r="C121" s="1" t="n">
        <v>46193</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37443-2023</t>
        </is>
      </c>
      <c r="B122" s="1" t="n">
        <v>45147</v>
      </c>
      <c r="C122" s="1" t="n">
        <v>46193</v>
      </c>
      <c r="D122" t="inlineStr">
        <is>
          <t>VÄSTERBOTTENS LÄN</t>
        </is>
      </c>
      <c r="E122" t="inlineStr">
        <is>
          <t>UMEÅ</t>
        </is>
      </c>
      <c r="G122" t="n">
        <v>7.3</v>
      </c>
      <c r="H122" t="n">
        <v>1</v>
      </c>
      <c r="I122" t="n">
        <v>0</v>
      </c>
      <c r="J122" t="n">
        <v>0</v>
      </c>
      <c r="K122" t="n">
        <v>0</v>
      </c>
      <c r="L122" t="n">
        <v>0</v>
      </c>
      <c r="M122" t="n">
        <v>0</v>
      </c>
      <c r="N122" t="n">
        <v>0</v>
      </c>
      <c r="O122" t="n">
        <v>0</v>
      </c>
      <c r="P122" t="n">
        <v>0</v>
      </c>
      <c r="Q122" t="n">
        <v>1</v>
      </c>
      <c r="R122" s="2" t="inlineStr">
        <is>
          <t>Utter</t>
        </is>
      </c>
      <c r="S122">
        <f>HYPERLINK("https://klasma.github.io/Logging_2480/artfynd/A 37443-2023 artfynd.xlsx", "A 37443-2023")</f>
        <v/>
      </c>
      <c r="T122">
        <f>HYPERLINK("https://klasma.github.io/Logging_2480/kartor/A 37443-2023 karta.png", "A 37443-2023")</f>
        <v/>
      </c>
      <c r="V122">
        <f>HYPERLINK("https://klasma.github.io/Logging_2480/klagomål/A 37443-2023 FSC-klagomål.docx", "A 37443-2023")</f>
        <v/>
      </c>
      <c r="W122">
        <f>HYPERLINK("https://klasma.github.io/Logging_2480/klagomålsmail/A 37443-2023 FSC-klagomål mail.docx", "A 37443-2023")</f>
        <v/>
      </c>
      <c r="X122">
        <f>HYPERLINK("https://klasma.github.io/Logging_2480/tillsyn/A 37443-2023 tillsynsbegäran.docx", "A 37443-2023")</f>
        <v/>
      </c>
      <c r="Y122">
        <f>HYPERLINK("https://klasma.github.io/Logging_2480/tillsynsmail/A 37443-2023 tillsynsbegäran mail.docx", "A 37443-2023")</f>
        <v/>
      </c>
    </row>
    <row r="123" ht="15" customHeight="1">
      <c r="A123" t="inlineStr">
        <is>
          <t>A 40665-2024</t>
        </is>
      </c>
      <c r="B123" s="1" t="n">
        <v>45558</v>
      </c>
      <c r="C123" s="1" t="n">
        <v>46193</v>
      </c>
      <c r="D123" t="inlineStr">
        <is>
          <t>VÄSTERBOTTENS LÄN</t>
        </is>
      </c>
      <c r="E123" t="inlineStr">
        <is>
          <t>UMEÅ</t>
        </is>
      </c>
      <c r="G123" t="n">
        <v>15.3</v>
      </c>
      <c r="H123" t="n">
        <v>0</v>
      </c>
      <c r="I123" t="n">
        <v>0</v>
      </c>
      <c r="J123" t="n">
        <v>0</v>
      </c>
      <c r="K123" t="n">
        <v>1</v>
      </c>
      <c r="L123" t="n">
        <v>0</v>
      </c>
      <c r="M123" t="n">
        <v>0</v>
      </c>
      <c r="N123" t="n">
        <v>0</v>
      </c>
      <c r="O123" t="n">
        <v>1</v>
      </c>
      <c r="P123" t="n">
        <v>1</v>
      </c>
      <c r="Q123" t="n">
        <v>1</v>
      </c>
      <c r="R123" s="2" t="inlineStr">
        <is>
          <t>Garnlav</t>
        </is>
      </c>
      <c r="S123">
        <f>HYPERLINK("https://klasma.github.io/Logging_2480/artfynd/A 40665-2024 artfynd.xlsx", "A 40665-2024")</f>
        <v/>
      </c>
      <c r="T123">
        <f>HYPERLINK("https://klasma.github.io/Logging_2480/kartor/A 40665-2024 karta.png", "A 40665-2024")</f>
        <v/>
      </c>
      <c r="V123">
        <f>HYPERLINK("https://klasma.github.io/Logging_2480/klagomål/A 40665-2024 FSC-klagomål.docx", "A 40665-2024")</f>
        <v/>
      </c>
      <c r="W123">
        <f>HYPERLINK("https://klasma.github.io/Logging_2480/klagomålsmail/A 40665-2024 FSC-klagomål mail.docx", "A 40665-2024")</f>
        <v/>
      </c>
      <c r="X123">
        <f>HYPERLINK("https://klasma.github.io/Logging_2480/tillsyn/A 40665-2024 tillsynsbegäran.docx", "A 40665-2024")</f>
        <v/>
      </c>
      <c r="Y123">
        <f>HYPERLINK("https://klasma.github.io/Logging_2480/tillsynsmail/A 40665-2024 tillsynsbegäran mail.docx", "A 40665-2024")</f>
        <v/>
      </c>
    </row>
    <row r="124" ht="15" customHeight="1">
      <c r="A124" t="inlineStr">
        <is>
          <t>A 58670-2023</t>
        </is>
      </c>
      <c r="B124" s="1" t="n">
        <v>45251</v>
      </c>
      <c r="C124" s="1" t="n">
        <v>46193</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38731-2021</t>
        </is>
      </c>
      <c r="B125" s="1" t="n">
        <v>44410</v>
      </c>
      <c r="C125" s="1" t="n">
        <v>46193</v>
      </c>
      <c r="D125" t="inlineStr">
        <is>
          <t>VÄSTERBOTTENS LÄN</t>
        </is>
      </c>
      <c r="E125" t="inlineStr">
        <is>
          <t>UMEÅ</t>
        </is>
      </c>
      <c r="F125" t="inlineStr">
        <is>
          <t>Kommuner</t>
        </is>
      </c>
      <c r="G125" t="n">
        <v>5.2</v>
      </c>
      <c r="H125" t="n">
        <v>1</v>
      </c>
      <c r="I125" t="n">
        <v>0</v>
      </c>
      <c r="J125" t="n">
        <v>1</v>
      </c>
      <c r="K125" t="n">
        <v>0</v>
      </c>
      <c r="L125" t="n">
        <v>0</v>
      </c>
      <c r="M125" t="n">
        <v>0</v>
      </c>
      <c r="N125" t="n">
        <v>0</v>
      </c>
      <c r="O125" t="n">
        <v>1</v>
      </c>
      <c r="P125" t="n">
        <v>0</v>
      </c>
      <c r="Q125" t="n">
        <v>1</v>
      </c>
      <c r="R125" s="2" t="inlineStr">
        <is>
          <t>Talltita</t>
        </is>
      </c>
      <c r="S125">
        <f>HYPERLINK("https://klasma.github.io/Logging_2480/artfynd/A 38731-2021 artfynd.xlsx", "A 38731-2021")</f>
        <v/>
      </c>
      <c r="T125">
        <f>HYPERLINK("https://klasma.github.io/Logging_2480/kartor/A 38731-2021 karta.png", "A 38731-2021")</f>
        <v/>
      </c>
      <c r="V125">
        <f>HYPERLINK("https://klasma.github.io/Logging_2480/klagomål/A 38731-2021 FSC-klagomål.docx", "A 38731-2021")</f>
        <v/>
      </c>
      <c r="W125">
        <f>HYPERLINK("https://klasma.github.io/Logging_2480/klagomålsmail/A 38731-2021 FSC-klagomål mail.docx", "A 38731-2021")</f>
        <v/>
      </c>
      <c r="X125">
        <f>HYPERLINK("https://klasma.github.io/Logging_2480/tillsyn/A 38731-2021 tillsynsbegäran.docx", "A 38731-2021")</f>
        <v/>
      </c>
      <c r="Y125">
        <f>HYPERLINK("https://klasma.github.io/Logging_2480/tillsynsmail/A 38731-2021 tillsynsbegäran mail.docx", "A 38731-2021")</f>
        <v/>
      </c>
      <c r="Z125">
        <f>HYPERLINK("https://klasma.github.io/Logging_2480/fåglar/A 38731-2021 prioriterade fågelarter.docx", "A 38731-2021")</f>
        <v/>
      </c>
    </row>
    <row r="126" ht="15" customHeight="1">
      <c r="A126" t="inlineStr">
        <is>
          <t>A 13181-2022</t>
        </is>
      </c>
      <c r="B126" s="1" t="n">
        <v>44644</v>
      </c>
      <c r="C126" s="1" t="n">
        <v>46193</v>
      </c>
      <c r="D126" t="inlineStr">
        <is>
          <t>VÄSTERBOTTENS LÄN</t>
        </is>
      </c>
      <c r="E126" t="inlineStr">
        <is>
          <t>UMEÅ</t>
        </is>
      </c>
      <c r="G126" t="n">
        <v>0.7</v>
      </c>
      <c r="H126" t="n">
        <v>1</v>
      </c>
      <c r="I126" t="n">
        <v>0</v>
      </c>
      <c r="J126" t="n">
        <v>0</v>
      </c>
      <c r="K126" t="n">
        <v>0</v>
      </c>
      <c r="L126" t="n">
        <v>0</v>
      </c>
      <c r="M126" t="n">
        <v>0</v>
      </c>
      <c r="N126" t="n">
        <v>0</v>
      </c>
      <c r="O126" t="n">
        <v>0</v>
      </c>
      <c r="P126" t="n">
        <v>0</v>
      </c>
      <c r="Q126" t="n">
        <v>1</v>
      </c>
      <c r="R126" s="2" t="inlineStr">
        <is>
          <t>Fläcknycklar</t>
        </is>
      </c>
      <c r="S126">
        <f>HYPERLINK("https://klasma.github.io/Logging_2480/artfynd/A 13181-2022 artfynd.xlsx", "A 13181-2022")</f>
        <v/>
      </c>
      <c r="T126">
        <f>HYPERLINK("https://klasma.github.io/Logging_2480/kartor/A 13181-2022 karta.png", "A 13181-2022")</f>
        <v/>
      </c>
      <c r="V126">
        <f>HYPERLINK("https://klasma.github.io/Logging_2480/klagomål/A 13181-2022 FSC-klagomål.docx", "A 13181-2022")</f>
        <v/>
      </c>
      <c r="W126">
        <f>HYPERLINK("https://klasma.github.io/Logging_2480/klagomålsmail/A 13181-2022 FSC-klagomål mail.docx", "A 13181-2022")</f>
        <v/>
      </c>
      <c r="X126">
        <f>HYPERLINK("https://klasma.github.io/Logging_2480/tillsyn/A 13181-2022 tillsynsbegäran.docx", "A 13181-2022")</f>
        <v/>
      </c>
      <c r="Y126">
        <f>HYPERLINK("https://klasma.github.io/Logging_2480/tillsynsmail/A 13181-2022 tillsynsbegäran mail.docx", "A 13181-2022")</f>
        <v/>
      </c>
    </row>
    <row r="127" ht="15" customHeight="1">
      <c r="A127" t="inlineStr">
        <is>
          <t>A 11502-2022</t>
        </is>
      </c>
      <c r="B127" s="1" t="n">
        <v>44631</v>
      </c>
      <c r="C127" s="1" t="n">
        <v>46193</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26250-2023</t>
        </is>
      </c>
      <c r="B128" s="1" t="n">
        <v>45086</v>
      </c>
      <c r="C128" s="1" t="n">
        <v>46193</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759-2023</t>
        </is>
      </c>
      <c r="B129" s="1" t="n">
        <v>44931</v>
      </c>
      <c r="C129" s="1" t="n">
        <v>46193</v>
      </c>
      <c r="D129" t="inlineStr">
        <is>
          <t>VÄSTERBOTTENS LÄN</t>
        </is>
      </c>
      <c r="E129" t="inlineStr">
        <is>
          <t>UMEÅ</t>
        </is>
      </c>
      <c r="G129" t="n">
        <v>1.8</v>
      </c>
      <c r="H129" t="n">
        <v>1</v>
      </c>
      <c r="I129" t="n">
        <v>0</v>
      </c>
      <c r="J129" t="n">
        <v>0</v>
      </c>
      <c r="K129" t="n">
        <v>0</v>
      </c>
      <c r="L129" t="n">
        <v>0</v>
      </c>
      <c r="M129" t="n">
        <v>0</v>
      </c>
      <c r="N129" t="n">
        <v>0</v>
      </c>
      <c r="O129" t="n">
        <v>0</v>
      </c>
      <c r="P129" t="n">
        <v>0</v>
      </c>
      <c r="Q129" t="n">
        <v>1</v>
      </c>
      <c r="R129" s="2" t="inlineStr">
        <is>
          <t>Orre</t>
        </is>
      </c>
      <c r="S129">
        <f>HYPERLINK("https://klasma.github.io/Logging_2480/artfynd/A 759-2023 artfynd.xlsx", "A 759-2023")</f>
        <v/>
      </c>
      <c r="T129">
        <f>HYPERLINK("https://klasma.github.io/Logging_2480/kartor/A 759-2023 karta.png", "A 759-2023")</f>
        <v/>
      </c>
      <c r="V129">
        <f>HYPERLINK("https://klasma.github.io/Logging_2480/klagomål/A 759-2023 FSC-klagomål.docx", "A 759-2023")</f>
        <v/>
      </c>
      <c r="W129">
        <f>HYPERLINK("https://klasma.github.io/Logging_2480/klagomålsmail/A 759-2023 FSC-klagomål mail.docx", "A 759-2023")</f>
        <v/>
      </c>
      <c r="X129">
        <f>HYPERLINK("https://klasma.github.io/Logging_2480/tillsyn/A 759-2023 tillsynsbegäran.docx", "A 759-2023")</f>
        <v/>
      </c>
      <c r="Y129">
        <f>HYPERLINK("https://klasma.github.io/Logging_2480/tillsynsmail/A 759-2023 tillsynsbegäran mail.docx", "A 759-2023")</f>
        <v/>
      </c>
      <c r="Z129">
        <f>HYPERLINK("https://klasma.github.io/Logging_2480/fåglar/A 759-2023 prioriterade fågelarter.docx", "A 759-2023")</f>
        <v/>
      </c>
    </row>
    <row r="130" ht="15" customHeight="1">
      <c r="A130" t="inlineStr">
        <is>
          <t>A 43550-2024</t>
        </is>
      </c>
      <c r="B130" s="1" t="n">
        <v>45569</v>
      </c>
      <c r="C130" s="1" t="n">
        <v>46193</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42352-2021</t>
        </is>
      </c>
      <c r="B131" s="1" t="n">
        <v>44427</v>
      </c>
      <c r="C131" s="1" t="n">
        <v>46193</v>
      </c>
      <c r="D131" t="inlineStr">
        <is>
          <t>VÄSTERBOTTENS LÄN</t>
        </is>
      </c>
      <c r="E131" t="inlineStr">
        <is>
          <t>UMEÅ</t>
        </is>
      </c>
      <c r="G131" t="n">
        <v>0.9</v>
      </c>
      <c r="H131" t="n">
        <v>0</v>
      </c>
      <c r="I131" t="n">
        <v>0</v>
      </c>
      <c r="J131" t="n">
        <v>0</v>
      </c>
      <c r="K131" t="n">
        <v>1</v>
      </c>
      <c r="L131" t="n">
        <v>0</v>
      </c>
      <c r="M131" t="n">
        <v>0</v>
      </c>
      <c r="N131" t="n">
        <v>0</v>
      </c>
      <c r="O131" t="n">
        <v>1</v>
      </c>
      <c r="P131" t="n">
        <v>1</v>
      </c>
      <c r="Q131" t="n">
        <v>1</v>
      </c>
      <c r="R131" s="2" t="inlineStr">
        <is>
          <t>Garnlav</t>
        </is>
      </c>
      <c r="S131">
        <f>HYPERLINK("https://klasma.github.io/Logging_2480/artfynd/A 42352-2021 artfynd.xlsx", "A 42352-2021")</f>
        <v/>
      </c>
      <c r="T131">
        <f>HYPERLINK("https://klasma.github.io/Logging_2480/kartor/A 42352-2021 karta.png", "A 42352-2021")</f>
        <v/>
      </c>
      <c r="V131">
        <f>HYPERLINK("https://klasma.github.io/Logging_2480/klagomål/A 42352-2021 FSC-klagomål.docx", "A 42352-2021")</f>
        <v/>
      </c>
      <c r="W131">
        <f>HYPERLINK("https://klasma.github.io/Logging_2480/klagomålsmail/A 42352-2021 FSC-klagomål mail.docx", "A 42352-2021")</f>
        <v/>
      </c>
      <c r="X131">
        <f>HYPERLINK("https://klasma.github.io/Logging_2480/tillsyn/A 42352-2021 tillsynsbegäran.docx", "A 42352-2021")</f>
        <v/>
      </c>
      <c r="Y131">
        <f>HYPERLINK("https://klasma.github.io/Logging_2480/tillsynsmail/A 42352-2021 tillsynsbegäran mail.docx", "A 42352-2021")</f>
        <v/>
      </c>
    </row>
    <row r="132" ht="15" customHeight="1">
      <c r="A132" t="inlineStr">
        <is>
          <t>A 42939-2025</t>
        </is>
      </c>
      <c r="B132" s="1" t="n">
        <v>45909</v>
      </c>
      <c r="C132" s="1" t="n">
        <v>46193</v>
      </c>
      <c r="D132" t="inlineStr">
        <is>
          <t>VÄSTERBOTTENS LÄN</t>
        </is>
      </c>
      <c r="E132" t="inlineStr">
        <is>
          <t>UMEÅ</t>
        </is>
      </c>
      <c r="G132" t="n">
        <v>1</v>
      </c>
      <c r="H132" t="n">
        <v>1</v>
      </c>
      <c r="I132" t="n">
        <v>0</v>
      </c>
      <c r="J132" t="n">
        <v>0</v>
      </c>
      <c r="K132" t="n">
        <v>0</v>
      </c>
      <c r="L132" t="n">
        <v>0</v>
      </c>
      <c r="M132" t="n">
        <v>0</v>
      </c>
      <c r="N132" t="n">
        <v>0</v>
      </c>
      <c r="O132" t="n">
        <v>0</v>
      </c>
      <c r="P132" t="n">
        <v>0</v>
      </c>
      <c r="Q132" t="n">
        <v>1</v>
      </c>
      <c r="R132" s="2" t="inlineStr">
        <is>
          <t>Fläcknycklar</t>
        </is>
      </c>
      <c r="S132">
        <f>HYPERLINK("https://klasma.github.io/Logging_2480/artfynd/A 42939-2025 artfynd.xlsx", "A 42939-2025")</f>
        <v/>
      </c>
      <c r="T132">
        <f>HYPERLINK("https://klasma.github.io/Logging_2480/kartor/A 42939-2025 karta.png", "A 42939-2025")</f>
        <v/>
      </c>
      <c r="V132">
        <f>HYPERLINK("https://klasma.github.io/Logging_2480/klagomål/A 42939-2025 FSC-klagomål.docx", "A 42939-2025")</f>
        <v/>
      </c>
      <c r="W132">
        <f>HYPERLINK("https://klasma.github.io/Logging_2480/klagomålsmail/A 42939-2025 FSC-klagomål mail.docx", "A 42939-2025")</f>
        <v/>
      </c>
      <c r="X132">
        <f>HYPERLINK("https://klasma.github.io/Logging_2480/tillsyn/A 42939-2025 tillsynsbegäran.docx", "A 42939-2025")</f>
        <v/>
      </c>
      <c r="Y132">
        <f>HYPERLINK("https://klasma.github.io/Logging_2480/tillsynsmail/A 42939-2025 tillsynsbegäran mail.docx", "A 42939-2025")</f>
        <v/>
      </c>
    </row>
    <row r="133" ht="15" customHeight="1">
      <c r="A133" t="inlineStr">
        <is>
          <t>A 18703-2024</t>
        </is>
      </c>
      <c r="B133" s="1" t="n">
        <v>45426</v>
      </c>
      <c r="C133" s="1" t="n">
        <v>46193</v>
      </c>
      <c r="D133" t="inlineStr">
        <is>
          <t>VÄSTERBOTTENS LÄN</t>
        </is>
      </c>
      <c r="E133" t="inlineStr">
        <is>
          <t>UMEÅ</t>
        </is>
      </c>
      <c r="F133" t="inlineStr">
        <is>
          <t>Holmen skog AB</t>
        </is>
      </c>
      <c r="G133" t="n">
        <v>2</v>
      </c>
      <c r="H133" t="n">
        <v>1</v>
      </c>
      <c r="I133" t="n">
        <v>0</v>
      </c>
      <c r="J133" t="n">
        <v>0</v>
      </c>
      <c r="K133" t="n">
        <v>0</v>
      </c>
      <c r="L133" t="n">
        <v>0</v>
      </c>
      <c r="M133" t="n">
        <v>0</v>
      </c>
      <c r="N133" t="n">
        <v>0</v>
      </c>
      <c r="O133" t="n">
        <v>0</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44751-2025</t>
        </is>
      </c>
      <c r="B134" s="1" t="n">
        <v>45917</v>
      </c>
      <c r="C134" s="1" t="n">
        <v>46193</v>
      </c>
      <c r="D134" t="inlineStr">
        <is>
          <t>VÄSTERBOTTENS LÄN</t>
        </is>
      </c>
      <c r="E134" t="inlineStr">
        <is>
          <t>UMEÅ</t>
        </is>
      </c>
      <c r="G134" t="n">
        <v>9.1</v>
      </c>
      <c r="H134" t="n">
        <v>0</v>
      </c>
      <c r="I134" t="n">
        <v>0</v>
      </c>
      <c r="J134" t="n">
        <v>1</v>
      </c>
      <c r="K134" t="n">
        <v>0</v>
      </c>
      <c r="L134" t="n">
        <v>0</v>
      </c>
      <c r="M134" t="n">
        <v>0</v>
      </c>
      <c r="N134" t="n">
        <v>0</v>
      </c>
      <c r="O134" t="n">
        <v>1</v>
      </c>
      <c r="P134" t="n">
        <v>0</v>
      </c>
      <c r="Q134" t="n">
        <v>1</v>
      </c>
      <c r="R134" s="2" t="inlineStr">
        <is>
          <t>Småflikig brosklav</t>
        </is>
      </c>
      <c r="S134">
        <f>HYPERLINK("https://klasma.github.io/Logging_2480/artfynd/A 44751-2025 artfynd.xlsx", "A 44751-2025")</f>
        <v/>
      </c>
      <c r="T134">
        <f>HYPERLINK("https://klasma.github.io/Logging_2480/kartor/A 44751-2025 karta.png", "A 44751-2025")</f>
        <v/>
      </c>
      <c r="V134">
        <f>HYPERLINK("https://klasma.github.io/Logging_2480/klagomål/A 44751-2025 FSC-klagomål.docx", "A 44751-2025")</f>
        <v/>
      </c>
      <c r="W134">
        <f>HYPERLINK("https://klasma.github.io/Logging_2480/klagomålsmail/A 44751-2025 FSC-klagomål mail.docx", "A 44751-2025")</f>
        <v/>
      </c>
      <c r="X134">
        <f>HYPERLINK("https://klasma.github.io/Logging_2480/tillsyn/A 44751-2025 tillsynsbegäran.docx", "A 44751-2025")</f>
        <v/>
      </c>
      <c r="Y134">
        <f>HYPERLINK("https://klasma.github.io/Logging_2480/tillsynsmail/A 44751-2025 tillsynsbegäran mail.docx", "A 44751-2025")</f>
        <v/>
      </c>
    </row>
    <row r="135" ht="15" customHeight="1">
      <c r="A135" t="inlineStr">
        <is>
          <t>A 56135-2024</t>
        </is>
      </c>
      <c r="B135" s="1" t="n">
        <v>45624</v>
      </c>
      <c r="C135" s="1" t="n">
        <v>46193</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43519-2022</t>
        </is>
      </c>
      <c r="B136" s="1" t="n">
        <v>44837</v>
      </c>
      <c r="C136" s="1" t="n">
        <v>46193</v>
      </c>
      <c r="D136" t="inlineStr">
        <is>
          <t>VÄSTERBOTTENS LÄN</t>
        </is>
      </c>
      <c r="E136" t="inlineStr">
        <is>
          <t>UMEÅ</t>
        </is>
      </c>
      <c r="G136" t="n">
        <v>4.2</v>
      </c>
      <c r="H136" t="n">
        <v>0</v>
      </c>
      <c r="I136" t="n">
        <v>0</v>
      </c>
      <c r="J136" t="n">
        <v>1</v>
      </c>
      <c r="K136" t="n">
        <v>0</v>
      </c>
      <c r="L136" t="n">
        <v>0</v>
      </c>
      <c r="M136" t="n">
        <v>0</v>
      </c>
      <c r="N136" t="n">
        <v>0</v>
      </c>
      <c r="O136" t="n">
        <v>1</v>
      </c>
      <c r="P136" t="n">
        <v>0</v>
      </c>
      <c r="Q136" t="n">
        <v>1</v>
      </c>
      <c r="R136" s="2" t="inlineStr">
        <is>
          <t>Skogshare</t>
        </is>
      </c>
      <c r="S136">
        <f>HYPERLINK("https://klasma.github.io/Logging_2480/artfynd/A 43519-2022 artfynd.xlsx", "A 43519-2022")</f>
        <v/>
      </c>
      <c r="T136">
        <f>HYPERLINK("https://klasma.github.io/Logging_2480/kartor/A 43519-2022 karta.png", "A 43519-2022")</f>
        <v/>
      </c>
      <c r="V136">
        <f>HYPERLINK("https://klasma.github.io/Logging_2480/klagomål/A 43519-2022 FSC-klagomål.docx", "A 43519-2022")</f>
        <v/>
      </c>
      <c r="W136">
        <f>HYPERLINK("https://klasma.github.io/Logging_2480/klagomålsmail/A 43519-2022 FSC-klagomål mail.docx", "A 43519-2022")</f>
        <v/>
      </c>
      <c r="X136">
        <f>HYPERLINK("https://klasma.github.io/Logging_2480/tillsyn/A 43519-2022 tillsynsbegäran.docx", "A 43519-2022")</f>
        <v/>
      </c>
      <c r="Y136">
        <f>HYPERLINK("https://klasma.github.io/Logging_2480/tillsynsmail/A 43519-2022 tillsynsbegäran mail.docx", "A 43519-2022")</f>
        <v/>
      </c>
    </row>
    <row r="137" ht="15" customHeight="1">
      <c r="A137" t="inlineStr">
        <is>
          <t>A 13768-2023</t>
        </is>
      </c>
      <c r="B137" s="1" t="n">
        <v>45006</v>
      </c>
      <c r="C137" s="1" t="n">
        <v>46193</v>
      </c>
      <c r="D137" t="inlineStr">
        <is>
          <t>VÄSTERBOTTENS LÄN</t>
        </is>
      </c>
      <c r="E137" t="inlineStr">
        <is>
          <t>UMEÅ</t>
        </is>
      </c>
      <c r="F137" t="inlineStr">
        <is>
          <t>Kommuner</t>
        </is>
      </c>
      <c r="G137" t="n">
        <v>1.1</v>
      </c>
      <c r="H137" t="n">
        <v>1</v>
      </c>
      <c r="I137" t="n">
        <v>1</v>
      </c>
      <c r="J137" t="n">
        <v>0</v>
      </c>
      <c r="K137" t="n">
        <v>0</v>
      </c>
      <c r="L137" t="n">
        <v>0</v>
      </c>
      <c r="M137" t="n">
        <v>0</v>
      </c>
      <c r="N137" t="n">
        <v>0</v>
      </c>
      <c r="O137" t="n">
        <v>0</v>
      </c>
      <c r="P137" t="n">
        <v>0</v>
      </c>
      <c r="Q137" t="n">
        <v>1</v>
      </c>
      <c r="R137" s="2" t="inlineStr">
        <is>
          <t>Plattlummer</t>
        </is>
      </c>
      <c r="S137">
        <f>HYPERLINK("https://klasma.github.io/Logging_2480/artfynd/A 13768-2023 artfynd.xlsx", "A 13768-2023")</f>
        <v/>
      </c>
      <c r="T137">
        <f>HYPERLINK("https://klasma.github.io/Logging_2480/kartor/A 13768-2023 karta.png", "A 13768-2023")</f>
        <v/>
      </c>
      <c r="V137">
        <f>HYPERLINK("https://klasma.github.io/Logging_2480/klagomål/A 13768-2023 FSC-klagomål.docx", "A 13768-2023")</f>
        <v/>
      </c>
      <c r="W137">
        <f>HYPERLINK("https://klasma.github.io/Logging_2480/klagomålsmail/A 13768-2023 FSC-klagomål mail.docx", "A 13768-2023")</f>
        <v/>
      </c>
      <c r="X137">
        <f>HYPERLINK("https://klasma.github.io/Logging_2480/tillsyn/A 13768-2023 tillsynsbegäran.docx", "A 13768-2023")</f>
        <v/>
      </c>
      <c r="Y137">
        <f>HYPERLINK("https://klasma.github.io/Logging_2480/tillsynsmail/A 13768-2023 tillsynsbegäran mail.docx", "A 13768-2023")</f>
        <v/>
      </c>
    </row>
    <row r="138" ht="15" customHeight="1">
      <c r="A138" t="inlineStr">
        <is>
          <t>A 10945-2025</t>
        </is>
      </c>
      <c r="B138" s="1" t="n">
        <v>45723</v>
      </c>
      <c r="C138" s="1" t="n">
        <v>46193</v>
      </c>
      <c r="D138" t="inlineStr">
        <is>
          <t>VÄSTERBOTTENS LÄN</t>
        </is>
      </c>
      <c r="E138" t="inlineStr">
        <is>
          <t>UMEÅ</t>
        </is>
      </c>
      <c r="G138" t="n">
        <v>1.6</v>
      </c>
      <c r="H138" t="n">
        <v>0</v>
      </c>
      <c r="I138" t="n">
        <v>0</v>
      </c>
      <c r="J138" t="n">
        <v>0</v>
      </c>
      <c r="K138" t="n">
        <v>1</v>
      </c>
      <c r="L138" t="n">
        <v>0</v>
      </c>
      <c r="M138" t="n">
        <v>0</v>
      </c>
      <c r="N138" t="n">
        <v>0</v>
      </c>
      <c r="O138" t="n">
        <v>1</v>
      </c>
      <c r="P138" t="n">
        <v>1</v>
      </c>
      <c r="Q138" t="n">
        <v>1</v>
      </c>
      <c r="R138" s="2" t="inlineStr">
        <is>
          <t>Garnlav</t>
        </is>
      </c>
      <c r="S138">
        <f>HYPERLINK("https://klasma.github.io/Logging_2480/artfynd/A 10945-2025 artfynd.xlsx", "A 10945-2025")</f>
        <v/>
      </c>
      <c r="T138">
        <f>HYPERLINK("https://klasma.github.io/Logging_2480/kartor/A 10945-2025 karta.png", "A 10945-2025")</f>
        <v/>
      </c>
      <c r="V138">
        <f>HYPERLINK("https://klasma.github.io/Logging_2480/klagomål/A 10945-2025 FSC-klagomål.docx", "A 10945-2025")</f>
        <v/>
      </c>
      <c r="W138">
        <f>HYPERLINK("https://klasma.github.io/Logging_2480/klagomålsmail/A 10945-2025 FSC-klagomål mail.docx", "A 10945-2025")</f>
        <v/>
      </c>
      <c r="X138">
        <f>HYPERLINK("https://klasma.github.io/Logging_2480/tillsyn/A 10945-2025 tillsynsbegäran.docx", "A 10945-2025")</f>
        <v/>
      </c>
      <c r="Y138">
        <f>HYPERLINK("https://klasma.github.io/Logging_2480/tillsynsmail/A 10945-2025 tillsynsbegäran mail.docx", "A 10945-2025")</f>
        <v/>
      </c>
    </row>
    <row r="139" ht="15" customHeight="1">
      <c r="A139" t="inlineStr">
        <is>
          <t>A 49312-2025</t>
        </is>
      </c>
      <c r="B139" s="1" t="n">
        <v>45938</v>
      </c>
      <c r="C139" s="1" t="n">
        <v>46193</v>
      </c>
      <c r="D139" t="inlineStr">
        <is>
          <t>VÄSTERBOTTENS LÄN</t>
        </is>
      </c>
      <c r="E139" t="inlineStr">
        <is>
          <t>UMEÅ</t>
        </is>
      </c>
      <c r="F139" t="inlineStr">
        <is>
          <t>Sveaskog</t>
        </is>
      </c>
      <c r="G139" t="n">
        <v>30.6</v>
      </c>
      <c r="H139" t="n">
        <v>1</v>
      </c>
      <c r="I139" t="n">
        <v>0</v>
      </c>
      <c r="J139" t="n">
        <v>1</v>
      </c>
      <c r="K139" t="n">
        <v>0</v>
      </c>
      <c r="L139" t="n">
        <v>0</v>
      </c>
      <c r="M139" t="n">
        <v>0</v>
      </c>
      <c r="N139" t="n">
        <v>0</v>
      </c>
      <c r="O139" t="n">
        <v>1</v>
      </c>
      <c r="P139" t="n">
        <v>0</v>
      </c>
      <c r="Q139" t="n">
        <v>1</v>
      </c>
      <c r="R139" s="2" t="inlineStr">
        <is>
          <t>Talltita</t>
        </is>
      </c>
      <c r="S139">
        <f>HYPERLINK("https://klasma.github.io/Logging_2480/artfynd/A 49312-2025 artfynd.xlsx", "A 49312-2025")</f>
        <v/>
      </c>
      <c r="T139">
        <f>HYPERLINK("https://klasma.github.io/Logging_2480/kartor/A 49312-2025 karta.png", "A 49312-2025")</f>
        <v/>
      </c>
      <c r="V139">
        <f>HYPERLINK("https://klasma.github.io/Logging_2480/klagomål/A 49312-2025 FSC-klagomål.docx", "A 49312-2025")</f>
        <v/>
      </c>
      <c r="W139">
        <f>HYPERLINK("https://klasma.github.io/Logging_2480/klagomålsmail/A 49312-2025 FSC-klagomål mail.docx", "A 49312-2025")</f>
        <v/>
      </c>
      <c r="X139">
        <f>HYPERLINK("https://klasma.github.io/Logging_2480/tillsyn/A 49312-2025 tillsynsbegäran.docx", "A 49312-2025")</f>
        <v/>
      </c>
      <c r="Y139">
        <f>HYPERLINK("https://klasma.github.io/Logging_2480/tillsynsmail/A 49312-2025 tillsynsbegäran mail.docx", "A 49312-2025")</f>
        <v/>
      </c>
      <c r="Z139">
        <f>HYPERLINK("https://klasma.github.io/Logging_2480/fåglar/A 49312-2025 prioriterade fågelarter.docx", "A 49312-2025")</f>
        <v/>
      </c>
    </row>
    <row r="140" ht="15" customHeight="1">
      <c r="A140" t="inlineStr">
        <is>
          <t>A 49497-2025</t>
        </is>
      </c>
      <c r="B140" s="1" t="n">
        <v>45939</v>
      </c>
      <c r="C140" s="1" t="n">
        <v>46193</v>
      </c>
      <c r="D140" t="inlineStr">
        <is>
          <t>VÄSTERBOTTENS LÄN</t>
        </is>
      </c>
      <c r="E140" t="inlineStr">
        <is>
          <t>UMEÅ</t>
        </is>
      </c>
      <c r="G140" t="n">
        <v>17.2</v>
      </c>
      <c r="H140" t="n">
        <v>0</v>
      </c>
      <c r="I140" t="n">
        <v>1</v>
      </c>
      <c r="J140" t="n">
        <v>0</v>
      </c>
      <c r="K140" t="n">
        <v>0</v>
      </c>
      <c r="L140" t="n">
        <v>0</v>
      </c>
      <c r="M140" t="n">
        <v>0</v>
      </c>
      <c r="N140" t="n">
        <v>0</v>
      </c>
      <c r="O140" t="n">
        <v>0</v>
      </c>
      <c r="P140" t="n">
        <v>0</v>
      </c>
      <c r="Q140" t="n">
        <v>1</v>
      </c>
      <c r="R140" s="2" t="inlineStr">
        <is>
          <t>Trådticka</t>
        </is>
      </c>
      <c r="S140">
        <f>HYPERLINK("https://klasma.github.io/Logging_2480/artfynd/A 49497-2025 artfynd.xlsx", "A 49497-2025")</f>
        <v/>
      </c>
      <c r="T140">
        <f>HYPERLINK("https://klasma.github.io/Logging_2480/kartor/A 49497-2025 karta.png", "A 49497-2025")</f>
        <v/>
      </c>
      <c r="V140">
        <f>HYPERLINK("https://klasma.github.io/Logging_2480/klagomål/A 49497-2025 FSC-klagomål.docx", "A 49497-2025")</f>
        <v/>
      </c>
      <c r="W140">
        <f>HYPERLINK("https://klasma.github.io/Logging_2480/klagomålsmail/A 49497-2025 FSC-klagomål mail.docx", "A 49497-2025")</f>
        <v/>
      </c>
      <c r="X140">
        <f>HYPERLINK("https://klasma.github.io/Logging_2480/tillsyn/A 49497-2025 tillsynsbegäran.docx", "A 49497-2025")</f>
        <v/>
      </c>
      <c r="Y140">
        <f>HYPERLINK("https://klasma.github.io/Logging_2480/tillsynsmail/A 49497-2025 tillsynsbegäran mail.docx", "A 49497-2025")</f>
        <v/>
      </c>
    </row>
    <row r="141" ht="15" customHeight="1">
      <c r="A141" t="inlineStr">
        <is>
          <t>A 30050-2024</t>
        </is>
      </c>
      <c r="B141" s="1" t="n">
        <v>45488</v>
      </c>
      <c r="C141" s="1" t="n">
        <v>46193</v>
      </c>
      <c r="D141" t="inlineStr">
        <is>
          <t>VÄSTERBOTTENS LÄN</t>
        </is>
      </c>
      <c r="E141" t="inlineStr">
        <is>
          <t>UMEÅ</t>
        </is>
      </c>
      <c r="G141" t="n">
        <v>2.6</v>
      </c>
      <c r="H141" t="n">
        <v>1</v>
      </c>
      <c r="I141" t="n">
        <v>0</v>
      </c>
      <c r="J141" t="n">
        <v>0</v>
      </c>
      <c r="K141" t="n">
        <v>0</v>
      </c>
      <c r="L141" t="n">
        <v>0</v>
      </c>
      <c r="M141" t="n">
        <v>0</v>
      </c>
      <c r="N141" t="n">
        <v>0</v>
      </c>
      <c r="O141" t="n">
        <v>0</v>
      </c>
      <c r="P141" t="n">
        <v>0</v>
      </c>
      <c r="Q141" t="n">
        <v>1</v>
      </c>
      <c r="R141" s="2" t="inlineStr">
        <is>
          <t>Kungsfågel</t>
        </is>
      </c>
      <c r="S141">
        <f>HYPERLINK("https://klasma.github.io/Logging_2480/artfynd/A 30050-2024 artfynd.xlsx", "A 30050-2024")</f>
        <v/>
      </c>
      <c r="T141">
        <f>HYPERLINK("https://klasma.github.io/Logging_2480/kartor/A 30050-2024 karta.png", "A 30050-2024")</f>
        <v/>
      </c>
      <c r="V141">
        <f>HYPERLINK("https://klasma.github.io/Logging_2480/klagomål/A 30050-2024 FSC-klagomål.docx", "A 30050-2024")</f>
        <v/>
      </c>
      <c r="W141">
        <f>HYPERLINK("https://klasma.github.io/Logging_2480/klagomålsmail/A 30050-2024 FSC-klagomål mail.docx", "A 30050-2024")</f>
        <v/>
      </c>
      <c r="X141">
        <f>HYPERLINK("https://klasma.github.io/Logging_2480/tillsyn/A 30050-2024 tillsynsbegäran.docx", "A 30050-2024")</f>
        <v/>
      </c>
      <c r="Y141">
        <f>HYPERLINK("https://klasma.github.io/Logging_2480/tillsynsmail/A 30050-2024 tillsynsbegäran mail.docx", "A 30050-2024")</f>
        <v/>
      </c>
      <c r="Z141">
        <f>HYPERLINK("https://klasma.github.io/Logging_2480/fåglar/A 30050-2024 prioriterade fågelarter.docx", "A 30050-2024")</f>
        <v/>
      </c>
    </row>
    <row r="142" ht="15" customHeight="1">
      <c r="A142" t="inlineStr">
        <is>
          <t>A 7050-2024</t>
        </is>
      </c>
      <c r="B142" s="1" t="n">
        <v>45343</v>
      </c>
      <c r="C142" s="1" t="n">
        <v>46193</v>
      </c>
      <c r="D142" t="inlineStr">
        <is>
          <t>VÄSTERBOTTENS LÄN</t>
        </is>
      </c>
      <c r="E142" t="inlineStr">
        <is>
          <t>UMEÅ</t>
        </is>
      </c>
      <c r="G142" t="n">
        <v>6.5</v>
      </c>
      <c r="H142" t="n">
        <v>1</v>
      </c>
      <c r="I142" t="n">
        <v>0</v>
      </c>
      <c r="J142" t="n">
        <v>1</v>
      </c>
      <c r="K142" t="n">
        <v>0</v>
      </c>
      <c r="L142" t="n">
        <v>0</v>
      </c>
      <c r="M142" t="n">
        <v>0</v>
      </c>
      <c r="N142" t="n">
        <v>0</v>
      </c>
      <c r="O142" t="n">
        <v>1</v>
      </c>
      <c r="P142" t="n">
        <v>0</v>
      </c>
      <c r="Q142" t="n">
        <v>1</v>
      </c>
      <c r="R142" s="2" t="inlineStr">
        <is>
          <t>Talltita</t>
        </is>
      </c>
      <c r="S142">
        <f>HYPERLINK("https://klasma.github.io/Logging_2480/artfynd/A 7050-2024 artfynd.xlsx", "A 7050-2024")</f>
        <v/>
      </c>
      <c r="T142">
        <f>HYPERLINK("https://klasma.github.io/Logging_2480/kartor/A 7050-2024 karta.png", "A 7050-2024")</f>
        <v/>
      </c>
      <c r="V142">
        <f>HYPERLINK("https://klasma.github.io/Logging_2480/klagomål/A 7050-2024 FSC-klagomål.docx", "A 7050-2024")</f>
        <v/>
      </c>
      <c r="W142">
        <f>HYPERLINK("https://klasma.github.io/Logging_2480/klagomålsmail/A 7050-2024 FSC-klagomål mail.docx", "A 7050-2024")</f>
        <v/>
      </c>
      <c r="X142">
        <f>HYPERLINK("https://klasma.github.io/Logging_2480/tillsyn/A 7050-2024 tillsynsbegäran.docx", "A 7050-2024")</f>
        <v/>
      </c>
      <c r="Y142">
        <f>HYPERLINK("https://klasma.github.io/Logging_2480/tillsynsmail/A 7050-2024 tillsynsbegäran mail.docx", "A 7050-2024")</f>
        <v/>
      </c>
      <c r="Z142">
        <f>HYPERLINK("https://klasma.github.io/Logging_2480/fåglar/A 7050-2024 prioriterade fågelarter.docx", "A 7050-2024")</f>
        <v/>
      </c>
    </row>
    <row r="143" ht="15" customHeight="1">
      <c r="A143" t="inlineStr">
        <is>
          <t>A 28262-2023</t>
        </is>
      </c>
      <c r="B143" s="1" t="n">
        <v>45099</v>
      </c>
      <c r="C143" s="1" t="n">
        <v>46193</v>
      </c>
      <c r="D143" t="inlineStr">
        <is>
          <t>VÄSTERBOTTENS LÄN</t>
        </is>
      </c>
      <c r="E143" t="inlineStr">
        <is>
          <t>UMEÅ</t>
        </is>
      </c>
      <c r="F143" t="inlineStr">
        <is>
          <t>Holmen skog AB</t>
        </is>
      </c>
      <c r="G143" t="n">
        <v>2.6</v>
      </c>
      <c r="H143" t="n">
        <v>0</v>
      </c>
      <c r="I143" t="n">
        <v>1</v>
      </c>
      <c r="J143" t="n">
        <v>0</v>
      </c>
      <c r="K143" t="n">
        <v>0</v>
      </c>
      <c r="L143" t="n">
        <v>0</v>
      </c>
      <c r="M143" t="n">
        <v>0</v>
      </c>
      <c r="N143" t="n">
        <v>0</v>
      </c>
      <c r="O143" t="n">
        <v>0</v>
      </c>
      <c r="P143" t="n">
        <v>0</v>
      </c>
      <c r="Q143" t="n">
        <v>1</v>
      </c>
      <c r="R143" s="2" t="inlineStr">
        <is>
          <t>Gulskölding</t>
        </is>
      </c>
      <c r="S143">
        <f>HYPERLINK("https://klasma.github.io/Logging_2480/artfynd/A 28262-2023 artfynd.xlsx", "A 28262-2023")</f>
        <v/>
      </c>
      <c r="T143">
        <f>HYPERLINK("https://klasma.github.io/Logging_2480/kartor/A 28262-2023 karta.png", "A 28262-2023")</f>
        <v/>
      </c>
      <c r="V143">
        <f>HYPERLINK("https://klasma.github.io/Logging_2480/klagomål/A 28262-2023 FSC-klagomål.docx", "A 28262-2023")</f>
        <v/>
      </c>
      <c r="W143">
        <f>HYPERLINK("https://klasma.github.io/Logging_2480/klagomålsmail/A 28262-2023 FSC-klagomål mail.docx", "A 28262-2023")</f>
        <v/>
      </c>
      <c r="X143">
        <f>HYPERLINK("https://klasma.github.io/Logging_2480/tillsyn/A 28262-2023 tillsynsbegäran.docx", "A 28262-2023")</f>
        <v/>
      </c>
      <c r="Y143">
        <f>HYPERLINK("https://klasma.github.io/Logging_2480/tillsynsmail/A 28262-2023 tillsynsbegäran mail.docx", "A 28262-2023")</f>
        <v/>
      </c>
    </row>
    <row r="144" ht="15" customHeight="1">
      <c r="A144" t="inlineStr">
        <is>
          <t>A 40851-2024</t>
        </is>
      </c>
      <c r="B144" s="1" t="n">
        <v>45558</v>
      </c>
      <c r="C144" s="1" t="n">
        <v>46193</v>
      </c>
      <c r="D144" t="inlineStr">
        <is>
          <t>VÄSTERBOTTENS LÄN</t>
        </is>
      </c>
      <c r="E144" t="inlineStr">
        <is>
          <t>UMEÅ</t>
        </is>
      </c>
      <c r="G144" t="n">
        <v>2.9</v>
      </c>
      <c r="H144" t="n">
        <v>1</v>
      </c>
      <c r="I144" t="n">
        <v>0</v>
      </c>
      <c r="J144" t="n">
        <v>0</v>
      </c>
      <c r="K144" t="n">
        <v>0</v>
      </c>
      <c r="L144" t="n">
        <v>0</v>
      </c>
      <c r="M144" t="n">
        <v>0</v>
      </c>
      <c r="N144" t="n">
        <v>0</v>
      </c>
      <c r="O144" t="n">
        <v>0</v>
      </c>
      <c r="P144" t="n">
        <v>0</v>
      </c>
      <c r="Q144" t="n">
        <v>1</v>
      </c>
      <c r="R144" s="2" t="inlineStr">
        <is>
          <t>Havsörn</t>
        </is>
      </c>
      <c r="S144">
        <f>HYPERLINK("https://klasma.github.io/Logging_2480/artfynd/A 40851-2024 artfynd.xlsx", "A 40851-2024")</f>
        <v/>
      </c>
      <c r="T144">
        <f>HYPERLINK("https://klasma.github.io/Logging_2480/kartor/A 40851-2024 karta.png", "A 40851-2024")</f>
        <v/>
      </c>
      <c r="V144">
        <f>HYPERLINK("https://klasma.github.io/Logging_2480/klagomål/A 40851-2024 FSC-klagomål.docx", "A 40851-2024")</f>
        <v/>
      </c>
      <c r="W144">
        <f>HYPERLINK("https://klasma.github.io/Logging_2480/klagomålsmail/A 40851-2024 FSC-klagomål mail.docx", "A 40851-2024")</f>
        <v/>
      </c>
      <c r="X144">
        <f>HYPERLINK("https://klasma.github.io/Logging_2480/tillsyn/A 40851-2024 tillsynsbegäran.docx", "A 40851-2024")</f>
        <v/>
      </c>
      <c r="Y144">
        <f>HYPERLINK("https://klasma.github.io/Logging_2480/tillsynsmail/A 40851-2024 tillsynsbegäran mail.docx", "A 40851-2024")</f>
        <v/>
      </c>
      <c r="Z144">
        <f>HYPERLINK("https://klasma.github.io/Logging_2480/fåglar/A 40851-2024 prioriterade fågelarter.docx", "A 40851-2024")</f>
        <v/>
      </c>
    </row>
    <row r="145" ht="15" customHeight="1">
      <c r="A145" t="inlineStr">
        <is>
          <t>A 32464-2023</t>
        </is>
      </c>
      <c r="B145" s="1" t="n">
        <v>45120</v>
      </c>
      <c r="C145" s="1" t="n">
        <v>46193</v>
      </c>
      <c r="D145" t="inlineStr">
        <is>
          <t>VÄSTERBOTTENS LÄN</t>
        </is>
      </c>
      <c r="E145" t="inlineStr">
        <is>
          <t>UMEÅ</t>
        </is>
      </c>
      <c r="G145" t="n">
        <v>1.9</v>
      </c>
      <c r="H145" t="n">
        <v>1</v>
      </c>
      <c r="I145" t="n">
        <v>0</v>
      </c>
      <c r="J145" t="n">
        <v>1</v>
      </c>
      <c r="K145" t="n">
        <v>0</v>
      </c>
      <c r="L145" t="n">
        <v>0</v>
      </c>
      <c r="M145" t="n">
        <v>0</v>
      </c>
      <c r="N145" t="n">
        <v>0</v>
      </c>
      <c r="O145" t="n">
        <v>1</v>
      </c>
      <c r="P145" t="n">
        <v>0</v>
      </c>
      <c r="Q145" t="n">
        <v>1</v>
      </c>
      <c r="R145" s="2" t="inlineStr">
        <is>
          <t>Drillsnäppa</t>
        </is>
      </c>
      <c r="S145">
        <f>HYPERLINK("https://klasma.github.io/Logging_2480/artfynd/A 32464-2023 artfynd.xlsx", "A 32464-2023")</f>
        <v/>
      </c>
      <c r="T145">
        <f>HYPERLINK("https://klasma.github.io/Logging_2480/kartor/A 32464-2023 karta.png", "A 32464-2023")</f>
        <v/>
      </c>
      <c r="V145">
        <f>HYPERLINK("https://klasma.github.io/Logging_2480/klagomål/A 32464-2023 FSC-klagomål.docx", "A 32464-2023")</f>
        <v/>
      </c>
      <c r="W145">
        <f>HYPERLINK("https://klasma.github.io/Logging_2480/klagomålsmail/A 32464-2023 FSC-klagomål mail.docx", "A 32464-2023")</f>
        <v/>
      </c>
      <c r="X145">
        <f>HYPERLINK("https://klasma.github.io/Logging_2480/tillsyn/A 32464-2023 tillsynsbegäran.docx", "A 32464-2023")</f>
        <v/>
      </c>
      <c r="Y145">
        <f>HYPERLINK("https://klasma.github.io/Logging_2480/tillsynsmail/A 32464-2023 tillsynsbegäran mail.docx", "A 32464-2023")</f>
        <v/>
      </c>
    </row>
    <row r="146" ht="15" customHeight="1">
      <c r="A146" t="inlineStr">
        <is>
          <t>A 33206-2025</t>
        </is>
      </c>
      <c r="B146" s="1" t="n">
        <v>45840</v>
      </c>
      <c r="C146" s="1" t="n">
        <v>46193</v>
      </c>
      <c r="D146" t="inlineStr">
        <is>
          <t>VÄSTERBOTTENS LÄN</t>
        </is>
      </c>
      <c r="E146" t="inlineStr">
        <is>
          <t>UMEÅ</t>
        </is>
      </c>
      <c r="G146" t="n">
        <v>3</v>
      </c>
      <c r="H146" t="n">
        <v>0</v>
      </c>
      <c r="I146" t="n">
        <v>0</v>
      </c>
      <c r="J146" t="n">
        <v>1</v>
      </c>
      <c r="K146" t="n">
        <v>0</v>
      </c>
      <c r="L146" t="n">
        <v>0</v>
      </c>
      <c r="M146" t="n">
        <v>0</v>
      </c>
      <c r="N146" t="n">
        <v>0</v>
      </c>
      <c r="O146" t="n">
        <v>1</v>
      </c>
      <c r="P146" t="n">
        <v>0</v>
      </c>
      <c r="Q146" t="n">
        <v>1</v>
      </c>
      <c r="R146" s="2" t="inlineStr">
        <is>
          <t>Rosenticka</t>
        </is>
      </c>
      <c r="S146">
        <f>HYPERLINK("https://klasma.github.io/Logging_2480/artfynd/A 33206-2025 artfynd.xlsx", "A 33206-2025")</f>
        <v/>
      </c>
      <c r="T146">
        <f>HYPERLINK("https://klasma.github.io/Logging_2480/kartor/A 33206-2025 karta.png", "A 33206-2025")</f>
        <v/>
      </c>
      <c r="V146">
        <f>HYPERLINK("https://klasma.github.io/Logging_2480/klagomål/A 33206-2025 FSC-klagomål.docx", "A 33206-2025")</f>
        <v/>
      </c>
      <c r="W146">
        <f>HYPERLINK("https://klasma.github.io/Logging_2480/klagomålsmail/A 33206-2025 FSC-klagomål mail.docx", "A 33206-2025")</f>
        <v/>
      </c>
      <c r="X146">
        <f>HYPERLINK("https://klasma.github.io/Logging_2480/tillsyn/A 33206-2025 tillsynsbegäran.docx", "A 33206-2025")</f>
        <v/>
      </c>
      <c r="Y146">
        <f>HYPERLINK("https://klasma.github.io/Logging_2480/tillsynsmail/A 33206-2025 tillsynsbegäran mail.docx", "A 33206-2025")</f>
        <v/>
      </c>
    </row>
    <row r="147" ht="15" customHeight="1">
      <c r="A147" t="inlineStr">
        <is>
          <t>A 29925-2025</t>
        </is>
      </c>
      <c r="B147" s="1" t="n">
        <v>45826</v>
      </c>
      <c r="C147" s="1" t="n">
        <v>46193</v>
      </c>
      <c r="D147" t="inlineStr">
        <is>
          <t>VÄSTERBOTTENS LÄN</t>
        </is>
      </c>
      <c r="E147" t="inlineStr">
        <is>
          <t>UMEÅ</t>
        </is>
      </c>
      <c r="G147" t="n">
        <v>8.4</v>
      </c>
      <c r="H147" t="n">
        <v>0</v>
      </c>
      <c r="I147" t="n">
        <v>1</v>
      </c>
      <c r="J147" t="n">
        <v>0</v>
      </c>
      <c r="K147" t="n">
        <v>0</v>
      </c>
      <c r="L147" t="n">
        <v>0</v>
      </c>
      <c r="M147" t="n">
        <v>0</v>
      </c>
      <c r="N147" t="n">
        <v>0</v>
      </c>
      <c r="O147" t="n">
        <v>0</v>
      </c>
      <c r="P147" t="n">
        <v>0</v>
      </c>
      <c r="Q147" t="n">
        <v>1</v>
      </c>
      <c r="R147" s="2" t="inlineStr">
        <is>
          <t>Vedticka</t>
        </is>
      </c>
      <c r="S147">
        <f>HYPERLINK("https://klasma.github.io/Logging_2480/artfynd/A 29925-2025 artfynd.xlsx", "A 29925-2025")</f>
        <v/>
      </c>
      <c r="T147">
        <f>HYPERLINK("https://klasma.github.io/Logging_2480/kartor/A 29925-2025 karta.png", "A 29925-2025")</f>
        <v/>
      </c>
      <c r="V147">
        <f>HYPERLINK("https://klasma.github.io/Logging_2480/klagomål/A 29925-2025 FSC-klagomål.docx", "A 29925-2025")</f>
        <v/>
      </c>
      <c r="W147">
        <f>HYPERLINK("https://klasma.github.io/Logging_2480/klagomålsmail/A 29925-2025 FSC-klagomål mail.docx", "A 29925-2025")</f>
        <v/>
      </c>
      <c r="X147">
        <f>HYPERLINK("https://klasma.github.io/Logging_2480/tillsyn/A 29925-2025 tillsynsbegäran.docx", "A 29925-2025")</f>
        <v/>
      </c>
      <c r="Y147">
        <f>HYPERLINK("https://klasma.github.io/Logging_2480/tillsynsmail/A 29925-2025 tillsynsbegäran mail.docx", "A 29925-2025")</f>
        <v/>
      </c>
    </row>
    <row r="148" ht="15" customHeight="1">
      <c r="A148" t="inlineStr">
        <is>
          <t>A 21131-2026</t>
        </is>
      </c>
      <c r="B148" s="1" t="n">
        <v>46146</v>
      </c>
      <c r="C148" s="1" t="n">
        <v>46193</v>
      </c>
      <c r="D148" t="inlineStr">
        <is>
          <t>VÄSTERBOTTENS LÄN</t>
        </is>
      </c>
      <c r="E148" t="inlineStr">
        <is>
          <t>UMEÅ</t>
        </is>
      </c>
      <c r="F148" t="inlineStr">
        <is>
          <t>Holmen skog AB</t>
        </is>
      </c>
      <c r="G148" t="n">
        <v>10.5</v>
      </c>
      <c r="H148" t="n">
        <v>1</v>
      </c>
      <c r="I148" t="n">
        <v>0</v>
      </c>
      <c r="J148" t="n">
        <v>0</v>
      </c>
      <c r="K148" t="n">
        <v>0</v>
      </c>
      <c r="L148" t="n">
        <v>0</v>
      </c>
      <c r="M148" t="n">
        <v>0</v>
      </c>
      <c r="N148" t="n">
        <v>0</v>
      </c>
      <c r="O148" t="n">
        <v>0</v>
      </c>
      <c r="P148" t="n">
        <v>0</v>
      </c>
      <c r="Q148" t="n">
        <v>1</v>
      </c>
      <c r="R148" s="2" t="inlineStr">
        <is>
          <t>Fläcknycklar</t>
        </is>
      </c>
      <c r="S148">
        <f>HYPERLINK("https://klasma.github.io/Logging_2480/artfynd/A 21131-2026 artfynd.xlsx", "A 21131-2026")</f>
        <v/>
      </c>
      <c r="T148">
        <f>HYPERLINK("https://klasma.github.io/Logging_2480/kartor/A 21131-2026 karta.png", "A 21131-2026")</f>
        <v/>
      </c>
      <c r="V148">
        <f>HYPERLINK("https://klasma.github.io/Logging_2480/klagomål/A 21131-2026 FSC-klagomål.docx", "A 21131-2026")</f>
        <v/>
      </c>
      <c r="W148">
        <f>HYPERLINK("https://klasma.github.io/Logging_2480/klagomålsmail/A 21131-2026 FSC-klagomål mail.docx", "A 21131-2026")</f>
        <v/>
      </c>
      <c r="X148">
        <f>HYPERLINK("https://klasma.github.io/Logging_2480/tillsyn/A 21131-2026 tillsynsbegäran.docx", "A 21131-2026")</f>
        <v/>
      </c>
      <c r="Y148">
        <f>HYPERLINK("https://klasma.github.io/Logging_2480/tillsynsmail/A 21131-2026 tillsynsbegäran mail.docx", "A 21131-2026")</f>
        <v/>
      </c>
    </row>
    <row r="149" ht="15" customHeight="1">
      <c r="A149" t="inlineStr">
        <is>
          <t>A 57635-2025</t>
        </is>
      </c>
      <c r="B149" s="1" t="n">
        <v>45981</v>
      </c>
      <c r="C149" s="1" t="n">
        <v>46193</v>
      </c>
      <c r="D149" t="inlineStr">
        <is>
          <t>VÄSTERBOTTENS LÄN</t>
        </is>
      </c>
      <c r="E149" t="inlineStr">
        <is>
          <t>UMEÅ</t>
        </is>
      </c>
      <c r="F149" t="inlineStr">
        <is>
          <t>Holmen skog AB</t>
        </is>
      </c>
      <c r="G149" t="n">
        <v>3.5</v>
      </c>
      <c r="H149" t="n">
        <v>0</v>
      </c>
      <c r="I149" t="n">
        <v>0</v>
      </c>
      <c r="J149" t="n">
        <v>1</v>
      </c>
      <c r="K149" t="n">
        <v>0</v>
      </c>
      <c r="L149" t="n">
        <v>0</v>
      </c>
      <c r="M149" t="n">
        <v>0</v>
      </c>
      <c r="N149" t="n">
        <v>0</v>
      </c>
      <c r="O149" t="n">
        <v>1</v>
      </c>
      <c r="P149" t="n">
        <v>0</v>
      </c>
      <c r="Q149" t="n">
        <v>1</v>
      </c>
      <c r="R149" s="2" t="inlineStr">
        <is>
          <t>Vitfläckig guldvinge</t>
        </is>
      </c>
      <c r="S149">
        <f>HYPERLINK("https://klasma.github.io/Logging_2480/artfynd/A 57635-2025 artfynd.xlsx", "A 57635-2025")</f>
        <v/>
      </c>
      <c r="T149">
        <f>HYPERLINK("https://klasma.github.io/Logging_2480/kartor/A 57635-2025 karta.png", "A 57635-2025")</f>
        <v/>
      </c>
      <c r="V149">
        <f>HYPERLINK("https://klasma.github.io/Logging_2480/klagomål/A 57635-2025 FSC-klagomål.docx", "A 57635-2025")</f>
        <v/>
      </c>
      <c r="W149">
        <f>HYPERLINK("https://klasma.github.io/Logging_2480/klagomålsmail/A 57635-2025 FSC-klagomål mail.docx", "A 57635-2025")</f>
        <v/>
      </c>
      <c r="X149">
        <f>HYPERLINK("https://klasma.github.io/Logging_2480/tillsyn/A 57635-2025 tillsynsbegäran.docx", "A 57635-2025")</f>
        <v/>
      </c>
      <c r="Y149">
        <f>HYPERLINK("https://klasma.github.io/Logging_2480/tillsynsmail/A 57635-2025 tillsynsbegäran mail.docx", "A 57635-2025")</f>
        <v/>
      </c>
    </row>
    <row r="150" ht="15" customHeight="1">
      <c r="A150" t="inlineStr">
        <is>
          <t>A 29000-2024</t>
        </is>
      </c>
      <c r="B150" s="1" t="n">
        <v>45481</v>
      </c>
      <c r="C150" s="1" t="n">
        <v>46193</v>
      </c>
      <c r="D150" t="inlineStr">
        <is>
          <t>VÄSTERBOTTENS LÄN</t>
        </is>
      </c>
      <c r="E150" t="inlineStr">
        <is>
          <t>UMEÅ</t>
        </is>
      </c>
      <c r="G150" t="n">
        <v>1</v>
      </c>
      <c r="H150" t="n">
        <v>1</v>
      </c>
      <c r="I150" t="n">
        <v>0</v>
      </c>
      <c r="J150" t="n">
        <v>1</v>
      </c>
      <c r="K150" t="n">
        <v>0</v>
      </c>
      <c r="L150" t="n">
        <v>0</v>
      </c>
      <c r="M150" t="n">
        <v>0</v>
      </c>
      <c r="N150" t="n">
        <v>0</v>
      </c>
      <c r="O150" t="n">
        <v>1</v>
      </c>
      <c r="P150" t="n">
        <v>0</v>
      </c>
      <c r="Q150" t="n">
        <v>1</v>
      </c>
      <c r="R150" s="2" t="inlineStr">
        <is>
          <t>Fransfladdermus</t>
        </is>
      </c>
      <c r="S150">
        <f>HYPERLINK("https://klasma.github.io/Logging_2480/artfynd/A 29000-2024 artfynd.xlsx", "A 29000-2024")</f>
        <v/>
      </c>
      <c r="T150">
        <f>HYPERLINK("https://klasma.github.io/Logging_2480/kartor/A 29000-2024 karta.png", "A 29000-2024")</f>
        <v/>
      </c>
      <c r="V150">
        <f>HYPERLINK("https://klasma.github.io/Logging_2480/klagomål/A 29000-2024 FSC-klagomål.docx", "A 29000-2024")</f>
        <v/>
      </c>
      <c r="W150">
        <f>HYPERLINK("https://klasma.github.io/Logging_2480/klagomålsmail/A 29000-2024 FSC-klagomål mail.docx", "A 29000-2024")</f>
        <v/>
      </c>
      <c r="X150">
        <f>HYPERLINK("https://klasma.github.io/Logging_2480/tillsyn/A 29000-2024 tillsynsbegäran.docx", "A 29000-2024")</f>
        <v/>
      </c>
      <c r="Y150">
        <f>HYPERLINK("https://klasma.github.io/Logging_2480/tillsynsmail/A 29000-2024 tillsynsbegäran mail.docx", "A 29000-2024")</f>
        <v/>
      </c>
    </row>
    <row r="151" ht="15" customHeight="1">
      <c r="A151" t="inlineStr">
        <is>
          <t>A 45633-2024</t>
        </is>
      </c>
      <c r="B151" s="1" t="n">
        <v>45579</v>
      </c>
      <c r="C151" s="1" t="n">
        <v>46193</v>
      </c>
      <c r="D151" t="inlineStr">
        <is>
          <t>VÄSTERBOTTENS LÄN</t>
        </is>
      </c>
      <c r="E151" t="inlineStr">
        <is>
          <t>UMEÅ</t>
        </is>
      </c>
      <c r="F151" t="inlineStr">
        <is>
          <t>Holmen skog AB</t>
        </is>
      </c>
      <c r="G151" t="n">
        <v>5.4</v>
      </c>
      <c r="H151" t="n">
        <v>0</v>
      </c>
      <c r="I151" t="n">
        <v>0</v>
      </c>
      <c r="J151" t="n">
        <v>1</v>
      </c>
      <c r="K151" t="n">
        <v>0</v>
      </c>
      <c r="L151" t="n">
        <v>0</v>
      </c>
      <c r="M151" t="n">
        <v>0</v>
      </c>
      <c r="N151" t="n">
        <v>0</v>
      </c>
      <c r="O151" t="n">
        <v>1</v>
      </c>
      <c r="P151" t="n">
        <v>0</v>
      </c>
      <c r="Q151" t="n">
        <v>1</v>
      </c>
      <c r="R151" s="2" t="inlineStr">
        <is>
          <t>Mörk kolflarnlav</t>
        </is>
      </c>
      <c r="S151">
        <f>HYPERLINK("https://klasma.github.io/Logging_2480/artfynd/A 45633-2024 artfynd.xlsx", "A 45633-2024")</f>
        <v/>
      </c>
      <c r="T151">
        <f>HYPERLINK("https://klasma.github.io/Logging_2480/kartor/A 45633-2024 karta.png", "A 45633-2024")</f>
        <v/>
      </c>
      <c r="V151">
        <f>HYPERLINK("https://klasma.github.io/Logging_2480/klagomål/A 45633-2024 FSC-klagomål.docx", "A 45633-2024")</f>
        <v/>
      </c>
      <c r="W151">
        <f>HYPERLINK("https://klasma.github.io/Logging_2480/klagomålsmail/A 45633-2024 FSC-klagomål mail.docx", "A 45633-2024")</f>
        <v/>
      </c>
      <c r="X151">
        <f>HYPERLINK("https://klasma.github.io/Logging_2480/tillsyn/A 45633-2024 tillsynsbegäran.docx", "A 45633-2024")</f>
        <v/>
      </c>
      <c r="Y151">
        <f>HYPERLINK("https://klasma.github.io/Logging_2480/tillsynsmail/A 45633-2024 tillsynsbegäran mail.docx", "A 45633-2024")</f>
        <v/>
      </c>
    </row>
    <row r="152" ht="15" customHeight="1">
      <c r="A152" t="inlineStr">
        <is>
          <t>A 62145-2025</t>
        </is>
      </c>
      <c r="B152" s="1" t="n">
        <v>46006</v>
      </c>
      <c r="C152" s="1" t="n">
        <v>46193</v>
      </c>
      <c r="D152" t="inlineStr">
        <is>
          <t>VÄSTERBOTTENS LÄN</t>
        </is>
      </c>
      <c r="E152" t="inlineStr">
        <is>
          <t>UMEÅ</t>
        </is>
      </c>
      <c r="G152" t="n">
        <v>2.8</v>
      </c>
      <c r="H152" t="n">
        <v>1</v>
      </c>
      <c r="I152" t="n">
        <v>0</v>
      </c>
      <c r="J152" t="n">
        <v>1</v>
      </c>
      <c r="K152" t="n">
        <v>0</v>
      </c>
      <c r="L152" t="n">
        <v>0</v>
      </c>
      <c r="M152" t="n">
        <v>0</v>
      </c>
      <c r="N152" t="n">
        <v>0</v>
      </c>
      <c r="O152" t="n">
        <v>1</v>
      </c>
      <c r="P152" t="n">
        <v>0</v>
      </c>
      <c r="Q152" t="n">
        <v>1</v>
      </c>
      <c r="R152" s="2" t="inlineStr">
        <is>
          <t>Tretåig hackspett</t>
        </is>
      </c>
      <c r="S152">
        <f>HYPERLINK("https://klasma.github.io/Logging_2480/artfynd/A 62145-2025 artfynd.xlsx", "A 62145-2025")</f>
        <v/>
      </c>
      <c r="T152">
        <f>HYPERLINK("https://klasma.github.io/Logging_2480/kartor/A 62145-2025 karta.png", "A 62145-2025")</f>
        <v/>
      </c>
      <c r="V152">
        <f>HYPERLINK("https://klasma.github.io/Logging_2480/klagomål/A 62145-2025 FSC-klagomål.docx", "A 62145-2025")</f>
        <v/>
      </c>
      <c r="W152">
        <f>HYPERLINK("https://klasma.github.io/Logging_2480/klagomålsmail/A 62145-2025 FSC-klagomål mail.docx", "A 62145-2025")</f>
        <v/>
      </c>
      <c r="X152">
        <f>HYPERLINK("https://klasma.github.io/Logging_2480/tillsyn/A 62145-2025 tillsynsbegäran.docx", "A 62145-2025")</f>
        <v/>
      </c>
      <c r="Y152">
        <f>HYPERLINK("https://klasma.github.io/Logging_2480/tillsynsmail/A 62145-2025 tillsynsbegäran mail.docx", "A 62145-2025")</f>
        <v/>
      </c>
      <c r="Z152">
        <f>HYPERLINK("https://klasma.github.io/Logging_2480/fåglar/A 62145-2025 prioriterade fågelarter.docx", "A 62145-2025")</f>
        <v/>
      </c>
    </row>
    <row r="153" ht="15" customHeight="1">
      <c r="A153" t="inlineStr">
        <is>
          <t>A 30266-2023</t>
        </is>
      </c>
      <c r="B153" s="1" t="n">
        <v>45110</v>
      </c>
      <c r="C153" s="1" t="n">
        <v>46193</v>
      </c>
      <c r="D153" t="inlineStr">
        <is>
          <t>VÄSTERBOTTENS LÄN</t>
        </is>
      </c>
      <c r="E153" t="inlineStr">
        <is>
          <t>UMEÅ</t>
        </is>
      </c>
      <c r="F153" t="inlineStr">
        <is>
          <t>Holmen skog AB</t>
        </is>
      </c>
      <c r="G153" t="n">
        <v>4.7</v>
      </c>
      <c r="H153" t="n">
        <v>0</v>
      </c>
      <c r="I153" t="n">
        <v>0</v>
      </c>
      <c r="J153" t="n">
        <v>1</v>
      </c>
      <c r="K153" t="n">
        <v>0</v>
      </c>
      <c r="L153" t="n">
        <v>0</v>
      </c>
      <c r="M153" t="n">
        <v>0</v>
      </c>
      <c r="N153" t="n">
        <v>0</v>
      </c>
      <c r="O153" t="n">
        <v>1</v>
      </c>
      <c r="P153" t="n">
        <v>0</v>
      </c>
      <c r="Q153" t="n">
        <v>1</v>
      </c>
      <c r="R153" s="2" t="inlineStr">
        <is>
          <t>Tallticka</t>
        </is>
      </c>
      <c r="S153">
        <f>HYPERLINK("https://klasma.github.io/Logging_2480/artfynd/A 30266-2023 artfynd.xlsx", "A 30266-2023")</f>
        <v/>
      </c>
      <c r="T153">
        <f>HYPERLINK("https://klasma.github.io/Logging_2480/kartor/A 30266-2023 karta.png", "A 30266-2023")</f>
        <v/>
      </c>
      <c r="V153">
        <f>HYPERLINK("https://klasma.github.io/Logging_2480/klagomål/A 30266-2023 FSC-klagomål.docx", "A 30266-2023")</f>
        <v/>
      </c>
      <c r="W153">
        <f>HYPERLINK("https://klasma.github.io/Logging_2480/klagomålsmail/A 30266-2023 FSC-klagomål mail.docx", "A 30266-2023")</f>
        <v/>
      </c>
      <c r="X153">
        <f>HYPERLINK("https://klasma.github.io/Logging_2480/tillsyn/A 30266-2023 tillsynsbegäran.docx", "A 30266-2023")</f>
        <v/>
      </c>
      <c r="Y153">
        <f>HYPERLINK("https://klasma.github.io/Logging_2480/tillsynsmail/A 30266-2023 tillsynsbegäran mail.docx", "A 30266-2023")</f>
        <v/>
      </c>
    </row>
    <row r="154" ht="15" customHeight="1">
      <c r="A154" t="inlineStr">
        <is>
          <t>A 18922-2023</t>
        </is>
      </c>
      <c r="B154" s="1" t="n">
        <v>45043</v>
      </c>
      <c r="C154" s="1" t="n">
        <v>46193</v>
      </c>
      <c r="D154" t="inlineStr">
        <is>
          <t>VÄSTERBOTTENS LÄN</t>
        </is>
      </c>
      <c r="E154" t="inlineStr">
        <is>
          <t>UMEÅ</t>
        </is>
      </c>
      <c r="G154" t="n">
        <v>9.199999999999999</v>
      </c>
      <c r="H154" t="n">
        <v>0</v>
      </c>
      <c r="I154" t="n">
        <v>0</v>
      </c>
      <c r="J154" t="n">
        <v>1</v>
      </c>
      <c r="K154" t="n">
        <v>0</v>
      </c>
      <c r="L154" t="n">
        <v>0</v>
      </c>
      <c r="M154" t="n">
        <v>0</v>
      </c>
      <c r="N154" t="n">
        <v>0</v>
      </c>
      <c r="O154" t="n">
        <v>1</v>
      </c>
      <c r="P154" t="n">
        <v>0</v>
      </c>
      <c r="Q154" t="n">
        <v>1</v>
      </c>
      <c r="R154" s="2" t="inlineStr">
        <is>
          <t>Ullticka</t>
        </is>
      </c>
      <c r="S154">
        <f>HYPERLINK("https://klasma.github.io/Logging_2480/artfynd/A 18922-2023 artfynd.xlsx", "A 18922-2023")</f>
        <v/>
      </c>
      <c r="T154">
        <f>HYPERLINK("https://klasma.github.io/Logging_2480/kartor/A 18922-2023 karta.png", "A 18922-2023")</f>
        <v/>
      </c>
      <c r="V154">
        <f>HYPERLINK("https://klasma.github.io/Logging_2480/klagomål/A 18922-2023 FSC-klagomål.docx", "A 18922-2023")</f>
        <v/>
      </c>
      <c r="W154">
        <f>HYPERLINK("https://klasma.github.io/Logging_2480/klagomålsmail/A 18922-2023 FSC-klagomål mail.docx", "A 18922-2023")</f>
        <v/>
      </c>
      <c r="X154">
        <f>HYPERLINK("https://klasma.github.io/Logging_2480/tillsyn/A 18922-2023 tillsynsbegäran.docx", "A 18922-2023")</f>
        <v/>
      </c>
      <c r="Y154">
        <f>HYPERLINK("https://klasma.github.io/Logging_2480/tillsynsmail/A 18922-2023 tillsynsbegäran mail.docx", "A 18922-2023")</f>
        <v/>
      </c>
    </row>
    <row r="155" ht="15" customHeight="1">
      <c r="A155" t="inlineStr">
        <is>
          <t>A 21881-2026</t>
        </is>
      </c>
      <c r="B155" s="1" t="n">
        <v>46150</v>
      </c>
      <c r="C155" s="1" t="n">
        <v>46193</v>
      </c>
      <c r="D155" t="inlineStr">
        <is>
          <t>VÄSTERBOTTENS LÄN</t>
        </is>
      </c>
      <c r="E155" t="inlineStr">
        <is>
          <t>UMEÅ</t>
        </is>
      </c>
      <c r="F155" t="inlineStr">
        <is>
          <t>Holmen skog AB</t>
        </is>
      </c>
      <c r="G155" t="n">
        <v>2.9</v>
      </c>
      <c r="H155" t="n">
        <v>1</v>
      </c>
      <c r="I155" t="n">
        <v>0</v>
      </c>
      <c r="J155" t="n">
        <v>0</v>
      </c>
      <c r="K155" t="n">
        <v>0</v>
      </c>
      <c r="L155" t="n">
        <v>0</v>
      </c>
      <c r="M155" t="n">
        <v>0</v>
      </c>
      <c r="N155" t="n">
        <v>0</v>
      </c>
      <c r="O155" t="n">
        <v>0</v>
      </c>
      <c r="P155" t="n">
        <v>0</v>
      </c>
      <c r="Q155" t="n">
        <v>1</v>
      </c>
      <c r="R155" s="2" t="inlineStr">
        <is>
          <t>Fläcknycklar</t>
        </is>
      </c>
      <c r="S155">
        <f>HYPERLINK("https://klasma.github.io/Logging_2480/artfynd/A 21881-2026 artfynd.xlsx", "A 21881-2026")</f>
        <v/>
      </c>
      <c r="T155">
        <f>HYPERLINK("https://klasma.github.io/Logging_2480/kartor/A 21881-2026 karta.png", "A 21881-2026")</f>
        <v/>
      </c>
      <c r="V155">
        <f>HYPERLINK("https://klasma.github.io/Logging_2480/klagomål/A 21881-2026 FSC-klagomål.docx", "A 21881-2026")</f>
        <v/>
      </c>
      <c r="W155">
        <f>HYPERLINK("https://klasma.github.io/Logging_2480/klagomålsmail/A 21881-2026 FSC-klagomål mail.docx", "A 21881-2026")</f>
        <v/>
      </c>
      <c r="X155">
        <f>HYPERLINK("https://klasma.github.io/Logging_2480/tillsyn/A 21881-2026 tillsynsbegäran.docx", "A 21881-2026")</f>
        <v/>
      </c>
      <c r="Y155">
        <f>HYPERLINK("https://klasma.github.io/Logging_2480/tillsynsmail/A 21881-2026 tillsynsbegäran mail.docx", "A 21881-2026")</f>
        <v/>
      </c>
    </row>
    <row r="156" ht="15" customHeight="1">
      <c r="A156" t="inlineStr">
        <is>
          <t>A 21859-2026</t>
        </is>
      </c>
      <c r="B156" s="1" t="n">
        <v>46150</v>
      </c>
      <c r="C156" s="1" t="n">
        <v>46193</v>
      </c>
      <c r="D156" t="inlineStr">
        <is>
          <t>VÄSTERBOTTENS LÄN</t>
        </is>
      </c>
      <c r="E156" t="inlineStr">
        <is>
          <t>UMEÅ</t>
        </is>
      </c>
      <c r="F156" t="inlineStr">
        <is>
          <t>Holmen skog AB</t>
        </is>
      </c>
      <c r="G156" t="n">
        <v>4</v>
      </c>
      <c r="H156" t="n">
        <v>0</v>
      </c>
      <c r="I156" t="n">
        <v>0</v>
      </c>
      <c r="J156" t="n">
        <v>1</v>
      </c>
      <c r="K156" t="n">
        <v>0</v>
      </c>
      <c r="L156" t="n">
        <v>0</v>
      </c>
      <c r="M156" t="n">
        <v>0</v>
      </c>
      <c r="N156" t="n">
        <v>0</v>
      </c>
      <c r="O156" t="n">
        <v>1</v>
      </c>
      <c r="P156" t="n">
        <v>0</v>
      </c>
      <c r="Q156" t="n">
        <v>1</v>
      </c>
      <c r="R156" s="2" t="inlineStr">
        <is>
          <t>Blanksvart spiklav</t>
        </is>
      </c>
      <c r="S156">
        <f>HYPERLINK("https://klasma.github.io/Logging_2480/artfynd/A 21859-2026 artfynd.xlsx", "A 21859-2026")</f>
        <v/>
      </c>
      <c r="T156">
        <f>HYPERLINK("https://klasma.github.io/Logging_2480/kartor/A 21859-2026 karta.png", "A 21859-2026")</f>
        <v/>
      </c>
      <c r="V156">
        <f>HYPERLINK("https://klasma.github.io/Logging_2480/klagomål/A 21859-2026 FSC-klagomål.docx", "A 21859-2026")</f>
        <v/>
      </c>
      <c r="W156">
        <f>HYPERLINK("https://klasma.github.io/Logging_2480/klagomålsmail/A 21859-2026 FSC-klagomål mail.docx", "A 21859-2026")</f>
        <v/>
      </c>
      <c r="X156">
        <f>HYPERLINK("https://klasma.github.io/Logging_2480/tillsyn/A 21859-2026 tillsynsbegäran.docx", "A 21859-2026")</f>
        <v/>
      </c>
      <c r="Y156">
        <f>HYPERLINK("https://klasma.github.io/Logging_2480/tillsynsmail/A 21859-2026 tillsynsbegäran mail.docx", "A 21859-2026")</f>
        <v/>
      </c>
    </row>
    <row r="157" ht="15" customHeight="1">
      <c r="A157" t="inlineStr">
        <is>
          <t>A 5912-2026</t>
        </is>
      </c>
      <c r="B157" s="1" t="n">
        <v>46052</v>
      </c>
      <c r="C157" s="1" t="n">
        <v>46193</v>
      </c>
      <c r="D157" t="inlineStr">
        <is>
          <t>VÄSTERBOTTENS LÄN</t>
        </is>
      </c>
      <c r="E157" t="inlineStr">
        <is>
          <t>UMEÅ</t>
        </is>
      </c>
      <c r="G157" t="n">
        <v>1.3</v>
      </c>
      <c r="H157" t="n">
        <v>1</v>
      </c>
      <c r="I157" t="n">
        <v>0</v>
      </c>
      <c r="J157" t="n">
        <v>0</v>
      </c>
      <c r="K157" t="n">
        <v>0</v>
      </c>
      <c r="L157" t="n">
        <v>0</v>
      </c>
      <c r="M157" t="n">
        <v>0</v>
      </c>
      <c r="N157" t="n">
        <v>0</v>
      </c>
      <c r="O157" t="n">
        <v>0</v>
      </c>
      <c r="P157" t="n">
        <v>0</v>
      </c>
      <c r="Q157" t="n">
        <v>1</v>
      </c>
      <c r="R157" s="2" t="inlineStr">
        <is>
          <t>Spillkråka</t>
        </is>
      </c>
      <c r="S157">
        <f>HYPERLINK("https://klasma.github.io/Logging_2480/artfynd/A 5912-2026 artfynd.xlsx", "A 5912-2026")</f>
        <v/>
      </c>
      <c r="T157">
        <f>HYPERLINK("https://klasma.github.io/Logging_2480/kartor/A 5912-2026 karta.png", "A 5912-2026")</f>
        <v/>
      </c>
      <c r="V157">
        <f>HYPERLINK("https://klasma.github.io/Logging_2480/klagomål/A 5912-2026 FSC-klagomål.docx", "A 5912-2026")</f>
        <v/>
      </c>
      <c r="W157">
        <f>HYPERLINK("https://klasma.github.io/Logging_2480/klagomålsmail/A 5912-2026 FSC-klagomål mail.docx", "A 5912-2026")</f>
        <v/>
      </c>
      <c r="X157">
        <f>HYPERLINK("https://klasma.github.io/Logging_2480/tillsyn/A 5912-2026 tillsynsbegäran.docx", "A 5912-2026")</f>
        <v/>
      </c>
      <c r="Y157">
        <f>HYPERLINK("https://klasma.github.io/Logging_2480/tillsynsmail/A 5912-2026 tillsynsbegäran mail.docx", "A 5912-2026")</f>
        <v/>
      </c>
      <c r="Z157">
        <f>HYPERLINK("https://klasma.github.io/Logging_2480/fåglar/A 5912-2026 prioriterade fågelarter.docx", "A 5912-2026")</f>
        <v/>
      </c>
    </row>
    <row r="158" ht="15" customHeight="1">
      <c r="A158" t="inlineStr">
        <is>
          <t>A 59075-2022</t>
        </is>
      </c>
      <c r="B158" s="1" t="n">
        <v>44904</v>
      </c>
      <c r="C158" s="1" t="n">
        <v>46193</v>
      </c>
      <c r="D158" t="inlineStr">
        <is>
          <t>VÄSTERBOTTENS LÄN</t>
        </is>
      </c>
      <c r="E158" t="inlineStr">
        <is>
          <t>UMEÅ</t>
        </is>
      </c>
      <c r="G158" t="n">
        <v>0.4</v>
      </c>
      <c r="H158" t="n">
        <v>0</v>
      </c>
      <c r="I158" t="n">
        <v>1</v>
      </c>
      <c r="J158" t="n">
        <v>0</v>
      </c>
      <c r="K158" t="n">
        <v>0</v>
      </c>
      <c r="L158" t="n">
        <v>0</v>
      </c>
      <c r="M158" t="n">
        <v>0</v>
      </c>
      <c r="N158" t="n">
        <v>0</v>
      </c>
      <c r="O158" t="n">
        <v>0</v>
      </c>
      <c r="P158" t="n">
        <v>0</v>
      </c>
      <c r="Q158" t="n">
        <v>1</v>
      </c>
      <c r="R158" s="2" t="inlineStr">
        <is>
          <t>Vedticka</t>
        </is>
      </c>
      <c r="S158">
        <f>HYPERLINK("https://klasma.github.io/Logging_2480/artfynd/A 59075-2022 artfynd.xlsx", "A 59075-2022")</f>
        <v/>
      </c>
      <c r="T158">
        <f>HYPERLINK("https://klasma.github.io/Logging_2480/kartor/A 59075-2022 karta.png", "A 59075-2022")</f>
        <v/>
      </c>
      <c r="V158">
        <f>HYPERLINK("https://klasma.github.io/Logging_2480/klagomål/A 59075-2022 FSC-klagomål.docx", "A 59075-2022")</f>
        <v/>
      </c>
      <c r="W158">
        <f>HYPERLINK("https://klasma.github.io/Logging_2480/klagomålsmail/A 59075-2022 FSC-klagomål mail.docx", "A 59075-2022")</f>
        <v/>
      </c>
      <c r="X158">
        <f>HYPERLINK("https://klasma.github.io/Logging_2480/tillsyn/A 59075-2022 tillsynsbegäran.docx", "A 59075-2022")</f>
        <v/>
      </c>
      <c r="Y158">
        <f>HYPERLINK("https://klasma.github.io/Logging_2480/tillsynsmail/A 59075-2022 tillsynsbegäran mail.docx", "A 59075-2022")</f>
        <v/>
      </c>
    </row>
    <row r="159" ht="15" customHeight="1">
      <c r="A159" t="inlineStr">
        <is>
          <t>A 31318-2022</t>
        </is>
      </c>
      <c r="B159" s="1" t="n">
        <v>44772</v>
      </c>
      <c r="C159" s="1" t="n">
        <v>46193</v>
      </c>
      <c r="D159" t="inlineStr">
        <is>
          <t>VÄSTERBOTTENS LÄN</t>
        </is>
      </c>
      <c r="E159" t="inlineStr">
        <is>
          <t>UMEÅ</t>
        </is>
      </c>
      <c r="G159" t="n">
        <v>11.3</v>
      </c>
      <c r="H159" t="n">
        <v>1</v>
      </c>
      <c r="I159" t="n">
        <v>0</v>
      </c>
      <c r="J159" t="n">
        <v>0</v>
      </c>
      <c r="K159" t="n">
        <v>0</v>
      </c>
      <c r="L159" t="n">
        <v>0</v>
      </c>
      <c r="M159" t="n">
        <v>0</v>
      </c>
      <c r="N159" t="n">
        <v>0</v>
      </c>
      <c r="O159" t="n">
        <v>0</v>
      </c>
      <c r="P159" t="n">
        <v>0</v>
      </c>
      <c r="Q159" t="n">
        <v>1</v>
      </c>
      <c r="R159" s="2" t="inlineStr">
        <is>
          <t>Sävsparv</t>
        </is>
      </c>
      <c r="S159">
        <f>HYPERLINK("https://klasma.github.io/Logging_2480/artfynd/A 31318-2022 artfynd.xlsx", "A 31318-2022")</f>
        <v/>
      </c>
      <c r="T159">
        <f>HYPERLINK("https://klasma.github.io/Logging_2480/kartor/A 31318-2022 karta.png", "A 31318-2022")</f>
        <v/>
      </c>
      <c r="V159">
        <f>HYPERLINK("https://klasma.github.io/Logging_2480/klagomål/A 31318-2022 FSC-klagomål.docx", "A 31318-2022")</f>
        <v/>
      </c>
      <c r="W159">
        <f>HYPERLINK("https://klasma.github.io/Logging_2480/klagomålsmail/A 31318-2022 FSC-klagomål mail.docx", "A 31318-2022")</f>
        <v/>
      </c>
      <c r="X159">
        <f>HYPERLINK("https://klasma.github.io/Logging_2480/tillsyn/A 31318-2022 tillsynsbegäran.docx", "A 31318-2022")</f>
        <v/>
      </c>
      <c r="Y159">
        <f>HYPERLINK("https://klasma.github.io/Logging_2480/tillsynsmail/A 31318-2022 tillsynsbegäran mail.docx", "A 31318-2022")</f>
        <v/>
      </c>
      <c r="Z159">
        <f>HYPERLINK("https://klasma.github.io/Logging_2480/fåglar/A 31318-2022 prioriterade fågelarter.docx", "A 31318-2022")</f>
        <v/>
      </c>
    </row>
    <row r="160" ht="15" customHeight="1">
      <c r="A160" t="inlineStr">
        <is>
          <t>A 10747-2026</t>
        </is>
      </c>
      <c r="B160" s="1" t="n">
        <v>46078</v>
      </c>
      <c r="C160" s="1" t="n">
        <v>46193</v>
      </c>
      <c r="D160" t="inlineStr">
        <is>
          <t>VÄSTERBOTTENS LÄN</t>
        </is>
      </c>
      <c r="E160" t="inlineStr">
        <is>
          <t>UMEÅ</t>
        </is>
      </c>
      <c r="G160" t="n">
        <v>2.9</v>
      </c>
      <c r="H160" t="n">
        <v>0</v>
      </c>
      <c r="I160" t="n">
        <v>0</v>
      </c>
      <c r="J160" t="n">
        <v>1</v>
      </c>
      <c r="K160" t="n">
        <v>0</v>
      </c>
      <c r="L160" t="n">
        <v>0</v>
      </c>
      <c r="M160" t="n">
        <v>0</v>
      </c>
      <c r="N160" t="n">
        <v>0</v>
      </c>
      <c r="O160" t="n">
        <v>1</v>
      </c>
      <c r="P160" t="n">
        <v>0</v>
      </c>
      <c r="Q160" t="n">
        <v>1</v>
      </c>
      <c r="R160" s="2" t="inlineStr">
        <is>
          <t>Spinnfingersvamp</t>
        </is>
      </c>
      <c r="S160">
        <f>HYPERLINK("https://klasma.github.io/Logging_2480/artfynd/A 10747-2026 artfynd.xlsx", "A 10747-2026")</f>
        <v/>
      </c>
      <c r="T160">
        <f>HYPERLINK("https://klasma.github.io/Logging_2480/kartor/A 10747-2026 karta.png", "A 10747-2026")</f>
        <v/>
      </c>
      <c r="V160">
        <f>HYPERLINK("https://klasma.github.io/Logging_2480/klagomål/A 10747-2026 FSC-klagomål.docx", "A 10747-2026")</f>
        <v/>
      </c>
      <c r="W160">
        <f>HYPERLINK("https://klasma.github.io/Logging_2480/klagomålsmail/A 10747-2026 FSC-klagomål mail.docx", "A 10747-2026")</f>
        <v/>
      </c>
      <c r="X160">
        <f>HYPERLINK("https://klasma.github.io/Logging_2480/tillsyn/A 10747-2026 tillsynsbegäran.docx", "A 10747-2026")</f>
        <v/>
      </c>
      <c r="Y160">
        <f>HYPERLINK("https://klasma.github.io/Logging_2480/tillsynsmail/A 10747-2026 tillsynsbegäran mail.docx", "A 10747-2026")</f>
        <v/>
      </c>
    </row>
    <row r="161" ht="15" customHeight="1">
      <c r="A161" t="inlineStr">
        <is>
          <t>A 63810-2023</t>
        </is>
      </c>
      <c r="B161" s="1" t="n">
        <v>45275</v>
      </c>
      <c r="C161" s="1" t="n">
        <v>46193</v>
      </c>
      <c r="D161" t="inlineStr">
        <is>
          <t>VÄSTERBOTTENS LÄN</t>
        </is>
      </c>
      <c r="E161" t="inlineStr">
        <is>
          <t>UMEÅ</t>
        </is>
      </c>
      <c r="G161" t="n">
        <v>1.1</v>
      </c>
      <c r="H161" t="n">
        <v>1</v>
      </c>
      <c r="I161" t="n">
        <v>0</v>
      </c>
      <c r="J161" t="n">
        <v>0</v>
      </c>
      <c r="K161" t="n">
        <v>0</v>
      </c>
      <c r="L161" t="n">
        <v>0</v>
      </c>
      <c r="M161" t="n">
        <v>0</v>
      </c>
      <c r="N161" t="n">
        <v>0</v>
      </c>
      <c r="O161" t="n">
        <v>0</v>
      </c>
      <c r="P161" t="n">
        <v>0</v>
      </c>
      <c r="Q161" t="n">
        <v>1</v>
      </c>
      <c r="R161" s="2" t="inlineStr">
        <is>
          <t>Spillkråka</t>
        </is>
      </c>
      <c r="S161">
        <f>HYPERLINK("https://klasma.github.io/Logging_2480/artfynd/A 63810-2023 artfynd.xlsx", "A 63810-2023")</f>
        <v/>
      </c>
      <c r="T161">
        <f>HYPERLINK("https://klasma.github.io/Logging_2480/kartor/A 63810-2023 karta.png", "A 63810-2023")</f>
        <v/>
      </c>
      <c r="V161">
        <f>HYPERLINK("https://klasma.github.io/Logging_2480/klagomål/A 63810-2023 FSC-klagomål.docx", "A 63810-2023")</f>
        <v/>
      </c>
      <c r="W161">
        <f>HYPERLINK("https://klasma.github.io/Logging_2480/klagomålsmail/A 63810-2023 FSC-klagomål mail.docx", "A 63810-2023")</f>
        <v/>
      </c>
      <c r="X161">
        <f>HYPERLINK("https://klasma.github.io/Logging_2480/tillsyn/A 63810-2023 tillsynsbegäran.docx", "A 63810-2023")</f>
        <v/>
      </c>
      <c r="Y161">
        <f>HYPERLINK("https://klasma.github.io/Logging_2480/tillsynsmail/A 63810-2023 tillsynsbegäran mail.docx", "A 63810-2023")</f>
        <v/>
      </c>
      <c r="Z161">
        <f>HYPERLINK("https://klasma.github.io/Logging_2480/fåglar/A 63810-2023 prioriterade fågelarter.docx", "A 63810-2023")</f>
        <v/>
      </c>
    </row>
    <row r="162" ht="15" customHeight="1">
      <c r="A162" t="inlineStr">
        <is>
          <t>A 12686-2026</t>
        </is>
      </c>
      <c r="B162" s="1" t="n">
        <v>46091</v>
      </c>
      <c r="C162" s="1" t="n">
        <v>46193</v>
      </c>
      <c r="D162" t="inlineStr">
        <is>
          <t>VÄSTERBOTTENS LÄN</t>
        </is>
      </c>
      <c r="E162" t="inlineStr">
        <is>
          <t>UMEÅ</t>
        </is>
      </c>
      <c r="G162" t="n">
        <v>10.9</v>
      </c>
      <c r="H162" t="n">
        <v>1</v>
      </c>
      <c r="I162" t="n">
        <v>0</v>
      </c>
      <c r="J162" t="n">
        <v>1</v>
      </c>
      <c r="K162" t="n">
        <v>0</v>
      </c>
      <c r="L162" t="n">
        <v>0</v>
      </c>
      <c r="M162" t="n">
        <v>0</v>
      </c>
      <c r="N162" t="n">
        <v>0</v>
      </c>
      <c r="O162" t="n">
        <v>1</v>
      </c>
      <c r="P162" t="n">
        <v>0</v>
      </c>
      <c r="Q162" t="n">
        <v>1</v>
      </c>
      <c r="R162" s="2" t="inlineStr">
        <is>
          <t>Tretåig hackspett</t>
        </is>
      </c>
      <c r="S162">
        <f>HYPERLINK("https://klasma.github.io/Logging_2480/artfynd/A 12686-2026 artfynd.xlsx", "A 12686-2026")</f>
        <v/>
      </c>
      <c r="T162">
        <f>HYPERLINK("https://klasma.github.io/Logging_2480/kartor/A 12686-2026 karta.png", "A 12686-2026")</f>
        <v/>
      </c>
      <c r="V162">
        <f>HYPERLINK("https://klasma.github.io/Logging_2480/klagomål/A 12686-2026 FSC-klagomål.docx", "A 12686-2026")</f>
        <v/>
      </c>
      <c r="W162">
        <f>HYPERLINK("https://klasma.github.io/Logging_2480/klagomålsmail/A 12686-2026 FSC-klagomål mail.docx", "A 12686-2026")</f>
        <v/>
      </c>
      <c r="X162">
        <f>HYPERLINK("https://klasma.github.io/Logging_2480/tillsyn/A 12686-2026 tillsynsbegäran.docx", "A 12686-2026")</f>
        <v/>
      </c>
      <c r="Y162">
        <f>HYPERLINK("https://klasma.github.io/Logging_2480/tillsynsmail/A 12686-2026 tillsynsbegäran mail.docx", "A 12686-2026")</f>
        <v/>
      </c>
      <c r="Z162">
        <f>HYPERLINK("https://klasma.github.io/Logging_2480/fåglar/A 12686-2026 prioriterade fågelarter.docx", "A 12686-2026")</f>
        <v/>
      </c>
    </row>
    <row r="163" ht="15" customHeight="1">
      <c r="A163" t="inlineStr">
        <is>
          <t>A 38750-2021</t>
        </is>
      </c>
      <c r="B163" s="1" t="n">
        <v>44410</v>
      </c>
      <c r="C163" s="1" t="n">
        <v>46193</v>
      </c>
      <c r="D163" t="inlineStr">
        <is>
          <t>VÄSTERBOTTENS LÄN</t>
        </is>
      </c>
      <c r="E163" t="inlineStr">
        <is>
          <t>UMEÅ</t>
        </is>
      </c>
      <c r="F163" t="inlineStr">
        <is>
          <t>Kommuner</t>
        </is>
      </c>
      <c r="G163" t="n">
        <v>1.7</v>
      </c>
      <c r="H163" t="n">
        <v>0</v>
      </c>
      <c r="I163" t="n">
        <v>0</v>
      </c>
      <c r="J163" t="n">
        <v>1</v>
      </c>
      <c r="K163" t="n">
        <v>0</v>
      </c>
      <c r="L163" t="n">
        <v>0</v>
      </c>
      <c r="M163" t="n">
        <v>0</v>
      </c>
      <c r="N163" t="n">
        <v>0</v>
      </c>
      <c r="O163" t="n">
        <v>1</v>
      </c>
      <c r="P163" t="n">
        <v>0</v>
      </c>
      <c r="Q163" t="n">
        <v>1</v>
      </c>
      <c r="R163" s="2" t="inlineStr">
        <is>
          <t>Stubbträfluga</t>
        </is>
      </c>
      <c r="S163">
        <f>HYPERLINK("https://klasma.github.io/Logging_2480/artfynd/A 38750-2021 artfynd.xlsx", "A 38750-2021")</f>
        <v/>
      </c>
      <c r="T163">
        <f>HYPERLINK("https://klasma.github.io/Logging_2480/kartor/A 38750-2021 karta.png", "A 38750-2021")</f>
        <v/>
      </c>
      <c r="V163">
        <f>HYPERLINK("https://klasma.github.io/Logging_2480/klagomål/A 38750-2021 FSC-klagomål.docx", "A 38750-2021")</f>
        <v/>
      </c>
      <c r="W163">
        <f>HYPERLINK("https://klasma.github.io/Logging_2480/klagomålsmail/A 38750-2021 FSC-klagomål mail.docx", "A 38750-2021")</f>
        <v/>
      </c>
      <c r="X163">
        <f>HYPERLINK("https://klasma.github.io/Logging_2480/tillsyn/A 38750-2021 tillsynsbegäran.docx", "A 38750-2021")</f>
        <v/>
      </c>
      <c r="Y163">
        <f>HYPERLINK("https://klasma.github.io/Logging_2480/tillsynsmail/A 38750-2021 tillsynsbegäran mail.docx", "A 38750-2021")</f>
        <v/>
      </c>
    </row>
    <row r="164" ht="15" customHeight="1">
      <c r="A164" t="inlineStr">
        <is>
          <t>A 45429-2024</t>
        </is>
      </c>
      <c r="B164" s="1" t="n">
        <v>45576</v>
      </c>
      <c r="C164" s="1" t="n">
        <v>46193</v>
      </c>
      <c r="D164" t="inlineStr">
        <is>
          <t>VÄSTERBOTTENS LÄN</t>
        </is>
      </c>
      <c r="E164" t="inlineStr">
        <is>
          <t>UMEÅ</t>
        </is>
      </c>
      <c r="F164" t="inlineStr">
        <is>
          <t>Sveaskog</t>
        </is>
      </c>
      <c r="G164" t="n">
        <v>11.5</v>
      </c>
      <c r="H164" t="n">
        <v>0</v>
      </c>
      <c r="I164" t="n">
        <v>0</v>
      </c>
      <c r="J164" t="n">
        <v>1</v>
      </c>
      <c r="K164" t="n">
        <v>0</v>
      </c>
      <c r="L164" t="n">
        <v>0</v>
      </c>
      <c r="M164" t="n">
        <v>0</v>
      </c>
      <c r="N164" t="n">
        <v>0</v>
      </c>
      <c r="O164" t="n">
        <v>1</v>
      </c>
      <c r="P164" t="n">
        <v>0</v>
      </c>
      <c r="Q164" t="n">
        <v>1</v>
      </c>
      <c r="R164" s="2" t="inlineStr">
        <is>
          <t>Motaggsvamp</t>
        </is>
      </c>
      <c r="S164">
        <f>HYPERLINK("https://klasma.github.io/Logging_2480/artfynd/A 45429-2024 artfynd.xlsx", "A 45429-2024")</f>
        <v/>
      </c>
      <c r="T164">
        <f>HYPERLINK("https://klasma.github.io/Logging_2480/kartor/A 45429-2024 karta.png", "A 45429-2024")</f>
        <v/>
      </c>
      <c r="V164">
        <f>HYPERLINK("https://klasma.github.io/Logging_2480/klagomål/A 45429-2024 FSC-klagomål.docx", "A 45429-2024")</f>
        <v/>
      </c>
      <c r="W164">
        <f>HYPERLINK("https://klasma.github.io/Logging_2480/klagomålsmail/A 45429-2024 FSC-klagomål mail.docx", "A 45429-2024")</f>
        <v/>
      </c>
      <c r="X164">
        <f>HYPERLINK("https://klasma.github.io/Logging_2480/tillsyn/A 45429-2024 tillsynsbegäran.docx", "A 45429-2024")</f>
        <v/>
      </c>
      <c r="Y164">
        <f>HYPERLINK("https://klasma.github.io/Logging_2480/tillsynsmail/A 45429-2024 tillsynsbegäran mail.docx", "A 45429-2024")</f>
        <v/>
      </c>
    </row>
    <row r="165" ht="15" customHeight="1">
      <c r="A165" t="inlineStr">
        <is>
          <t>A 14954-2026</t>
        </is>
      </c>
      <c r="B165" s="1" t="n">
        <v>46104</v>
      </c>
      <c r="C165" s="1" t="n">
        <v>46193</v>
      </c>
      <c r="D165" t="inlineStr">
        <is>
          <t>VÄSTERBOTTENS LÄN</t>
        </is>
      </c>
      <c r="E165" t="inlineStr">
        <is>
          <t>UMEÅ</t>
        </is>
      </c>
      <c r="G165" t="n">
        <v>2.6</v>
      </c>
      <c r="H165" t="n">
        <v>1</v>
      </c>
      <c r="I165" t="n">
        <v>0</v>
      </c>
      <c r="J165" t="n">
        <v>0</v>
      </c>
      <c r="K165" t="n">
        <v>0</v>
      </c>
      <c r="L165" t="n">
        <v>0</v>
      </c>
      <c r="M165" t="n">
        <v>0</v>
      </c>
      <c r="N165" t="n">
        <v>0</v>
      </c>
      <c r="O165" t="n">
        <v>0</v>
      </c>
      <c r="P165" t="n">
        <v>0</v>
      </c>
      <c r="Q165" t="n">
        <v>1</v>
      </c>
      <c r="R165" s="2" t="inlineStr">
        <is>
          <t>Vanlig padda</t>
        </is>
      </c>
      <c r="S165">
        <f>HYPERLINK("https://klasma.github.io/Logging_2480/artfynd/A 14954-2026 artfynd.xlsx", "A 14954-2026")</f>
        <v/>
      </c>
      <c r="T165">
        <f>HYPERLINK("https://klasma.github.io/Logging_2480/kartor/A 14954-2026 karta.png", "A 14954-2026")</f>
        <v/>
      </c>
      <c r="V165">
        <f>HYPERLINK("https://klasma.github.io/Logging_2480/klagomål/A 14954-2026 FSC-klagomål.docx", "A 14954-2026")</f>
        <v/>
      </c>
      <c r="W165">
        <f>HYPERLINK("https://klasma.github.io/Logging_2480/klagomålsmail/A 14954-2026 FSC-klagomål mail.docx", "A 14954-2026")</f>
        <v/>
      </c>
      <c r="X165">
        <f>HYPERLINK("https://klasma.github.io/Logging_2480/tillsyn/A 14954-2026 tillsynsbegäran.docx", "A 14954-2026")</f>
        <v/>
      </c>
      <c r="Y165">
        <f>HYPERLINK("https://klasma.github.io/Logging_2480/tillsynsmail/A 14954-2026 tillsynsbegäran mail.docx", "A 14954-2026")</f>
        <v/>
      </c>
    </row>
    <row r="166" ht="15" customHeight="1">
      <c r="A166" t="inlineStr">
        <is>
          <t>A 16737-2026</t>
        </is>
      </c>
      <c r="B166" s="1" t="n">
        <v>46113</v>
      </c>
      <c r="C166" s="1" t="n">
        <v>46193</v>
      </c>
      <c r="D166" t="inlineStr">
        <is>
          <t>VÄSTERBOTTENS LÄN</t>
        </is>
      </c>
      <c r="E166" t="inlineStr">
        <is>
          <t>UMEÅ</t>
        </is>
      </c>
      <c r="G166" t="n">
        <v>1.2</v>
      </c>
      <c r="H166" t="n">
        <v>0</v>
      </c>
      <c r="I166" t="n">
        <v>0</v>
      </c>
      <c r="J166" t="n">
        <v>1</v>
      </c>
      <c r="K166" t="n">
        <v>0</v>
      </c>
      <c r="L166" t="n">
        <v>0</v>
      </c>
      <c r="M166" t="n">
        <v>0</v>
      </c>
      <c r="N166" t="n">
        <v>0</v>
      </c>
      <c r="O166" t="n">
        <v>1</v>
      </c>
      <c r="P166" t="n">
        <v>0</v>
      </c>
      <c r="Q166" t="n">
        <v>1</v>
      </c>
      <c r="R166" s="2" t="inlineStr">
        <is>
          <t>Motaggsvamp</t>
        </is>
      </c>
      <c r="S166">
        <f>HYPERLINK("https://klasma.github.io/Logging_2480/artfynd/A 16737-2026 artfynd.xlsx", "A 16737-2026")</f>
        <v/>
      </c>
      <c r="T166">
        <f>HYPERLINK("https://klasma.github.io/Logging_2480/kartor/A 16737-2026 karta.png", "A 16737-2026")</f>
        <v/>
      </c>
      <c r="V166">
        <f>HYPERLINK("https://klasma.github.io/Logging_2480/klagomål/A 16737-2026 FSC-klagomål.docx", "A 16737-2026")</f>
        <v/>
      </c>
      <c r="W166">
        <f>HYPERLINK("https://klasma.github.io/Logging_2480/klagomålsmail/A 16737-2026 FSC-klagomål mail.docx", "A 16737-2026")</f>
        <v/>
      </c>
      <c r="X166">
        <f>HYPERLINK("https://klasma.github.io/Logging_2480/tillsyn/A 16737-2026 tillsynsbegäran.docx", "A 16737-2026")</f>
        <v/>
      </c>
      <c r="Y166">
        <f>HYPERLINK("https://klasma.github.io/Logging_2480/tillsynsmail/A 16737-2026 tillsynsbegäran mail.docx", "A 16737-2026")</f>
        <v/>
      </c>
    </row>
    <row r="167" ht="15" customHeight="1">
      <c r="A167" t="inlineStr">
        <is>
          <t>A 22662-2026</t>
        </is>
      </c>
      <c r="B167" s="1" t="n">
        <v>46155</v>
      </c>
      <c r="C167" s="1" t="n">
        <v>46193</v>
      </c>
      <c r="D167" t="inlineStr">
        <is>
          <t>VÄSTERBOTTENS LÄN</t>
        </is>
      </c>
      <c r="E167" t="inlineStr">
        <is>
          <t>UMEÅ</t>
        </is>
      </c>
      <c r="F167" t="inlineStr">
        <is>
          <t>Kommuner</t>
        </is>
      </c>
      <c r="G167" t="n">
        <v>1.1</v>
      </c>
      <c r="H167" t="n">
        <v>0</v>
      </c>
      <c r="I167" t="n">
        <v>0</v>
      </c>
      <c r="J167" t="n">
        <v>0</v>
      </c>
      <c r="K167" t="n">
        <v>1</v>
      </c>
      <c r="L167" t="n">
        <v>0</v>
      </c>
      <c r="M167" t="n">
        <v>0</v>
      </c>
      <c r="N167" t="n">
        <v>0</v>
      </c>
      <c r="O167" t="n">
        <v>1</v>
      </c>
      <c r="P167" t="n">
        <v>1</v>
      </c>
      <c r="Q167" t="n">
        <v>1</v>
      </c>
      <c r="R167" s="2" t="inlineStr">
        <is>
          <t>Klapperstarr</t>
        </is>
      </c>
      <c r="S167">
        <f>HYPERLINK("https://klasma.github.io/Logging_2480/artfynd/A 22662-2026 artfynd.xlsx", "A 22662-2026")</f>
        <v/>
      </c>
      <c r="T167">
        <f>HYPERLINK("https://klasma.github.io/Logging_2480/kartor/A 22662-2026 karta.png", "A 22662-2026")</f>
        <v/>
      </c>
      <c r="V167">
        <f>HYPERLINK("https://klasma.github.io/Logging_2480/klagomål/A 22662-2026 FSC-klagomål.docx", "A 22662-2026")</f>
        <v/>
      </c>
      <c r="W167">
        <f>HYPERLINK("https://klasma.github.io/Logging_2480/klagomålsmail/A 22662-2026 FSC-klagomål mail.docx", "A 22662-2026")</f>
        <v/>
      </c>
      <c r="X167">
        <f>HYPERLINK("https://klasma.github.io/Logging_2480/tillsyn/A 22662-2026 tillsynsbegäran.docx", "A 22662-2026")</f>
        <v/>
      </c>
      <c r="Y167">
        <f>HYPERLINK("https://klasma.github.io/Logging_2480/tillsynsmail/A 22662-2026 tillsynsbegäran mail.docx", "A 22662-2026")</f>
        <v/>
      </c>
    </row>
    <row r="168" ht="15" customHeight="1">
      <c r="A168" t="inlineStr">
        <is>
          <t>A 23134-2026</t>
        </is>
      </c>
      <c r="B168" s="1" t="n">
        <v>46161</v>
      </c>
      <c r="C168" s="1" t="n">
        <v>46193</v>
      </c>
      <c r="D168" t="inlineStr">
        <is>
          <t>VÄSTERBOTTENS LÄN</t>
        </is>
      </c>
      <c r="E168" t="inlineStr">
        <is>
          <t>UMEÅ</t>
        </is>
      </c>
      <c r="F168" t="inlineStr">
        <is>
          <t>Holmen skog AB</t>
        </is>
      </c>
      <c r="G168" t="n">
        <v>2.9</v>
      </c>
      <c r="H168" t="n">
        <v>0</v>
      </c>
      <c r="I168" t="n">
        <v>0</v>
      </c>
      <c r="J168" t="n">
        <v>0</v>
      </c>
      <c r="K168" t="n">
        <v>1</v>
      </c>
      <c r="L168" t="n">
        <v>0</v>
      </c>
      <c r="M168" t="n">
        <v>0</v>
      </c>
      <c r="N168" t="n">
        <v>0</v>
      </c>
      <c r="O168" t="n">
        <v>1</v>
      </c>
      <c r="P168" t="n">
        <v>1</v>
      </c>
      <c r="Q168" t="n">
        <v>1</v>
      </c>
      <c r="R168" s="2" t="inlineStr">
        <is>
          <t>Raggbock</t>
        </is>
      </c>
      <c r="S168">
        <f>HYPERLINK("https://klasma.github.io/Logging_2480/artfynd/A 23134-2026 artfynd.xlsx", "A 23134-2026")</f>
        <v/>
      </c>
      <c r="T168">
        <f>HYPERLINK("https://klasma.github.io/Logging_2480/kartor/A 23134-2026 karta.png", "A 23134-2026")</f>
        <v/>
      </c>
      <c r="V168">
        <f>HYPERLINK("https://klasma.github.io/Logging_2480/klagomål/A 23134-2026 FSC-klagomål.docx", "A 23134-2026")</f>
        <v/>
      </c>
      <c r="W168">
        <f>HYPERLINK("https://klasma.github.io/Logging_2480/klagomålsmail/A 23134-2026 FSC-klagomål mail.docx", "A 23134-2026")</f>
        <v/>
      </c>
      <c r="X168">
        <f>HYPERLINK("https://klasma.github.io/Logging_2480/tillsyn/A 23134-2026 tillsynsbegäran.docx", "A 23134-2026")</f>
        <v/>
      </c>
      <c r="Y168">
        <f>HYPERLINK("https://klasma.github.io/Logging_2480/tillsynsmail/A 23134-2026 tillsynsbegäran mail.docx", "A 23134-2026")</f>
        <v/>
      </c>
    </row>
    <row r="169" ht="15" customHeight="1">
      <c r="A169" t="inlineStr">
        <is>
          <t>A 20169-2026</t>
        </is>
      </c>
      <c r="B169" s="1" t="n">
        <v>46139</v>
      </c>
      <c r="C169" s="1" t="n">
        <v>46193</v>
      </c>
      <c r="D169" t="inlineStr">
        <is>
          <t>VÄSTERBOTTENS LÄN</t>
        </is>
      </c>
      <c r="E169" t="inlineStr">
        <is>
          <t>UMEÅ</t>
        </is>
      </c>
      <c r="F169" t="inlineStr">
        <is>
          <t>Holmen skog AB</t>
        </is>
      </c>
      <c r="G169" t="n">
        <v>4.4</v>
      </c>
      <c r="H169" t="n">
        <v>1</v>
      </c>
      <c r="I169" t="n">
        <v>0</v>
      </c>
      <c r="J169" t="n">
        <v>1</v>
      </c>
      <c r="K169" t="n">
        <v>0</v>
      </c>
      <c r="L169" t="n">
        <v>0</v>
      </c>
      <c r="M169" t="n">
        <v>0</v>
      </c>
      <c r="N169" t="n">
        <v>0</v>
      </c>
      <c r="O169" t="n">
        <v>1</v>
      </c>
      <c r="P169" t="n">
        <v>0</v>
      </c>
      <c r="Q169" t="n">
        <v>1</v>
      </c>
      <c r="R169" s="2" t="inlineStr">
        <is>
          <t>Kricka</t>
        </is>
      </c>
      <c r="S169">
        <f>HYPERLINK("https://klasma.github.io/Logging_2480/artfynd/A 20169-2026 artfynd.xlsx", "A 20169-2026")</f>
        <v/>
      </c>
      <c r="T169">
        <f>HYPERLINK("https://klasma.github.io/Logging_2480/kartor/A 20169-2026 karta.png", "A 20169-2026")</f>
        <v/>
      </c>
      <c r="V169">
        <f>HYPERLINK("https://klasma.github.io/Logging_2480/klagomål/A 20169-2026 FSC-klagomål.docx", "A 20169-2026")</f>
        <v/>
      </c>
      <c r="W169">
        <f>HYPERLINK("https://klasma.github.io/Logging_2480/klagomålsmail/A 20169-2026 FSC-klagomål mail.docx", "A 20169-2026")</f>
        <v/>
      </c>
      <c r="X169">
        <f>HYPERLINK("https://klasma.github.io/Logging_2480/tillsyn/A 20169-2026 tillsynsbegäran.docx", "A 20169-2026")</f>
        <v/>
      </c>
      <c r="Y169">
        <f>HYPERLINK("https://klasma.github.io/Logging_2480/tillsynsmail/A 20169-2026 tillsynsbegäran mail.docx", "A 20169-2026")</f>
        <v/>
      </c>
      <c r="Z169">
        <f>HYPERLINK("https://klasma.github.io/Logging_2480/fåglar/A 20169-2026 prioriterade fågelarter.docx", "A 20169-2026")</f>
        <v/>
      </c>
    </row>
    <row r="170" ht="15" customHeight="1">
      <c r="A170" t="inlineStr">
        <is>
          <t>A 26932-2024</t>
        </is>
      </c>
      <c r="B170" s="1" t="n">
        <v>45470</v>
      </c>
      <c r="C170" s="1" t="n">
        <v>46193</v>
      </c>
      <c r="D170" t="inlineStr">
        <is>
          <t>VÄSTERBOTTENS LÄN</t>
        </is>
      </c>
      <c r="E170" t="inlineStr">
        <is>
          <t>UMEÅ</t>
        </is>
      </c>
      <c r="G170" t="n">
        <v>4</v>
      </c>
      <c r="H170" t="n">
        <v>0</v>
      </c>
      <c r="I170" t="n">
        <v>0</v>
      </c>
      <c r="J170" t="n">
        <v>1</v>
      </c>
      <c r="K170" t="n">
        <v>0</v>
      </c>
      <c r="L170" t="n">
        <v>0</v>
      </c>
      <c r="M170" t="n">
        <v>0</v>
      </c>
      <c r="N170" t="n">
        <v>0</v>
      </c>
      <c r="O170" t="n">
        <v>1</v>
      </c>
      <c r="P170" t="n">
        <v>0</v>
      </c>
      <c r="Q170" t="n">
        <v>1</v>
      </c>
      <c r="R170" s="2" t="inlineStr">
        <is>
          <t>Violettgrå tagellav</t>
        </is>
      </c>
      <c r="S170">
        <f>HYPERLINK("https://klasma.github.io/Logging_2480/artfynd/A 26932-2024 artfynd.xlsx", "A 26932-2024")</f>
        <v/>
      </c>
      <c r="T170">
        <f>HYPERLINK("https://klasma.github.io/Logging_2480/kartor/A 26932-2024 karta.png", "A 26932-2024")</f>
        <v/>
      </c>
      <c r="V170">
        <f>HYPERLINK("https://klasma.github.io/Logging_2480/klagomål/A 26932-2024 FSC-klagomål.docx", "A 26932-2024")</f>
        <v/>
      </c>
      <c r="W170">
        <f>HYPERLINK("https://klasma.github.io/Logging_2480/klagomålsmail/A 26932-2024 FSC-klagomål mail.docx", "A 26932-2024")</f>
        <v/>
      </c>
      <c r="X170">
        <f>HYPERLINK("https://klasma.github.io/Logging_2480/tillsyn/A 26932-2024 tillsynsbegäran.docx", "A 26932-2024")</f>
        <v/>
      </c>
      <c r="Y170">
        <f>HYPERLINK("https://klasma.github.io/Logging_2480/tillsynsmail/A 26932-2024 tillsynsbegäran mail.docx", "A 26932-2024")</f>
        <v/>
      </c>
    </row>
    <row r="171" ht="15" customHeight="1">
      <c r="A171" t="inlineStr">
        <is>
          <t>A 26317-2026</t>
        </is>
      </c>
      <c r="B171" s="1" t="n">
        <v>46182</v>
      </c>
      <c r="C171" s="1" t="n">
        <v>46193</v>
      </c>
      <c r="D171" t="inlineStr">
        <is>
          <t>VÄSTERBOTTENS LÄN</t>
        </is>
      </c>
      <c r="E171" t="inlineStr">
        <is>
          <t>UMEÅ</t>
        </is>
      </c>
      <c r="G171" t="n">
        <v>3.3</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26317-2026 artfynd.xlsx", "A 26317-2026")</f>
        <v/>
      </c>
      <c r="T171">
        <f>HYPERLINK("https://klasma.github.io/Logging_2480/kartor/A 26317-2026 karta.png", "A 26317-2026")</f>
        <v/>
      </c>
      <c r="V171">
        <f>HYPERLINK("https://klasma.github.io/Logging_2480/klagomål/A 26317-2026 FSC-klagomål.docx", "A 26317-2026")</f>
        <v/>
      </c>
      <c r="W171">
        <f>HYPERLINK("https://klasma.github.io/Logging_2480/klagomålsmail/A 26317-2026 FSC-klagomål mail.docx", "A 26317-2026")</f>
        <v/>
      </c>
      <c r="X171">
        <f>HYPERLINK("https://klasma.github.io/Logging_2480/tillsyn/A 26317-2026 tillsynsbegäran.docx", "A 26317-2026")</f>
        <v/>
      </c>
      <c r="Y171">
        <f>HYPERLINK("https://klasma.github.io/Logging_2480/tillsynsmail/A 26317-2026 tillsynsbegäran mail.docx", "A 26317-2026")</f>
        <v/>
      </c>
    </row>
    <row r="172" ht="15" customHeight="1">
      <c r="A172" t="inlineStr">
        <is>
          <t>A 38893-2021</t>
        </is>
      </c>
      <c r="B172" s="1" t="n">
        <v>44410</v>
      </c>
      <c r="C172" s="1" t="n">
        <v>46193</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3940-2022</t>
        </is>
      </c>
      <c r="B173" s="1" t="n">
        <v>44587</v>
      </c>
      <c r="C173" s="1" t="n">
        <v>46193</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46193</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38516-2021</t>
        </is>
      </c>
      <c r="B175" s="1" t="n">
        <v>44407</v>
      </c>
      <c r="C175" s="1" t="n">
        <v>46193</v>
      </c>
      <c r="D175" t="inlineStr">
        <is>
          <t>VÄSTERBOTTENS LÄN</t>
        </is>
      </c>
      <c r="E175" t="inlineStr">
        <is>
          <t>UMEÅ</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38402-2021</t>
        </is>
      </c>
      <c r="B176" s="1" t="n">
        <v>44406</v>
      </c>
      <c r="C176" s="1" t="n">
        <v>46193</v>
      </c>
      <c r="D176" t="inlineStr">
        <is>
          <t>VÄSTERBOTTENS LÄN</t>
        </is>
      </c>
      <c r="E176" t="inlineStr">
        <is>
          <t>UMEÅ</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38435-2021</t>
        </is>
      </c>
      <c r="B177" s="1" t="n">
        <v>44406</v>
      </c>
      <c r="C177" s="1" t="n">
        <v>46193</v>
      </c>
      <c r="D177" t="inlineStr">
        <is>
          <t>VÄSTERBOTTENS LÄN</t>
        </is>
      </c>
      <c r="E177" t="inlineStr">
        <is>
          <t>UMEÅ</t>
        </is>
      </c>
      <c r="F177" t="inlineStr">
        <is>
          <t>Övriga statliga verk och myndigheter</t>
        </is>
      </c>
      <c r="G177" t="n">
        <v>1.9</v>
      </c>
      <c r="H177" t="n">
        <v>0</v>
      </c>
      <c r="I177" t="n">
        <v>0</v>
      </c>
      <c r="J177" t="n">
        <v>0</v>
      </c>
      <c r="K177" t="n">
        <v>0</v>
      </c>
      <c r="L177" t="n">
        <v>0</v>
      </c>
      <c r="M177" t="n">
        <v>0</v>
      </c>
      <c r="N177" t="n">
        <v>0</v>
      </c>
      <c r="O177" t="n">
        <v>0</v>
      </c>
      <c r="P177" t="n">
        <v>0</v>
      </c>
      <c r="Q177" t="n">
        <v>0</v>
      </c>
      <c r="R177" s="2" t="inlineStr"/>
    </row>
    <row r="178" ht="15" customHeight="1">
      <c r="A178" t="inlineStr">
        <is>
          <t>A 32787-2022</t>
        </is>
      </c>
      <c r="B178" s="1" t="n">
        <v>44784</v>
      </c>
      <c r="C178" s="1" t="n">
        <v>46193</v>
      </c>
      <c r="D178" t="inlineStr">
        <is>
          <t>VÄSTERBOTTENS LÄN</t>
        </is>
      </c>
      <c r="E178" t="inlineStr">
        <is>
          <t>UMEÅ</t>
        </is>
      </c>
      <c r="G178" t="n">
        <v>1.6</v>
      </c>
      <c r="H178" t="n">
        <v>0</v>
      </c>
      <c r="I178" t="n">
        <v>0</v>
      </c>
      <c r="J178" t="n">
        <v>0</v>
      </c>
      <c r="K178" t="n">
        <v>0</v>
      </c>
      <c r="L178" t="n">
        <v>0</v>
      </c>
      <c r="M178" t="n">
        <v>0</v>
      </c>
      <c r="N178" t="n">
        <v>0</v>
      </c>
      <c r="O178" t="n">
        <v>0</v>
      </c>
      <c r="P178" t="n">
        <v>0</v>
      </c>
      <c r="Q178" t="n">
        <v>0</v>
      </c>
      <c r="R178" s="2" t="inlineStr"/>
    </row>
    <row r="179" ht="15" customHeight="1">
      <c r="A179" t="inlineStr">
        <is>
          <t>A 38691-2021</t>
        </is>
      </c>
      <c r="B179" s="1" t="n">
        <v>44407</v>
      </c>
      <c r="C179" s="1" t="n">
        <v>46193</v>
      </c>
      <c r="D179" t="inlineStr">
        <is>
          <t>VÄSTERBOTTENS LÄN</t>
        </is>
      </c>
      <c r="E179" t="inlineStr">
        <is>
          <t>UMEÅ</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46193</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46193</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46193</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46193</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46193</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46193</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46193</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46193</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46193</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46193</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46193</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46193</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46193</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46193</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46193</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46193</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46193</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46193</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46193</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46193</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46193</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46193</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46193</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46193</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46193</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46193</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46193</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46193</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46193</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46193</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46193</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46193</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46193</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46193</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46193</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46193</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46193</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46193</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46193</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46193</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46193</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46193</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46193</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46193</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46193</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9770-2022</t>
        </is>
      </c>
      <c r="B225" s="1" t="n">
        <v>44619</v>
      </c>
      <c r="C225" s="1" t="n">
        <v>46193</v>
      </c>
      <c r="D225" t="inlineStr">
        <is>
          <t>VÄSTERBOTTENS LÄN</t>
        </is>
      </c>
      <c r="E225" t="inlineStr">
        <is>
          <t>UMEÅ</t>
        </is>
      </c>
      <c r="G225" t="n">
        <v>2.6</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46193</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46193</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46193</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46193</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46193</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46193</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46193</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46193</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46193</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46193</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46193</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35465-2021</t>
        </is>
      </c>
      <c r="B237" s="1" t="n">
        <v>44385</v>
      </c>
      <c r="C237" s="1" t="n">
        <v>46193</v>
      </c>
      <c r="D237" t="inlineStr">
        <is>
          <t>VÄSTERBOTTENS LÄN</t>
        </is>
      </c>
      <c r="E237" t="inlineStr">
        <is>
          <t>UMEÅ</t>
        </is>
      </c>
      <c r="F237" t="inlineStr">
        <is>
          <t>Sveaskog</t>
        </is>
      </c>
      <c r="G237" t="n">
        <v>5.8</v>
      </c>
      <c r="H237" t="n">
        <v>0</v>
      </c>
      <c r="I237" t="n">
        <v>0</v>
      </c>
      <c r="J237" t="n">
        <v>0</v>
      </c>
      <c r="K237" t="n">
        <v>0</v>
      </c>
      <c r="L237" t="n">
        <v>0</v>
      </c>
      <c r="M237" t="n">
        <v>0</v>
      </c>
      <c r="N237" t="n">
        <v>0</v>
      </c>
      <c r="O237" t="n">
        <v>0</v>
      </c>
      <c r="P237" t="n">
        <v>0</v>
      </c>
      <c r="Q237" t="n">
        <v>0</v>
      </c>
      <c r="R237" s="2" t="inlineStr"/>
    </row>
    <row r="238" ht="15" customHeight="1">
      <c r="A238" t="inlineStr">
        <is>
          <t>A 44375-2022</t>
        </is>
      </c>
      <c r="B238" s="1" t="n">
        <v>44838</v>
      </c>
      <c r="C238" s="1" t="n">
        <v>46193</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46193</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38684-2021</t>
        </is>
      </c>
      <c r="B240" s="1" t="n">
        <v>44407</v>
      </c>
      <c r="C240" s="1" t="n">
        <v>46193</v>
      </c>
      <c r="D240" t="inlineStr">
        <is>
          <t>VÄSTERBOTTENS LÄN</t>
        </is>
      </c>
      <c r="E240" t="inlineStr">
        <is>
          <t>UMEÅ</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35631-2024</t>
        </is>
      </c>
      <c r="B241" s="1" t="n">
        <v>45531</v>
      </c>
      <c r="C241" s="1" t="n">
        <v>46193</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19189-2024</t>
        </is>
      </c>
      <c r="B242" s="1" t="n">
        <v>45428</v>
      </c>
      <c r="C242" s="1" t="n">
        <v>46193</v>
      </c>
      <c r="D242" t="inlineStr">
        <is>
          <t>VÄSTERBOTTENS LÄN</t>
        </is>
      </c>
      <c r="E242" t="inlineStr">
        <is>
          <t>UMEÅ</t>
        </is>
      </c>
      <c r="G242" t="n">
        <v>1</v>
      </c>
      <c r="H242" t="n">
        <v>0</v>
      </c>
      <c r="I242" t="n">
        <v>0</v>
      </c>
      <c r="J242" t="n">
        <v>0</v>
      </c>
      <c r="K242" t="n">
        <v>0</v>
      </c>
      <c r="L242" t="n">
        <v>0</v>
      </c>
      <c r="M242" t="n">
        <v>0</v>
      </c>
      <c r="N242" t="n">
        <v>0</v>
      </c>
      <c r="O242" t="n">
        <v>0</v>
      </c>
      <c r="P242" t="n">
        <v>0</v>
      </c>
      <c r="Q242" t="n">
        <v>0</v>
      </c>
      <c r="R242" s="2" t="inlineStr"/>
    </row>
    <row r="243" ht="15" customHeight="1">
      <c r="A243" t="inlineStr">
        <is>
          <t>A 26924-2024</t>
        </is>
      </c>
      <c r="B243" s="1" t="n">
        <v>45470</v>
      </c>
      <c r="C243" s="1" t="n">
        <v>46193</v>
      </c>
      <c r="D243" t="inlineStr">
        <is>
          <t>VÄSTERBOTTENS LÄN</t>
        </is>
      </c>
      <c r="E243" t="inlineStr">
        <is>
          <t>UMEÅ</t>
        </is>
      </c>
      <c r="G243" t="n">
        <v>2.5</v>
      </c>
      <c r="H243" t="n">
        <v>0</v>
      </c>
      <c r="I243" t="n">
        <v>0</v>
      </c>
      <c r="J243" t="n">
        <v>0</v>
      </c>
      <c r="K243" t="n">
        <v>0</v>
      </c>
      <c r="L243" t="n">
        <v>0</v>
      </c>
      <c r="M243" t="n">
        <v>0</v>
      </c>
      <c r="N243" t="n">
        <v>0</v>
      </c>
      <c r="O243" t="n">
        <v>0</v>
      </c>
      <c r="P243" t="n">
        <v>0</v>
      </c>
      <c r="Q243" t="n">
        <v>0</v>
      </c>
      <c r="R243" s="2" t="inlineStr"/>
    </row>
    <row r="244" ht="15" customHeight="1">
      <c r="A244" t="inlineStr">
        <is>
          <t>A 55590-2021</t>
        </is>
      </c>
      <c r="B244" s="1" t="n">
        <v>44475</v>
      </c>
      <c r="C244" s="1" t="n">
        <v>46193</v>
      </c>
      <c r="D244" t="inlineStr">
        <is>
          <t>VÄSTERBOTTENS LÄN</t>
        </is>
      </c>
      <c r="E244" t="inlineStr">
        <is>
          <t>UMEÅ</t>
        </is>
      </c>
      <c r="G244" t="n">
        <v>1</v>
      </c>
      <c r="H244" t="n">
        <v>0</v>
      </c>
      <c r="I244" t="n">
        <v>0</v>
      </c>
      <c r="J244" t="n">
        <v>0</v>
      </c>
      <c r="K244" t="n">
        <v>0</v>
      </c>
      <c r="L244" t="n">
        <v>0</v>
      </c>
      <c r="M244" t="n">
        <v>0</v>
      </c>
      <c r="N244" t="n">
        <v>0</v>
      </c>
      <c r="O244" t="n">
        <v>0</v>
      </c>
      <c r="P244" t="n">
        <v>0</v>
      </c>
      <c r="Q244" t="n">
        <v>0</v>
      </c>
      <c r="R244" s="2" t="inlineStr"/>
    </row>
    <row r="245" ht="15" customHeight="1">
      <c r="A245" t="inlineStr">
        <is>
          <t>A 27052-2024</t>
        </is>
      </c>
      <c r="B245" s="1" t="n">
        <v>45471</v>
      </c>
      <c r="C245" s="1" t="n">
        <v>46193</v>
      </c>
      <c r="D245" t="inlineStr">
        <is>
          <t>VÄSTERBOTTENS LÄN</t>
        </is>
      </c>
      <c r="E245" t="inlineStr">
        <is>
          <t>UMEÅ</t>
        </is>
      </c>
      <c r="F245" t="inlineStr">
        <is>
          <t>Holmen skog AB</t>
        </is>
      </c>
      <c r="G245" t="n">
        <v>1</v>
      </c>
      <c r="H245" t="n">
        <v>0</v>
      </c>
      <c r="I245" t="n">
        <v>0</v>
      </c>
      <c r="J245" t="n">
        <v>0</v>
      </c>
      <c r="K245" t="n">
        <v>0</v>
      </c>
      <c r="L245" t="n">
        <v>0</v>
      </c>
      <c r="M245" t="n">
        <v>0</v>
      </c>
      <c r="N245" t="n">
        <v>0</v>
      </c>
      <c r="O245" t="n">
        <v>0</v>
      </c>
      <c r="P245" t="n">
        <v>0</v>
      </c>
      <c r="Q245" t="n">
        <v>0</v>
      </c>
      <c r="R245" s="2" t="inlineStr"/>
    </row>
    <row r="246" ht="15" customHeight="1">
      <c r="A246" t="inlineStr">
        <is>
          <t>A 16999-2023</t>
        </is>
      </c>
      <c r="B246" s="1" t="n">
        <v>45033</v>
      </c>
      <c r="C246" s="1" t="n">
        <v>46193</v>
      </c>
      <c r="D246" t="inlineStr">
        <is>
          <t>VÄSTERBOTTENS LÄN</t>
        </is>
      </c>
      <c r="E246" t="inlineStr">
        <is>
          <t>UMEÅ</t>
        </is>
      </c>
      <c r="G246" t="n">
        <v>20.1</v>
      </c>
      <c r="H246" t="n">
        <v>0</v>
      </c>
      <c r="I246" t="n">
        <v>0</v>
      </c>
      <c r="J246" t="n">
        <v>0</v>
      </c>
      <c r="K246" t="n">
        <v>0</v>
      </c>
      <c r="L246" t="n">
        <v>0</v>
      </c>
      <c r="M246" t="n">
        <v>0</v>
      </c>
      <c r="N246" t="n">
        <v>0</v>
      </c>
      <c r="O246" t="n">
        <v>0</v>
      </c>
      <c r="P246" t="n">
        <v>0</v>
      </c>
      <c r="Q246" t="n">
        <v>0</v>
      </c>
      <c r="R246" s="2" t="inlineStr"/>
    </row>
    <row r="247" ht="15" customHeight="1">
      <c r="A247" t="inlineStr">
        <is>
          <t>A 17484-2022</t>
        </is>
      </c>
      <c r="B247" s="1" t="n">
        <v>44679</v>
      </c>
      <c r="C247" s="1" t="n">
        <v>46193</v>
      </c>
      <c r="D247" t="inlineStr">
        <is>
          <t>VÄSTERBOTTENS LÄN</t>
        </is>
      </c>
      <c r="E247" t="inlineStr">
        <is>
          <t>UMEÅ</t>
        </is>
      </c>
      <c r="G247" t="n">
        <v>1.7</v>
      </c>
      <c r="H247" t="n">
        <v>0</v>
      </c>
      <c r="I247" t="n">
        <v>0</v>
      </c>
      <c r="J247" t="n">
        <v>0</v>
      </c>
      <c r="K247" t="n">
        <v>0</v>
      </c>
      <c r="L247" t="n">
        <v>0</v>
      </c>
      <c r="M247" t="n">
        <v>0</v>
      </c>
      <c r="N247" t="n">
        <v>0</v>
      </c>
      <c r="O247" t="n">
        <v>0</v>
      </c>
      <c r="P247" t="n">
        <v>0</v>
      </c>
      <c r="Q247" t="n">
        <v>0</v>
      </c>
      <c r="R247" s="2" t="inlineStr"/>
    </row>
    <row r="248" ht="15" customHeight="1">
      <c r="A248" t="inlineStr">
        <is>
          <t>A 7376-2022</t>
        </is>
      </c>
      <c r="B248" s="1" t="n">
        <v>44606</v>
      </c>
      <c r="C248" s="1" t="n">
        <v>46193</v>
      </c>
      <c r="D248" t="inlineStr">
        <is>
          <t>VÄSTERBOTTENS LÄN</t>
        </is>
      </c>
      <c r="E248" t="inlineStr">
        <is>
          <t>UMEÅ</t>
        </is>
      </c>
      <c r="G248" t="n">
        <v>16.1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46193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34121-2021</t>
        </is>
      </c>
      <c r="B250" s="1" t="n">
        <v>44379</v>
      </c>
      <c r="C250" s="1" t="n">
        <v>46193</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38135-2024</t>
        </is>
      </c>
      <c r="B251" s="1" t="n">
        <v>45545</v>
      </c>
      <c r="C251" s="1" t="n">
        <v>46193</v>
      </c>
      <c r="D251" t="inlineStr">
        <is>
          <t>VÄSTERBOTTENS LÄN</t>
        </is>
      </c>
      <c r="E251" t="inlineStr">
        <is>
          <t>UMEÅ</t>
        </is>
      </c>
      <c r="G251" t="n">
        <v>8.6</v>
      </c>
      <c r="H251" t="n">
        <v>0</v>
      </c>
      <c r="I251" t="n">
        <v>0</v>
      </c>
      <c r="J251" t="n">
        <v>0</v>
      </c>
      <c r="K251" t="n">
        <v>0</v>
      </c>
      <c r="L251" t="n">
        <v>0</v>
      </c>
      <c r="M251" t="n">
        <v>0</v>
      </c>
      <c r="N251" t="n">
        <v>0</v>
      </c>
      <c r="O251" t="n">
        <v>0</v>
      </c>
      <c r="P251" t="n">
        <v>0</v>
      </c>
      <c r="Q251" t="n">
        <v>0</v>
      </c>
      <c r="R251" s="2" t="inlineStr"/>
    </row>
    <row r="252" ht="15" customHeight="1">
      <c r="A252" t="inlineStr">
        <is>
          <t>A 60645-2023</t>
        </is>
      </c>
      <c r="B252" s="1" t="n">
        <v>45260</v>
      </c>
      <c r="C252" s="1" t="n">
        <v>46193</v>
      </c>
      <c r="D252" t="inlineStr">
        <is>
          <t>VÄSTERBOTTENS LÄN</t>
        </is>
      </c>
      <c r="E252" t="inlineStr">
        <is>
          <t>UMEÅ</t>
        </is>
      </c>
      <c r="G252" t="n">
        <v>2.5</v>
      </c>
      <c r="H252" t="n">
        <v>0</v>
      </c>
      <c r="I252" t="n">
        <v>0</v>
      </c>
      <c r="J252" t="n">
        <v>0</v>
      </c>
      <c r="K252" t="n">
        <v>0</v>
      </c>
      <c r="L252" t="n">
        <v>0</v>
      </c>
      <c r="M252" t="n">
        <v>0</v>
      </c>
      <c r="N252" t="n">
        <v>0</v>
      </c>
      <c r="O252" t="n">
        <v>0</v>
      </c>
      <c r="P252" t="n">
        <v>0</v>
      </c>
      <c r="Q252" t="n">
        <v>0</v>
      </c>
      <c r="R252" s="2" t="inlineStr"/>
    </row>
    <row r="253" ht="15" customHeight="1">
      <c r="A253" t="inlineStr">
        <is>
          <t>A 42000-2024</t>
        </is>
      </c>
      <c r="B253" s="1" t="n">
        <v>45561</v>
      </c>
      <c r="C253" s="1" t="n">
        <v>46193</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29652-2024</t>
        </is>
      </c>
      <c r="B254" s="1" t="n">
        <v>45484</v>
      </c>
      <c r="C254" s="1" t="n">
        <v>46193</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46408-2022</t>
        </is>
      </c>
      <c r="B255" s="1" t="n">
        <v>44846</v>
      </c>
      <c r="C255" s="1" t="n">
        <v>46193</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22609-2022</t>
        </is>
      </c>
      <c r="B256" s="1" t="n">
        <v>44714</v>
      </c>
      <c r="C256" s="1" t="n">
        <v>46193</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11538-2022</t>
        </is>
      </c>
      <c r="B257" s="1" t="n">
        <v>44631</v>
      </c>
      <c r="C257" s="1" t="n">
        <v>46193</v>
      </c>
      <c r="D257" t="inlineStr">
        <is>
          <t>VÄSTERBOTTENS LÄN</t>
        </is>
      </c>
      <c r="E257" t="inlineStr">
        <is>
          <t>UMEÅ</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26872-2022</t>
        </is>
      </c>
      <c r="B258" s="1" t="n">
        <v>44740</v>
      </c>
      <c r="C258" s="1" t="n">
        <v>46193</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9924-2022</t>
        </is>
      </c>
      <c r="B259" s="1" t="n">
        <v>44620</v>
      </c>
      <c r="C259" s="1" t="n">
        <v>46193</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44132-2022</t>
        </is>
      </c>
      <c r="B260" s="1" t="n">
        <v>44839</v>
      </c>
      <c r="C260" s="1" t="n">
        <v>46193</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37007-2024</t>
        </is>
      </c>
      <c r="B261" s="1" t="n">
        <v>45539</v>
      </c>
      <c r="C261" s="1" t="n">
        <v>46193</v>
      </c>
      <c r="D261" t="inlineStr">
        <is>
          <t>VÄSTERBOTTENS LÄN</t>
        </is>
      </c>
      <c r="E261" t="inlineStr">
        <is>
          <t>UMEÅ</t>
        </is>
      </c>
      <c r="G261" t="n">
        <v>6.2</v>
      </c>
      <c r="H261" t="n">
        <v>0</v>
      </c>
      <c r="I261" t="n">
        <v>0</v>
      </c>
      <c r="J261" t="n">
        <v>0</v>
      </c>
      <c r="K261" t="n">
        <v>0</v>
      </c>
      <c r="L261" t="n">
        <v>0</v>
      </c>
      <c r="M261" t="n">
        <v>0</v>
      </c>
      <c r="N261" t="n">
        <v>0</v>
      </c>
      <c r="O261" t="n">
        <v>0</v>
      </c>
      <c r="P261" t="n">
        <v>0</v>
      </c>
      <c r="Q261" t="n">
        <v>0</v>
      </c>
      <c r="R261" s="2" t="inlineStr"/>
    </row>
    <row r="262" ht="15" customHeight="1">
      <c r="A262" t="inlineStr">
        <is>
          <t>A 2048-2023</t>
        </is>
      </c>
      <c r="B262" s="1" t="n">
        <v>44939</v>
      </c>
      <c r="C262" s="1" t="n">
        <v>46193</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70068-2021</t>
        </is>
      </c>
      <c r="B263" s="1" t="n">
        <v>44533</v>
      </c>
      <c r="C263" s="1" t="n">
        <v>46193</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38543-2021</t>
        </is>
      </c>
      <c r="B264" s="1" t="n">
        <v>44407</v>
      </c>
      <c r="C264" s="1" t="n">
        <v>46193</v>
      </c>
      <c r="D264" t="inlineStr">
        <is>
          <t>VÄSTERBOTTENS LÄN</t>
        </is>
      </c>
      <c r="E264" t="inlineStr">
        <is>
          <t>UMEÅ</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38547-2021</t>
        </is>
      </c>
      <c r="B265" s="1" t="n">
        <v>44407</v>
      </c>
      <c r="C265" s="1" t="n">
        <v>46193</v>
      </c>
      <c r="D265" t="inlineStr">
        <is>
          <t>VÄSTERBOTTENS LÄN</t>
        </is>
      </c>
      <c r="E265" t="inlineStr">
        <is>
          <t>UMEÅ</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7356-2022</t>
        </is>
      </c>
      <c r="B266" s="1" t="n">
        <v>44606</v>
      </c>
      <c r="C266" s="1" t="n">
        <v>46193</v>
      </c>
      <c r="D266" t="inlineStr">
        <is>
          <t>VÄSTERBOTTENS LÄN</t>
        </is>
      </c>
      <c r="E266" t="inlineStr">
        <is>
          <t>UMEÅ</t>
        </is>
      </c>
      <c r="G266" t="n">
        <v>7.3</v>
      </c>
      <c r="H266" t="n">
        <v>0</v>
      </c>
      <c r="I266" t="n">
        <v>0</v>
      </c>
      <c r="J266" t="n">
        <v>0</v>
      </c>
      <c r="K266" t="n">
        <v>0</v>
      </c>
      <c r="L266" t="n">
        <v>0</v>
      </c>
      <c r="M266" t="n">
        <v>0</v>
      </c>
      <c r="N266" t="n">
        <v>0</v>
      </c>
      <c r="O266" t="n">
        <v>0</v>
      </c>
      <c r="P266" t="n">
        <v>0</v>
      </c>
      <c r="Q266" t="n">
        <v>0</v>
      </c>
      <c r="R266" s="2" t="inlineStr"/>
    </row>
    <row r="267" ht="15" customHeight="1">
      <c r="A267" t="inlineStr">
        <is>
          <t>A 58605-2022</t>
        </is>
      </c>
      <c r="B267" s="1" t="n">
        <v>44902</v>
      </c>
      <c r="C267" s="1" t="n">
        <v>46193</v>
      </c>
      <c r="D267" t="inlineStr">
        <is>
          <t>VÄSTERBOTTENS LÄN</t>
        </is>
      </c>
      <c r="E267" t="inlineStr">
        <is>
          <t>UMEÅ</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15979-2024</t>
        </is>
      </c>
      <c r="B268" s="1" t="n">
        <v>45405</v>
      </c>
      <c r="C268" s="1" t="n">
        <v>46193</v>
      </c>
      <c r="D268" t="inlineStr">
        <is>
          <t>VÄSTERBOTTENS LÄN</t>
        </is>
      </c>
      <c r="E268" t="inlineStr">
        <is>
          <t>UMEÅ</t>
        </is>
      </c>
      <c r="G268" t="n">
        <v>0.9</v>
      </c>
      <c r="H268" t="n">
        <v>0</v>
      </c>
      <c r="I268" t="n">
        <v>0</v>
      </c>
      <c r="J268" t="n">
        <v>0</v>
      </c>
      <c r="K268" t="n">
        <v>0</v>
      </c>
      <c r="L268" t="n">
        <v>0</v>
      </c>
      <c r="M268" t="n">
        <v>0</v>
      </c>
      <c r="N268" t="n">
        <v>0</v>
      </c>
      <c r="O268" t="n">
        <v>0</v>
      </c>
      <c r="P268" t="n">
        <v>0</v>
      </c>
      <c r="Q268" t="n">
        <v>0</v>
      </c>
      <c r="R268" s="2" t="inlineStr"/>
    </row>
    <row r="269" ht="15" customHeight="1">
      <c r="A269" t="inlineStr">
        <is>
          <t>A 38434-2021</t>
        </is>
      </c>
      <c r="B269" s="1" t="n">
        <v>44406</v>
      </c>
      <c r="C269" s="1" t="n">
        <v>46193</v>
      </c>
      <c r="D269" t="inlineStr">
        <is>
          <t>VÄSTERBOTTENS LÄN</t>
        </is>
      </c>
      <c r="E269" t="inlineStr">
        <is>
          <t>UMEÅ</t>
        </is>
      </c>
      <c r="F269" t="inlineStr">
        <is>
          <t>Kommuner</t>
        </is>
      </c>
      <c r="G269" t="n">
        <v>1.1</v>
      </c>
      <c r="H269" t="n">
        <v>0</v>
      </c>
      <c r="I269" t="n">
        <v>0</v>
      </c>
      <c r="J269" t="n">
        <v>0</v>
      </c>
      <c r="K269" t="n">
        <v>0</v>
      </c>
      <c r="L269" t="n">
        <v>0</v>
      </c>
      <c r="M269" t="n">
        <v>0</v>
      </c>
      <c r="N269" t="n">
        <v>0</v>
      </c>
      <c r="O269" t="n">
        <v>0</v>
      </c>
      <c r="P269" t="n">
        <v>0</v>
      </c>
      <c r="Q269" t="n">
        <v>0</v>
      </c>
      <c r="R269" s="2" t="inlineStr"/>
    </row>
    <row r="270" ht="15" customHeight="1">
      <c r="A270" t="inlineStr">
        <is>
          <t>A 24586-2022</t>
        </is>
      </c>
      <c r="B270" s="1" t="n">
        <v>44727</v>
      </c>
      <c r="C270" s="1" t="n">
        <v>46193</v>
      </c>
      <c r="D270" t="inlineStr">
        <is>
          <t>VÄSTERBOTTENS LÄN</t>
        </is>
      </c>
      <c r="E270" t="inlineStr">
        <is>
          <t>UMEÅ</t>
        </is>
      </c>
      <c r="G270" t="n">
        <v>1</v>
      </c>
      <c r="H270" t="n">
        <v>0</v>
      </c>
      <c r="I270" t="n">
        <v>0</v>
      </c>
      <c r="J270" t="n">
        <v>0</v>
      </c>
      <c r="K270" t="n">
        <v>0</v>
      </c>
      <c r="L270" t="n">
        <v>0</v>
      </c>
      <c r="M270" t="n">
        <v>0</v>
      </c>
      <c r="N270" t="n">
        <v>0</v>
      </c>
      <c r="O270" t="n">
        <v>0</v>
      </c>
      <c r="P270" t="n">
        <v>0</v>
      </c>
      <c r="Q270" t="n">
        <v>0</v>
      </c>
      <c r="R270" s="2" t="inlineStr"/>
    </row>
    <row r="271" ht="15" customHeight="1">
      <c r="A271" t="inlineStr">
        <is>
          <t>A 40348-2021</t>
        </is>
      </c>
      <c r="B271" s="1" t="n">
        <v>44419</v>
      </c>
      <c r="C271" s="1" t="n">
        <v>46193</v>
      </c>
      <c r="D271" t="inlineStr">
        <is>
          <t>VÄSTERBOTTENS LÄN</t>
        </is>
      </c>
      <c r="E271" t="inlineStr">
        <is>
          <t>UMEÅ</t>
        </is>
      </c>
      <c r="F271" t="inlineStr">
        <is>
          <t>Kommuner</t>
        </is>
      </c>
      <c r="G271" t="n">
        <v>2.3</v>
      </c>
      <c r="H271" t="n">
        <v>0</v>
      </c>
      <c r="I271" t="n">
        <v>0</v>
      </c>
      <c r="J271" t="n">
        <v>0</v>
      </c>
      <c r="K271" t="n">
        <v>0</v>
      </c>
      <c r="L271" t="n">
        <v>0</v>
      </c>
      <c r="M271" t="n">
        <v>0</v>
      </c>
      <c r="N271" t="n">
        <v>0</v>
      </c>
      <c r="O271" t="n">
        <v>0</v>
      </c>
      <c r="P271" t="n">
        <v>0</v>
      </c>
      <c r="Q271" t="n">
        <v>0</v>
      </c>
      <c r="R271" s="2" t="inlineStr"/>
    </row>
    <row r="272" ht="15" customHeight="1">
      <c r="A272" t="inlineStr">
        <is>
          <t>A 9531-2023</t>
        </is>
      </c>
      <c r="B272" s="1" t="n">
        <v>44981</v>
      </c>
      <c r="C272" s="1" t="n">
        <v>46193</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2632-2023</t>
        </is>
      </c>
      <c r="B273" s="1" t="n">
        <v>44944</v>
      </c>
      <c r="C273" s="1" t="n">
        <v>46193</v>
      </c>
      <c r="D273" t="inlineStr">
        <is>
          <t>VÄSTERBOTTENS LÄN</t>
        </is>
      </c>
      <c r="E273" t="inlineStr">
        <is>
          <t>UMEÅ</t>
        </is>
      </c>
      <c r="G273" t="n">
        <v>0.3</v>
      </c>
      <c r="H273" t="n">
        <v>0</v>
      </c>
      <c r="I273" t="n">
        <v>0</v>
      </c>
      <c r="J273" t="n">
        <v>0</v>
      </c>
      <c r="K273" t="n">
        <v>0</v>
      </c>
      <c r="L273" t="n">
        <v>0</v>
      </c>
      <c r="M273" t="n">
        <v>0</v>
      </c>
      <c r="N273" t="n">
        <v>0</v>
      </c>
      <c r="O273" t="n">
        <v>0</v>
      </c>
      <c r="P273" t="n">
        <v>0</v>
      </c>
      <c r="Q273" t="n">
        <v>0</v>
      </c>
      <c r="R273" s="2" t="inlineStr"/>
    </row>
    <row r="274" ht="15" customHeight="1">
      <c r="A274" t="inlineStr">
        <is>
          <t>A 2634-2023</t>
        </is>
      </c>
      <c r="B274" s="1" t="n">
        <v>44944</v>
      </c>
      <c r="C274" s="1" t="n">
        <v>46193</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2659-2023</t>
        </is>
      </c>
      <c r="B275" s="1" t="n">
        <v>44944</v>
      </c>
      <c r="C275" s="1" t="n">
        <v>46193</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2857-2022</t>
        </is>
      </c>
      <c r="B276" s="1" t="n">
        <v>44581</v>
      </c>
      <c r="C276" s="1" t="n">
        <v>46193</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34320-2024</t>
        </is>
      </c>
      <c r="B277" s="1" t="n">
        <v>45524</v>
      </c>
      <c r="C277" s="1" t="n">
        <v>46193</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16021-2025</t>
        </is>
      </c>
      <c r="B278" s="1" t="n">
        <v>45749</v>
      </c>
      <c r="C278" s="1" t="n">
        <v>46193</v>
      </c>
      <c r="D278" t="inlineStr">
        <is>
          <t>VÄSTERBOTTENS LÄN</t>
        </is>
      </c>
      <c r="E278" t="inlineStr">
        <is>
          <t>UMEÅ</t>
        </is>
      </c>
      <c r="G278" t="n">
        <v>4.5</v>
      </c>
      <c r="H278" t="n">
        <v>0</v>
      </c>
      <c r="I278" t="n">
        <v>0</v>
      </c>
      <c r="J278" t="n">
        <v>0</v>
      </c>
      <c r="K278" t="n">
        <v>0</v>
      </c>
      <c r="L278" t="n">
        <v>0</v>
      </c>
      <c r="M278" t="n">
        <v>0</v>
      </c>
      <c r="N278" t="n">
        <v>0</v>
      </c>
      <c r="O278" t="n">
        <v>0</v>
      </c>
      <c r="P278" t="n">
        <v>0</v>
      </c>
      <c r="Q278" t="n">
        <v>0</v>
      </c>
      <c r="R278" s="2" t="inlineStr"/>
    </row>
    <row r="279" ht="15" customHeight="1">
      <c r="A279" t="inlineStr">
        <is>
          <t>A 14432-2022</t>
        </is>
      </c>
      <c r="B279" s="1" t="n">
        <v>44652</v>
      </c>
      <c r="C279" s="1" t="n">
        <v>46193</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38220-2021</t>
        </is>
      </c>
      <c r="B280" s="1" t="n">
        <v>44407</v>
      </c>
      <c r="C280" s="1" t="n">
        <v>46193</v>
      </c>
      <c r="D280" t="inlineStr">
        <is>
          <t>VÄSTERBOTTENS LÄN</t>
        </is>
      </c>
      <c r="E280" t="inlineStr">
        <is>
          <t>UMEÅ</t>
        </is>
      </c>
      <c r="G280" t="n">
        <v>3</v>
      </c>
      <c r="H280" t="n">
        <v>0</v>
      </c>
      <c r="I280" t="n">
        <v>0</v>
      </c>
      <c r="J280" t="n">
        <v>0</v>
      </c>
      <c r="K280" t="n">
        <v>0</v>
      </c>
      <c r="L280" t="n">
        <v>0</v>
      </c>
      <c r="M280" t="n">
        <v>0</v>
      </c>
      <c r="N280" t="n">
        <v>0</v>
      </c>
      <c r="O280" t="n">
        <v>0</v>
      </c>
      <c r="P280" t="n">
        <v>0</v>
      </c>
      <c r="Q280" t="n">
        <v>0</v>
      </c>
      <c r="R280" s="2" t="inlineStr"/>
    </row>
    <row r="281" ht="15" customHeight="1">
      <c r="A281" t="inlineStr">
        <is>
          <t>A 42160-2024</t>
        </is>
      </c>
      <c r="B281" s="1" t="n">
        <v>45562</v>
      </c>
      <c r="C281" s="1" t="n">
        <v>46193</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42014-2024</t>
        </is>
      </c>
      <c r="B282" s="1" t="n">
        <v>45561</v>
      </c>
      <c r="C282" s="1" t="n">
        <v>46193</v>
      </c>
      <c r="D282" t="inlineStr">
        <is>
          <t>VÄSTERBOTTENS LÄN</t>
        </is>
      </c>
      <c r="E282" t="inlineStr">
        <is>
          <t>UMEÅ</t>
        </is>
      </c>
      <c r="G282" t="n">
        <v>3.5</v>
      </c>
      <c r="H282" t="n">
        <v>0</v>
      </c>
      <c r="I282" t="n">
        <v>0</v>
      </c>
      <c r="J282" t="n">
        <v>0</v>
      </c>
      <c r="K282" t="n">
        <v>0</v>
      </c>
      <c r="L282" t="n">
        <v>0</v>
      </c>
      <c r="M282" t="n">
        <v>0</v>
      </c>
      <c r="N282" t="n">
        <v>0</v>
      </c>
      <c r="O282" t="n">
        <v>0</v>
      </c>
      <c r="P282" t="n">
        <v>0</v>
      </c>
      <c r="Q282" t="n">
        <v>0</v>
      </c>
      <c r="R282" s="2" t="inlineStr"/>
    </row>
    <row r="283" ht="15" customHeight="1">
      <c r="A283" t="inlineStr">
        <is>
          <t>A 1821-2022</t>
        </is>
      </c>
      <c r="B283" s="1" t="n">
        <v>44574</v>
      </c>
      <c r="C283" s="1" t="n">
        <v>46193</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14242-2023</t>
        </is>
      </c>
      <c r="B284" s="1" t="n">
        <v>45009</v>
      </c>
      <c r="C284" s="1" t="n">
        <v>46193</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15656-2023</t>
        </is>
      </c>
      <c r="B285" s="1" t="n">
        <v>45019</v>
      </c>
      <c r="C285" s="1" t="n">
        <v>46193</v>
      </c>
      <c r="D285" t="inlineStr">
        <is>
          <t>VÄSTERBOTTENS LÄN</t>
        </is>
      </c>
      <c r="E285" t="inlineStr">
        <is>
          <t>UMEÅ</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2695-2023</t>
        </is>
      </c>
      <c r="B286" s="1" t="n">
        <v>44944</v>
      </c>
      <c r="C286" s="1" t="n">
        <v>46193</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9147-2025</t>
        </is>
      </c>
      <c r="B287" s="1" t="n">
        <v>45714</v>
      </c>
      <c r="C287" s="1" t="n">
        <v>46193</v>
      </c>
      <c r="D287" t="inlineStr">
        <is>
          <t>VÄSTERBOTTENS LÄN</t>
        </is>
      </c>
      <c r="E287" t="inlineStr">
        <is>
          <t>UMEÅ</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32788-2024</t>
        </is>
      </c>
      <c r="B288" s="1" t="n">
        <v>45516</v>
      </c>
      <c r="C288" s="1" t="n">
        <v>46193</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36955-2023</t>
        </is>
      </c>
      <c r="B289" s="1" t="n">
        <v>45154</v>
      </c>
      <c r="C289" s="1" t="n">
        <v>46193</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46232-2024</t>
        </is>
      </c>
      <c r="B290" s="1" t="n">
        <v>45581</v>
      </c>
      <c r="C290" s="1" t="n">
        <v>46193</v>
      </c>
      <c r="D290" t="inlineStr">
        <is>
          <t>VÄSTERBOTTENS LÄN</t>
        </is>
      </c>
      <c r="E290" t="inlineStr">
        <is>
          <t>UMEÅ</t>
        </is>
      </c>
      <c r="G290" t="n">
        <v>4.1</v>
      </c>
      <c r="H290" t="n">
        <v>0</v>
      </c>
      <c r="I290" t="n">
        <v>0</v>
      </c>
      <c r="J290" t="n">
        <v>0</v>
      </c>
      <c r="K290" t="n">
        <v>0</v>
      </c>
      <c r="L290" t="n">
        <v>0</v>
      </c>
      <c r="M290" t="n">
        <v>0</v>
      </c>
      <c r="N290" t="n">
        <v>0</v>
      </c>
      <c r="O290" t="n">
        <v>0</v>
      </c>
      <c r="P290" t="n">
        <v>0</v>
      </c>
      <c r="Q290" t="n">
        <v>0</v>
      </c>
      <c r="R290" s="2" t="inlineStr"/>
    </row>
    <row r="291" ht="15" customHeight="1">
      <c r="A291" t="inlineStr">
        <is>
          <t>A 19272-2025</t>
        </is>
      </c>
      <c r="B291" s="1" t="n">
        <v>45769</v>
      </c>
      <c r="C291" s="1" t="n">
        <v>46193</v>
      </c>
      <c r="D291" t="inlineStr">
        <is>
          <t>VÄSTERBOTTENS LÄN</t>
        </is>
      </c>
      <c r="E291" t="inlineStr">
        <is>
          <t>UMEÅ</t>
        </is>
      </c>
      <c r="F291" t="inlineStr">
        <is>
          <t>Holmen skog AB</t>
        </is>
      </c>
      <c r="G291" t="n">
        <v>1.4</v>
      </c>
      <c r="H291" t="n">
        <v>0</v>
      </c>
      <c r="I291" t="n">
        <v>0</v>
      </c>
      <c r="J291" t="n">
        <v>0</v>
      </c>
      <c r="K291" t="n">
        <v>0</v>
      </c>
      <c r="L291" t="n">
        <v>0</v>
      </c>
      <c r="M291" t="n">
        <v>0</v>
      </c>
      <c r="N291" t="n">
        <v>0</v>
      </c>
      <c r="O291" t="n">
        <v>0</v>
      </c>
      <c r="P291" t="n">
        <v>0</v>
      </c>
      <c r="Q291" t="n">
        <v>0</v>
      </c>
      <c r="R291" s="2" t="inlineStr"/>
    </row>
    <row r="292" ht="15" customHeight="1">
      <c r="A292" t="inlineStr">
        <is>
          <t>A 31441-2024</t>
        </is>
      </c>
      <c r="B292" s="1" t="n">
        <v>45505</v>
      </c>
      <c r="C292" s="1" t="n">
        <v>46193</v>
      </c>
      <c r="D292" t="inlineStr">
        <is>
          <t>VÄSTERBOTTENS LÄN</t>
        </is>
      </c>
      <c r="E292" t="inlineStr">
        <is>
          <t>UMEÅ</t>
        </is>
      </c>
      <c r="G292" t="n">
        <v>2.7</v>
      </c>
      <c r="H292" t="n">
        <v>0</v>
      </c>
      <c r="I292" t="n">
        <v>0</v>
      </c>
      <c r="J292" t="n">
        <v>0</v>
      </c>
      <c r="K292" t="n">
        <v>0</v>
      </c>
      <c r="L292" t="n">
        <v>0</v>
      </c>
      <c r="M292" t="n">
        <v>0</v>
      </c>
      <c r="N292" t="n">
        <v>0</v>
      </c>
      <c r="O292" t="n">
        <v>0</v>
      </c>
      <c r="P292" t="n">
        <v>0</v>
      </c>
      <c r="Q292" t="n">
        <v>0</v>
      </c>
      <c r="R292" s="2" t="inlineStr"/>
    </row>
    <row r="293" ht="15" customHeight="1">
      <c r="A293" t="inlineStr">
        <is>
          <t>A 2073-2024</t>
        </is>
      </c>
      <c r="B293" s="1" t="n">
        <v>45309</v>
      </c>
      <c r="C293" s="1" t="n">
        <v>46193</v>
      </c>
      <c r="D293" t="inlineStr">
        <is>
          <t>VÄSTERBOTTENS LÄN</t>
        </is>
      </c>
      <c r="E293" t="inlineStr">
        <is>
          <t>UMEÅ</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43124-2024</t>
        </is>
      </c>
      <c r="B294" s="1" t="n">
        <v>45567</v>
      </c>
      <c r="C294" s="1" t="n">
        <v>46193</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16003-2024</t>
        </is>
      </c>
      <c r="B295" s="1" t="n">
        <v>45405</v>
      </c>
      <c r="C295" s="1" t="n">
        <v>46193</v>
      </c>
      <c r="D295" t="inlineStr">
        <is>
          <t>VÄSTERBOTTENS LÄN</t>
        </is>
      </c>
      <c r="E295" t="inlineStr">
        <is>
          <t>UMEÅ</t>
        </is>
      </c>
      <c r="G295" t="n">
        <v>1.3</v>
      </c>
      <c r="H295" t="n">
        <v>0</v>
      </c>
      <c r="I295" t="n">
        <v>0</v>
      </c>
      <c r="J295" t="n">
        <v>0</v>
      </c>
      <c r="K295" t="n">
        <v>0</v>
      </c>
      <c r="L295" t="n">
        <v>0</v>
      </c>
      <c r="M295" t="n">
        <v>0</v>
      </c>
      <c r="N295" t="n">
        <v>0</v>
      </c>
      <c r="O295" t="n">
        <v>0</v>
      </c>
      <c r="P295" t="n">
        <v>0</v>
      </c>
      <c r="Q295" t="n">
        <v>0</v>
      </c>
      <c r="R295" s="2" t="inlineStr"/>
    </row>
    <row r="296" ht="15" customHeight="1">
      <c r="A296" t="inlineStr">
        <is>
          <t>A 10357-2023</t>
        </is>
      </c>
      <c r="B296" s="1" t="n">
        <v>44980</v>
      </c>
      <c r="C296" s="1" t="n">
        <v>46193</v>
      </c>
      <c r="D296" t="inlineStr">
        <is>
          <t>VÄSTERBOTTENS LÄN</t>
        </is>
      </c>
      <c r="E296" t="inlineStr">
        <is>
          <t>UMEÅ</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41213-2022</t>
        </is>
      </c>
      <c r="B297" s="1" t="n">
        <v>44825</v>
      </c>
      <c r="C297" s="1" t="n">
        <v>46193</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18448-2023</t>
        </is>
      </c>
      <c r="B298" s="1" t="n">
        <v>45042</v>
      </c>
      <c r="C298" s="1" t="n">
        <v>46193</v>
      </c>
      <c r="D298" t="inlineStr">
        <is>
          <t>VÄSTERBOTTENS LÄN</t>
        </is>
      </c>
      <c r="E298" t="inlineStr">
        <is>
          <t>UMEÅ</t>
        </is>
      </c>
      <c r="G298" t="n">
        <v>7.3</v>
      </c>
      <c r="H298" t="n">
        <v>0</v>
      </c>
      <c r="I298" t="n">
        <v>0</v>
      </c>
      <c r="J298" t="n">
        <v>0</v>
      </c>
      <c r="K298" t="n">
        <v>0</v>
      </c>
      <c r="L298" t="n">
        <v>0</v>
      </c>
      <c r="M298" t="n">
        <v>0</v>
      </c>
      <c r="N298" t="n">
        <v>0</v>
      </c>
      <c r="O298" t="n">
        <v>0</v>
      </c>
      <c r="P298" t="n">
        <v>0</v>
      </c>
      <c r="Q298" t="n">
        <v>0</v>
      </c>
      <c r="R298" s="2" t="inlineStr"/>
    </row>
    <row r="299" ht="15" customHeight="1">
      <c r="A299" t="inlineStr">
        <is>
          <t>A 45881-2022</t>
        </is>
      </c>
      <c r="B299" s="1" t="n">
        <v>44846</v>
      </c>
      <c r="C299" s="1" t="n">
        <v>46193</v>
      </c>
      <c r="D299" t="inlineStr">
        <is>
          <t>VÄSTERBOTTENS LÄN</t>
        </is>
      </c>
      <c r="E299" t="inlineStr">
        <is>
          <t>UMEÅ</t>
        </is>
      </c>
      <c r="G299" t="n">
        <v>5.4</v>
      </c>
      <c r="H299" t="n">
        <v>0</v>
      </c>
      <c r="I299" t="n">
        <v>0</v>
      </c>
      <c r="J299" t="n">
        <v>0</v>
      </c>
      <c r="K299" t="n">
        <v>0</v>
      </c>
      <c r="L299" t="n">
        <v>0</v>
      </c>
      <c r="M299" t="n">
        <v>0</v>
      </c>
      <c r="N299" t="n">
        <v>0</v>
      </c>
      <c r="O299" t="n">
        <v>0</v>
      </c>
      <c r="P299" t="n">
        <v>0</v>
      </c>
      <c r="Q299" t="n">
        <v>0</v>
      </c>
      <c r="R299" s="2" t="inlineStr"/>
    </row>
    <row r="300" ht="15" customHeight="1">
      <c r="A300" t="inlineStr">
        <is>
          <t>A 58954-2024</t>
        </is>
      </c>
      <c r="B300" s="1" t="n">
        <v>45636</v>
      </c>
      <c r="C300" s="1" t="n">
        <v>46193</v>
      </c>
      <c r="D300" t="inlineStr">
        <is>
          <t>VÄSTERBOTTENS LÄN</t>
        </is>
      </c>
      <c r="E300" t="inlineStr">
        <is>
          <t>UMEÅ</t>
        </is>
      </c>
      <c r="G300" t="n">
        <v>0.8</v>
      </c>
      <c r="H300" t="n">
        <v>0</v>
      </c>
      <c r="I300" t="n">
        <v>0</v>
      </c>
      <c r="J300" t="n">
        <v>0</v>
      </c>
      <c r="K300" t="n">
        <v>0</v>
      </c>
      <c r="L300" t="n">
        <v>0</v>
      </c>
      <c r="M300" t="n">
        <v>0</v>
      </c>
      <c r="N300" t="n">
        <v>0</v>
      </c>
      <c r="O300" t="n">
        <v>0</v>
      </c>
      <c r="P300" t="n">
        <v>0</v>
      </c>
      <c r="Q300" t="n">
        <v>0</v>
      </c>
      <c r="R300" s="2" t="inlineStr"/>
    </row>
    <row r="301" ht="15" customHeight="1">
      <c r="A301" t="inlineStr">
        <is>
          <t>A 43974-2024</t>
        </is>
      </c>
      <c r="B301" s="1" t="n">
        <v>45572</v>
      </c>
      <c r="C301" s="1" t="n">
        <v>46193</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19972-2025</t>
        </is>
      </c>
      <c r="B302" s="1" t="n">
        <v>45771</v>
      </c>
      <c r="C302" s="1" t="n">
        <v>46193</v>
      </c>
      <c r="D302" t="inlineStr">
        <is>
          <t>VÄSTERBOTTENS LÄN</t>
        </is>
      </c>
      <c r="E302" t="inlineStr">
        <is>
          <t>UMEÅ</t>
        </is>
      </c>
      <c r="G302" t="n">
        <v>4.3</v>
      </c>
      <c r="H302" t="n">
        <v>0</v>
      </c>
      <c r="I302" t="n">
        <v>0</v>
      </c>
      <c r="J302" t="n">
        <v>0</v>
      </c>
      <c r="K302" t="n">
        <v>0</v>
      </c>
      <c r="L302" t="n">
        <v>0</v>
      </c>
      <c r="M302" t="n">
        <v>0</v>
      </c>
      <c r="N302" t="n">
        <v>0</v>
      </c>
      <c r="O302" t="n">
        <v>0</v>
      </c>
      <c r="P302" t="n">
        <v>0</v>
      </c>
      <c r="Q302" t="n">
        <v>0</v>
      </c>
      <c r="R302" s="2" t="inlineStr"/>
    </row>
    <row r="303" ht="15" customHeight="1">
      <c r="A303" t="inlineStr">
        <is>
          <t>A 48751-2023</t>
        </is>
      </c>
      <c r="B303" s="1" t="n">
        <v>45208</v>
      </c>
      <c r="C303" s="1" t="n">
        <v>46193</v>
      </c>
      <c r="D303" t="inlineStr">
        <is>
          <t>VÄSTERBOTTENS LÄN</t>
        </is>
      </c>
      <c r="E303" t="inlineStr">
        <is>
          <t>UMEÅ</t>
        </is>
      </c>
      <c r="G303" t="n">
        <v>5.9</v>
      </c>
      <c r="H303" t="n">
        <v>0</v>
      </c>
      <c r="I303" t="n">
        <v>0</v>
      </c>
      <c r="J303" t="n">
        <v>0</v>
      </c>
      <c r="K303" t="n">
        <v>0</v>
      </c>
      <c r="L303" t="n">
        <v>0</v>
      </c>
      <c r="M303" t="n">
        <v>0</v>
      </c>
      <c r="N303" t="n">
        <v>0</v>
      </c>
      <c r="O303" t="n">
        <v>0</v>
      </c>
      <c r="P303" t="n">
        <v>0</v>
      </c>
      <c r="Q303" t="n">
        <v>0</v>
      </c>
      <c r="R303" s="2" t="inlineStr"/>
    </row>
    <row r="304" ht="15" customHeight="1">
      <c r="A304" t="inlineStr">
        <is>
          <t>A 19053-2023</t>
        </is>
      </c>
      <c r="B304" s="1" t="n">
        <v>45047</v>
      </c>
      <c r="C304" s="1" t="n">
        <v>46193</v>
      </c>
      <c r="D304" t="inlineStr">
        <is>
          <t>VÄSTERBOTTENS LÄN</t>
        </is>
      </c>
      <c r="E304" t="inlineStr">
        <is>
          <t>UMEÅ</t>
        </is>
      </c>
      <c r="G304" t="n">
        <v>4.8</v>
      </c>
      <c r="H304" t="n">
        <v>0</v>
      </c>
      <c r="I304" t="n">
        <v>0</v>
      </c>
      <c r="J304" t="n">
        <v>0</v>
      </c>
      <c r="K304" t="n">
        <v>0</v>
      </c>
      <c r="L304" t="n">
        <v>0</v>
      </c>
      <c r="M304" t="n">
        <v>0</v>
      </c>
      <c r="N304" t="n">
        <v>0</v>
      </c>
      <c r="O304" t="n">
        <v>0</v>
      </c>
      <c r="P304" t="n">
        <v>0</v>
      </c>
      <c r="Q304" t="n">
        <v>0</v>
      </c>
      <c r="R304" s="2" t="inlineStr"/>
    </row>
    <row r="305" ht="15" customHeight="1">
      <c r="A305" t="inlineStr">
        <is>
          <t>A 48631-2023</t>
        </is>
      </c>
      <c r="B305" s="1" t="n">
        <v>45202</v>
      </c>
      <c r="C305" s="1" t="n">
        <v>46193</v>
      </c>
      <c r="D305" t="inlineStr">
        <is>
          <t>VÄSTERBOTTENS LÄN</t>
        </is>
      </c>
      <c r="E305" t="inlineStr">
        <is>
          <t>UMEÅ</t>
        </is>
      </c>
      <c r="G305" t="n">
        <v>1</v>
      </c>
      <c r="H305" t="n">
        <v>0</v>
      </c>
      <c r="I305" t="n">
        <v>0</v>
      </c>
      <c r="J305" t="n">
        <v>0</v>
      </c>
      <c r="K305" t="n">
        <v>0</v>
      </c>
      <c r="L305" t="n">
        <v>0</v>
      </c>
      <c r="M305" t="n">
        <v>0</v>
      </c>
      <c r="N305" t="n">
        <v>0</v>
      </c>
      <c r="O305" t="n">
        <v>0</v>
      </c>
      <c r="P305" t="n">
        <v>0</v>
      </c>
      <c r="Q305" t="n">
        <v>0</v>
      </c>
      <c r="R305" s="2" t="inlineStr"/>
    </row>
    <row r="306" ht="15" customHeight="1">
      <c r="A306" t="inlineStr">
        <is>
          <t>A 34777-2021</t>
        </is>
      </c>
      <c r="B306" s="1" t="n">
        <v>44382</v>
      </c>
      <c r="C306" s="1" t="n">
        <v>46193</v>
      </c>
      <c r="D306" t="inlineStr">
        <is>
          <t>VÄSTERBOTTENS LÄN</t>
        </is>
      </c>
      <c r="E306" t="inlineStr">
        <is>
          <t>UMEÅ</t>
        </is>
      </c>
      <c r="G306" t="n">
        <v>3.7</v>
      </c>
      <c r="H306" t="n">
        <v>0</v>
      </c>
      <c r="I306" t="n">
        <v>0</v>
      </c>
      <c r="J306" t="n">
        <v>0</v>
      </c>
      <c r="K306" t="n">
        <v>0</v>
      </c>
      <c r="L306" t="n">
        <v>0</v>
      </c>
      <c r="M306" t="n">
        <v>0</v>
      </c>
      <c r="N306" t="n">
        <v>0</v>
      </c>
      <c r="O306" t="n">
        <v>0</v>
      </c>
      <c r="P306" t="n">
        <v>0</v>
      </c>
      <c r="Q306" t="n">
        <v>0</v>
      </c>
      <c r="R306" s="2" t="inlineStr"/>
    </row>
    <row r="307" ht="15" customHeight="1">
      <c r="A307" t="inlineStr">
        <is>
          <t>A 38912-2021</t>
        </is>
      </c>
      <c r="B307" s="1" t="n">
        <v>44410</v>
      </c>
      <c r="C307" s="1" t="n">
        <v>46193</v>
      </c>
      <c r="D307" t="inlineStr">
        <is>
          <t>VÄSTERBOTTENS LÄN</t>
        </is>
      </c>
      <c r="E307" t="inlineStr">
        <is>
          <t>UMEÅ</t>
        </is>
      </c>
      <c r="F307" t="inlineStr">
        <is>
          <t>Övriga statliga verk och myndigheter</t>
        </is>
      </c>
      <c r="G307" t="n">
        <v>1.7</v>
      </c>
      <c r="H307" t="n">
        <v>0</v>
      </c>
      <c r="I307" t="n">
        <v>0</v>
      </c>
      <c r="J307" t="n">
        <v>0</v>
      </c>
      <c r="K307" t="n">
        <v>0</v>
      </c>
      <c r="L307" t="n">
        <v>0</v>
      </c>
      <c r="M307" t="n">
        <v>0</v>
      </c>
      <c r="N307" t="n">
        <v>0</v>
      </c>
      <c r="O307" t="n">
        <v>0</v>
      </c>
      <c r="P307" t="n">
        <v>0</v>
      </c>
      <c r="Q307" t="n">
        <v>0</v>
      </c>
      <c r="R307" s="2" t="inlineStr"/>
    </row>
    <row r="308" ht="15" customHeight="1">
      <c r="A308" t="inlineStr">
        <is>
          <t>A 11157-2022</t>
        </is>
      </c>
      <c r="B308" s="1" t="n">
        <v>44629</v>
      </c>
      <c r="C308" s="1" t="n">
        <v>46193</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7382-2022</t>
        </is>
      </c>
      <c r="B309" s="1" t="n">
        <v>44606</v>
      </c>
      <c r="C309" s="1" t="n">
        <v>46193</v>
      </c>
      <c r="D309" t="inlineStr">
        <is>
          <t>VÄSTERBOTTENS LÄN</t>
        </is>
      </c>
      <c r="E309" t="inlineStr">
        <is>
          <t>UMEÅ</t>
        </is>
      </c>
      <c r="G309" t="n">
        <v>3.8</v>
      </c>
      <c r="H309" t="n">
        <v>0</v>
      </c>
      <c r="I309" t="n">
        <v>0</v>
      </c>
      <c r="J309" t="n">
        <v>0</v>
      </c>
      <c r="K309" t="n">
        <v>0</v>
      </c>
      <c r="L309" t="n">
        <v>0</v>
      </c>
      <c r="M309" t="n">
        <v>0</v>
      </c>
      <c r="N309" t="n">
        <v>0</v>
      </c>
      <c r="O309" t="n">
        <v>0</v>
      </c>
      <c r="P309" t="n">
        <v>0</v>
      </c>
      <c r="Q309" t="n">
        <v>0</v>
      </c>
      <c r="R309" s="2" t="inlineStr"/>
    </row>
    <row r="310" ht="15" customHeight="1">
      <c r="A310" t="inlineStr">
        <is>
          <t>A 49793-2024</t>
        </is>
      </c>
      <c r="B310" s="1" t="n">
        <v>45597</v>
      </c>
      <c r="C310" s="1" t="n">
        <v>46193</v>
      </c>
      <c r="D310" t="inlineStr">
        <is>
          <t>VÄSTERBOTTENS LÄN</t>
        </is>
      </c>
      <c r="E310" t="inlineStr">
        <is>
          <t>UMEÅ</t>
        </is>
      </c>
      <c r="F310" t="inlineStr">
        <is>
          <t>Holmen skog AB</t>
        </is>
      </c>
      <c r="G310" t="n">
        <v>0.8</v>
      </c>
      <c r="H310" t="n">
        <v>0</v>
      </c>
      <c r="I310" t="n">
        <v>0</v>
      </c>
      <c r="J310" t="n">
        <v>0</v>
      </c>
      <c r="K310" t="n">
        <v>0</v>
      </c>
      <c r="L310" t="n">
        <v>0</v>
      </c>
      <c r="M310" t="n">
        <v>0</v>
      </c>
      <c r="N310" t="n">
        <v>0</v>
      </c>
      <c r="O310" t="n">
        <v>0</v>
      </c>
      <c r="P310" t="n">
        <v>0</v>
      </c>
      <c r="Q310" t="n">
        <v>0</v>
      </c>
      <c r="R310" s="2" t="inlineStr"/>
    </row>
    <row r="311" ht="15" customHeight="1">
      <c r="A311" t="inlineStr">
        <is>
          <t>A 10898-2025</t>
        </is>
      </c>
      <c r="B311" s="1" t="n">
        <v>45722</v>
      </c>
      <c r="C311" s="1" t="n">
        <v>46193</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38559-2021</t>
        </is>
      </c>
      <c r="B312" s="1" t="n">
        <v>44407</v>
      </c>
      <c r="C312" s="1" t="n">
        <v>46193</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38560-2021</t>
        </is>
      </c>
      <c r="B313" s="1" t="n">
        <v>44407</v>
      </c>
      <c r="C313" s="1" t="n">
        <v>46193</v>
      </c>
      <c r="D313" t="inlineStr">
        <is>
          <t>VÄSTERBOTTENS LÄN</t>
        </is>
      </c>
      <c r="E313" t="inlineStr">
        <is>
          <t>UMEÅ</t>
        </is>
      </c>
      <c r="G313" t="n">
        <v>1.5</v>
      </c>
      <c r="H313" t="n">
        <v>0</v>
      </c>
      <c r="I313" t="n">
        <v>0</v>
      </c>
      <c r="J313" t="n">
        <v>0</v>
      </c>
      <c r="K313" t="n">
        <v>0</v>
      </c>
      <c r="L313" t="n">
        <v>0</v>
      </c>
      <c r="M313" t="n">
        <v>0</v>
      </c>
      <c r="N313" t="n">
        <v>0</v>
      </c>
      <c r="O313" t="n">
        <v>0</v>
      </c>
      <c r="P313" t="n">
        <v>0</v>
      </c>
      <c r="Q313" t="n">
        <v>0</v>
      </c>
      <c r="R313" s="2" t="inlineStr"/>
    </row>
    <row r="314" ht="15" customHeight="1">
      <c r="A314" t="inlineStr">
        <is>
          <t>A 12942-2022</t>
        </is>
      </c>
      <c r="B314" s="1" t="n">
        <v>44642</v>
      </c>
      <c r="C314" s="1" t="n">
        <v>46193</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57883-2023</t>
        </is>
      </c>
      <c r="B315" s="1" t="n">
        <v>45247</v>
      </c>
      <c r="C315" s="1" t="n">
        <v>46193</v>
      </c>
      <c r="D315" t="inlineStr">
        <is>
          <t>VÄSTERBOTTENS LÄN</t>
        </is>
      </c>
      <c r="E315" t="inlineStr">
        <is>
          <t>UMEÅ</t>
        </is>
      </c>
      <c r="G315" t="n">
        <v>0.4</v>
      </c>
      <c r="H315" t="n">
        <v>0</v>
      </c>
      <c r="I315" t="n">
        <v>0</v>
      </c>
      <c r="J315" t="n">
        <v>0</v>
      </c>
      <c r="K315" t="n">
        <v>0</v>
      </c>
      <c r="L315" t="n">
        <v>0</v>
      </c>
      <c r="M315" t="n">
        <v>0</v>
      </c>
      <c r="N315" t="n">
        <v>0</v>
      </c>
      <c r="O315" t="n">
        <v>0</v>
      </c>
      <c r="P315" t="n">
        <v>0</v>
      </c>
      <c r="Q315" t="n">
        <v>0</v>
      </c>
      <c r="R315" s="2" t="inlineStr"/>
    </row>
    <row r="316" ht="15" customHeight="1">
      <c r="A316" t="inlineStr">
        <is>
          <t>A 1480-2023</t>
        </is>
      </c>
      <c r="B316" s="1" t="n">
        <v>44937</v>
      </c>
      <c r="C316" s="1" t="n">
        <v>46193</v>
      </c>
      <c r="D316" t="inlineStr">
        <is>
          <t>VÄSTERBOTTENS LÄN</t>
        </is>
      </c>
      <c r="E316" t="inlineStr">
        <is>
          <t>UMEÅ</t>
        </is>
      </c>
      <c r="G316" t="n">
        <v>2.9</v>
      </c>
      <c r="H316" t="n">
        <v>0</v>
      </c>
      <c r="I316" t="n">
        <v>0</v>
      </c>
      <c r="J316" t="n">
        <v>0</v>
      </c>
      <c r="K316" t="n">
        <v>0</v>
      </c>
      <c r="L316" t="n">
        <v>0</v>
      </c>
      <c r="M316" t="n">
        <v>0</v>
      </c>
      <c r="N316" t="n">
        <v>0</v>
      </c>
      <c r="O316" t="n">
        <v>0</v>
      </c>
      <c r="P316" t="n">
        <v>0</v>
      </c>
      <c r="Q316" t="n">
        <v>0</v>
      </c>
      <c r="R316" s="2" t="inlineStr"/>
    </row>
    <row r="317" ht="15" customHeight="1">
      <c r="A317" t="inlineStr">
        <is>
          <t>A 17110-2023</t>
        </is>
      </c>
      <c r="B317" s="1" t="n">
        <v>45030</v>
      </c>
      <c r="C317" s="1" t="n">
        <v>46193</v>
      </c>
      <c r="D317" t="inlineStr">
        <is>
          <t>VÄSTERBOTTENS LÄN</t>
        </is>
      </c>
      <c r="E317" t="inlineStr">
        <is>
          <t>UMEÅ</t>
        </is>
      </c>
      <c r="G317" t="n">
        <v>3.1</v>
      </c>
      <c r="H317" t="n">
        <v>0</v>
      </c>
      <c r="I317" t="n">
        <v>0</v>
      </c>
      <c r="J317" t="n">
        <v>0</v>
      </c>
      <c r="K317" t="n">
        <v>0</v>
      </c>
      <c r="L317" t="n">
        <v>0</v>
      </c>
      <c r="M317" t="n">
        <v>0</v>
      </c>
      <c r="N317" t="n">
        <v>0</v>
      </c>
      <c r="O317" t="n">
        <v>0</v>
      </c>
      <c r="P317" t="n">
        <v>0</v>
      </c>
      <c r="Q317" t="n">
        <v>0</v>
      </c>
      <c r="R317" s="2" t="inlineStr"/>
    </row>
    <row r="318" ht="15" customHeight="1">
      <c r="A318" t="inlineStr">
        <is>
          <t>A 7205-2025</t>
        </is>
      </c>
      <c r="B318" s="1" t="n">
        <v>45702</v>
      </c>
      <c r="C318" s="1" t="n">
        <v>46193</v>
      </c>
      <c r="D318" t="inlineStr">
        <is>
          <t>VÄSTERBOTTENS LÄN</t>
        </is>
      </c>
      <c r="E318" t="inlineStr">
        <is>
          <t>UMEÅ</t>
        </is>
      </c>
      <c r="G318" t="n">
        <v>1</v>
      </c>
      <c r="H318" t="n">
        <v>0</v>
      </c>
      <c r="I318" t="n">
        <v>0</v>
      </c>
      <c r="J318" t="n">
        <v>0</v>
      </c>
      <c r="K318" t="n">
        <v>0</v>
      </c>
      <c r="L318" t="n">
        <v>0</v>
      </c>
      <c r="M318" t="n">
        <v>0</v>
      </c>
      <c r="N318" t="n">
        <v>0</v>
      </c>
      <c r="O318" t="n">
        <v>0</v>
      </c>
      <c r="P318" t="n">
        <v>0</v>
      </c>
      <c r="Q318" t="n">
        <v>0</v>
      </c>
      <c r="R318" s="2" t="inlineStr"/>
    </row>
    <row r="319" ht="15" customHeight="1">
      <c r="A319" t="inlineStr">
        <is>
          <t>A 33952-2022</t>
        </is>
      </c>
      <c r="B319" s="1" t="n">
        <v>44790</v>
      </c>
      <c r="C319" s="1" t="n">
        <v>46193</v>
      </c>
      <c r="D319" t="inlineStr">
        <is>
          <t>VÄSTERBOTTENS LÄN</t>
        </is>
      </c>
      <c r="E319" t="inlineStr">
        <is>
          <t>UMEÅ</t>
        </is>
      </c>
      <c r="G319" t="n">
        <v>3.6</v>
      </c>
      <c r="H319" t="n">
        <v>0</v>
      </c>
      <c r="I319" t="n">
        <v>0</v>
      </c>
      <c r="J319" t="n">
        <v>0</v>
      </c>
      <c r="K319" t="n">
        <v>0</v>
      </c>
      <c r="L319" t="n">
        <v>0</v>
      </c>
      <c r="M319" t="n">
        <v>0</v>
      </c>
      <c r="N319" t="n">
        <v>0</v>
      </c>
      <c r="O319" t="n">
        <v>0</v>
      </c>
      <c r="P319" t="n">
        <v>0</v>
      </c>
      <c r="Q319" t="n">
        <v>0</v>
      </c>
      <c r="R319" s="2" t="inlineStr"/>
    </row>
    <row r="320" ht="15" customHeight="1">
      <c r="A320" t="inlineStr">
        <is>
          <t>A 44983-2022</t>
        </is>
      </c>
      <c r="B320" s="1" t="n">
        <v>44841</v>
      </c>
      <c r="C320" s="1" t="n">
        <v>46193</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24875-2023</t>
        </is>
      </c>
      <c r="B321" s="1" t="n">
        <v>45078</v>
      </c>
      <c r="C321" s="1" t="n">
        <v>46193</v>
      </c>
      <c r="D321" t="inlineStr">
        <is>
          <t>VÄSTERBOTTENS LÄN</t>
        </is>
      </c>
      <c r="E321" t="inlineStr">
        <is>
          <t>UMEÅ</t>
        </is>
      </c>
      <c r="G321" t="n">
        <v>3.6</v>
      </c>
      <c r="H321" t="n">
        <v>0</v>
      </c>
      <c r="I321" t="n">
        <v>0</v>
      </c>
      <c r="J321" t="n">
        <v>0</v>
      </c>
      <c r="K321" t="n">
        <v>0</v>
      </c>
      <c r="L321" t="n">
        <v>0</v>
      </c>
      <c r="M321" t="n">
        <v>0</v>
      </c>
      <c r="N321" t="n">
        <v>0</v>
      </c>
      <c r="O321" t="n">
        <v>0</v>
      </c>
      <c r="P321" t="n">
        <v>0</v>
      </c>
      <c r="Q321" t="n">
        <v>0</v>
      </c>
      <c r="R321" s="2" t="inlineStr"/>
    </row>
    <row r="322" ht="15" customHeight="1">
      <c r="A322" t="inlineStr">
        <is>
          <t>A 9607-2023</t>
        </is>
      </c>
      <c r="B322" s="1" t="n">
        <v>44983</v>
      </c>
      <c r="C322" s="1" t="n">
        <v>46193</v>
      </c>
      <c r="D322" t="inlineStr">
        <is>
          <t>VÄSTERBOTTENS LÄN</t>
        </is>
      </c>
      <c r="E322" t="inlineStr">
        <is>
          <t>UMEÅ</t>
        </is>
      </c>
      <c r="F322" t="inlineStr">
        <is>
          <t>Holmen skog AB</t>
        </is>
      </c>
      <c r="G322" t="n">
        <v>5.2</v>
      </c>
      <c r="H322" t="n">
        <v>0</v>
      </c>
      <c r="I322" t="n">
        <v>0</v>
      </c>
      <c r="J322" t="n">
        <v>0</v>
      </c>
      <c r="K322" t="n">
        <v>0</v>
      </c>
      <c r="L322" t="n">
        <v>0</v>
      </c>
      <c r="M322" t="n">
        <v>0</v>
      </c>
      <c r="N322" t="n">
        <v>0</v>
      </c>
      <c r="O322" t="n">
        <v>0</v>
      </c>
      <c r="P322" t="n">
        <v>0</v>
      </c>
      <c r="Q322" t="n">
        <v>0</v>
      </c>
      <c r="R322" s="2" t="inlineStr"/>
    </row>
    <row r="323" ht="15" customHeight="1">
      <c r="A323" t="inlineStr">
        <is>
          <t>A 56743-2023</t>
        </is>
      </c>
      <c r="B323" s="1" t="n">
        <v>45244</v>
      </c>
      <c r="C323" s="1" t="n">
        <v>46193</v>
      </c>
      <c r="D323" t="inlineStr">
        <is>
          <t>VÄSTERBOTTENS LÄN</t>
        </is>
      </c>
      <c r="E323" t="inlineStr">
        <is>
          <t>UMEÅ</t>
        </is>
      </c>
      <c r="G323" t="n">
        <v>1.4</v>
      </c>
      <c r="H323" t="n">
        <v>0</v>
      </c>
      <c r="I323" t="n">
        <v>0</v>
      </c>
      <c r="J323" t="n">
        <v>0</v>
      </c>
      <c r="K323" t="n">
        <v>0</v>
      </c>
      <c r="L323" t="n">
        <v>0</v>
      </c>
      <c r="M323" t="n">
        <v>0</v>
      </c>
      <c r="N323" t="n">
        <v>0</v>
      </c>
      <c r="O323" t="n">
        <v>0</v>
      </c>
      <c r="P323" t="n">
        <v>0</v>
      </c>
      <c r="Q323" t="n">
        <v>0</v>
      </c>
      <c r="R323" s="2" t="inlineStr"/>
    </row>
    <row r="324" ht="15" customHeight="1">
      <c r="A324" t="inlineStr">
        <is>
          <t>A 17632-2024</t>
        </is>
      </c>
      <c r="B324" s="1" t="n">
        <v>45418</v>
      </c>
      <c r="C324" s="1" t="n">
        <v>46193</v>
      </c>
      <c r="D324" t="inlineStr">
        <is>
          <t>VÄSTERBOTTENS LÄN</t>
        </is>
      </c>
      <c r="E324" t="inlineStr">
        <is>
          <t>UMEÅ</t>
        </is>
      </c>
      <c r="G324" t="n">
        <v>1.6</v>
      </c>
      <c r="H324" t="n">
        <v>0</v>
      </c>
      <c r="I324" t="n">
        <v>0</v>
      </c>
      <c r="J324" t="n">
        <v>0</v>
      </c>
      <c r="K324" t="n">
        <v>0</v>
      </c>
      <c r="L324" t="n">
        <v>0</v>
      </c>
      <c r="M324" t="n">
        <v>0</v>
      </c>
      <c r="N324" t="n">
        <v>0</v>
      </c>
      <c r="O324" t="n">
        <v>0</v>
      </c>
      <c r="P324" t="n">
        <v>0</v>
      </c>
      <c r="Q324" t="n">
        <v>0</v>
      </c>
      <c r="R324" s="2" t="inlineStr"/>
    </row>
    <row r="325" ht="15" customHeight="1">
      <c r="A325" t="inlineStr">
        <is>
          <t>A 26137-2023</t>
        </is>
      </c>
      <c r="B325" s="1" t="n">
        <v>45091</v>
      </c>
      <c r="C325" s="1" t="n">
        <v>46193</v>
      </c>
      <c r="D325" t="inlineStr">
        <is>
          <t>VÄSTERBOTTENS LÄN</t>
        </is>
      </c>
      <c r="E325" t="inlineStr">
        <is>
          <t>UMEÅ</t>
        </is>
      </c>
      <c r="G325" t="n">
        <v>1.5</v>
      </c>
      <c r="H325" t="n">
        <v>0</v>
      </c>
      <c r="I325" t="n">
        <v>0</v>
      </c>
      <c r="J325" t="n">
        <v>0</v>
      </c>
      <c r="K325" t="n">
        <v>0</v>
      </c>
      <c r="L325" t="n">
        <v>0</v>
      </c>
      <c r="M325" t="n">
        <v>0</v>
      </c>
      <c r="N325" t="n">
        <v>0</v>
      </c>
      <c r="O325" t="n">
        <v>0</v>
      </c>
      <c r="P325" t="n">
        <v>0</v>
      </c>
      <c r="Q325" t="n">
        <v>0</v>
      </c>
      <c r="R325" s="2" t="inlineStr"/>
    </row>
    <row r="326" ht="15" customHeight="1">
      <c r="A326" t="inlineStr">
        <is>
          <t>A 26138-2023</t>
        </is>
      </c>
      <c r="B326" s="1" t="n">
        <v>45091</v>
      </c>
      <c r="C326" s="1" t="n">
        <v>46193</v>
      </c>
      <c r="D326" t="inlineStr">
        <is>
          <t>VÄSTERBOTTENS LÄN</t>
        </is>
      </c>
      <c r="E326" t="inlineStr">
        <is>
          <t>UMEÅ</t>
        </is>
      </c>
      <c r="G326" t="n">
        <v>1.5</v>
      </c>
      <c r="H326" t="n">
        <v>0</v>
      </c>
      <c r="I326" t="n">
        <v>0</v>
      </c>
      <c r="J326" t="n">
        <v>0</v>
      </c>
      <c r="K326" t="n">
        <v>0</v>
      </c>
      <c r="L326" t="n">
        <v>0</v>
      </c>
      <c r="M326" t="n">
        <v>0</v>
      </c>
      <c r="N326" t="n">
        <v>0</v>
      </c>
      <c r="O326" t="n">
        <v>0</v>
      </c>
      <c r="P326" t="n">
        <v>0</v>
      </c>
      <c r="Q326" t="n">
        <v>0</v>
      </c>
      <c r="R326" s="2" t="inlineStr"/>
    </row>
    <row r="327" ht="15" customHeight="1">
      <c r="A327" t="inlineStr">
        <is>
          <t>A 21159-2024</t>
        </is>
      </c>
      <c r="B327" s="1" t="n">
        <v>45440</v>
      </c>
      <c r="C327" s="1" t="n">
        <v>46193</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17344-2025</t>
        </is>
      </c>
      <c r="B328" s="1" t="n">
        <v>45756</v>
      </c>
      <c r="C328" s="1" t="n">
        <v>46193</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58440-2024</t>
        </is>
      </c>
      <c r="B329" s="1" t="n">
        <v>45635</v>
      </c>
      <c r="C329" s="1" t="n">
        <v>46193</v>
      </c>
      <c r="D329" t="inlineStr">
        <is>
          <t>VÄSTERBOTTENS LÄN</t>
        </is>
      </c>
      <c r="E329" t="inlineStr">
        <is>
          <t>UMEÅ</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15430-2024</t>
        </is>
      </c>
      <c r="B330" s="1" t="n">
        <v>45401</v>
      </c>
      <c r="C330" s="1" t="n">
        <v>46193</v>
      </c>
      <c r="D330" t="inlineStr">
        <is>
          <t>VÄSTERBOTTENS LÄN</t>
        </is>
      </c>
      <c r="E330" t="inlineStr">
        <is>
          <t>UMEÅ</t>
        </is>
      </c>
      <c r="F330" t="inlineStr">
        <is>
          <t>Holmen skog AB</t>
        </is>
      </c>
      <c r="G330" t="n">
        <v>37.4</v>
      </c>
      <c r="H330" t="n">
        <v>0</v>
      </c>
      <c r="I330" t="n">
        <v>0</v>
      </c>
      <c r="J330" t="n">
        <v>0</v>
      </c>
      <c r="K330" t="n">
        <v>0</v>
      </c>
      <c r="L330" t="n">
        <v>0</v>
      </c>
      <c r="M330" t="n">
        <v>0</v>
      </c>
      <c r="N330" t="n">
        <v>0</v>
      </c>
      <c r="O330" t="n">
        <v>0</v>
      </c>
      <c r="P330" t="n">
        <v>0</v>
      </c>
      <c r="Q330" t="n">
        <v>0</v>
      </c>
      <c r="R330" s="2" t="inlineStr"/>
    </row>
    <row r="331" ht="15" customHeight="1">
      <c r="A331" t="inlineStr">
        <is>
          <t>A 15105-2024</t>
        </is>
      </c>
      <c r="B331" s="1" t="n">
        <v>45399</v>
      </c>
      <c r="C331" s="1" t="n">
        <v>46193</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5302-2025</t>
        </is>
      </c>
      <c r="B332" s="1" t="n">
        <v>45692</v>
      </c>
      <c r="C332" s="1" t="n">
        <v>46193</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50879-2023</t>
        </is>
      </c>
      <c r="B333" s="1" t="n">
        <v>45211</v>
      </c>
      <c r="C333" s="1" t="n">
        <v>46193</v>
      </c>
      <c r="D333" t="inlineStr">
        <is>
          <t>VÄSTERBOTTENS LÄN</t>
        </is>
      </c>
      <c r="E333" t="inlineStr">
        <is>
          <t>UMEÅ</t>
        </is>
      </c>
      <c r="G333" t="n">
        <v>2.7</v>
      </c>
      <c r="H333" t="n">
        <v>0</v>
      </c>
      <c r="I333" t="n">
        <v>0</v>
      </c>
      <c r="J333" t="n">
        <v>0</v>
      </c>
      <c r="K333" t="n">
        <v>0</v>
      </c>
      <c r="L333" t="n">
        <v>0</v>
      </c>
      <c r="M333" t="n">
        <v>0</v>
      </c>
      <c r="N333" t="n">
        <v>0</v>
      </c>
      <c r="O333" t="n">
        <v>0</v>
      </c>
      <c r="P333" t="n">
        <v>0</v>
      </c>
      <c r="Q333" t="n">
        <v>0</v>
      </c>
      <c r="R333" s="2" t="inlineStr"/>
    </row>
    <row r="334" ht="15" customHeight="1">
      <c r="A334" t="inlineStr">
        <is>
          <t>A 19061-2024</t>
        </is>
      </c>
      <c r="B334" s="1" t="n">
        <v>45427</v>
      </c>
      <c r="C334" s="1" t="n">
        <v>46193</v>
      </c>
      <c r="D334" t="inlineStr">
        <is>
          <t>VÄSTERBOTTENS LÄN</t>
        </is>
      </c>
      <c r="E334" t="inlineStr">
        <is>
          <t>UMEÅ</t>
        </is>
      </c>
      <c r="G334" t="n">
        <v>4.4</v>
      </c>
      <c r="H334" t="n">
        <v>0</v>
      </c>
      <c r="I334" t="n">
        <v>0</v>
      </c>
      <c r="J334" t="n">
        <v>0</v>
      </c>
      <c r="K334" t="n">
        <v>0</v>
      </c>
      <c r="L334" t="n">
        <v>0</v>
      </c>
      <c r="M334" t="n">
        <v>0</v>
      </c>
      <c r="N334" t="n">
        <v>0</v>
      </c>
      <c r="O334" t="n">
        <v>0</v>
      </c>
      <c r="P334" t="n">
        <v>0</v>
      </c>
      <c r="Q334" t="n">
        <v>0</v>
      </c>
      <c r="R334" s="2" t="inlineStr"/>
    </row>
    <row r="335" ht="15" customHeight="1">
      <c r="A335" t="inlineStr">
        <is>
          <t>A 46413-2022</t>
        </is>
      </c>
      <c r="B335" s="1" t="n">
        <v>44846</v>
      </c>
      <c r="C335" s="1" t="n">
        <v>46193</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17352-2023</t>
        </is>
      </c>
      <c r="B336" s="1" t="n">
        <v>45033</v>
      </c>
      <c r="C336" s="1" t="n">
        <v>46193</v>
      </c>
      <c r="D336" t="inlineStr">
        <is>
          <t>VÄSTERBOTTENS LÄN</t>
        </is>
      </c>
      <c r="E336" t="inlineStr">
        <is>
          <t>UMEÅ</t>
        </is>
      </c>
      <c r="F336" t="inlineStr">
        <is>
          <t>Kommuner</t>
        </is>
      </c>
      <c r="G336" t="n">
        <v>0.9</v>
      </c>
      <c r="H336" t="n">
        <v>0</v>
      </c>
      <c r="I336" t="n">
        <v>0</v>
      </c>
      <c r="J336" t="n">
        <v>0</v>
      </c>
      <c r="K336" t="n">
        <v>0</v>
      </c>
      <c r="L336" t="n">
        <v>0</v>
      </c>
      <c r="M336" t="n">
        <v>0</v>
      </c>
      <c r="N336" t="n">
        <v>0</v>
      </c>
      <c r="O336" t="n">
        <v>0</v>
      </c>
      <c r="P336" t="n">
        <v>0</v>
      </c>
      <c r="Q336" t="n">
        <v>0</v>
      </c>
      <c r="R336" s="2" t="inlineStr"/>
    </row>
    <row r="337" ht="15" customHeight="1">
      <c r="A337" t="inlineStr">
        <is>
          <t>A 23983-2023</t>
        </is>
      </c>
      <c r="B337" s="1" t="n">
        <v>45078</v>
      </c>
      <c r="C337" s="1" t="n">
        <v>46193</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22755-2024</t>
        </is>
      </c>
      <c r="B338" s="1" t="n">
        <v>45448</v>
      </c>
      <c r="C338" s="1" t="n">
        <v>46193</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56676-2021</t>
        </is>
      </c>
      <c r="B339" s="1" t="n">
        <v>44481</v>
      </c>
      <c r="C339" s="1" t="n">
        <v>46193</v>
      </c>
      <c r="D339" t="inlineStr">
        <is>
          <t>VÄSTERBOTTENS LÄN</t>
        </is>
      </c>
      <c r="E339" t="inlineStr">
        <is>
          <t>UMEÅ</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58130-2023</t>
        </is>
      </c>
      <c r="B340" s="1" t="n">
        <v>45249</v>
      </c>
      <c r="C340" s="1" t="n">
        <v>46193</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44968-2022</t>
        </is>
      </c>
      <c r="B341" s="1" t="n">
        <v>44840</v>
      </c>
      <c r="C341" s="1" t="n">
        <v>46193</v>
      </c>
      <c r="D341" t="inlineStr">
        <is>
          <t>VÄSTERBOTTENS LÄN</t>
        </is>
      </c>
      <c r="E341" t="inlineStr">
        <is>
          <t>UMEÅ</t>
        </is>
      </c>
      <c r="G341" t="n">
        <v>1.2</v>
      </c>
      <c r="H341" t="n">
        <v>0</v>
      </c>
      <c r="I341" t="n">
        <v>0</v>
      </c>
      <c r="J341" t="n">
        <v>0</v>
      </c>
      <c r="K341" t="n">
        <v>0</v>
      </c>
      <c r="L341" t="n">
        <v>0</v>
      </c>
      <c r="M341" t="n">
        <v>0</v>
      </c>
      <c r="N341" t="n">
        <v>0</v>
      </c>
      <c r="O341" t="n">
        <v>0</v>
      </c>
      <c r="P341" t="n">
        <v>0</v>
      </c>
      <c r="Q341" t="n">
        <v>0</v>
      </c>
      <c r="R341" s="2" t="inlineStr"/>
    </row>
    <row r="342" ht="15" customHeight="1">
      <c r="A342" t="inlineStr">
        <is>
          <t>A 59228-2023</t>
        </is>
      </c>
      <c r="B342" s="1" t="n">
        <v>45252</v>
      </c>
      <c r="C342" s="1" t="n">
        <v>46193</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52679-2022</t>
        </is>
      </c>
      <c r="B343" s="1" t="n">
        <v>44874</v>
      </c>
      <c r="C343" s="1" t="n">
        <v>46193</v>
      </c>
      <c r="D343" t="inlineStr">
        <is>
          <t>VÄSTERBOTTENS LÄN</t>
        </is>
      </c>
      <c r="E343" t="inlineStr">
        <is>
          <t>UMEÅ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955-2024</t>
        </is>
      </c>
      <c r="B344" s="1" t="n">
        <v>45301</v>
      </c>
      <c r="C344" s="1" t="n">
        <v>46193</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34488-2021</t>
        </is>
      </c>
      <c r="B345" s="1" t="n">
        <v>44382</v>
      </c>
      <c r="C345" s="1" t="n">
        <v>46193</v>
      </c>
      <c r="D345" t="inlineStr">
        <is>
          <t>VÄSTERBOTTENS LÄN</t>
        </is>
      </c>
      <c r="E345" t="inlineStr">
        <is>
          <t>UMEÅ</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9169-2025</t>
        </is>
      </c>
      <c r="B346" s="1" t="n">
        <v>45714</v>
      </c>
      <c r="C346" s="1" t="n">
        <v>46193</v>
      </c>
      <c r="D346" t="inlineStr">
        <is>
          <t>VÄSTERBOTTENS LÄN</t>
        </is>
      </c>
      <c r="E346" t="inlineStr">
        <is>
          <t>UMEÅ</t>
        </is>
      </c>
      <c r="G346" t="n">
        <v>1.7</v>
      </c>
      <c r="H346" t="n">
        <v>0</v>
      </c>
      <c r="I346" t="n">
        <v>0</v>
      </c>
      <c r="J346" t="n">
        <v>0</v>
      </c>
      <c r="K346" t="n">
        <v>0</v>
      </c>
      <c r="L346" t="n">
        <v>0</v>
      </c>
      <c r="M346" t="n">
        <v>0</v>
      </c>
      <c r="N346" t="n">
        <v>0</v>
      </c>
      <c r="O346" t="n">
        <v>0</v>
      </c>
      <c r="P346" t="n">
        <v>0</v>
      </c>
      <c r="Q346" t="n">
        <v>0</v>
      </c>
      <c r="R346" s="2" t="inlineStr"/>
    </row>
    <row r="347" ht="15" customHeight="1">
      <c r="A347" t="inlineStr">
        <is>
          <t>A 59333-2023</t>
        </is>
      </c>
      <c r="B347" s="1" t="n">
        <v>45252</v>
      </c>
      <c r="C347" s="1" t="n">
        <v>46193</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49055-2024</t>
        </is>
      </c>
      <c r="B348" s="1" t="n">
        <v>45594</v>
      </c>
      <c r="C348" s="1" t="n">
        <v>46193</v>
      </c>
      <c r="D348" t="inlineStr">
        <is>
          <t>VÄSTERBOTTENS LÄN</t>
        </is>
      </c>
      <c r="E348" t="inlineStr">
        <is>
          <t>UMEÅ</t>
        </is>
      </c>
      <c r="G348" t="n">
        <v>11.4</v>
      </c>
      <c r="H348" t="n">
        <v>0</v>
      </c>
      <c r="I348" t="n">
        <v>0</v>
      </c>
      <c r="J348" t="n">
        <v>0</v>
      </c>
      <c r="K348" t="n">
        <v>0</v>
      </c>
      <c r="L348" t="n">
        <v>0</v>
      </c>
      <c r="M348" t="n">
        <v>0</v>
      </c>
      <c r="N348" t="n">
        <v>0</v>
      </c>
      <c r="O348" t="n">
        <v>0</v>
      </c>
      <c r="P348" t="n">
        <v>0</v>
      </c>
      <c r="Q348" t="n">
        <v>0</v>
      </c>
      <c r="R348" s="2" t="inlineStr"/>
    </row>
    <row r="349" ht="15" customHeight="1">
      <c r="A349" t="inlineStr">
        <is>
          <t>A 62721-2023</t>
        </is>
      </c>
      <c r="B349" s="1" t="n">
        <v>45271</v>
      </c>
      <c r="C349" s="1" t="n">
        <v>46193</v>
      </c>
      <c r="D349" t="inlineStr">
        <is>
          <t>VÄSTERBOTTENS LÄN</t>
        </is>
      </c>
      <c r="E349" t="inlineStr">
        <is>
          <t>UMEÅ</t>
        </is>
      </c>
      <c r="G349" t="n">
        <v>0.9</v>
      </c>
      <c r="H349" t="n">
        <v>0</v>
      </c>
      <c r="I349" t="n">
        <v>0</v>
      </c>
      <c r="J349" t="n">
        <v>0</v>
      </c>
      <c r="K349" t="n">
        <v>0</v>
      </c>
      <c r="L349" t="n">
        <v>0</v>
      </c>
      <c r="M349" t="n">
        <v>0</v>
      </c>
      <c r="N349" t="n">
        <v>0</v>
      </c>
      <c r="O349" t="n">
        <v>0</v>
      </c>
      <c r="P349" t="n">
        <v>0</v>
      </c>
      <c r="Q349" t="n">
        <v>0</v>
      </c>
      <c r="R349" s="2" t="inlineStr"/>
    </row>
    <row r="350" ht="15" customHeight="1">
      <c r="A350" t="inlineStr">
        <is>
          <t>A 57410-2024</t>
        </is>
      </c>
      <c r="B350" s="1" t="n">
        <v>45629</v>
      </c>
      <c r="C350" s="1" t="n">
        <v>46193</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57510-2024</t>
        </is>
      </c>
      <c r="B351" s="1" t="n">
        <v>45630</v>
      </c>
      <c r="C351" s="1" t="n">
        <v>46193</v>
      </c>
      <c r="D351" t="inlineStr">
        <is>
          <t>VÄSTERBOTTENS LÄN</t>
        </is>
      </c>
      <c r="E351" t="inlineStr">
        <is>
          <t>UMEÅ</t>
        </is>
      </c>
      <c r="G351" t="n">
        <v>1.9</v>
      </c>
      <c r="H351" t="n">
        <v>0</v>
      </c>
      <c r="I351" t="n">
        <v>0</v>
      </c>
      <c r="J351" t="n">
        <v>0</v>
      </c>
      <c r="K351" t="n">
        <v>0</v>
      </c>
      <c r="L351" t="n">
        <v>0</v>
      </c>
      <c r="M351" t="n">
        <v>0</v>
      </c>
      <c r="N351" t="n">
        <v>0</v>
      </c>
      <c r="O351" t="n">
        <v>0</v>
      </c>
      <c r="P351" t="n">
        <v>0</v>
      </c>
      <c r="Q351" t="n">
        <v>0</v>
      </c>
      <c r="R351" s="2" t="inlineStr"/>
    </row>
    <row r="352" ht="15" customHeight="1">
      <c r="A352" t="inlineStr">
        <is>
          <t>A 7263-2022</t>
        </is>
      </c>
      <c r="B352" s="1" t="n">
        <v>44606</v>
      </c>
      <c r="C352" s="1" t="n">
        <v>46193</v>
      </c>
      <c r="D352" t="inlineStr">
        <is>
          <t>VÄSTERBOTTENS LÄN</t>
        </is>
      </c>
      <c r="E352" t="inlineStr">
        <is>
          <t>UMEÅ</t>
        </is>
      </c>
      <c r="G352" t="n">
        <v>2.1</v>
      </c>
      <c r="H352" t="n">
        <v>0</v>
      </c>
      <c r="I352" t="n">
        <v>0</v>
      </c>
      <c r="J352" t="n">
        <v>0</v>
      </c>
      <c r="K352" t="n">
        <v>0</v>
      </c>
      <c r="L352" t="n">
        <v>0</v>
      </c>
      <c r="M352" t="n">
        <v>0</v>
      </c>
      <c r="N352" t="n">
        <v>0</v>
      </c>
      <c r="O352" t="n">
        <v>0</v>
      </c>
      <c r="P352" t="n">
        <v>0</v>
      </c>
      <c r="Q352" t="n">
        <v>0</v>
      </c>
      <c r="R352" s="2" t="inlineStr"/>
    </row>
    <row r="353" ht="15" customHeight="1">
      <c r="A353" t="inlineStr">
        <is>
          <t>A 56563-2021</t>
        </is>
      </c>
      <c r="B353" s="1" t="n">
        <v>44480</v>
      </c>
      <c r="C353" s="1" t="n">
        <v>46193</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7635-2024</t>
        </is>
      </c>
      <c r="B354" s="1" t="n">
        <v>45348</v>
      </c>
      <c r="C354" s="1" t="n">
        <v>46193</v>
      </c>
      <c r="D354" t="inlineStr">
        <is>
          <t>VÄSTERBOTTENS LÄN</t>
        </is>
      </c>
      <c r="E354" t="inlineStr">
        <is>
          <t>UMEÅ</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10532-2023</t>
        </is>
      </c>
      <c r="B355" s="1" t="n">
        <v>44987</v>
      </c>
      <c r="C355" s="1" t="n">
        <v>46193</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14734-2023</t>
        </is>
      </c>
      <c r="B356" s="1" t="n">
        <v>45013</v>
      </c>
      <c r="C356" s="1" t="n">
        <v>46193</v>
      </c>
      <c r="D356" t="inlineStr">
        <is>
          <t>VÄSTERBOTTENS LÄN</t>
        </is>
      </c>
      <c r="E356" t="inlineStr">
        <is>
          <t>UMEÅ</t>
        </is>
      </c>
      <c r="G356" t="n">
        <v>14.4</v>
      </c>
      <c r="H356" t="n">
        <v>0</v>
      </c>
      <c r="I356" t="n">
        <v>0</v>
      </c>
      <c r="J356" t="n">
        <v>0</v>
      </c>
      <c r="K356" t="n">
        <v>0</v>
      </c>
      <c r="L356" t="n">
        <v>0</v>
      </c>
      <c r="M356" t="n">
        <v>0</v>
      </c>
      <c r="N356" t="n">
        <v>0</v>
      </c>
      <c r="O356" t="n">
        <v>0</v>
      </c>
      <c r="P356" t="n">
        <v>0</v>
      </c>
      <c r="Q356" t="n">
        <v>0</v>
      </c>
      <c r="R356" s="2" t="inlineStr"/>
    </row>
    <row r="357" ht="15" customHeight="1">
      <c r="A357" t="inlineStr">
        <is>
          <t>A 22291-2023</t>
        </is>
      </c>
      <c r="B357" s="1" t="n">
        <v>45070</v>
      </c>
      <c r="C357" s="1" t="n">
        <v>46193</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53787-2024</t>
        </is>
      </c>
      <c r="B358" s="1" t="n">
        <v>45615</v>
      </c>
      <c r="C358" s="1" t="n">
        <v>46193</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56749-2023</t>
        </is>
      </c>
      <c r="B359" s="1" t="n">
        <v>45244</v>
      </c>
      <c r="C359" s="1" t="n">
        <v>46193</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46028-2024</t>
        </is>
      </c>
      <c r="B360" s="1" t="n">
        <v>45580</v>
      </c>
      <c r="C360" s="1" t="n">
        <v>46193</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25687-2024</t>
        </is>
      </c>
      <c r="B361" s="1" t="n">
        <v>45463</v>
      </c>
      <c r="C361" s="1" t="n">
        <v>46193</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61105-2023</t>
        </is>
      </c>
      <c r="B362" s="1" t="n">
        <v>45261</v>
      </c>
      <c r="C362" s="1" t="n">
        <v>46193</v>
      </c>
      <c r="D362" t="inlineStr">
        <is>
          <t>VÄSTERBOTTENS LÄN</t>
        </is>
      </c>
      <c r="E362" t="inlineStr">
        <is>
          <t>UMEÅ</t>
        </is>
      </c>
      <c r="G362" t="n">
        <v>4</v>
      </c>
      <c r="H362" t="n">
        <v>0</v>
      </c>
      <c r="I362" t="n">
        <v>0</v>
      </c>
      <c r="J362" t="n">
        <v>0</v>
      </c>
      <c r="K362" t="n">
        <v>0</v>
      </c>
      <c r="L362" t="n">
        <v>0</v>
      </c>
      <c r="M362" t="n">
        <v>0</v>
      </c>
      <c r="N362" t="n">
        <v>0</v>
      </c>
      <c r="O362" t="n">
        <v>0</v>
      </c>
      <c r="P362" t="n">
        <v>0</v>
      </c>
      <c r="Q362" t="n">
        <v>0</v>
      </c>
      <c r="R362" s="2" t="inlineStr"/>
    </row>
    <row r="363" ht="15" customHeight="1">
      <c r="A363" t="inlineStr">
        <is>
          <t>A 43163-2023</t>
        </is>
      </c>
      <c r="B363" s="1" t="n">
        <v>45183</v>
      </c>
      <c r="C363" s="1" t="n">
        <v>46193</v>
      </c>
      <c r="D363" t="inlineStr">
        <is>
          <t>VÄSTERBOTTENS LÄN</t>
        </is>
      </c>
      <c r="E363" t="inlineStr">
        <is>
          <t>UMEÅ</t>
        </is>
      </c>
      <c r="G363" t="n">
        <v>1.5</v>
      </c>
      <c r="H363" t="n">
        <v>0</v>
      </c>
      <c r="I363" t="n">
        <v>0</v>
      </c>
      <c r="J363" t="n">
        <v>0</v>
      </c>
      <c r="K363" t="n">
        <v>0</v>
      </c>
      <c r="L363" t="n">
        <v>0</v>
      </c>
      <c r="M363" t="n">
        <v>0</v>
      </c>
      <c r="N363" t="n">
        <v>0</v>
      </c>
      <c r="O363" t="n">
        <v>0</v>
      </c>
      <c r="P363" t="n">
        <v>0</v>
      </c>
      <c r="Q363" t="n">
        <v>0</v>
      </c>
      <c r="R363" s="2" t="inlineStr"/>
    </row>
    <row r="364" ht="15" customHeight="1">
      <c r="A364" t="inlineStr">
        <is>
          <t>A 35434-2024</t>
        </is>
      </c>
      <c r="B364" s="1" t="n">
        <v>45531</v>
      </c>
      <c r="C364" s="1" t="n">
        <v>46193</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25966-2022</t>
        </is>
      </c>
      <c r="B365" s="1" t="n">
        <v>44734</v>
      </c>
      <c r="C365" s="1" t="n">
        <v>46193</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14091-2023</t>
        </is>
      </c>
      <c r="B366" s="1" t="n">
        <v>45007</v>
      </c>
      <c r="C366" s="1" t="n">
        <v>46193</v>
      </c>
      <c r="D366" t="inlineStr">
        <is>
          <t>VÄSTERBOTTENS LÄN</t>
        </is>
      </c>
      <c r="E366" t="inlineStr">
        <is>
          <t>UMEÅ</t>
        </is>
      </c>
      <c r="F366" t="inlineStr">
        <is>
          <t>Kommuner</t>
        </is>
      </c>
      <c r="G366" t="n">
        <v>0.8</v>
      </c>
      <c r="H366" t="n">
        <v>0</v>
      </c>
      <c r="I366" t="n">
        <v>0</v>
      </c>
      <c r="J366" t="n">
        <v>0</v>
      </c>
      <c r="K366" t="n">
        <v>0</v>
      </c>
      <c r="L366" t="n">
        <v>0</v>
      </c>
      <c r="M366" t="n">
        <v>0</v>
      </c>
      <c r="N366" t="n">
        <v>0</v>
      </c>
      <c r="O366" t="n">
        <v>0</v>
      </c>
      <c r="P366" t="n">
        <v>0</v>
      </c>
      <c r="Q366" t="n">
        <v>0</v>
      </c>
      <c r="R366" s="2" t="inlineStr"/>
    </row>
    <row r="367" ht="15" customHeight="1">
      <c r="A367" t="inlineStr">
        <is>
          <t>A 55856-2024</t>
        </is>
      </c>
      <c r="B367" s="1" t="n">
        <v>45623</v>
      </c>
      <c r="C367" s="1" t="n">
        <v>46193</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7213-2025</t>
        </is>
      </c>
      <c r="B368" s="1" t="n">
        <v>45702</v>
      </c>
      <c r="C368" s="1" t="n">
        <v>46193</v>
      </c>
      <c r="D368" t="inlineStr">
        <is>
          <t>VÄSTERBOTTENS LÄN</t>
        </is>
      </c>
      <c r="E368" t="inlineStr">
        <is>
          <t>UMEÅ</t>
        </is>
      </c>
      <c r="G368" t="n">
        <v>0.8</v>
      </c>
      <c r="H368" t="n">
        <v>0</v>
      </c>
      <c r="I368" t="n">
        <v>0</v>
      </c>
      <c r="J368" t="n">
        <v>0</v>
      </c>
      <c r="K368" t="n">
        <v>0</v>
      </c>
      <c r="L368" t="n">
        <v>0</v>
      </c>
      <c r="M368" t="n">
        <v>0</v>
      </c>
      <c r="N368" t="n">
        <v>0</v>
      </c>
      <c r="O368" t="n">
        <v>0</v>
      </c>
      <c r="P368" t="n">
        <v>0</v>
      </c>
      <c r="Q368" t="n">
        <v>0</v>
      </c>
      <c r="R368" s="2" t="inlineStr"/>
    </row>
    <row r="369" ht="15" customHeight="1">
      <c r="A369" t="inlineStr">
        <is>
          <t>A 47141-2021</t>
        </is>
      </c>
      <c r="B369" s="1" t="n">
        <v>44446</v>
      </c>
      <c r="C369" s="1" t="n">
        <v>46193</v>
      </c>
      <c r="D369" t="inlineStr">
        <is>
          <t>VÄSTERBOTTENS LÄN</t>
        </is>
      </c>
      <c r="E369" t="inlineStr">
        <is>
          <t>UMEÅ</t>
        </is>
      </c>
      <c r="G369" t="n">
        <v>0.9</v>
      </c>
      <c r="H369" t="n">
        <v>0</v>
      </c>
      <c r="I369" t="n">
        <v>0</v>
      </c>
      <c r="J369" t="n">
        <v>0</v>
      </c>
      <c r="K369" t="n">
        <v>0</v>
      </c>
      <c r="L369" t="n">
        <v>0</v>
      </c>
      <c r="M369" t="n">
        <v>0</v>
      </c>
      <c r="N369" t="n">
        <v>0</v>
      </c>
      <c r="O369" t="n">
        <v>0</v>
      </c>
      <c r="P369" t="n">
        <v>0</v>
      </c>
      <c r="Q369" t="n">
        <v>0</v>
      </c>
      <c r="R369" s="2" t="inlineStr"/>
    </row>
    <row r="370" ht="15" customHeight="1">
      <c r="A370" t="inlineStr">
        <is>
          <t>A 60323-2024</t>
        </is>
      </c>
      <c r="B370" s="1" t="n">
        <v>45641</v>
      </c>
      <c r="C370" s="1" t="n">
        <v>46193</v>
      </c>
      <c r="D370" t="inlineStr">
        <is>
          <t>VÄSTERBOTTENS LÄN</t>
        </is>
      </c>
      <c r="E370" t="inlineStr">
        <is>
          <t>UMEÅ</t>
        </is>
      </c>
      <c r="G370" t="n">
        <v>1</v>
      </c>
      <c r="H370" t="n">
        <v>0</v>
      </c>
      <c r="I370" t="n">
        <v>0</v>
      </c>
      <c r="J370" t="n">
        <v>0</v>
      </c>
      <c r="K370" t="n">
        <v>0</v>
      </c>
      <c r="L370" t="n">
        <v>0</v>
      </c>
      <c r="M370" t="n">
        <v>0</v>
      </c>
      <c r="N370" t="n">
        <v>0</v>
      </c>
      <c r="O370" t="n">
        <v>0</v>
      </c>
      <c r="P370" t="n">
        <v>0</v>
      </c>
      <c r="Q370" t="n">
        <v>0</v>
      </c>
      <c r="R370" s="2" t="inlineStr"/>
    </row>
    <row r="371" ht="15" customHeight="1">
      <c r="A371" t="inlineStr">
        <is>
          <t>A 58284-2021</t>
        </is>
      </c>
      <c r="B371" s="1" t="n">
        <v>44487</v>
      </c>
      <c r="C371" s="1" t="n">
        <v>46193</v>
      </c>
      <c r="D371" t="inlineStr">
        <is>
          <t>VÄSTERBOTTENS LÄN</t>
        </is>
      </c>
      <c r="E371" t="inlineStr">
        <is>
          <t>UMEÅ</t>
        </is>
      </c>
      <c r="F371" t="inlineStr">
        <is>
          <t>Kommuner</t>
        </is>
      </c>
      <c r="G371" t="n">
        <v>1.9</v>
      </c>
      <c r="H371" t="n">
        <v>0</v>
      </c>
      <c r="I371" t="n">
        <v>0</v>
      </c>
      <c r="J371" t="n">
        <v>0</v>
      </c>
      <c r="K371" t="n">
        <v>0</v>
      </c>
      <c r="L371" t="n">
        <v>0</v>
      </c>
      <c r="M371" t="n">
        <v>0</v>
      </c>
      <c r="N371" t="n">
        <v>0</v>
      </c>
      <c r="O371" t="n">
        <v>0</v>
      </c>
      <c r="P371" t="n">
        <v>0</v>
      </c>
      <c r="Q371" t="n">
        <v>0</v>
      </c>
      <c r="R371" s="2" t="inlineStr"/>
    </row>
    <row r="372" ht="15" customHeight="1">
      <c r="A372" t="inlineStr">
        <is>
          <t>A 59029-2024</t>
        </is>
      </c>
      <c r="B372" s="1" t="n">
        <v>45636</v>
      </c>
      <c r="C372" s="1" t="n">
        <v>46193</v>
      </c>
      <c r="D372" t="inlineStr">
        <is>
          <t>VÄSTERBOTTENS LÄN</t>
        </is>
      </c>
      <c r="E372" t="inlineStr">
        <is>
          <t>UMEÅ</t>
        </is>
      </c>
      <c r="G372" t="n">
        <v>1.6</v>
      </c>
      <c r="H372" t="n">
        <v>0</v>
      </c>
      <c r="I372" t="n">
        <v>0</v>
      </c>
      <c r="J372" t="n">
        <v>0</v>
      </c>
      <c r="K372" t="n">
        <v>0</v>
      </c>
      <c r="L372" t="n">
        <v>0</v>
      </c>
      <c r="M372" t="n">
        <v>0</v>
      </c>
      <c r="N372" t="n">
        <v>0</v>
      </c>
      <c r="O372" t="n">
        <v>0</v>
      </c>
      <c r="P372" t="n">
        <v>0</v>
      </c>
      <c r="Q372" t="n">
        <v>0</v>
      </c>
      <c r="R372" s="2" t="inlineStr"/>
    </row>
    <row r="373" ht="15" customHeight="1">
      <c r="A373" t="inlineStr">
        <is>
          <t>A 18520-2023</t>
        </is>
      </c>
      <c r="B373" s="1" t="n">
        <v>45041</v>
      </c>
      <c r="C373" s="1" t="n">
        <v>46193</v>
      </c>
      <c r="D373" t="inlineStr">
        <is>
          <t>VÄSTERBOTTENS LÄN</t>
        </is>
      </c>
      <c r="E373" t="inlineStr">
        <is>
          <t>UMEÅ</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18527-2023</t>
        </is>
      </c>
      <c r="B374" s="1" t="n">
        <v>45041</v>
      </c>
      <c r="C374" s="1" t="n">
        <v>46193</v>
      </c>
      <c r="D374" t="inlineStr">
        <is>
          <t>VÄSTERBOTTENS LÄN</t>
        </is>
      </c>
      <c r="E374" t="inlineStr">
        <is>
          <t>UMEÅ</t>
        </is>
      </c>
      <c r="F374" t="inlineStr">
        <is>
          <t>Kommuner</t>
        </is>
      </c>
      <c r="G374" t="n">
        <v>3.2</v>
      </c>
      <c r="H374" t="n">
        <v>0</v>
      </c>
      <c r="I374" t="n">
        <v>0</v>
      </c>
      <c r="J374" t="n">
        <v>0</v>
      </c>
      <c r="K374" t="n">
        <v>0</v>
      </c>
      <c r="L374" t="n">
        <v>0</v>
      </c>
      <c r="M374" t="n">
        <v>0</v>
      </c>
      <c r="N374" t="n">
        <v>0</v>
      </c>
      <c r="O374" t="n">
        <v>0</v>
      </c>
      <c r="P374" t="n">
        <v>0</v>
      </c>
      <c r="Q374" t="n">
        <v>0</v>
      </c>
      <c r="R374" s="2" t="inlineStr"/>
    </row>
    <row r="375" ht="15" customHeight="1">
      <c r="A375" t="inlineStr">
        <is>
          <t>A 17928-2023</t>
        </is>
      </c>
      <c r="B375" s="1" t="n">
        <v>45037</v>
      </c>
      <c r="C375" s="1" t="n">
        <v>46193</v>
      </c>
      <c r="D375" t="inlineStr">
        <is>
          <t>VÄSTERBOTTENS LÄN</t>
        </is>
      </c>
      <c r="E375" t="inlineStr">
        <is>
          <t>UMEÅ</t>
        </is>
      </c>
      <c r="F375" t="inlineStr">
        <is>
          <t>Kommuner</t>
        </is>
      </c>
      <c r="G375" t="n">
        <v>1.1</v>
      </c>
      <c r="H375" t="n">
        <v>0</v>
      </c>
      <c r="I375" t="n">
        <v>0</v>
      </c>
      <c r="J375" t="n">
        <v>0</v>
      </c>
      <c r="K375" t="n">
        <v>0</v>
      </c>
      <c r="L375" t="n">
        <v>0</v>
      </c>
      <c r="M375" t="n">
        <v>0</v>
      </c>
      <c r="N375" t="n">
        <v>0</v>
      </c>
      <c r="O375" t="n">
        <v>0</v>
      </c>
      <c r="P375" t="n">
        <v>0</v>
      </c>
      <c r="Q375" t="n">
        <v>0</v>
      </c>
      <c r="R375" s="2" t="inlineStr"/>
    </row>
    <row r="376" ht="15" customHeight="1">
      <c r="A376" t="inlineStr">
        <is>
          <t>A 48635-2024</t>
        </is>
      </c>
      <c r="B376" s="1" t="n">
        <v>45593</v>
      </c>
      <c r="C376" s="1" t="n">
        <v>46193</v>
      </c>
      <c r="D376" t="inlineStr">
        <is>
          <t>VÄSTERBOTTENS LÄN</t>
        </is>
      </c>
      <c r="E376" t="inlineStr">
        <is>
          <t>UMEÅ</t>
        </is>
      </c>
      <c r="F376" t="inlineStr">
        <is>
          <t>Holmen skog AB</t>
        </is>
      </c>
      <c r="G376" t="n">
        <v>0.7</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46193</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53181-2021</t>
        </is>
      </c>
      <c r="B378" s="1" t="n">
        <v>44467</v>
      </c>
      <c r="C378" s="1" t="n">
        <v>46193</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v>
      </c>
      <c r="C379" s="1" t="n">
        <v>46193</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30216-2023</t>
        </is>
      </c>
      <c r="B380" s="1" t="n">
        <v>45110</v>
      </c>
      <c r="C380" s="1" t="n">
        <v>46193</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7774-2025</t>
        </is>
      </c>
      <c r="B381" s="1" t="n">
        <v>45706</v>
      </c>
      <c r="C381" s="1" t="n">
        <v>46193</v>
      </c>
      <c r="D381" t="inlineStr">
        <is>
          <t>VÄSTERBOTTENS LÄN</t>
        </is>
      </c>
      <c r="E381" t="inlineStr">
        <is>
          <t>UMEÅ</t>
        </is>
      </c>
      <c r="G381" t="n">
        <v>2.6</v>
      </c>
      <c r="H381" t="n">
        <v>0</v>
      </c>
      <c r="I381" t="n">
        <v>0</v>
      </c>
      <c r="J381" t="n">
        <v>0</v>
      </c>
      <c r="K381" t="n">
        <v>0</v>
      </c>
      <c r="L381" t="n">
        <v>0</v>
      </c>
      <c r="M381" t="n">
        <v>0</v>
      </c>
      <c r="N381" t="n">
        <v>0</v>
      </c>
      <c r="O381" t="n">
        <v>0</v>
      </c>
      <c r="P381" t="n">
        <v>0</v>
      </c>
      <c r="Q381" t="n">
        <v>0</v>
      </c>
      <c r="R381" s="2" t="inlineStr"/>
    </row>
    <row r="382" ht="15" customHeight="1">
      <c r="A382" t="inlineStr">
        <is>
          <t>A 59735-2024</t>
        </is>
      </c>
      <c r="B382" s="1" t="n">
        <v>45639</v>
      </c>
      <c r="C382" s="1" t="n">
        <v>46193</v>
      </c>
      <c r="D382" t="inlineStr">
        <is>
          <t>VÄSTERBOTTENS LÄN</t>
        </is>
      </c>
      <c r="E382" t="inlineStr">
        <is>
          <t>UMEÅ</t>
        </is>
      </c>
      <c r="G382" t="n">
        <v>10.7</v>
      </c>
      <c r="H382" t="n">
        <v>0</v>
      </c>
      <c r="I382" t="n">
        <v>0</v>
      </c>
      <c r="J382" t="n">
        <v>0</v>
      </c>
      <c r="K382" t="n">
        <v>0</v>
      </c>
      <c r="L382" t="n">
        <v>0</v>
      </c>
      <c r="M382" t="n">
        <v>0</v>
      </c>
      <c r="N382" t="n">
        <v>0</v>
      </c>
      <c r="O382" t="n">
        <v>0</v>
      </c>
      <c r="P382" t="n">
        <v>0</v>
      </c>
      <c r="Q382" t="n">
        <v>0</v>
      </c>
      <c r="R382" s="2" t="inlineStr"/>
    </row>
    <row r="383" ht="15" customHeight="1">
      <c r="A383" t="inlineStr">
        <is>
          <t>A 23751-2024</t>
        </is>
      </c>
      <c r="B383" s="1" t="n">
        <v>45455</v>
      </c>
      <c r="C383" s="1" t="n">
        <v>46193</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v>
      </c>
      <c r="C384" s="1" t="n">
        <v>46193</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34550-2023</t>
        </is>
      </c>
      <c r="B385" s="1" t="n">
        <v>45140</v>
      </c>
      <c r="C385" s="1" t="n">
        <v>46193</v>
      </c>
      <c r="D385" t="inlineStr">
        <is>
          <t>VÄSTERBOTTENS LÄN</t>
        </is>
      </c>
      <c r="E385" t="inlineStr">
        <is>
          <t>UMEÅ</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v>
      </c>
      <c r="C386" s="1" t="n">
        <v>46193</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36854-2022</t>
        </is>
      </c>
      <c r="B387" s="1" t="n">
        <v>44805</v>
      </c>
      <c r="C387" s="1" t="n">
        <v>46193</v>
      </c>
      <c r="D387" t="inlineStr">
        <is>
          <t>VÄSTERBOTTENS LÄN</t>
        </is>
      </c>
      <c r="E387" t="inlineStr">
        <is>
          <t>UMEÅ</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18907-2023</t>
        </is>
      </c>
      <c r="B388" s="1" t="n">
        <v>45043</v>
      </c>
      <c r="C388" s="1" t="n">
        <v>46193</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18322-2023</t>
        </is>
      </c>
      <c r="B389" s="1" t="n">
        <v>45041</v>
      </c>
      <c r="C389" s="1" t="n">
        <v>46193</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51390-2024</t>
        </is>
      </c>
      <c r="B390" s="1" t="n">
        <v>45604</v>
      </c>
      <c r="C390" s="1" t="n">
        <v>46193</v>
      </c>
      <c r="D390" t="inlineStr">
        <is>
          <t>VÄSTERBOTTENS LÄN</t>
        </is>
      </c>
      <c r="E390" t="inlineStr">
        <is>
          <t>UMEÅ</t>
        </is>
      </c>
      <c r="G390" t="n">
        <v>0.7</v>
      </c>
      <c r="H390" t="n">
        <v>0</v>
      </c>
      <c r="I390" t="n">
        <v>0</v>
      </c>
      <c r="J390" t="n">
        <v>0</v>
      </c>
      <c r="K390" t="n">
        <v>0</v>
      </c>
      <c r="L390" t="n">
        <v>0</v>
      </c>
      <c r="M390" t="n">
        <v>0</v>
      </c>
      <c r="N390" t="n">
        <v>0</v>
      </c>
      <c r="O390" t="n">
        <v>0</v>
      </c>
      <c r="P390" t="n">
        <v>0</v>
      </c>
      <c r="Q390" t="n">
        <v>0</v>
      </c>
      <c r="R390" s="2" t="inlineStr"/>
    </row>
    <row r="391" ht="15" customHeight="1">
      <c r="A391" t="inlineStr">
        <is>
          <t>A 35808-2022</t>
        </is>
      </c>
      <c r="B391" s="1" t="n">
        <v>44802</v>
      </c>
      <c r="C391" s="1" t="n">
        <v>46193</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51544-2023</t>
        </is>
      </c>
      <c r="B392" s="1" t="n">
        <v>45222</v>
      </c>
      <c r="C392" s="1" t="n">
        <v>46193</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27154-2024</t>
        </is>
      </c>
      <c r="B393" s="1" t="n">
        <v>45471</v>
      </c>
      <c r="C393" s="1" t="n">
        <v>46193</v>
      </c>
      <c r="D393" t="inlineStr">
        <is>
          <t>VÄSTERBOTTENS LÄN</t>
        </is>
      </c>
      <c r="E393" t="inlineStr">
        <is>
          <t>UMEÅ</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59343-2023</t>
        </is>
      </c>
      <c r="B394" s="1" t="n">
        <v>45253</v>
      </c>
      <c r="C394" s="1" t="n">
        <v>46193</v>
      </c>
      <c r="D394" t="inlineStr">
        <is>
          <t>VÄSTERBOTTENS LÄN</t>
        </is>
      </c>
      <c r="E394" t="inlineStr">
        <is>
          <t>UMEÅ</t>
        </is>
      </c>
      <c r="G394" t="n">
        <v>1.9</v>
      </c>
      <c r="H394" t="n">
        <v>0</v>
      </c>
      <c r="I394" t="n">
        <v>0</v>
      </c>
      <c r="J394" t="n">
        <v>0</v>
      </c>
      <c r="K394" t="n">
        <v>0</v>
      </c>
      <c r="L394" t="n">
        <v>0</v>
      </c>
      <c r="M394" t="n">
        <v>0</v>
      </c>
      <c r="N394" t="n">
        <v>0</v>
      </c>
      <c r="O394" t="n">
        <v>0</v>
      </c>
      <c r="P394" t="n">
        <v>0</v>
      </c>
      <c r="Q394" t="n">
        <v>0</v>
      </c>
      <c r="R394" s="2" t="inlineStr"/>
    </row>
    <row r="395" ht="15" customHeight="1">
      <c r="A395" t="inlineStr">
        <is>
          <t>A 1089-2024</t>
        </is>
      </c>
      <c r="B395" s="1" t="n">
        <v>45301</v>
      </c>
      <c r="C395" s="1" t="n">
        <v>46193</v>
      </c>
      <c r="D395" t="inlineStr">
        <is>
          <t>VÄSTERBOTTENS LÄN</t>
        </is>
      </c>
      <c r="E395" t="inlineStr">
        <is>
          <t>UMEÅ</t>
        </is>
      </c>
      <c r="G395" t="n">
        <v>0.9</v>
      </c>
      <c r="H395" t="n">
        <v>0</v>
      </c>
      <c r="I395" t="n">
        <v>0</v>
      </c>
      <c r="J395" t="n">
        <v>0</v>
      </c>
      <c r="K395" t="n">
        <v>0</v>
      </c>
      <c r="L395" t="n">
        <v>0</v>
      </c>
      <c r="M395" t="n">
        <v>0</v>
      </c>
      <c r="N395" t="n">
        <v>0</v>
      </c>
      <c r="O395" t="n">
        <v>0</v>
      </c>
      <c r="P395" t="n">
        <v>0</v>
      </c>
      <c r="Q395" t="n">
        <v>0</v>
      </c>
      <c r="R395" s="2" t="inlineStr"/>
    </row>
    <row r="396" ht="15" customHeight="1">
      <c r="A396" t="inlineStr">
        <is>
          <t>A 22365-2024</t>
        </is>
      </c>
      <c r="B396" s="1" t="n">
        <v>45446</v>
      </c>
      <c r="C396" s="1" t="n">
        <v>46193</v>
      </c>
      <c r="D396" t="inlineStr">
        <is>
          <t>VÄSTERBOTTENS LÄN</t>
        </is>
      </c>
      <c r="E396" t="inlineStr">
        <is>
          <t>UMEÅ</t>
        </is>
      </c>
      <c r="G396" t="n">
        <v>1.5</v>
      </c>
      <c r="H396" t="n">
        <v>0</v>
      </c>
      <c r="I396" t="n">
        <v>0</v>
      </c>
      <c r="J396" t="n">
        <v>0</v>
      </c>
      <c r="K396" t="n">
        <v>0</v>
      </c>
      <c r="L396" t="n">
        <v>0</v>
      </c>
      <c r="M396" t="n">
        <v>0</v>
      </c>
      <c r="N396" t="n">
        <v>0</v>
      </c>
      <c r="O396" t="n">
        <v>0</v>
      </c>
      <c r="P396" t="n">
        <v>0</v>
      </c>
      <c r="Q396" t="n">
        <v>0</v>
      </c>
      <c r="R396" s="2" t="inlineStr"/>
    </row>
    <row r="397" ht="15" customHeight="1">
      <c r="A397" t="inlineStr">
        <is>
          <t>A 52312-2022</t>
        </is>
      </c>
      <c r="B397" s="1" t="n">
        <v>44873</v>
      </c>
      <c r="C397" s="1" t="n">
        <v>46193</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22795-2022</t>
        </is>
      </c>
      <c r="B398" s="1" t="n">
        <v>44715</v>
      </c>
      <c r="C398" s="1" t="n">
        <v>46193</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7430-2022</t>
        </is>
      </c>
      <c r="B399" s="1" t="n">
        <v>44606</v>
      </c>
      <c r="C399" s="1" t="n">
        <v>46193</v>
      </c>
      <c r="D399" t="inlineStr">
        <is>
          <t>VÄSTERBOTTENS LÄN</t>
        </is>
      </c>
      <c r="E399" t="inlineStr">
        <is>
          <t>UMEÅ</t>
        </is>
      </c>
      <c r="G399" t="n">
        <v>2.3</v>
      </c>
      <c r="H399" t="n">
        <v>0</v>
      </c>
      <c r="I399" t="n">
        <v>0</v>
      </c>
      <c r="J399" t="n">
        <v>0</v>
      </c>
      <c r="K399" t="n">
        <v>0</v>
      </c>
      <c r="L399" t="n">
        <v>0</v>
      </c>
      <c r="M399" t="n">
        <v>0</v>
      </c>
      <c r="N399" t="n">
        <v>0</v>
      </c>
      <c r="O399" t="n">
        <v>0</v>
      </c>
      <c r="P399" t="n">
        <v>0</v>
      </c>
      <c r="Q399" t="n">
        <v>0</v>
      </c>
      <c r="R399" s="2" t="inlineStr"/>
    </row>
    <row r="400" ht="15" customHeight="1">
      <c r="A400" t="inlineStr">
        <is>
          <t>A 29656-2024</t>
        </is>
      </c>
      <c r="B400" s="1" t="n">
        <v>45484</v>
      </c>
      <c r="C400" s="1" t="n">
        <v>46193</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19025-2024</t>
        </is>
      </c>
      <c r="B401" s="1" t="n">
        <v>45427</v>
      </c>
      <c r="C401" s="1" t="n">
        <v>46193</v>
      </c>
      <c r="D401" t="inlineStr">
        <is>
          <t>VÄSTERBOTTENS LÄN</t>
        </is>
      </c>
      <c r="E401" t="inlineStr">
        <is>
          <t>UMEÅ</t>
        </is>
      </c>
      <c r="G401" t="n">
        <v>0.6</v>
      </c>
      <c r="H401" t="n">
        <v>0</v>
      </c>
      <c r="I401" t="n">
        <v>0</v>
      </c>
      <c r="J401" t="n">
        <v>0</v>
      </c>
      <c r="K401" t="n">
        <v>0</v>
      </c>
      <c r="L401" t="n">
        <v>0</v>
      </c>
      <c r="M401" t="n">
        <v>0</v>
      </c>
      <c r="N401" t="n">
        <v>0</v>
      </c>
      <c r="O401" t="n">
        <v>0</v>
      </c>
      <c r="P401" t="n">
        <v>0</v>
      </c>
      <c r="Q401" t="n">
        <v>0</v>
      </c>
      <c r="R401" s="2" t="inlineStr"/>
    </row>
    <row r="402" ht="15" customHeight="1">
      <c r="A402" t="inlineStr">
        <is>
          <t>A 63136-2023</t>
        </is>
      </c>
      <c r="B402" s="1" t="n">
        <v>45273</v>
      </c>
      <c r="C402" s="1" t="n">
        <v>46193</v>
      </c>
      <c r="D402" t="inlineStr">
        <is>
          <t>VÄSTERBOTTENS LÄN</t>
        </is>
      </c>
      <c r="E402" t="inlineStr">
        <is>
          <t>UMEÅ</t>
        </is>
      </c>
      <c r="G402" t="n">
        <v>0.4</v>
      </c>
      <c r="H402" t="n">
        <v>0</v>
      </c>
      <c r="I402" t="n">
        <v>0</v>
      </c>
      <c r="J402" t="n">
        <v>0</v>
      </c>
      <c r="K402" t="n">
        <v>0</v>
      </c>
      <c r="L402" t="n">
        <v>0</v>
      </c>
      <c r="M402" t="n">
        <v>0</v>
      </c>
      <c r="N402" t="n">
        <v>0</v>
      </c>
      <c r="O402" t="n">
        <v>0</v>
      </c>
      <c r="P402" t="n">
        <v>0</v>
      </c>
      <c r="Q402" t="n">
        <v>0</v>
      </c>
      <c r="R402" s="2" t="inlineStr"/>
    </row>
    <row r="403" ht="15" customHeight="1">
      <c r="A403" t="inlineStr">
        <is>
          <t>A 58132-2022</t>
        </is>
      </c>
      <c r="B403" s="1" t="n">
        <v>44900</v>
      </c>
      <c r="C403" s="1" t="n">
        <v>46193</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28855-2024</t>
        </is>
      </c>
      <c r="B404" s="1" t="n">
        <v>45478</v>
      </c>
      <c r="C404" s="1" t="n">
        <v>46193</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v>
      </c>
      <c r="C405" s="1" t="n">
        <v>46193</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28997-2024</t>
        </is>
      </c>
      <c r="B406" s="1" t="n">
        <v>45481</v>
      </c>
      <c r="C406" s="1" t="n">
        <v>46193</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3830-2025</t>
        </is>
      </c>
      <c r="B407" s="1" t="n">
        <v>45681</v>
      </c>
      <c r="C407" s="1" t="n">
        <v>46193</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4251-2025</t>
        </is>
      </c>
      <c r="B408" s="1" t="n">
        <v>45685</v>
      </c>
      <c r="C408" s="1" t="n">
        <v>46193</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31337-2022</t>
        </is>
      </c>
      <c r="B409" s="1" t="n">
        <v>44774</v>
      </c>
      <c r="C409" s="1" t="n">
        <v>46193</v>
      </c>
      <c r="D409" t="inlineStr">
        <is>
          <t>VÄSTERBOTTENS LÄN</t>
        </is>
      </c>
      <c r="E409" t="inlineStr">
        <is>
          <t>UMEÅ</t>
        </is>
      </c>
      <c r="G409" t="n">
        <v>3.7</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46193</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7696-2025</t>
        </is>
      </c>
      <c r="B411" s="1" t="n">
        <v>45706</v>
      </c>
      <c r="C411" s="1" t="n">
        <v>46193</v>
      </c>
      <c r="D411" t="inlineStr">
        <is>
          <t>VÄSTERBOTTENS LÄN</t>
        </is>
      </c>
      <c r="E411" t="inlineStr">
        <is>
          <t>UMEÅ</t>
        </is>
      </c>
      <c r="G411" t="n">
        <v>5.2</v>
      </c>
      <c r="H411" t="n">
        <v>0</v>
      </c>
      <c r="I411" t="n">
        <v>0</v>
      </c>
      <c r="J411" t="n">
        <v>0</v>
      </c>
      <c r="K411" t="n">
        <v>0</v>
      </c>
      <c r="L411" t="n">
        <v>0</v>
      </c>
      <c r="M411" t="n">
        <v>0</v>
      </c>
      <c r="N411" t="n">
        <v>0</v>
      </c>
      <c r="O411" t="n">
        <v>0</v>
      </c>
      <c r="P411" t="n">
        <v>0</v>
      </c>
      <c r="Q411" t="n">
        <v>0</v>
      </c>
      <c r="R411" s="2" t="inlineStr"/>
    </row>
    <row r="412" ht="15" customHeight="1">
      <c r="A412" t="inlineStr">
        <is>
          <t>A 41163-2025</t>
        </is>
      </c>
      <c r="B412" s="1" t="n">
        <v>45898</v>
      </c>
      <c r="C412" s="1" t="n">
        <v>46193</v>
      </c>
      <c r="D412" t="inlineStr">
        <is>
          <t>VÄSTERBOTTENS LÄN</t>
        </is>
      </c>
      <c r="E412" t="inlineStr">
        <is>
          <t>UMEÅ</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13766-2025</t>
        </is>
      </c>
      <c r="B413" s="1" t="n">
        <v>45737</v>
      </c>
      <c r="C413" s="1" t="n">
        <v>46193</v>
      </c>
      <c r="D413" t="inlineStr">
        <is>
          <t>VÄSTERBOTTENS LÄN</t>
        </is>
      </c>
      <c r="E413" t="inlineStr">
        <is>
          <t>UMEÅ</t>
        </is>
      </c>
      <c r="G413" t="n">
        <v>2</v>
      </c>
      <c r="H413" t="n">
        <v>0</v>
      </c>
      <c r="I413" t="n">
        <v>0</v>
      </c>
      <c r="J413" t="n">
        <v>0</v>
      </c>
      <c r="K413" t="n">
        <v>0</v>
      </c>
      <c r="L413" t="n">
        <v>0</v>
      </c>
      <c r="M413" t="n">
        <v>0</v>
      </c>
      <c r="N413" t="n">
        <v>0</v>
      </c>
      <c r="O413" t="n">
        <v>0</v>
      </c>
      <c r="P413" t="n">
        <v>0</v>
      </c>
      <c r="Q413" t="n">
        <v>0</v>
      </c>
      <c r="R413" s="2" t="inlineStr"/>
    </row>
    <row r="414" ht="15" customHeight="1">
      <c r="A414" t="inlineStr">
        <is>
          <t>A 40736-2025</t>
        </is>
      </c>
      <c r="B414" s="1" t="n">
        <v>45897</v>
      </c>
      <c r="C414" s="1" t="n">
        <v>46193</v>
      </c>
      <c r="D414" t="inlineStr">
        <is>
          <t>VÄSTERBOTTENS LÄN</t>
        </is>
      </c>
      <c r="E414" t="inlineStr">
        <is>
          <t>UMEÅ</t>
        </is>
      </c>
      <c r="G414" t="n">
        <v>4.5</v>
      </c>
      <c r="H414" t="n">
        <v>0</v>
      </c>
      <c r="I414" t="n">
        <v>0</v>
      </c>
      <c r="J414" t="n">
        <v>0</v>
      </c>
      <c r="K414" t="n">
        <v>0</v>
      </c>
      <c r="L414" t="n">
        <v>0</v>
      </c>
      <c r="M414" t="n">
        <v>0</v>
      </c>
      <c r="N414" t="n">
        <v>0</v>
      </c>
      <c r="O414" t="n">
        <v>0</v>
      </c>
      <c r="P414" t="n">
        <v>0</v>
      </c>
      <c r="Q414" t="n">
        <v>0</v>
      </c>
      <c r="R414" s="2" t="inlineStr"/>
    </row>
    <row r="415" ht="15" customHeight="1">
      <c r="A415" t="inlineStr">
        <is>
          <t>A 32510-2025</t>
        </is>
      </c>
      <c r="B415" s="1" t="n">
        <v>45838</v>
      </c>
      <c r="C415" s="1" t="n">
        <v>46193</v>
      </c>
      <c r="D415" t="inlineStr">
        <is>
          <t>VÄSTERBOTTENS LÄN</t>
        </is>
      </c>
      <c r="E415" t="inlineStr">
        <is>
          <t>UMEÅ</t>
        </is>
      </c>
      <c r="G415" t="n">
        <v>7.1</v>
      </c>
      <c r="H415" t="n">
        <v>0</v>
      </c>
      <c r="I415" t="n">
        <v>0</v>
      </c>
      <c r="J415" t="n">
        <v>0</v>
      </c>
      <c r="K415" t="n">
        <v>0</v>
      </c>
      <c r="L415" t="n">
        <v>0</v>
      </c>
      <c r="M415" t="n">
        <v>0</v>
      </c>
      <c r="N415" t="n">
        <v>0</v>
      </c>
      <c r="O415" t="n">
        <v>0</v>
      </c>
      <c r="P415" t="n">
        <v>0</v>
      </c>
      <c r="Q415" t="n">
        <v>0</v>
      </c>
      <c r="R415" s="2" t="inlineStr"/>
    </row>
    <row r="416" ht="15" customHeight="1">
      <c r="A416" t="inlineStr">
        <is>
          <t>A 40039-2025</t>
        </is>
      </c>
      <c r="B416" s="1" t="n">
        <v>45894</v>
      </c>
      <c r="C416" s="1" t="n">
        <v>46193</v>
      </c>
      <c r="D416" t="inlineStr">
        <is>
          <t>VÄSTERBOTTENS LÄN</t>
        </is>
      </c>
      <c r="E416" t="inlineStr">
        <is>
          <t>UMEÅ</t>
        </is>
      </c>
      <c r="G416" t="n">
        <v>4.5</v>
      </c>
      <c r="H416" t="n">
        <v>0</v>
      </c>
      <c r="I416" t="n">
        <v>0</v>
      </c>
      <c r="J416" t="n">
        <v>0</v>
      </c>
      <c r="K416" t="n">
        <v>0</v>
      </c>
      <c r="L416" t="n">
        <v>0</v>
      </c>
      <c r="M416" t="n">
        <v>0</v>
      </c>
      <c r="N416" t="n">
        <v>0</v>
      </c>
      <c r="O416" t="n">
        <v>0</v>
      </c>
      <c r="P416" t="n">
        <v>0</v>
      </c>
      <c r="Q416" t="n">
        <v>0</v>
      </c>
      <c r="R416" s="2" t="inlineStr"/>
    </row>
    <row r="417" ht="15" customHeight="1">
      <c r="A417" t="inlineStr">
        <is>
          <t>A 40040-2025</t>
        </is>
      </c>
      <c r="B417" s="1" t="n">
        <v>45894</v>
      </c>
      <c r="C417" s="1" t="n">
        <v>46193</v>
      </c>
      <c r="D417" t="inlineStr">
        <is>
          <t>VÄSTERBOTTENS LÄN</t>
        </is>
      </c>
      <c r="E417" t="inlineStr">
        <is>
          <t>UMEÅ</t>
        </is>
      </c>
      <c r="G417" t="n">
        <v>6.5</v>
      </c>
      <c r="H417" t="n">
        <v>0</v>
      </c>
      <c r="I417" t="n">
        <v>0</v>
      </c>
      <c r="J417" t="n">
        <v>0</v>
      </c>
      <c r="K417" t="n">
        <v>0</v>
      </c>
      <c r="L417" t="n">
        <v>0</v>
      </c>
      <c r="M417" t="n">
        <v>0</v>
      </c>
      <c r="N417" t="n">
        <v>0</v>
      </c>
      <c r="O417" t="n">
        <v>0</v>
      </c>
      <c r="P417" t="n">
        <v>0</v>
      </c>
      <c r="Q417" t="n">
        <v>0</v>
      </c>
      <c r="R417" s="2" t="inlineStr"/>
    </row>
    <row r="418" ht="15" customHeight="1">
      <c r="A418" t="inlineStr">
        <is>
          <t>A 26919-2022</t>
        </is>
      </c>
      <c r="B418" s="1" t="n">
        <v>44740</v>
      </c>
      <c r="C418" s="1" t="n">
        <v>46193</v>
      </c>
      <c r="D418" t="inlineStr">
        <is>
          <t>VÄSTERBOTTENS LÄN</t>
        </is>
      </c>
      <c r="E418" t="inlineStr">
        <is>
          <t>UMEÅ</t>
        </is>
      </c>
      <c r="G418" t="n">
        <v>2.8</v>
      </c>
      <c r="H418" t="n">
        <v>0</v>
      </c>
      <c r="I418" t="n">
        <v>0</v>
      </c>
      <c r="J418" t="n">
        <v>0</v>
      </c>
      <c r="K418" t="n">
        <v>0</v>
      </c>
      <c r="L418" t="n">
        <v>0</v>
      </c>
      <c r="M418" t="n">
        <v>0</v>
      </c>
      <c r="N418" t="n">
        <v>0</v>
      </c>
      <c r="O418" t="n">
        <v>0</v>
      </c>
      <c r="P418" t="n">
        <v>0</v>
      </c>
      <c r="Q418" t="n">
        <v>0</v>
      </c>
      <c r="R418" s="2" t="inlineStr"/>
    </row>
    <row r="419" ht="15" customHeight="1">
      <c r="A419" t="inlineStr">
        <is>
          <t>A 41466-2025</t>
        </is>
      </c>
      <c r="B419" s="1" t="n">
        <v>45901</v>
      </c>
      <c r="C419" s="1" t="n">
        <v>46193</v>
      </c>
      <c r="D419" t="inlineStr">
        <is>
          <t>VÄSTERBOTTENS LÄN</t>
        </is>
      </c>
      <c r="E419" t="inlineStr">
        <is>
          <t>UMEÅ</t>
        </is>
      </c>
      <c r="G419" t="n">
        <v>0.3</v>
      </c>
      <c r="H419" t="n">
        <v>0</v>
      </c>
      <c r="I419" t="n">
        <v>0</v>
      </c>
      <c r="J419" t="n">
        <v>0</v>
      </c>
      <c r="K419" t="n">
        <v>0</v>
      </c>
      <c r="L419" t="n">
        <v>0</v>
      </c>
      <c r="M419" t="n">
        <v>0</v>
      </c>
      <c r="N419" t="n">
        <v>0</v>
      </c>
      <c r="O419" t="n">
        <v>0</v>
      </c>
      <c r="P419" t="n">
        <v>0</v>
      </c>
      <c r="Q419" t="n">
        <v>0</v>
      </c>
      <c r="R419" s="2" t="inlineStr"/>
    </row>
    <row r="420" ht="15" customHeight="1">
      <c r="A420" t="inlineStr">
        <is>
          <t>A 32467-2023</t>
        </is>
      </c>
      <c r="B420" s="1" t="n">
        <v>45120</v>
      </c>
      <c r="C420" s="1" t="n">
        <v>46193</v>
      </c>
      <c r="D420" t="inlineStr">
        <is>
          <t>VÄSTERBOTTENS LÄN</t>
        </is>
      </c>
      <c r="E420" t="inlineStr">
        <is>
          <t>UMEÅ</t>
        </is>
      </c>
      <c r="G420" t="n">
        <v>3.1</v>
      </c>
      <c r="H420" t="n">
        <v>0</v>
      </c>
      <c r="I420" t="n">
        <v>0</v>
      </c>
      <c r="J420" t="n">
        <v>0</v>
      </c>
      <c r="K420" t="n">
        <v>0</v>
      </c>
      <c r="L420" t="n">
        <v>0</v>
      </c>
      <c r="M420" t="n">
        <v>0</v>
      </c>
      <c r="N420" t="n">
        <v>0</v>
      </c>
      <c r="O420" t="n">
        <v>0</v>
      </c>
      <c r="P420" t="n">
        <v>0</v>
      </c>
      <c r="Q420" t="n">
        <v>0</v>
      </c>
      <c r="R420" s="2" t="inlineStr"/>
    </row>
    <row r="421" ht="15" customHeight="1">
      <c r="A421" t="inlineStr">
        <is>
          <t>A 41751-2025</t>
        </is>
      </c>
      <c r="B421" s="1" t="n">
        <v>45902</v>
      </c>
      <c r="C421" s="1" t="n">
        <v>46193</v>
      </c>
      <c r="D421" t="inlineStr">
        <is>
          <t>VÄSTERBOTTENS LÄN</t>
        </is>
      </c>
      <c r="E421" t="inlineStr">
        <is>
          <t>UMEÅ</t>
        </is>
      </c>
      <c r="G421" t="n">
        <v>2.3</v>
      </c>
      <c r="H421" t="n">
        <v>0</v>
      </c>
      <c r="I421" t="n">
        <v>0</v>
      </c>
      <c r="J421" t="n">
        <v>0</v>
      </c>
      <c r="K421" t="n">
        <v>0</v>
      </c>
      <c r="L421" t="n">
        <v>0</v>
      </c>
      <c r="M421" t="n">
        <v>0</v>
      </c>
      <c r="N421" t="n">
        <v>0</v>
      </c>
      <c r="O421" t="n">
        <v>0</v>
      </c>
      <c r="P421" t="n">
        <v>0</v>
      </c>
      <c r="Q421" t="n">
        <v>0</v>
      </c>
      <c r="R421" s="2" t="inlineStr"/>
    </row>
    <row r="422" ht="15" customHeight="1">
      <c r="A422" t="inlineStr">
        <is>
          <t>A 62106-2022</t>
        </is>
      </c>
      <c r="B422" s="1" t="n">
        <v>44920</v>
      </c>
      <c r="C422" s="1" t="n">
        <v>46193</v>
      </c>
      <c r="D422" t="inlineStr">
        <is>
          <t>VÄSTERBOTTENS LÄN</t>
        </is>
      </c>
      <c r="E422" t="inlineStr">
        <is>
          <t>UMEÅ</t>
        </is>
      </c>
      <c r="G422" t="n">
        <v>5.5</v>
      </c>
      <c r="H422" t="n">
        <v>0</v>
      </c>
      <c r="I422" t="n">
        <v>0</v>
      </c>
      <c r="J422" t="n">
        <v>0</v>
      </c>
      <c r="K422" t="n">
        <v>0</v>
      </c>
      <c r="L422" t="n">
        <v>0</v>
      </c>
      <c r="M422" t="n">
        <v>0</v>
      </c>
      <c r="N422" t="n">
        <v>0</v>
      </c>
      <c r="O422" t="n">
        <v>0</v>
      </c>
      <c r="P422" t="n">
        <v>0</v>
      </c>
      <c r="Q422" t="n">
        <v>0</v>
      </c>
      <c r="R422" s="2" t="inlineStr"/>
    </row>
    <row r="423" ht="15" customHeight="1">
      <c r="A423" t="inlineStr">
        <is>
          <t>A 41580-2025</t>
        </is>
      </c>
      <c r="B423" s="1" t="n">
        <v>45901</v>
      </c>
      <c r="C423" s="1" t="n">
        <v>46193</v>
      </c>
      <c r="D423" t="inlineStr">
        <is>
          <t>VÄSTERBOTTENS LÄN</t>
        </is>
      </c>
      <c r="E423" t="inlineStr">
        <is>
          <t>UMEÅ</t>
        </is>
      </c>
      <c r="G423" t="n">
        <v>2.6</v>
      </c>
      <c r="H423" t="n">
        <v>0</v>
      </c>
      <c r="I423" t="n">
        <v>0</v>
      </c>
      <c r="J423" t="n">
        <v>0</v>
      </c>
      <c r="K423" t="n">
        <v>0</v>
      </c>
      <c r="L423" t="n">
        <v>0</v>
      </c>
      <c r="M423" t="n">
        <v>0</v>
      </c>
      <c r="N423" t="n">
        <v>0</v>
      </c>
      <c r="O423" t="n">
        <v>0</v>
      </c>
      <c r="P423" t="n">
        <v>0</v>
      </c>
      <c r="Q423" t="n">
        <v>0</v>
      </c>
      <c r="R423" s="2" t="inlineStr"/>
    </row>
    <row r="424" ht="15" customHeight="1">
      <c r="A424" t="inlineStr">
        <is>
          <t>A 40949-2025</t>
        </is>
      </c>
      <c r="B424" s="1" t="n">
        <v>45897</v>
      </c>
      <c r="C424" s="1" t="n">
        <v>46193</v>
      </c>
      <c r="D424" t="inlineStr">
        <is>
          <t>VÄSTERBOTTENS LÄN</t>
        </is>
      </c>
      <c r="E424" t="inlineStr">
        <is>
          <t>UMEÅ</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10729-2025</t>
        </is>
      </c>
      <c r="B425" s="1" t="n">
        <v>45722</v>
      </c>
      <c r="C425" s="1" t="n">
        <v>46193</v>
      </c>
      <c r="D425" t="inlineStr">
        <is>
          <t>VÄSTERBOTTENS LÄN</t>
        </is>
      </c>
      <c r="E425" t="inlineStr">
        <is>
          <t>UMEÅ</t>
        </is>
      </c>
      <c r="G425" t="n">
        <v>6.4</v>
      </c>
      <c r="H425" t="n">
        <v>0</v>
      </c>
      <c r="I425" t="n">
        <v>0</v>
      </c>
      <c r="J425" t="n">
        <v>0</v>
      </c>
      <c r="K425" t="n">
        <v>0</v>
      </c>
      <c r="L425" t="n">
        <v>0</v>
      </c>
      <c r="M425" t="n">
        <v>0</v>
      </c>
      <c r="N425" t="n">
        <v>0</v>
      </c>
      <c r="O425" t="n">
        <v>0</v>
      </c>
      <c r="P425" t="n">
        <v>0</v>
      </c>
      <c r="Q425" t="n">
        <v>0</v>
      </c>
      <c r="R425" s="2" t="inlineStr"/>
    </row>
    <row r="426" ht="15" customHeight="1">
      <c r="A426" t="inlineStr">
        <is>
          <t>A 41218-2023</t>
        </is>
      </c>
      <c r="B426" s="1" t="n">
        <v>45174</v>
      </c>
      <c r="C426" s="1" t="n">
        <v>46193</v>
      </c>
      <c r="D426" t="inlineStr">
        <is>
          <t>VÄSTERBOTTENS LÄN</t>
        </is>
      </c>
      <c r="E426" t="inlineStr">
        <is>
          <t>UMEÅ</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25689-2025</t>
        </is>
      </c>
      <c r="B427" s="1" t="n">
        <v>45803</v>
      </c>
      <c r="C427" s="1" t="n">
        <v>46193</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41176-2025</t>
        </is>
      </c>
      <c r="B428" s="1" t="n">
        <v>45898</v>
      </c>
      <c r="C428" s="1" t="n">
        <v>46193</v>
      </c>
      <c r="D428" t="inlineStr">
        <is>
          <t>VÄSTERBOTTENS LÄN</t>
        </is>
      </c>
      <c r="E428" t="inlineStr">
        <is>
          <t>UMEÅ</t>
        </is>
      </c>
      <c r="G428" t="n">
        <v>4.3</v>
      </c>
      <c r="H428" t="n">
        <v>0</v>
      </c>
      <c r="I428" t="n">
        <v>0</v>
      </c>
      <c r="J428" t="n">
        <v>0</v>
      </c>
      <c r="K428" t="n">
        <v>0</v>
      </c>
      <c r="L428" t="n">
        <v>0</v>
      </c>
      <c r="M428" t="n">
        <v>0</v>
      </c>
      <c r="N428" t="n">
        <v>0</v>
      </c>
      <c r="O428" t="n">
        <v>0</v>
      </c>
      <c r="P428" t="n">
        <v>0</v>
      </c>
      <c r="Q428" t="n">
        <v>0</v>
      </c>
      <c r="R428" s="2" t="inlineStr"/>
    </row>
    <row r="429" ht="15" customHeight="1">
      <c r="A429" t="inlineStr">
        <is>
          <t>A 42204-2025</t>
        </is>
      </c>
      <c r="B429" s="1" t="n">
        <v>45904</v>
      </c>
      <c r="C429" s="1" t="n">
        <v>46193</v>
      </c>
      <c r="D429" t="inlineStr">
        <is>
          <t>VÄSTERBOTTENS LÄN</t>
        </is>
      </c>
      <c r="E429" t="inlineStr">
        <is>
          <t>UMEÅ</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42198-2025</t>
        </is>
      </c>
      <c r="B430" s="1" t="n">
        <v>45904</v>
      </c>
      <c r="C430" s="1" t="n">
        <v>46193</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42476-2025</t>
        </is>
      </c>
      <c r="B431" s="1" t="n">
        <v>45904</v>
      </c>
      <c r="C431" s="1" t="n">
        <v>46193</v>
      </c>
      <c r="D431" t="inlineStr">
        <is>
          <t>VÄSTERBOTTENS LÄN</t>
        </is>
      </c>
      <c r="E431" t="inlineStr">
        <is>
          <t>UMEÅ</t>
        </is>
      </c>
      <c r="G431" t="n">
        <v>2.9</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v>
      </c>
      <c r="C432" s="1" t="n">
        <v>46193</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15375-2025</t>
        </is>
      </c>
      <c r="B433" s="1" t="n">
        <v>45747</v>
      </c>
      <c r="C433" s="1" t="n">
        <v>46193</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33753-2021</t>
        </is>
      </c>
      <c r="B434" s="1" t="n">
        <v>44378</v>
      </c>
      <c r="C434" s="1" t="n">
        <v>46193</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26243-2026</t>
        </is>
      </c>
      <c r="B435" s="1" t="n">
        <v>46182</v>
      </c>
      <c r="C435" s="1" t="n">
        <v>46193</v>
      </c>
      <c r="D435" t="inlineStr">
        <is>
          <t>VÄSTERBOTTENS LÄN</t>
        </is>
      </c>
      <c r="E435" t="inlineStr">
        <is>
          <t>UMEÅ</t>
        </is>
      </c>
      <c r="G435" t="n">
        <v>1.4</v>
      </c>
      <c r="H435" t="n">
        <v>0</v>
      </c>
      <c r="I435" t="n">
        <v>0</v>
      </c>
      <c r="J435" t="n">
        <v>0</v>
      </c>
      <c r="K435" t="n">
        <v>0</v>
      </c>
      <c r="L435" t="n">
        <v>0</v>
      </c>
      <c r="M435" t="n">
        <v>0</v>
      </c>
      <c r="N435" t="n">
        <v>0</v>
      </c>
      <c r="O435" t="n">
        <v>0</v>
      </c>
      <c r="P435" t="n">
        <v>0</v>
      </c>
      <c r="Q435" t="n">
        <v>0</v>
      </c>
      <c r="R435" s="2" t="inlineStr"/>
    </row>
    <row r="436" ht="15" customHeight="1">
      <c r="A436" t="inlineStr">
        <is>
          <t>A 5678-2025</t>
        </is>
      </c>
      <c r="B436" s="1" t="n">
        <v>45694</v>
      </c>
      <c r="C436" s="1" t="n">
        <v>46193</v>
      </c>
      <c r="D436" t="inlineStr">
        <is>
          <t>VÄSTERBOTTENS LÄN</t>
        </is>
      </c>
      <c r="E436" t="inlineStr">
        <is>
          <t>UMEÅ</t>
        </is>
      </c>
      <c r="G436" t="n">
        <v>3</v>
      </c>
      <c r="H436" t="n">
        <v>0</v>
      </c>
      <c r="I436" t="n">
        <v>0</v>
      </c>
      <c r="J436" t="n">
        <v>0</v>
      </c>
      <c r="K436" t="n">
        <v>0</v>
      </c>
      <c r="L436" t="n">
        <v>0</v>
      </c>
      <c r="M436" t="n">
        <v>0</v>
      </c>
      <c r="N436" t="n">
        <v>0</v>
      </c>
      <c r="O436" t="n">
        <v>0</v>
      </c>
      <c r="P436" t="n">
        <v>0</v>
      </c>
      <c r="Q436" t="n">
        <v>0</v>
      </c>
      <c r="R436" s="2" t="inlineStr"/>
    </row>
    <row r="437" ht="15" customHeight="1">
      <c r="A437" t="inlineStr">
        <is>
          <t>A 43016-2025</t>
        </is>
      </c>
      <c r="B437" s="1" t="n">
        <v>45909</v>
      </c>
      <c r="C437" s="1" t="n">
        <v>46193</v>
      </c>
      <c r="D437" t="inlineStr">
        <is>
          <t>VÄSTERBOTTENS LÄN</t>
        </is>
      </c>
      <c r="E437" t="inlineStr">
        <is>
          <t>UMEÅ</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31031-2024</t>
        </is>
      </c>
      <c r="B438" s="1" t="n">
        <v>45501</v>
      </c>
      <c r="C438" s="1" t="n">
        <v>46193</v>
      </c>
      <c r="D438" t="inlineStr">
        <is>
          <t>VÄSTERBOTTENS LÄN</t>
        </is>
      </c>
      <c r="E438" t="inlineStr">
        <is>
          <t>UMEÅ</t>
        </is>
      </c>
      <c r="G438" t="n">
        <v>2.1</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v>
      </c>
      <c r="C439" s="1" t="n">
        <v>46193</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3234-2026</t>
        </is>
      </c>
      <c r="B440" s="1" t="n">
        <v>46041</v>
      </c>
      <c r="C440" s="1" t="n">
        <v>46193</v>
      </c>
      <c r="D440" t="inlineStr">
        <is>
          <t>VÄSTERBOTTENS LÄN</t>
        </is>
      </c>
      <c r="E440" t="inlineStr">
        <is>
          <t>UMEÅ</t>
        </is>
      </c>
      <c r="G440" t="n">
        <v>8.1</v>
      </c>
      <c r="H440" t="n">
        <v>0</v>
      </c>
      <c r="I440" t="n">
        <v>0</v>
      </c>
      <c r="J440" t="n">
        <v>0</v>
      </c>
      <c r="K440" t="n">
        <v>0</v>
      </c>
      <c r="L440" t="n">
        <v>0</v>
      </c>
      <c r="M440" t="n">
        <v>0</v>
      </c>
      <c r="N440" t="n">
        <v>0</v>
      </c>
      <c r="O440" t="n">
        <v>0</v>
      </c>
      <c r="P440" t="n">
        <v>0</v>
      </c>
      <c r="Q440" t="n">
        <v>0</v>
      </c>
      <c r="R440" s="2" t="inlineStr"/>
    </row>
    <row r="441" ht="15" customHeight="1">
      <c r="A441" t="inlineStr">
        <is>
          <t>A 30263-2025</t>
        </is>
      </c>
      <c r="B441" s="1" t="n">
        <v>45827</v>
      </c>
      <c r="C441" s="1" t="n">
        <v>46193</v>
      </c>
      <c r="D441" t="inlineStr">
        <is>
          <t>VÄSTERBOTTENS LÄN</t>
        </is>
      </c>
      <c r="E441" t="inlineStr">
        <is>
          <t>UMEÅ</t>
        </is>
      </c>
      <c r="G441" t="n">
        <v>2.2</v>
      </c>
      <c r="H441" t="n">
        <v>0</v>
      </c>
      <c r="I441" t="n">
        <v>0</v>
      </c>
      <c r="J441" t="n">
        <v>0</v>
      </c>
      <c r="K441" t="n">
        <v>0</v>
      </c>
      <c r="L441" t="n">
        <v>0</v>
      </c>
      <c r="M441" t="n">
        <v>0</v>
      </c>
      <c r="N441" t="n">
        <v>0</v>
      </c>
      <c r="O441" t="n">
        <v>0</v>
      </c>
      <c r="P441" t="n">
        <v>0</v>
      </c>
      <c r="Q441" t="n">
        <v>0</v>
      </c>
      <c r="R441" s="2" t="inlineStr"/>
    </row>
    <row r="442" ht="15" customHeight="1">
      <c r="A442" t="inlineStr">
        <is>
          <t>A 54143-2024</t>
        </is>
      </c>
      <c r="B442" s="1" t="n">
        <v>45616</v>
      </c>
      <c r="C442" s="1" t="n">
        <v>46193</v>
      </c>
      <c r="D442" t="inlineStr">
        <is>
          <t>VÄSTERBOTTENS LÄN</t>
        </is>
      </c>
      <c r="E442" t="inlineStr">
        <is>
          <t>UMEÅ</t>
        </is>
      </c>
      <c r="G442" t="n">
        <v>0.3</v>
      </c>
      <c r="H442" t="n">
        <v>0</v>
      </c>
      <c r="I442" t="n">
        <v>0</v>
      </c>
      <c r="J442" t="n">
        <v>0</v>
      </c>
      <c r="K442" t="n">
        <v>0</v>
      </c>
      <c r="L442" t="n">
        <v>0</v>
      </c>
      <c r="M442" t="n">
        <v>0</v>
      </c>
      <c r="N442" t="n">
        <v>0</v>
      </c>
      <c r="O442" t="n">
        <v>0</v>
      </c>
      <c r="P442" t="n">
        <v>0</v>
      </c>
      <c r="Q442" t="n">
        <v>0</v>
      </c>
      <c r="R442" s="2" t="inlineStr"/>
    </row>
    <row r="443" ht="15" customHeight="1">
      <c r="A443" t="inlineStr">
        <is>
          <t>A 32125-2025</t>
        </is>
      </c>
      <c r="B443" s="1" t="n">
        <v>45835</v>
      </c>
      <c r="C443" s="1" t="n">
        <v>46193</v>
      </c>
      <c r="D443" t="inlineStr">
        <is>
          <t>VÄSTERBOTTENS LÄN</t>
        </is>
      </c>
      <c r="E443" t="inlineStr">
        <is>
          <t>UMEÅ</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39561-2022</t>
        </is>
      </c>
      <c r="B444" s="1" t="n">
        <v>44818</v>
      </c>
      <c r="C444" s="1" t="n">
        <v>46193</v>
      </c>
      <c r="D444" t="inlineStr">
        <is>
          <t>VÄSTERBOTTENS LÄN</t>
        </is>
      </c>
      <c r="E444" t="inlineStr">
        <is>
          <t>UMEÅ</t>
        </is>
      </c>
      <c r="G444" t="n">
        <v>3.2</v>
      </c>
      <c r="H444" t="n">
        <v>0</v>
      </c>
      <c r="I444" t="n">
        <v>0</v>
      </c>
      <c r="J444" t="n">
        <v>0</v>
      </c>
      <c r="K444" t="n">
        <v>0</v>
      </c>
      <c r="L444" t="n">
        <v>0</v>
      </c>
      <c r="M444" t="n">
        <v>0</v>
      </c>
      <c r="N444" t="n">
        <v>0</v>
      </c>
      <c r="O444" t="n">
        <v>0</v>
      </c>
      <c r="P444" t="n">
        <v>0</v>
      </c>
      <c r="Q444" t="n">
        <v>0</v>
      </c>
      <c r="R444" s="2" t="inlineStr"/>
    </row>
    <row r="445" ht="15" customHeight="1">
      <c r="A445" t="inlineStr">
        <is>
          <t>A 10899-2025</t>
        </is>
      </c>
      <c r="B445" s="1" t="n">
        <v>45722</v>
      </c>
      <c r="C445" s="1" t="n">
        <v>46193</v>
      </c>
      <c r="D445" t="inlineStr">
        <is>
          <t>VÄSTERBOTTENS LÄN</t>
        </is>
      </c>
      <c r="E445" t="inlineStr">
        <is>
          <t>UMEÅ</t>
        </is>
      </c>
      <c r="G445" t="n">
        <v>6.8</v>
      </c>
      <c r="H445" t="n">
        <v>0</v>
      </c>
      <c r="I445" t="n">
        <v>0</v>
      </c>
      <c r="J445" t="n">
        <v>0</v>
      </c>
      <c r="K445" t="n">
        <v>0</v>
      </c>
      <c r="L445" t="n">
        <v>0</v>
      </c>
      <c r="M445" t="n">
        <v>0</v>
      </c>
      <c r="N445" t="n">
        <v>0</v>
      </c>
      <c r="O445" t="n">
        <v>0</v>
      </c>
      <c r="P445" t="n">
        <v>0</v>
      </c>
      <c r="Q445" t="n">
        <v>0</v>
      </c>
      <c r="R445" s="2" t="inlineStr"/>
    </row>
    <row r="446" ht="15" customHeight="1">
      <c r="A446" t="inlineStr">
        <is>
          <t>A 43687-2025</t>
        </is>
      </c>
      <c r="B446" s="1" t="n">
        <v>45912</v>
      </c>
      <c r="C446" s="1" t="n">
        <v>46193</v>
      </c>
      <c r="D446" t="inlineStr">
        <is>
          <t>VÄSTERBOTTENS LÄN</t>
        </is>
      </c>
      <c r="E446" t="inlineStr">
        <is>
          <t>UMEÅ</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26245-2026</t>
        </is>
      </c>
      <c r="B447" s="1" t="n">
        <v>46182</v>
      </c>
      <c r="C447" s="1" t="n">
        <v>46193</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15358-2023</t>
        </is>
      </c>
      <c r="B448" s="1" t="n">
        <v>45016</v>
      </c>
      <c r="C448" s="1" t="n">
        <v>46193</v>
      </c>
      <c r="D448" t="inlineStr">
        <is>
          <t>VÄSTERBOTTENS LÄN</t>
        </is>
      </c>
      <c r="E448" t="inlineStr">
        <is>
          <t>UMEÅ</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43840-2025</t>
        </is>
      </c>
      <c r="B449" s="1" t="n">
        <v>45912</v>
      </c>
      <c r="C449" s="1" t="n">
        <v>46193</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46193</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43889-2025</t>
        </is>
      </c>
      <c r="B451" s="1" t="n">
        <v>45912</v>
      </c>
      <c r="C451" s="1" t="n">
        <v>46193</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43789-2025</t>
        </is>
      </c>
      <c r="B452" s="1" t="n">
        <v>45912</v>
      </c>
      <c r="C452" s="1" t="n">
        <v>46193</v>
      </c>
      <c r="D452" t="inlineStr">
        <is>
          <t>VÄSTERBOTTENS LÄN</t>
        </is>
      </c>
      <c r="E452" t="inlineStr">
        <is>
          <t>UMEÅ</t>
        </is>
      </c>
      <c r="F452" t="inlineStr">
        <is>
          <t>Holmen skog AB</t>
        </is>
      </c>
      <c r="G452" t="n">
        <v>21.1</v>
      </c>
      <c r="H452" t="n">
        <v>0</v>
      </c>
      <c r="I452" t="n">
        <v>0</v>
      </c>
      <c r="J452" t="n">
        <v>0</v>
      </c>
      <c r="K452" t="n">
        <v>0</v>
      </c>
      <c r="L452" t="n">
        <v>0</v>
      </c>
      <c r="M452" t="n">
        <v>0</v>
      </c>
      <c r="N452" t="n">
        <v>0</v>
      </c>
      <c r="O452" t="n">
        <v>0</v>
      </c>
      <c r="P452" t="n">
        <v>0</v>
      </c>
      <c r="Q452" t="n">
        <v>0</v>
      </c>
      <c r="R452" s="2" t="inlineStr"/>
    </row>
    <row r="453" ht="15" customHeight="1">
      <c r="A453" t="inlineStr">
        <is>
          <t>A 35226-2024</t>
        </is>
      </c>
      <c r="B453" s="1" t="n">
        <v>45530</v>
      </c>
      <c r="C453" s="1" t="n">
        <v>46193</v>
      </c>
      <c r="D453" t="inlineStr">
        <is>
          <t>VÄSTERBOTTENS LÄN</t>
        </is>
      </c>
      <c r="E453" t="inlineStr">
        <is>
          <t>UMEÅ</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15904-2025</t>
        </is>
      </c>
      <c r="B454" s="1" t="n">
        <v>45749</v>
      </c>
      <c r="C454" s="1" t="n">
        <v>46193</v>
      </c>
      <c r="D454" t="inlineStr">
        <is>
          <t>VÄSTERBOTTENS LÄN</t>
        </is>
      </c>
      <c r="E454" t="inlineStr">
        <is>
          <t>UMEÅ</t>
        </is>
      </c>
      <c r="G454" t="n">
        <v>2.5</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v>
      </c>
      <c r="C455" s="1" t="n">
        <v>46193</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v>
      </c>
      <c r="C456" s="1" t="n">
        <v>46193</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30021-2024</t>
        </is>
      </c>
      <c r="B457" s="1" t="n">
        <v>45488</v>
      </c>
      <c r="C457" s="1" t="n">
        <v>46193</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30020-2024</t>
        </is>
      </c>
      <c r="B458" s="1" t="n">
        <v>45488</v>
      </c>
      <c r="C458" s="1" t="n">
        <v>46193</v>
      </c>
      <c r="D458" t="inlineStr">
        <is>
          <t>VÄSTERBOTTENS LÄN</t>
        </is>
      </c>
      <c r="E458" t="inlineStr">
        <is>
          <t>UMEÅ</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44420-2025</t>
        </is>
      </c>
      <c r="B459" s="1" t="n">
        <v>45916</v>
      </c>
      <c r="C459" s="1" t="n">
        <v>46193</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51415-2024</t>
        </is>
      </c>
      <c r="B460" s="1" t="n">
        <v>45604</v>
      </c>
      <c r="C460" s="1" t="n">
        <v>46193</v>
      </c>
      <c r="D460" t="inlineStr">
        <is>
          <t>VÄSTERBOTTENS LÄN</t>
        </is>
      </c>
      <c r="E460" t="inlineStr">
        <is>
          <t>UMEÅ</t>
        </is>
      </c>
      <c r="G460" t="n">
        <v>3.4</v>
      </c>
      <c r="H460" t="n">
        <v>0</v>
      </c>
      <c r="I460" t="n">
        <v>0</v>
      </c>
      <c r="J460" t="n">
        <v>0</v>
      </c>
      <c r="K460" t="n">
        <v>0</v>
      </c>
      <c r="L460" t="n">
        <v>0</v>
      </c>
      <c r="M460" t="n">
        <v>0</v>
      </c>
      <c r="N460" t="n">
        <v>0</v>
      </c>
      <c r="O460" t="n">
        <v>0</v>
      </c>
      <c r="P460" t="n">
        <v>0</v>
      </c>
      <c r="Q460" t="n">
        <v>0</v>
      </c>
      <c r="R460" s="2" t="inlineStr"/>
    </row>
    <row r="461" ht="15" customHeight="1">
      <c r="A461" t="inlineStr">
        <is>
          <t>A 57497-2024</t>
        </is>
      </c>
      <c r="B461" s="1" t="n">
        <v>45630</v>
      </c>
      <c r="C461" s="1" t="n">
        <v>46193</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37870-2024</t>
        </is>
      </c>
      <c r="B462" s="1" t="n">
        <v>45544</v>
      </c>
      <c r="C462" s="1" t="n">
        <v>46193</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44064-2025</t>
        </is>
      </c>
      <c r="B463" s="1" t="n">
        <v>45915</v>
      </c>
      <c r="C463" s="1" t="n">
        <v>46193</v>
      </c>
      <c r="D463" t="inlineStr">
        <is>
          <t>VÄSTERBOTTENS LÄN</t>
        </is>
      </c>
      <c r="E463" t="inlineStr">
        <is>
          <t>UMEÅ</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61621-2024</t>
        </is>
      </c>
      <c r="B464" s="1" t="n">
        <v>45646</v>
      </c>
      <c r="C464" s="1" t="n">
        <v>46193</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44168-2025</t>
        </is>
      </c>
      <c r="B465" s="1" t="n">
        <v>45915</v>
      </c>
      <c r="C465" s="1" t="n">
        <v>46193</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35209-2024</t>
        </is>
      </c>
      <c r="B466" s="1" t="n">
        <v>45530</v>
      </c>
      <c r="C466" s="1" t="n">
        <v>46193</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35228-2024</t>
        </is>
      </c>
      <c r="B467" s="1" t="n">
        <v>45530</v>
      </c>
      <c r="C467" s="1" t="n">
        <v>46193</v>
      </c>
      <c r="D467" t="inlineStr">
        <is>
          <t>VÄSTERBOTTENS LÄN</t>
        </is>
      </c>
      <c r="E467" t="inlineStr">
        <is>
          <t>UMEÅ</t>
        </is>
      </c>
      <c r="G467" t="n">
        <v>1.9</v>
      </c>
      <c r="H467" t="n">
        <v>0</v>
      </c>
      <c r="I467" t="n">
        <v>0</v>
      </c>
      <c r="J467" t="n">
        <v>0</v>
      </c>
      <c r="K467" t="n">
        <v>0</v>
      </c>
      <c r="L467" t="n">
        <v>0</v>
      </c>
      <c r="M467" t="n">
        <v>0</v>
      </c>
      <c r="N467" t="n">
        <v>0</v>
      </c>
      <c r="O467" t="n">
        <v>0</v>
      </c>
      <c r="P467" t="n">
        <v>0</v>
      </c>
      <c r="Q467" t="n">
        <v>0</v>
      </c>
      <c r="R467" s="2" t="inlineStr"/>
    </row>
    <row r="468" ht="15" customHeight="1">
      <c r="A468" t="inlineStr">
        <is>
          <t>A 44730-2025</t>
        </is>
      </c>
      <c r="B468" s="1" t="n">
        <v>45917</v>
      </c>
      <c r="C468" s="1" t="n">
        <v>46193</v>
      </c>
      <c r="D468" t="inlineStr">
        <is>
          <t>VÄSTERBOTTENS LÄN</t>
        </is>
      </c>
      <c r="E468" t="inlineStr">
        <is>
          <t>UMEÅ</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44838-2025</t>
        </is>
      </c>
      <c r="B469" s="1" t="n">
        <v>45918</v>
      </c>
      <c r="C469" s="1" t="n">
        <v>46193</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61280-2023</t>
        </is>
      </c>
      <c r="B470" s="1" t="n">
        <v>45260</v>
      </c>
      <c r="C470" s="1" t="n">
        <v>46193</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44725-2025</t>
        </is>
      </c>
      <c r="B471" s="1" t="n">
        <v>45917</v>
      </c>
      <c r="C471" s="1" t="n">
        <v>46193</v>
      </c>
      <c r="D471" t="inlineStr">
        <is>
          <t>VÄSTERBOTTENS LÄN</t>
        </is>
      </c>
      <c r="E471" t="inlineStr">
        <is>
          <t>UMEÅ</t>
        </is>
      </c>
      <c r="G471" t="n">
        <v>4.6</v>
      </c>
      <c r="H471" t="n">
        <v>0</v>
      </c>
      <c r="I471" t="n">
        <v>0</v>
      </c>
      <c r="J471" t="n">
        <v>0</v>
      </c>
      <c r="K471" t="n">
        <v>0</v>
      </c>
      <c r="L471" t="n">
        <v>0</v>
      </c>
      <c r="M471" t="n">
        <v>0</v>
      </c>
      <c r="N471" t="n">
        <v>0</v>
      </c>
      <c r="O471" t="n">
        <v>0</v>
      </c>
      <c r="P471" t="n">
        <v>0</v>
      </c>
      <c r="Q471" t="n">
        <v>0</v>
      </c>
      <c r="R471" s="2" t="inlineStr"/>
    </row>
    <row r="472" ht="15" customHeight="1">
      <c r="A472" t="inlineStr">
        <is>
          <t>A 37260-2024</t>
        </is>
      </c>
      <c r="B472" s="1" t="n">
        <v>45540</v>
      </c>
      <c r="C472" s="1" t="n">
        <v>46193</v>
      </c>
      <c r="D472" t="inlineStr">
        <is>
          <t>VÄSTERBOTTENS LÄN</t>
        </is>
      </c>
      <c r="E472" t="inlineStr">
        <is>
          <t>UMEÅ</t>
        </is>
      </c>
      <c r="G472" t="n">
        <v>2.7</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46193</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15459-2025</t>
        </is>
      </c>
      <c r="B474" s="1" t="n">
        <v>45747</v>
      </c>
      <c r="C474" s="1" t="n">
        <v>46193</v>
      </c>
      <c r="D474" t="inlineStr">
        <is>
          <t>VÄSTERBOTTENS LÄN</t>
        </is>
      </c>
      <c r="E474" t="inlineStr">
        <is>
          <t>UMEÅ</t>
        </is>
      </c>
      <c r="G474" t="n">
        <v>0.9</v>
      </c>
      <c r="H474" t="n">
        <v>0</v>
      </c>
      <c r="I474" t="n">
        <v>0</v>
      </c>
      <c r="J474" t="n">
        <v>0</v>
      </c>
      <c r="K474" t="n">
        <v>0</v>
      </c>
      <c r="L474" t="n">
        <v>0</v>
      </c>
      <c r="M474" t="n">
        <v>0</v>
      </c>
      <c r="N474" t="n">
        <v>0</v>
      </c>
      <c r="O474" t="n">
        <v>0</v>
      </c>
      <c r="P474" t="n">
        <v>0</v>
      </c>
      <c r="Q474" t="n">
        <v>0</v>
      </c>
      <c r="R474" s="2" t="inlineStr"/>
    </row>
    <row r="475" ht="15" customHeight="1">
      <c r="A475" t="inlineStr">
        <is>
          <t>A 45184-2025</t>
        </is>
      </c>
      <c r="B475" s="1" t="n">
        <v>45919</v>
      </c>
      <c r="C475" s="1" t="n">
        <v>46193</v>
      </c>
      <c r="D475" t="inlineStr">
        <is>
          <t>VÄSTERBOTTENS LÄN</t>
        </is>
      </c>
      <c r="E475" t="inlineStr">
        <is>
          <t>UMEÅ</t>
        </is>
      </c>
      <c r="F475" t="inlineStr">
        <is>
          <t>Holmen skog AB</t>
        </is>
      </c>
      <c r="G475" t="n">
        <v>14.7</v>
      </c>
      <c r="H475" t="n">
        <v>0</v>
      </c>
      <c r="I475" t="n">
        <v>0</v>
      </c>
      <c r="J475" t="n">
        <v>0</v>
      </c>
      <c r="K475" t="n">
        <v>0</v>
      </c>
      <c r="L475" t="n">
        <v>0</v>
      </c>
      <c r="M475" t="n">
        <v>0</v>
      </c>
      <c r="N475" t="n">
        <v>0</v>
      </c>
      <c r="O475" t="n">
        <v>0</v>
      </c>
      <c r="P475" t="n">
        <v>0</v>
      </c>
      <c r="Q475" t="n">
        <v>0</v>
      </c>
      <c r="R475" s="2" t="inlineStr"/>
    </row>
    <row r="476" ht="15" customHeight="1">
      <c r="A476" t="inlineStr">
        <is>
          <t>A 45343-2024</t>
        </is>
      </c>
      <c r="B476" s="1" t="n">
        <v>45576</v>
      </c>
      <c r="C476" s="1" t="n">
        <v>46193</v>
      </c>
      <c r="D476" t="inlineStr">
        <is>
          <t>VÄSTERBOTTENS LÄN</t>
        </is>
      </c>
      <c r="E476" t="inlineStr">
        <is>
          <t>UMEÅ</t>
        </is>
      </c>
      <c r="F476" t="inlineStr">
        <is>
          <t>Holmen skog AB</t>
        </is>
      </c>
      <c r="G476" t="n">
        <v>6.1</v>
      </c>
      <c r="H476" t="n">
        <v>0</v>
      </c>
      <c r="I476" t="n">
        <v>0</v>
      </c>
      <c r="J476" t="n">
        <v>0</v>
      </c>
      <c r="K476" t="n">
        <v>0</v>
      </c>
      <c r="L476" t="n">
        <v>0</v>
      </c>
      <c r="M476" t="n">
        <v>0</v>
      </c>
      <c r="N476" t="n">
        <v>0</v>
      </c>
      <c r="O476" t="n">
        <v>0</v>
      </c>
      <c r="P476" t="n">
        <v>0</v>
      </c>
      <c r="Q476" t="n">
        <v>0</v>
      </c>
      <c r="R476" s="2" t="inlineStr"/>
    </row>
    <row r="477" ht="15" customHeight="1">
      <c r="A477" t="inlineStr">
        <is>
          <t>A 58899-2024</t>
        </is>
      </c>
      <c r="B477" s="1" t="n">
        <v>45636</v>
      </c>
      <c r="C477" s="1" t="n">
        <v>46193</v>
      </c>
      <c r="D477" t="inlineStr">
        <is>
          <t>VÄSTERBOTTENS LÄN</t>
        </is>
      </c>
      <c r="E477" t="inlineStr">
        <is>
          <t>UMEÅ</t>
        </is>
      </c>
      <c r="G477" t="n">
        <v>2</v>
      </c>
      <c r="H477" t="n">
        <v>0</v>
      </c>
      <c r="I477" t="n">
        <v>0</v>
      </c>
      <c r="J477" t="n">
        <v>0</v>
      </c>
      <c r="K477" t="n">
        <v>0</v>
      </c>
      <c r="L477" t="n">
        <v>0</v>
      </c>
      <c r="M477" t="n">
        <v>0</v>
      </c>
      <c r="N477" t="n">
        <v>0</v>
      </c>
      <c r="O477" t="n">
        <v>0</v>
      </c>
      <c r="P477" t="n">
        <v>0</v>
      </c>
      <c r="Q477" t="n">
        <v>0</v>
      </c>
      <c r="R477" s="2" t="inlineStr"/>
    </row>
    <row r="478" ht="15" customHeight="1">
      <c r="A478" t="inlineStr">
        <is>
          <t>A 20981-2025</t>
        </is>
      </c>
      <c r="B478" s="1" t="n">
        <v>45777</v>
      </c>
      <c r="C478" s="1" t="n">
        <v>46193</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45487-2025</t>
        </is>
      </c>
      <c r="B479" s="1" t="n">
        <v>45922</v>
      </c>
      <c r="C479" s="1" t="n">
        <v>46193</v>
      </c>
      <c r="D479" t="inlineStr">
        <is>
          <t>VÄSTERBOTTENS LÄN</t>
        </is>
      </c>
      <c r="E479" t="inlineStr">
        <is>
          <t>UMEÅ</t>
        </is>
      </c>
      <c r="G479" t="n">
        <v>1.6</v>
      </c>
      <c r="H479" t="n">
        <v>0</v>
      </c>
      <c r="I479" t="n">
        <v>0</v>
      </c>
      <c r="J479" t="n">
        <v>0</v>
      </c>
      <c r="K479" t="n">
        <v>0</v>
      </c>
      <c r="L479" t="n">
        <v>0</v>
      </c>
      <c r="M479" t="n">
        <v>0</v>
      </c>
      <c r="N479" t="n">
        <v>0</v>
      </c>
      <c r="O479" t="n">
        <v>0</v>
      </c>
      <c r="P479" t="n">
        <v>0</v>
      </c>
      <c r="Q479" t="n">
        <v>0</v>
      </c>
      <c r="R479" s="2" t="inlineStr"/>
    </row>
    <row r="480" ht="15" customHeight="1">
      <c r="A480" t="inlineStr">
        <is>
          <t>A 9377-2026</t>
        </is>
      </c>
      <c r="B480" s="1" t="n">
        <v>46070</v>
      </c>
      <c r="C480" s="1" t="n">
        <v>46193</v>
      </c>
      <c r="D480" t="inlineStr">
        <is>
          <t>VÄSTERBOTTENS LÄN</t>
        </is>
      </c>
      <c r="E480" t="inlineStr">
        <is>
          <t>UMEÅ</t>
        </is>
      </c>
      <c r="G480" t="n">
        <v>9.1</v>
      </c>
      <c r="H480" t="n">
        <v>0</v>
      </c>
      <c r="I480" t="n">
        <v>0</v>
      </c>
      <c r="J480" t="n">
        <v>0</v>
      </c>
      <c r="K480" t="n">
        <v>0</v>
      </c>
      <c r="L480" t="n">
        <v>0</v>
      </c>
      <c r="M480" t="n">
        <v>0</v>
      </c>
      <c r="N480" t="n">
        <v>0</v>
      </c>
      <c r="O480" t="n">
        <v>0</v>
      </c>
      <c r="P480" t="n">
        <v>0</v>
      </c>
      <c r="Q480" t="n">
        <v>0</v>
      </c>
      <c r="R480" s="2" t="inlineStr"/>
    </row>
    <row r="481" ht="15" customHeight="1">
      <c r="A481" t="inlineStr">
        <is>
          <t>A 43357-2021</t>
        </is>
      </c>
      <c r="B481" s="1" t="n">
        <v>44432</v>
      </c>
      <c r="C481" s="1" t="n">
        <v>46193</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45672-2025</t>
        </is>
      </c>
      <c r="B482" s="1" t="n">
        <v>45923</v>
      </c>
      <c r="C482" s="1" t="n">
        <v>46193</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45670-2025</t>
        </is>
      </c>
      <c r="B483" s="1" t="n">
        <v>45923</v>
      </c>
      <c r="C483" s="1" t="n">
        <v>46193</v>
      </c>
      <c r="D483" t="inlineStr">
        <is>
          <t>VÄSTERBOTTENS LÄN</t>
        </is>
      </c>
      <c r="E483" t="inlineStr">
        <is>
          <t>UMEÅ</t>
        </is>
      </c>
      <c r="G483" t="n">
        <v>0.9</v>
      </c>
      <c r="H483" t="n">
        <v>0</v>
      </c>
      <c r="I483" t="n">
        <v>0</v>
      </c>
      <c r="J483" t="n">
        <v>0</v>
      </c>
      <c r="K483" t="n">
        <v>0</v>
      </c>
      <c r="L483" t="n">
        <v>0</v>
      </c>
      <c r="M483" t="n">
        <v>0</v>
      </c>
      <c r="N483" t="n">
        <v>0</v>
      </c>
      <c r="O483" t="n">
        <v>0</v>
      </c>
      <c r="P483" t="n">
        <v>0</v>
      </c>
      <c r="Q483" t="n">
        <v>0</v>
      </c>
      <c r="R483" s="2" t="inlineStr"/>
    </row>
    <row r="484" ht="15" customHeight="1">
      <c r="A484" t="inlineStr">
        <is>
          <t>A 46413-2025</t>
        </is>
      </c>
      <c r="B484" s="1" t="n">
        <v>45925</v>
      </c>
      <c r="C484" s="1" t="n">
        <v>46193</v>
      </c>
      <c r="D484" t="inlineStr">
        <is>
          <t>VÄSTERBOTTENS LÄN</t>
        </is>
      </c>
      <c r="E484" t="inlineStr">
        <is>
          <t>UMEÅ</t>
        </is>
      </c>
      <c r="F484" t="inlineStr">
        <is>
          <t>Holmen skog AB</t>
        </is>
      </c>
      <c r="G484" t="n">
        <v>14.3</v>
      </c>
      <c r="H484" t="n">
        <v>0</v>
      </c>
      <c r="I484" t="n">
        <v>0</v>
      </c>
      <c r="J484" t="n">
        <v>0</v>
      </c>
      <c r="K484" t="n">
        <v>0</v>
      </c>
      <c r="L484" t="n">
        <v>0</v>
      </c>
      <c r="M484" t="n">
        <v>0</v>
      </c>
      <c r="N484" t="n">
        <v>0</v>
      </c>
      <c r="O484" t="n">
        <v>0</v>
      </c>
      <c r="P484" t="n">
        <v>0</v>
      </c>
      <c r="Q484" t="n">
        <v>0</v>
      </c>
      <c r="R484" s="2" t="inlineStr"/>
    </row>
    <row r="485" ht="15" customHeight="1">
      <c r="A485" t="inlineStr">
        <is>
          <t>A 20417-2026</t>
        </is>
      </c>
      <c r="B485" s="1" t="n">
        <v>46140</v>
      </c>
      <c r="C485" s="1" t="n">
        <v>46193</v>
      </c>
      <c r="D485" t="inlineStr">
        <is>
          <t>VÄSTERBOTTENS LÄN</t>
        </is>
      </c>
      <c r="E485" t="inlineStr">
        <is>
          <t>UMEÅ</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20425-2026</t>
        </is>
      </c>
      <c r="B486" s="1" t="n">
        <v>46140</v>
      </c>
      <c r="C486" s="1" t="n">
        <v>46193</v>
      </c>
      <c r="D486" t="inlineStr">
        <is>
          <t>VÄSTERBOTTENS LÄN</t>
        </is>
      </c>
      <c r="E486" t="inlineStr">
        <is>
          <t>UMEÅ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15903-2025</t>
        </is>
      </c>
      <c r="B487" s="1" t="n">
        <v>45749</v>
      </c>
      <c r="C487" s="1" t="n">
        <v>46193</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45769-2025</t>
        </is>
      </c>
      <c r="B488" s="1" t="n">
        <v>45923</v>
      </c>
      <c r="C488" s="1" t="n">
        <v>46193</v>
      </c>
      <c r="D488" t="inlineStr">
        <is>
          <t>VÄSTERBOTTENS LÄN</t>
        </is>
      </c>
      <c r="E488" t="inlineStr">
        <is>
          <t>UMEÅ</t>
        </is>
      </c>
      <c r="G488" t="n">
        <v>11.3</v>
      </c>
      <c r="H488" t="n">
        <v>0</v>
      </c>
      <c r="I488" t="n">
        <v>0</v>
      </c>
      <c r="J488" t="n">
        <v>0</v>
      </c>
      <c r="K488" t="n">
        <v>0</v>
      </c>
      <c r="L488" t="n">
        <v>0</v>
      </c>
      <c r="M488" t="n">
        <v>0</v>
      </c>
      <c r="N488" t="n">
        <v>0</v>
      </c>
      <c r="O488" t="n">
        <v>0</v>
      </c>
      <c r="P488" t="n">
        <v>0</v>
      </c>
      <c r="Q488" t="n">
        <v>0</v>
      </c>
      <c r="R488" s="2" t="inlineStr"/>
    </row>
    <row r="489" ht="15" customHeight="1">
      <c r="A489" t="inlineStr">
        <is>
          <t>A 46682-2025</t>
        </is>
      </c>
      <c r="B489" s="1" t="n">
        <v>45926</v>
      </c>
      <c r="C489" s="1" t="n">
        <v>46193</v>
      </c>
      <c r="D489" t="inlineStr">
        <is>
          <t>VÄSTERBOTTENS LÄN</t>
        </is>
      </c>
      <c r="E489" t="inlineStr">
        <is>
          <t>UMEÅ</t>
        </is>
      </c>
      <c r="F489" t="inlineStr">
        <is>
          <t>Holmen skog AB</t>
        </is>
      </c>
      <c r="G489" t="n">
        <v>5.7</v>
      </c>
      <c r="H489" t="n">
        <v>0</v>
      </c>
      <c r="I489" t="n">
        <v>0</v>
      </c>
      <c r="J489" t="n">
        <v>0</v>
      </c>
      <c r="K489" t="n">
        <v>0</v>
      </c>
      <c r="L489" t="n">
        <v>0</v>
      </c>
      <c r="M489" t="n">
        <v>0</v>
      </c>
      <c r="N489" t="n">
        <v>0</v>
      </c>
      <c r="O489" t="n">
        <v>0</v>
      </c>
      <c r="P489" t="n">
        <v>0</v>
      </c>
      <c r="Q489" t="n">
        <v>0</v>
      </c>
      <c r="R489" s="2" t="inlineStr"/>
    </row>
    <row r="490" ht="15" customHeight="1">
      <c r="A490" t="inlineStr">
        <is>
          <t>A 46592-2025</t>
        </is>
      </c>
      <c r="B490" s="1" t="n">
        <v>45926</v>
      </c>
      <c r="C490" s="1" t="n">
        <v>46193</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21800-2025</t>
        </is>
      </c>
      <c r="B491" s="1" t="n">
        <v>45783</v>
      </c>
      <c r="C491" s="1" t="n">
        <v>46193</v>
      </c>
      <c r="D491" t="inlineStr">
        <is>
          <t>VÄSTERBOTTENS LÄN</t>
        </is>
      </c>
      <c r="E491" t="inlineStr">
        <is>
          <t>UMEÅ</t>
        </is>
      </c>
      <c r="F491" t="inlineStr">
        <is>
          <t>Kyrkan</t>
        </is>
      </c>
      <c r="G491" t="n">
        <v>2.4</v>
      </c>
      <c r="H491" t="n">
        <v>0</v>
      </c>
      <c r="I491" t="n">
        <v>0</v>
      </c>
      <c r="J491" t="n">
        <v>0</v>
      </c>
      <c r="K491" t="n">
        <v>0</v>
      </c>
      <c r="L491" t="n">
        <v>0</v>
      </c>
      <c r="M491" t="n">
        <v>0</v>
      </c>
      <c r="N491" t="n">
        <v>0</v>
      </c>
      <c r="O491" t="n">
        <v>0</v>
      </c>
      <c r="P491" t="n">
        <v>0</v>
      </c>
      <c r="Q491" t="n">
        <v>0</v>
      </c>
      <c r="R491" s="2" t="inlineStr"/>
    </row>
    <row r="492" ht="15" customHeight="1">
      <c r="A492" t="inlineStr">
        <is>
          <t>A 21794-2025</t>
        </is>
      </c>
      <c r="B492" s="1" t="n">
        <v>45783</v>
      </c>
      <c r="C492" s="1" t="n">
        <v>46193</v>
      </c>
      <c r="D492" t="inlineStr">
        <is>
          <t>VÄSTERBOTTENS LÄN</t>
        </is>
      </c>
      <c r="E492" t="inlineStr">
        <is>
          <t>UMEÅ</t>
        </is>
      </c>
      <c r="G492" t="n">
        <v>6</v>
      </c>
      <c r="H492" t="n">
        <v>0</v>
      </c>
      <c r="I492" t="n">
        <v>0</v>
      </c>
      <c r="J492" t="n">
        <v>0</v>
      </c>
      <c r="K492" t="n">
        <v>0</v>
      </c>
      <c r="L492" t="n">
        <v>0</v>
      </c>
      <c r="M492" t="n">
        <v>0</v>
      </c>
      <c r="N492" t="n">
        <v>0</v>
      </c>
      <c r="O492" t="n">
        <v>0</v>
      </c>
      <c r="P492" t="n">
        <v>0</v>
      </c>
      <c r="Q492" t="n">
        <v>0</v>
      </c>
      <c r="R492" s="2" t="inlineStr"/>
    </row>
    <row r="493" ht="15" customHeight="1">
      <c r="A493" t="inlineStr">
        <is>
          <t>A 21795-2025</t>
        </is>
      </c>
      <c r="B493" s="1" t="n">
        <v>45783</v>
      </c>
      <c r="C493" s="1" t="n">
        <v>46193</v>
      </c>
      <c r="D493" t="inlineStr">
        <is>
          <t>VÄSTERBOTTENS LÄN</t>
        </is>
      </c>
      <c r="E493" t="inlineStr">
        <is>
          <t>UMEÅ</t>
        </is>
      </c>
      <c r="F493" t="inlineStr">
        <is>
          <t>Kyrkan</t>
        </is>
      </c>
      <c r="G493" t="n">
        <v>3.3</v>
      </c>
      <c r="H493" t="n">
        <v>0</v>
      </c>
      <c r="I493" t="n">
        <v>0</v>
      </c>
      <c r="J493" t="n">
        <v>0</v>
      </c>
      <c r="K493" t="n">
        <v>0</v>
      </c>
      <c r="L493" t="n">
        <v>0</v>
      </c>
      <c r="M493" t="n">
        <v>0</v>
      </c>
      <c r="N493" t="n">
        <v>0</v>
      </c>
      <c r="O493" t="n">
        <v>0</v>
      </c>
      <c r="P493" t="n">
        <v>0</v>
      </c>
      <c r="Q493" t="n">
        <v>0</v>
      </c>
      <c r="R493" s="2" t="inlineStr"/>
    </row>
    <row r="494" ht="15" customHeight="1">
      <c r="A494" t="inlineStr">
        <is>
          <t>A 46591-2025</t>
        </is>
      </c>
      <c r="B494" s="1" t="n">
        <v>45926</v>
      </c>
      <c r="C494" s="1" t="n">
        <v>46193</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15160-2025</t>
        </is>
      </c>
      <c r="B495" s="1" t="n">
        <v>45744</v>
      </c>
      <c r="C495" s="1" t="n">
        <v>46193</v>
      </c>
      <c r="D495" t="inlineStr">
        <is>
          <t>VÄSTERBOTTENS LÄN</t>
        </is>
      </c>
      <c r="E495" t="inlineStr">
        <is>
          <t>UMEÅ</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15161-2025</t>
        </is>
      </c>
      <c r="B496" s="1" t="n">
        <v>45744</v>
      </c>
      <c r="C496" s="1" t="n">
        <v>46193</v>
      </c>
      <c r="D496" t="inlineStr">
        <is>
          <t>VÄSTERBOTTENS LÄN</t>
        </is>
      </c>
      <c r="E496" t="inlineStr">
        <is>
          <t>UMEÅ</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47188-2025</t>
        </is>
      </c>
      <c r="B497" s="1" t="n">
        <v>45930</v>
      </c>
      <c r="C497" s="1" t="n">
        <v>46193</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47179-2025</t>
        </is>
      </c>
      <c r="B498" s="1" t="n">
        <v>45930</v>
      </c>
      <c r="C498" s="1" t="n">
        <v>46193</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58538-2021</t>
        </is>
      </c>
      <c r="B499" s="1" t="n">
        <v>44488</v>
      </c>
      <c r="C499" s="1" t="n">
        <v>46193</v>
      </c>
      <c r="D499" t="inlineStr">
        <is>
          <t>VÄSTERBOTTENS LÄN</t>
        </is>
      </c>
      <c r="E499" t="inlineStr">
        <is>
          <t>UMEÅ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17924-2023</t>
        </is>
      </c>
      <c r="B500" s="1" t="n">
        <v>45037</v>
      </c>
      <c r="C500" s="1" t="n">
        <v>46193</v>
      </c>
      <c r="D500" t="inlineStr">
        <is>
          <t>VÄSTERBOTTENS LÄN</t>
        </is>
      </c>
      <c r="E500" t="inlineStr">
        <is>
          <t>UMEÅ</t>
        </is>
      </c>
      <c r="F500" t="inlineStr">
        <is>
          <t>Kommuner</t>
        </is>
      </c>
      <c r="G500" t="n">
        <v>0.7</v>
      </c>
      <c r="H500" t="n">
        <v>0</v>
      </c>
      <c r="I500" t="n">
        <v>0</v>
      </c>
      <c r="J500" t="n">
        <v>0</v>
      </c>
      <c r="K500" t="n">
        <v>0</v>
      </c>
      <c r="L500" t="n">
        <v>0</v>
      </c>
      <c r="M500" t="n">
        <v>0</v>
      </c>
      <c r="N500" t="n">
        <v>0</v>
      </c>
      <c r="O500" t="n">
        <v>0</v>
      </c>
      <c r="P500" t="n">
        <v>0</v>
      </c>
      <c r="Q500" t="n">
        <v>0</v>
      </c>
      <c r="R500" s="2" t="inlineStr"/>
    </row>
    <row r="501" ht="15" customHeight="1">
      <c r="A501" t="inlineStr">
        <is>
          <t>A 17949-2023</t>
        </is>
      </c>
      <c r="B501" s="1" t="n">
        <v>45037</v>
      </c>
      <c r="C501" s="1" t="n">
        <v>46193</v>
      </c>
      <c r="D501" t="inlineStr">
        <is>
          <t>VÄSTERBOTTENS LÄN</t>
        </is>
      </c>
      <c r="E501" t="inlineStr">
        <is>
          <t>UMEÅ</t>
        </is>
      </c>
      <c r="G501" t="n">
        <v>4.5</v>
      </c>
      <c r="H501" t="n">
        <v>0</v>
      </c>
      <c r="I501" t="n">
        <v>0</v>
      </c>
      <c r="J501" t="n">
        <v>0</v>
      </c>
      <c r="K501" t="n">
        <v>0</v>
      </c>
      <c r="L501" t="n">
        <v>0</v>
      </c>
      <c r="M501" t="n">
        <v>0</v>
      </c>
      <c r="N501" t="n">
        <v>0</v>
      </c>
      <c r="O501" t="n">
        <v>0</v>
      </c>
      <c r="P501" t="n">
        <v>0</v>
      </c>
      <c r="Q501" t="n">
        <v>0</v>
      </c>
      <c r="R501" s="2" t="inlineStr"/>
    </row>
    <row r="502" ht="15" customHeight="1">
      <c r="A502" t="inlineStr">
        <is>
          <t>A 22145-2025</t>
        </is>
      </c>
      <c r="B502" s="1" t="n">
        <v>45785</v>
      </c>
      <c r="C502" s="1" t="n">
        <v>46193</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22146-2025</t>
        </is>
      </c>
      <c r="B503" s="1" t="n">
        <v>45785</v>
      </c>
      <c r="C503" s="1" t="n">
        <v>46193</v>
      </c>
      <c r="D503" t="inlineStr">
        <is>
          <t>VÄSTERBOTTENS LÄN</t>
        </is>
      </c>
      <c r="E503" t="inlineStr">
        <is>
          <t>UMEÅ</t>
        </is>
      </c>
      <c r="G503" t="n">
        <v>1.6</v>
      </c>
      <c r="H503" t="n">
        <v>0</v>
      </c>
      <c r="I503" t="n">
        <v>0</v>
      </c>
      <c r="J503" t="n">
        <v>0</v>
      </c>
      <c r="K503" t="n">
        <v>0</v>
      </c>
      <c r="L503" t="n">
        <v>0</v>
      </c>
      <c r="M503" t="n">
        <v>0</v>
      </c>
      <c r="N503" t="n">
        <v>0</v>
      </c>
      <c r="O503" t="n">
        <v>0</v>
      </c>
      <c r="P503" t="n">
        <v>0</v>
      </c>
      <c r="Q503" t="n">
        <v>0</v>
      </c>
      <c r="R503" s="2" t="inlineStr"/>
    </row>
    <row r="504" ht="15" customHeight="1">
      <c r="A504" t="inlineStr">
        <is>
          <t>A 31442-2024</t>
        </is>
      </c>
      <c r="B504" s="1" t="n">
        <v>45505</v>
      </c>
      <c r="C504" s="1" t="n">
        <v>46193</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47421-2025</t>
        </is>
      </c>
      <c r="B505" s="1" t="n">
        <v>45930</v>
      </c>
      <c r="C505" s="1" t="n">
        <v>46193</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6279-2025</t>
        </is>
      </c>
      <c r="B506" s="1" t="n">
        <v>45698</v>
      </c>
      <c r="C506" s="1" t="n">
        <v>46193</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46990-2025</t>
        </is>
      </c>
      <c r="B507" s="1" t="n">
        <v>45929</v>
      </c>
      <c r="C507" s="1" t="n">
        <v>46193</v>
      </c>
      <c r="D507" t="inlineStr">
        <is>
          <t>VÄSTERBOTTENS LÄN</t>
        </is>
      </c>
      <c r="E507" t="inlineStr">
        <is>
          <t>UMEÅ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1508-2025</t>
        </is>
      </c>
      <c r="B508" s="1" t="n">
        <v>45670</v>
      </c>
      <c r="C508" s="1" t="n">
        <v>46193</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7373-2024</t>
        </is>
      </c>
      <c r="B509" s="1" t="n">
        <v>45345</v>
      </c>
      <c r="C509" s="1" t="n">
        <v>46193</v>
      </c>
      <c r="D509" t="inlineStr">
        <is>
          <t>VÄSTERBOTTENS LÄN</t>
        </is>
      </c>
      <c r="E509" t="inlineStr">
        <is>
          <t>UMEÅ</t>
        </is>
      </c>
      <c r="G509" t="n">
        <v>4.1</v>
      </c>
      <c r="H509" t="n">
        <v>0</v>
      </c>
      <c r="I509" t="n">
        <v>0</v>
      </c>
      <c r="J509" t="n">
        <v>0</v>
      </c>
      <c r="K509" t="n">
        <v>0</v>
      </c>
      <c r="L509" t="n">
        <v>0</v>
      </c>
      <c r="M509" t="n">
        <v>0</v>
      </c>
      <c r="N509" t="n">
        <v>0</v>
      </c>
      <c r="O509" t="n">
        <v>0</v>
      </c>
      <c r="P509" t="n">
        <v>0</v>
      </c>
      <c r="Q509" t="n">
        <v>0</v>
      </c>
      <c r="R509" s="2" t="inlineStr"/>
    </row>
    <row r="510" ht="15" customHeight="1">
      <c r="A510" t="inlineStr">
        <is>
          <t>A 29658-2024</t>
        </is>
      </c>
      <c r="B510" s="1" t="n">
        <v>45484</v>
      </c>
      <c r="C510" s="1" t="n">
        <v>46193</v>
      </c>
      <c r="D510" t="inlineStr">
        <is>
          <t>VÄSTERBOTTENS LÄN</t>
        </is>
      </c>
      <c r="E510" t="inlineStr">
        <is>
          <t>UMEÅ</t>
        </is>
      </c>
      <c r="G510" t="n">
        <v>11.4</v>
      </c>
      <c r="H510" t="n">
        <v>0</v>
      </c>
      <c r="I510" t="n">
        <v>0</v>
      </c>
      <c r="J510" t="n">
        <v>0</v>
      </c>
      <c r="K510" t="n">
        <v>0</v>
      </c>
      <c r="L510" t="n">
        <v>0</v>
      </c>
      <c r="M510" t="n">
        <v>0</v>
      </c>
      <c r="N510" t="n">
        <v>0</v>
      </c>
      <c r="O510" t="n">
        <v>0</v>
      </c>
      <c r="P510" t="n">
        <v>0</v>
      </c>
      <c r="Q510" t="n">
        <v>0</v>
      </c>
      <c r="R510" s="2" t="inlineStr"/>
    </row>
    <row r="511" ht="15" customHeight="1">
      <c r="A511" t="inlineStr">
        <is>
          <t>A 15886-2023</t>
        </is>
      </c>
      <c r="B511" s="1" t="n">
        <v>45022</v>
      </c>
      <c r="C511" s="1" t="n">
        <v>46193</v>
      </c>
      <c r="D511" t="inlineStr">
        <is>
          <t>VÄSTERBOTTENS LÄN</t>
        </is>
      </c>
      <c r="E511" t="inlineStr">
        <is>
          <t>UMEÅ</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22161-2025</t>
        </is>
      </c>
      <c r="B512" s="1" t="n">
        <v>45785</v>
      </c>
      <c r="C512" s="1" t="n">
        <v>46193</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48028-2025</t>
        </is>
      </c>
      <c r="B513" s="1" t="n">
        <v>45932</v>
      </c>
      <c r="C513" s="1" t="n">
        <v>46193</v>
      </c>
      <c r="D513" t="inlineStr">
        <is>
          <t>VÄSTERBOTTENS LÄN</t>
        </is>
      </c>
      <c r="E513" t="inlineStr">
        <is>
          <t>UMEÅ</t>
        </is>
      </c>
      <c r="G513" t="n">
        <v>2</v>
      </c>
      <c r="H513" t="n">
        <v>0</v>
      </c>
      <c r="I513" t="n">
        <v>0</v>
      </c>
      <c r="J513" t="n">
        <v>0</v>
      </c>
      <c r="K513" t="n">
        <v>0</v>
      </c>
      <c r="L513" t="n">
        <v>0</v>
      </c>
      <c r="M513" t="n">
        <v>0</v>
      </c>
      <c r="N513" t="n">
        <v>0</v>
      </c>
      <c r="O513" t="n">
        <v>0</v>
      </c>
      <c r="P513" t="n">
        <v>0</v>
      </c>
      <c r="Q513" t="n">
        <v>0</v>
      </c>
      <c r="R513" s="2" t="inlineStr"/>
    </row>
    <row r="514" ht="15" customHeight="1">
      <c r="A514" t="inlineStr">
        <is>
          <t>A 44481-2022</t>
        </is>
      </c>
      <c r="B514" s="1" t="n">
        <v>44840</v>
      </c>
      <c r="C514" s="1" t="n">
        <v>46193</v>
      </c>
      <c r="D514" t="inlineStr">
        <is>
          <t>VÄSTERBOTTENS LÄN</t>
        </is>
      </c>
      <c r="E514" t="inlineStr">
        <is>
          <t>UMEÅ</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48011-2025</t>
        </is>
      </c>
      <c r="B515" s="1" t="n">
        <v>45932</v>
      </c>
      <c r="C515" s="1" t="n">
        <v>46193</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58708-2024</t>
        </is>
      </c>
      <c r="B516" s="1" t="n">
        <v>45635</v>
      </c>
      <c r="C516" s="1" t="n">
        <v>46193</v>
      </c>
      <c r="D516" t="inlineStr">
        <is>
          <t>VÄSTERBOTTENS LÄN</t>
        </is>
      </c>
      <c r="E516" t="inlineStr">
        <is>
          <t>UMEÅ</t>
        </is>
      </c>
      <c r="G516" t="n">
        <v>10.8</v>
      </c>
      <c r="H516" t="n">
        <v>0</v>
      </c>
      <c r="I516" t="n">
        <v>0</v>
      </c>
      <c r="J516" t="n">
        <v>0</v>
      </c>
      <c r="K516" t="n">
        <v>0</v>
      </c>
      <c r="L516" t="n">
        <v>0</v>
      </c>
      <c r="M516" t="n">
        <v>0</v>
      </c>
      <c r="N516" t="n">
        <v>0</v>
      </c>
      <c r="O516" t="n">
        <v>0</v>
      </c>
      <c r="P516" t="n">
        <v>0</v>
      </c>
      <c r="Q516" t="n">
        <v>0</v>
      </c>
      <c r="R516" s="2" t="inlineStr"/>
    </row>
    <row r="517" ht="15" customHeight="1">
      <c r="A517" t="inlineStr">
        <is>
          <t>A 22657-2025</t>
        </is>
      </c>
      <c r="B517" s="1" t="n">
        <v>45789</v>
      </c>
      <c r="C517" s="1" t="n">
        <v>46193</v>
      </c>
      <c r="D517" t="inlineStr">
        <is>
          <t>VÄSTERBOTTENS LÄN</t>
        </is>
      </c>
      <c r="E517" t="inlineStr">
        <is>
          <t>UMEÅ</t>
        </is>
      </c>
      <c r="G517" t="n">
        <v>1.6</v>
      </c>
      <c r="H517" t="n">
        <v>0</v>
      </c>
      <c r="I517" t="n">
        <v>0</v>
      </c>
      <c r="J517" t="n">
        <v>0</v>
      </c>
      <c r="K517" t="n">
        <v>0</v>
      </c>
      <c r="L517" t="n">
        <v>0</v>
      </c>
      <c r="M517" t="n">
        <v>0</v>
      </c>
      <c r="N517" t="n">
        <v>0</v>
      </c>
      <c r="O517" t="n">
        <v>0</v>
      </c>
      <c r="P517" t="n">
        <v>0</v>
      </c>
      <c r="Q517" t="n">
        <v>0</v>
      </c>
      <c r="R517" s="2" t="inlineStr"/>
    </row>
    <row r="518" ht="15" customHeight="1">
      <c r="A518" t="inlineStr">
        <is>
          <t>A 48264-2025</t>
        </is>
      </c>
      <c r="B518" s="1" t="n">
        <v>45933</v>
      </c>
      <c r="C518" s="1" t="n">
        <v>46193</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15664-2025</t>
        </is>
      </c>
      <c r="B519" s="1" t="n">
        <v>45748</v>
      </c>
      <c r="C519" s="1" t="n">
        <v>46193</v>
      </c>
      <c r="D519" t="inlineStr">
        <is>
          <t>VÄSTERBOTTENS LÄN</t>
        </is>
      </c>
      <c r="E519" t="inlineStr">
        <is>
          <t>UMEÅ</t>
        </is>
      </c>
      <c r="G519" t="n">
        <v>1.2</v>
      </c>
      <c r="H519" t="n">
        <v>0</v>
      </c>
      <c r="I519" t="n">
        <v>0</v>
      </c>
      <c r="J519" t="n">
        <v>0</v>
      </c>
      <c r="K519" t="n">
        <v>0</v>
      </c>
      <c r="L519" t="n">
        <v>0</v>
      </c>
      <c r="M519" t="n">
        <v>0</v>
      </c>
      <c r="N519" t="n">
        <v>0</v>
      </c>
      <c r="O519" t="n">
        <v>0</v>
      </c>
      <c r="P519" t="n">
        <v>0</v>
      </c>
      <c r="Q519" t="n">
        <v>0</v>
      </c>
      <c r="R519" s="2" t="inlineStr"/>
    </row>
    <row r="520" ht="15" customHeight="1">
      <c r="A520" t="inlineStr">
        <is>
          <t>A 10265-2025</t>
        </is>
      </c>
      <c r="B520" s="1" t="n">
        <v>45720</v>
      </c>
      <c r="C520" s="1" t="n">
        <v>46193</v>
      </c>
      <c r="D520" t="inlineStr">
        <is>
          <t>VÄSTERBOTTENS LÄN</t>
        </is>
      </c>
      <c r="E520" t="inlineStr">
        <is>
          <t>UMEÅ</t>
        </is>
      </c>
      <c r="G520" t="n">
        <v>10.6</v>
      </c>
      <c r="H520" t="n">
        <v>0</v>
      </c>
      <c r="I520" t="n">
        <v>0</v>
      </c>
      <c r="J520" t="n">
        <v>0</v>
      </c>
      <c r="K520" t="n">
        <v>0</v>
      </c>
      <c r="L520" t="n">
        <v>0</v>
      </c>
      <c r="M520" t="n">
        <v>0</v>
      </c>
      <c r="N520" t="n">
        <v>0</v>
      </c>
      <c r="O520" t="n">
        <v>0</v>
      </c>
      <c r="P520" t="n">
        <v>0</v>
      </c>
      <c r="Q520" t="n">
        <v>0</v>
      </c>
      <c r="R520" s="2" t="inlineStr"/>
    </row>
    <row r="521" ht="15" customHeight="1">
      <c r="A521" t="inlineStr">
        <is>
          <t>A 20764-2026</t>
        </is>
      </c>
      <c r="B521" s="1" t="n">
        <v>46141</v>
      </c>
      <c r="C521" s="1" t="n">
        <v>46193</v>
      </c>
      <c r="D521" t="inlineStr">
        <is>
          <t>VÄSTERBOTTENS LÄN</t>
        </is>
      </c>
      <c r="E521" t="inlineStr">
        <is>
          <t>UMEÅ</t>
        </is>
      </c>
      <c r="G521" t="n">
        <v>4.4</v>
      </c>
      <c r="H521" t="n">
        <v>0</v>
      </c>
      <c r="I521" t="n">
        <v>0</v>
      </c>
      <c r="J521" t="n">
        <v>0</v>
      </c>
      <c r="K521" t="n">
        <v>0</v>
      </c>
      <c r="L521" t="n">
        <v>0</v>
      </c>
      <c r="M521" t="n">
        <v>0</v>
      </c>
      <c r="N521" t="n">
        <v>0</v>
      </c>
      <c r="O521" t="n">
        <v>0</v>
      </c>
      <c r="P521" t="n">
        <v>0</v>
      </c>
      <c r="Q521" t="n">
        <v>0</v>
      </c>
      <c r="R521" s="2" t="inlineStr"/>
    </row>
    <row r="522" ht="15" customHeight="1">
      <c r="A522" t="inlineStr">
        <is>
          <t>A 57603-2021</t>
        </is>
      </c>
      <c r="B522" s="1" t="n">
        <v>44483</v>
      </c>
      <c r="C522" s="1" t="n">
        <v>46193</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23563-2025</t>
        </is>
      </c>
      <c r="B523" s="1" t="n">
        <v>45792</v>
      </c>
      <c r="C523" s="1" t="n">
        <v>46193</v>
      </c>
      <c r="D523" t="inlineStr">
        <is>
          <t>VÄSTERBOTTENS LÄN</t>
        </is>
      </c>
      <c r="E523" t="inlineStr">
        <is>
          <t>UMEÅ</t>
        </is>
      </c>
      <c r="G523" t="n">
        <v>8.5</v>
      </c>
      <c r="H523" t="n">
        <v>0</v>
      </c>
      <c r="I523" t="n">
        <v>0</v>
      </c>
      <c r="J523" t="n">
        <v>0</v>
      </c>
      <c r="K523" t="n">
        <v>0</v>
      </c>
      <c r="L523" t="n">
        <v>0</v>
      </c>
      <c r="M523" t="n">
        <v>0</v>
      </c>
      <c r="N523" t="n">
        <v>0</v>
      </c>
      <c r="O523" t="n">
        <v>0</v>
      </c>
      <c r="P523" t="n">
        <v>0</v>
      </c>
      <c r="Q523" t="n">
        <v>0</v>
      </c>
      <c r="R523" s="2" t="inlineStr"/>
    </row>
    <row r="524" ht="15" customHeight="1">
      <c r="A524" t="inlineStr">
        <is>
          <t>A 30553-2023</t>
        </is>
      </c>
      <c r="B524" s="1" t="n">
        <v>45111</v>
      </c>
      <c r="C524" s="1" t="n">
        <v>46193</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49185-2025</t>
        </is>
      </c>
      <c r="B525" s="1" t="n">
        <v>45938</v>
      </c>
      <c r="C525" s="1" t="n">
        <v>46193</v>
      </c>
      <c r="D525" t="inlineStr">
        <is>
          <t>VÄSTERBOTTENS LÄN</t>
        </is>
      </c>
      <c r="E525" t="inlineStr">
        <is>
          <t>UMEÅ</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20425-2025</t>
        </is>
      </c>
      <c r="B526" s="1" t="n">
        <v>45775</v>
      </c>
      <c r="C526" s="1" t="n">
        <v>46193</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49182-2025</t>
        </is>
      </c>
      <c r="B527" s="1" t="n">
        <v>45938</v>
      </c>
      <c r="C527" s="1" t="n">
        <v>46193</v>
      </c>
      <c r="D527" t="inlineStr">
        <is>
          <t>VÄSTERBOTTENS LÄN</t>
        </is>
      </c>
      <c r="E527" t="inlineStr">
        <is>
          <t>UMEÅ</t>
        </is>
      </c>
      <c r="F527" t="inlineStr">
        <is>
          <t>Holmen skog AB</t>
        </is>
      </c>
      <c r="G527" t="n">
        <v>7.2</v>
      </c>
      <c r="H527" t="n">
        <v>0</v>
      </c>
      <c r="I527" t="n">
        <v>0</v>
      </c>
      <c r="J527" t="n">
        <v>0</v>
      </c>
      <c r="K527" t="n">
        <v>0</v>
      </c>
      <c r="L527" t="n">
        <v>0</v>
      </c>
      <c r="M527" t="n">
        <v>0</v>
      </c>
      <c r="N527" t="n">
        <v>0</v>
      </c>
      <c r="O527" t="n">
        <v>0</v>
      </c>
      <c r="P527" t="n">
        <v>0</v>
      </c>
      <c r="Q527" t="n">
        <v>0</v>
      </c>
      <c r="R527" s="2" t="inlineStr"/>
    </row>
    <row r="528" ht="15" customHeight="1">
      <c r="A528" t="inlineStr">
        <is>
          <t>A 22674-2025</t>
        </is>
      </c>
      <c r="B528" s="1" t="n">
        <v>45789</v>
      </c>
      <c r="C528" s="1" t="n">
        <v>46193</v>
      </c>
      <c r="D528" t="inlineStr">
        <is>
          <t>VÄSTERBOTTENS LÄN</t>
        </is>
      </c>
      <c r="E528" t="inlineStr">
        <is>
          <t>UMEÅ</t>
        </is>
      </c>
      <c r="G528" t="n">
        <v>0.6</v>
      </c>
      <c r="H528" t="n">
        <v>0</v>
      </c>
      <c r="I528" t="n">
        <v>0</v>
      </c>
      <c r="J528" t="n">
        <v>0</v>
      </c>
      <c r="K528" t="n">
        <v>0</v>
      </c>
      <c r="L528" t="n">
        <v>0</v>
      </c>
      <c r="M528" t="n">
        <v>0</v>
      </c>
      <c r="N528" t="n">
        <v>0</v>
      </c>
      <c r="O528" t="n">
        <v>0</v>
      </c>
      <c r="P528" t="n">
        <v>0</v>
      </c>
      <c r="Q528" t="n">
        <v>0</v>
      </c>
      <c r="R528" s="2" t="inlineStr"/>
    </row>
    <row r="529" ht="15" customHeight="1">
      <c r="A529" t="inlineStr">
        <is>
          <t>A 9272-2025</t>
        </is>
      </c>
      <c r="B529" s="1" t="n">
        <v>45714</v>
      </c>
      <c r="C529" s="1" t="n">
        <v>46193</v>
      </c>
      <c r="D529" t="inlineStr">
        <is>
          <t>VÄSTERBOTTENS LÄN</t>
        </is>
      </c>
      <c r="E529" t="inlineStr">
        <is>
          <t>UMEÅ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23472-2025</t>
        </is>
      </c>
      <c r="B530" s="1" t="n">
        <v>45792</v>
      </c>
      <c r="C530" s="1" t="n">
        <v>46193</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18026-2025</t>
        </is>
      </c>
      <c r="B531" s="1" t="n">
        <v>45761</v>
      </c>
      <c r="C531" s="1" t="n">
        <v>46193</v>
      </c>
      <c r="D531" t="inlineStr">
        <is>
          <t>VÄSTERBOTTENS LÄN</t>
        </is>
      </c>
      <c r="E531" t="inlineStr">
        <is>
          <t>UMEÅ</t>
        </is>
      </c>
      <c r="G531" t="n">
        <v>6.3</v>
      </c>
      <c r="H531" t="n">
        <v>0</v>
      </c>
      <c r="I531" t="n">
        <v>0</v>
      </c>
      <c r="J531" t="n">
        <v>0</v>
      </c>
      <c r="K531" t="n">
        <v>0</v>
      </c>
      <c r="L531" t="n">
        <v>0</v>
      </c>
      <c r="M531" t="n">
        <v>0</v>
      </c>
      <c r="N531" t="n">
        <v>0</v>
      </c>
      <c r="O531" t="n">
        <v>0</v>
      </c>
      <c r="P531" t="n">
        <v>0</v>
      </c>
      <c r="Q531" t="n">
        <v>0</v>
      </c>
      <c r="R531" s="2" t="inlineStr"/>
    </row>
    <row r="532" ht="15" customHeight="1">
      <c r="A532" t="inlineStr">
        <is>
          <t>A 49279-2025</t>
        </is>
      </c>
      <c r="B532" s="1" t="n">
        <v>45938</v>
      </c>
      <c r="C532" s="1" t="n">
        <v>46193</v>
      </c>
      <c r="D532" t="inlineStr">
        <is>
          <t>VÄSTERBOTTENS LÄN</t>
        </is>
      </c>
      <c r="E532" t="inlineStr">
        <is>
          <t>UMEÅ</t>
        </is>
      </c>
      <c r="G532" t="n">
        <v>0.7</v>
      </c>
      <c r="H532" t="n">
        <v>0</v>
      </c>
      <c r="I532" t="n">
        <v>0</v>
      </c>
      <c r="J532" t="n">
        <v>0</v>
      </c>
      <c r="K532" t="n">
        <v>0</v>
      </c>
      <c r="L532" t="n">
        <v>0</v>
      </c>
      <c r="M532" t="n">
        <v>0</v>
      </c>
      <c r="N532" t="n">
        <v>0</v>
      </c>
      <c r="O532" t="n">
        <v>0</v>
      </c>
      <c r="P532" t="n">
        <v>0</v>
      </c>
      <c r="Q532" t="n">
        <v>0</v>
      </c>
      <c r="R532" s="2" t="inlineStr"/>
    </row>
    <row r="533" ht="15" customHeight="1">
      <c r="A533" t="inlineStr">
        <is>
          <t>A 23474-2025</t>
        </is>
      </c>
      <c r="B533" s="1" t="n">
        <v>45792</v>
      </c>
      <c r="C533" s="1" t="n">
        <v>46193</v>
      </c>
      <c r="D533" t="inlineStr">
        <is>
          <t>VÄSTERBOTTENS LÄN</t>
        </is>
      </c>
      <c r="E533" t="inlineStr">
        <is>
          <t>UMEÅ</t>
        </is>
      </c>
      <c r="G533" t="n">
        <v>4.8</v>
      </c>
      <c r="H533" t="n">
        <v>0</v>
      </c>
      <c r="I533" t="n">
        <v>0</v>
      </c>
      <c r="J533" t="n">
        <v>0</v>
      </c>
      <c r="K533" t="n">
        <v>0</v>
      </c>
      <c r="L533" t="n">
        <v>0</v>
      </c>
      <c r="M533" t="n">
        <v>0</v>
      </c>
      <c r="N533" t="n">
        <v>0</v>
      </c>
      <c r="O533" t="n">
        <v>0</v>
      </c>
      <c r="P533" t="n">
        <v>0</v>
      </c>
      <c r="Q533" t="n">
        <v>0</v>
      </c>
      <c r="R533" s="2" t="inlineStr"/>
    </row>
    <row r="534" ht="15" customHeight="1">
      <c r="A534" t="inlineStr">
        <is>
          <t>A 21917-2023</t>
        </is>
      </c>
      <c r="B534" s="1" t="n">
        <v>45065</v>
      </c>
      <c r="C534" s="1" t="n">
        <v>46193</v>
      </c>
      <c r="D534" t="inlineStr">
        <is>
          <t>VÄSTERBOTTENS LÄN</t>
        </is>
      </c>
      <c r="E534" t="inlineStr">
        <is>
          <t>UMEÅ</t>
        </is>
      </c>
      <c r="G534" t="n">
        <v>2.9</v>
      </c>
      <c r="H534" t="n">
        <v>0</v>
      </c>
      <c r="I534" t="n">
        <v>0</v>
      </c>
      <c r="J534" t="n">
        <v>0</v>
      </c>
      <c r="K534" t="n">
        <v>0</v>
      </c>
      <c r="L534" t="n">
        <v>0</v>
      </c>
      <c r="M534" t="n">
        <v>0</v>
      </c>
      <c r="N534" t="n">
        <v>0</v>
      </c>
      <c r="O534" t="n">
        <v>0</v>
      </c>
      <c r="P534" t="n">
        <v>0</v>
      </c>
      <c r="Q534" t="n">
        <v>0</v>
      </c>
      <c r="R534" s="2" t="inlineStr"/>
    </row>
    <row r="535" ht="15" customHeight="1">
      <c r="A535" t="inlineStr">
        <is>
          <t>A 44042-2024</t>
        </is>
      </c>
      <c r="B535" s="1" t="n">
        <v>45572</v>
      </c>
      <c r="C535" s="1" t="n">
        <v>46193</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49192-2023</t>
        </is>
      </c>
      <c r="B536" s="1" t="n">
        <v>45210</v>
      </c>
      <c r="C536" s="1" t="n">
        <v>46193</v>
      </c>
      <c r="D536" t="inlineStr">
        <is>
          <t>VÄSTERBOTTENS LÄN</t>
        </is>
      </c>
      <c r="E536" t="inlineStr">
        <is>
          <t>UMEÅ</t>
        </is>
      </c>
      <c r="F536" t="inlineStr">
        <is>
          <t>Holmen skog AB</t>
        </is>
      </c>
      <c r="G536" t="n">
        <v>5.2</v>
      </c>
      <c r="H536" t="n">
        <v>0</v>
      </c>
      <c r="I536" t="n">
        <v>0</v>
      </c>
      <c r="J536" t="n">
        <v>0</v>
      </c>
      <c r="K536" t="n">
        <v>0</v>
      </c>
      <c r="L536" t="n">
        <v>0</v>
      </c>
      <c r="M536" t="n">
        <v>0</v>
      </c>
      <c r="N536" t="n">
        <v>0</v>
      </c>
      <c r="O536" t="n">
        <v>0</v>
      </c>
      <c r="P536" t="n">
        <v>0</v>
      </c>
      <c r="Q536" t="n">
        <v>0</v>
      </c>
      <c r="R536" s="2" t="inlineStr"/>
    </row>
    <row r="537" ht="15" customHeight="1">
      <c r="A537" t="inlineStr">
        <is>
          <t>A 26575-2026</t>
        </is>
      </c>
      <c r="B537" s="1" t="n">
        <v>46183</v>
      </c>
      <c r="C537" s="1" t="n">
        <v>46193</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49799-2025</t>
        </is>
      </c>
      <c r="B538" s="1" t="n">
        <v>45940</v>
      </c>
      <c r="C538" s="1" t="n">
        <v>46193</v>
      </c>
      <c r="D538" t="inlineStr">
        <is>
          <t>VÄSTERBOTTENS LÄN</t>
        </is>
      </c>
      <c r="E538" t="inlineStr">
        <is>
          <t>UMEÅ</t>
        </is>
      </c>
      <c r="G538" t="n">
        <v>5.2</v>
      </c>
      <c r="H538" t="n">
        <v>0</v>
      </c>
      <c r="I538" t="n">
        <v>0</v>
      </c>
      <c r="J538" t="n">
        <v>0</v>
      </c>
      <c r="K538" t="n">
        <v>0</v>
      </c>
      <c r="L538" t="n">
        <v>0</v>
      </c>
      <c r="M538" t="n">
        <v>0</v>
      </c>
      <c r="N538" t="n">
        <v>0</v>
      </c>
      <c r="O538" t="n">
        <v>0</v>
      </c>
      <c r="P538" t="n">
        <v>0</v>
      </c>
      <c r="Q538" t="n">
        <v>0</v>
      </c>
      <c r="R538" s="2" t="inlineStr"/>
    </row>
    <row r="539" ht="15" customHeight="1">
      <c r="A539" t="inlineStr">
        <is>
          <t>A 49898-2025</t>
        </is>
      </c>
      <c r="B539" s="1" t="n">
        <v>45940</v>
      </c>
      <c r="C539" s="1" t="n">
        <v>46193</v>
      </c>
      <c r="D539" t="inlineStr">
        <is>
          <t>VÄSTERBOTTENS LÄN</t>
        </is>
      </c>
      <c r="E539" t="inlineStr">
        <is>
          <t>UMEÅ</t>
        </is>
      </c>
      <c r="G539" t="n">
        <v>5.8</v>
      </c>
      <c r="H539" t="n">
        <v>0</v>
      </c>
      <c r="I539" t="n">
        <v>0</v>
      </c>
      <c r="J539" t="n">
        <v>0</v>
      </c>
      <c r="K539" t="n">
        <v>0</v>
      </c>
      <c r="L539" t="n">
        <v>0</v>
      </c>
      <c r="M539" t="n">
        <v>0</v>
      </c>
      <c r="N539" t="n">
        <v>0</v>
      </c>
      <c r="O539" t="n">
        <v>0</v>
      </c>
      <c r="P539" t="n">
        <v>0</v>
      </c>
      <c r="Q539" t="n">
        <v>0</v>
      </c>
      <c r="R539" s="2" t="inlineStr"/>
    </row>
    <row r="540" ht="15" customHeight="1">
      <c r="A540" t="inlineStr">
        <is>
          <t>A 49492-2025</t>
        </is>
      </c>
      <c r="B540" s="1" t="n">
        <v>45939</v>
      </c>
      <c r="C540" s="1" t="n">
        <v>46193</v>
      </c>
      <c r="D540" t="inlineStr">
        <is>
          <t>VÄSTERBOTTENS LÄN</t>
        </is>
      </c>
      <c r="E540" t="inlineStr">
        <is>
          <t>UMEÅ</t>
        </is>
      </c>
      <c r="G540" t="n">
        <v>7.2</v>
      </c>
      <c r="H540" t="n">
        <v>0</v>
      </c>
      <c r="I540" t="n">
        <v>0</v>
      </c>
      <c r="J540" t="n">
        <v>0</v>
      </c>
      <c r="K540" t="n">
        <v>0</v>
      </c>
      <c r="L540" t="n">
        <v>0</v>
      </c>
      <c r="M540" t="n">
        <v>0</v>
      </c>
      <c r="N540" t="n">
        <v>0</v>
      </c>
      <c r="O540" t="n">
        <v>0</v>
      </c>
      <c r="P540" t="n">
        <v>0</v>
      </c>
      <c r="Q540" t="n">
        <v>0</v>
      </c>
      <c r="R540" s="2" t="inlineStr"/>
    </row>
    <row r="541" ht="15" customHeight="1">
      <c r="A541" t="inlineStr">
        <is>
          <t>A 49496-2025</t>
        </is>
      </c>
      <c r="B541" s="1" t="n">
        <v>45939</v>
      </c>
      <c r="C541" s="1" t="n">
        <v>46193</v>
      </c>
      <c r="D541" t="inlineStr">
        <is>
          <t>VÄSTERBOTTENS LÄN</t>
        </is>
      </c>
      <c r="E541" t="inlineStr">
        <is>
          <t>UMEÅ</t>
        </is>
      </c>
      <c r="G541" t="n">
        <v>3.7</v>
      </c>
      <c r="H541" t="n">
        <v>0</v>
      </c>
      <c r="I541" t="n">
        <v>0</v>
      </c>
      <c r="J541" t="n">
        <v>0</v>
      </c>
      <c r="K541" t="n">
        <v>0</v>
      </c>
      <c r="L541" t="n">
        <v>0</v>
      </c>
      <c r="M541" t="n">
        <v>0</v>
      </c>
      <c r="N541" t="n">
        <v>0</v>
      </c>
      <c r="O541" t="n">
        <v>0</v>
      </c>
      <c r="P541" t="n">
        <v>0</v>
      </c>
      <c r="Q541" t="n">
        <v>0</v>
      </c>
      <c r="R541" s="2" t="inlineStr"/>
    </row>
    <row r="542" ht="15" customHeight="1">
      <c r="A542" t="inlineStr">
        <is>
          <t>A 50365-2025</t>
        </is>
      </c>
      <c r="B542" s="1" t="n">
        <v>45944</v>
      </c>
      <c r="C542" s="1" t="n">
        <v>46193</v>
      </c>
      <c r="D542" t="inlineStr">
        <is>
          <t>VÄSTERBOTTENS LÄN</t>
        </is>
      </c>
      <c r="E542" t="inlineStr">
        <is>
          <t>UMEÅ</t>
        </is>
      </c>
      <c r="G542" t="n">
        <v>4.4</v>
      </c>
      <c r="H542" t="n">
        <v>0</v>
      </c>
      <c r="I542" t="n">
        <v>0</v>
      </c>
      <c r="J542" t="n">
        <v>0</v>
      </c>
      <c r="K542" t="n">
        <v>0</v>
      </c>
      <c r="L542" t="n">
        <v>0</v>
      </c>
      <c r="M542" t="n">
        <v>0</v>
      </c>
      <c r="N542" t="n">
        <v>0</v>
      </c>
      <c r="O542" t="n">
        <v>0</v>
      </c>
      <c r="P542" t="n">
        <v>0</v>
      </c>
      <c r="Q542" t="n">
        <v>0</v>
      </c>
      <c r="R542" s="2" t="inlineStr"/>
    </row>
    <row r="543" ht="15" customHeight="1">
      <c r="A543" t="inlineStr">
        <is>
          <t>A 32813-2024</t>
        </is>
      </c>
      <c r="B543" s="1" t="n">
        <v>45516</v>
      </c>
      <c r="C543" s="1" t="n">
        <v>46193</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50379-2025</t>
        </is>
      </c>
      <c r="B544" s="1" t="n">
        <v>45944</v>
      </c>
      <c r="C544" s="1" t="n">
        <v>46193</v>
      </c>
      <c r="D544" t="inlineStr">
        <is>
          <t>VÄSTERBOTTENS LÄN</t>
        </is>
      </c>
      <c r="E544" t="inlineStr">
        <is>
          <t>UMEÅ</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60811-2022</t>
        </is>
      </c>
      <c r="B545" s="1" t="n">
        <v>44914</v>
      </c>
      <c r="C545" s="1" t="n">
        <v>46193</v>
      </c>
      <c r="D545" t="inlineStr">
        <is>
          <t>VÄSTERBOTTENS LÄN</t>
        </is>
      </c>
      <c r="E545" t="inlineStr">
        <is>
          <t>UMEÅ</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50159-2025</t>
        </is>
      </c>
      <c r="B546" s="1" t="n">
        <v>45943</v>
      </c>
      <c r="C546" s="1" t="n">
        <v>46193</v>
      </c>
      <c r="D546" t="inlineStr">
        <is>
          <t>VÄSTERBOTTENS LÄN</t>
        </is>
      </c>
      <c r="E546" t="inlineStr">
        <is>
          <t>UMEÅ</t>
        </is>
      </c>
      <c r="G546" t="n">
        <v>2.6</v>
      </c>
      <c r="H546" t="n">
        <v>0</v>
      </c>
      <c r="I546" t="n">
        <v>0</v>
      </c>
      <c r="J546" t="n">
        <v>0</v>
      </c>
      <c r="K546" t="n">
        <v>0</v>
      </c>
      <c r="L546" t="n">
        <v>0</v>
      </c>
      <c r="M546" t="n">
        <v>0</v>
      </c>
      <c r="N546" t="n">
        <v>0</v>
      </c>
      <c r="O546" t="n">
        <v>0</v>
      </c>
      <c r="P546" t="n">
        <v>0</v>
      </c>
      <c r="Q546" t="n">
        <v>0</v>
      </c>
      <c r="R546" s="2" t="inlineStr"/>
    </row>
    <row r="547" ht="15" customHeight="1">
      <c r="A547" t="inlineStr">
        <is>
          <t>A 58278-2024</t>
        </is>
      </c>
      <c r="B547" s="1" t="n">
        <v>45632</v>
      </c>
      <c r="C547" s="1" t="n">
        <v>46193</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16907-2025</t>
        </is>
      </c>
      <c r="B548" s="1" t="n">
        <v>45755</v>
      </c>
      <c r="C548" s="1" t="n">
        <v>46193</v>
      </c>
      <c r="D548" t="inlineStr">
        <is>
          <t>VÄSTERBOTTENS LÄN</t>
        </is>
      </c>
      <c r="E548" t="inlineStr">
        <is>
          <t>UMEÅ</t>
        </is>
      </c>
      <c r="G548" t="n">
        <v>6.4</v>
      </c>
      <c r="H548" t="n">
        <v>0</v>
      </c>
      <c r="I548" t="n">
        <v>0</v>
      </c>
      <c r="J548" t="n">
        <v>0</v>
      </c>
      <c r="K548" t="n">
        <v>0</v>
      </c>
      <c r="L548" t="n">
        <v>0</v>
      </c>
      <c r="M548" t="n">
        <v>0</v>
      </c>
      <c r="N548" t="n">
        <v>0</v>
      </c>
      <c r="O548" t="n">
        <v>0</v>
      </c>
      <c r="P548" t="n">
        <v>0</v>
      </c>
      <c r="Q548" t="n">
        <v>0</v>
      </c>
      <c r="R548" s="2" t="inlineStr"/>
    </row>
    <row r="549" ht="15" customHeight="1">
      <c r="A549" t="inlineStr">
        <is>
          <t>A 50284-2025</t>
        </is>
      </c>
      <c r="B549" s="1" t="n">
        <v>45944</v>
      </c>
      <c r="C549" s="1" t="n">
        <v>46193</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26351-2024</t>
        </is>
      </c>
      <c r="B550" s="1" t="n">
        <v>45469</v>
      </c>
      <c r="C550" s="1" t="n">
        <v>46193</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50923-2025</t>
        </is>
      </c>
      <c r="B551" s="1" t="n">
        <v>45946</v>
      </c>
      <c r="C551" s="1" t="n">
        <v>46193</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56332-2023</t>
        </is>
      </c>
      <c r="B552" s="1" t="n">
        <v>45243</v>
      </c>
      <c r="C552" s="1" t="n">
        <v>46193</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19678-2024</t>
        </is>
      </c>
      <c r="B553" s="1" t="n">
        <v>45432</v>
      </c>
      <c r="C553" s="1" t="n">
        <v>46193</v>
      </c>
      <c r="D553" t="inlineStr">
        <is>
          <t>VÄSTERBOTTENS LÄN</t>
        </is>
      </c>
      <c r="E553" t="inlineStr">
        <is>
          <t>UMEÅ</t>
        </is>
      </c>
      <c r="G553" t="n">
        <v>3.5</v>
      </c>
      <c r="H553" t="n">
        <v>0</v>
      </c>
      <c r="I553" t="n">
        <v>0</v>
      </c>
      <c r="J553" t="n">
        <v>0</v>
      </c>
      <c r="K553" t="n">
        <v>0</v>
      </c>
      <c r="L553" t="n">
        <v>0</v>
      </c>
      <c r="M553" t="n">
        <v>0</v>
      </c>
      <c r="N553" t="n">
        <v>0</v>
      </c>
      <c r="O553" t="n">
        <v>0</v>
      </c>
      <c r="P553" t="n">
        <v>0</v>
      </c>
      <c r="Q553" t="n">
        <v>0</v>
      </c>
      <c r="R553" s="2" t="inlineStr"/>
    </row>
    <row r="554" ht="15" customHeight="1">
      <c r="A554" t="inlineStr">
        <is>
          <t>A 26493-2026</t>
        </is>
      </c>
      <c r="B554" s="1" t="n">
        <v>46183</v>
      </c>
      <c r="C554" s="1" t="n">
        <v>46193</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24532-2023</t>
        </is>
      </c>
      <c r="B555" s="1" t="n">
        <v>45082</v>
      </c>
      <c r="C555" s="1" t="n">
        <v>46193</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54320-2025</t>
        </is>
      </c>
      <c r="B556" s="1" t="n">
        <v>45965</v>
      </c>
      <c r="C556" s="1" t="n">
        <v>46193</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59860-2022</t>
        </is>
      </c>
      <c r="B557" s="1" t="n">
        <v>44908</v>
      </c>
      <c r="C557" s="1" t="n">
        <v>46193</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20792-2026</t>
        </is>
      </c>
      <c r="B558" s="1" t="n">
        <v>46141</v>
      </c>
      <c r="C558" s="1" t="n">
        <v>46193</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22242-2026</t>
        </is>
      </c>
      <c r="B559" s="1" t="n">
        <v>46154</v>
      </c>
      <c r="C559" s="1" t="n">
        <v>46193</v>
      </c>
      <c r="D559" t="inlineStr">
        <is>
          <t>VÄSTERBOTTENS LÄN</t>
        </is>
      </c>
      <c r="E559" t="inlineStr">
        <is>
          <t>UMEÅ</t>
        </is>
      </c>
      <c r="G559" t="n">
        <v>4.5</v>
      </c>
      <c r="H559" t="n">
        <v>0</v>
      </c>
      <c r="I559" t="n">
        <v>0</v>
      </c>
      <c r="J559" t="n">
        <v>0</v>
      </c>
      <c r="K559" t="n">
        <v>0</v>
      </c>
      <c r="L559" t="n">
        <v>0</v>
      </c>
      <c r="M559" t="n">
        <v>0</v>
      </c>
      <c r="N559" t="n">
        <v>0</v>
      </c>
      <c r="O559" t="n">
        <v>0</v>
      </c>
      <c r="P559" t="n">
        <v>0</v>
      </c>
      <c r="Q559" t="n">
        <v>0</v>
      </c>
      <c r="R559" s="2" t="inlineStr"/>
    </row>
    <row r="560" ht="15" customHeight="1">
      <c r="A560" t="inlineStr">
        <is>
          <t>A 51445-2025</t>
        </is>
      </c>
      <c r="B560" s="1" t="n">
        <v>45950</v>
      </c>
      <c r="C560" s="1" t="n">
        <v>46193</v>
      </c>
      <c r="D560" t="inlineStr">
        <is>
          <t>VÄSTERBOTTENS LÄN</t>
        </is>
      </c>
      <c r="E560" t="inlineStr">
        <is>
          <t>UMEÅ</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26523-2026</t>
        </is>
      </c>
      <c r="B561" s="1" t="n">
        <v>46183</v>
      </c>
      <c r="C561" s="1" t="n">
        <v>46193</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27173-2025</t>
        </is>
      </c>
      <c r="B562" s="1" t="n">
        <v>45812</v>
      </c>
      <c r="C562" s="1" t="n">
        <v>46193</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20795-2023</t>
        </is>
      </c>
      <c r="B563" s="1" t="n">
        <v>45055</v>
      </c>
      <c r="C563" s="1" t="n">
        <v>46193</v>
      </c>
      <c r="D563" t="inlineStr">
        <is>
          <t>VÄSTERBOTTENS LÄN</t>
        </is>
      </c>
      <c r="E563" t="inlineStr">
        <is>
          <t>UMEÅ</t>
        </is>
      </c>
      <c r="G563" t="n">
        <v>1.6</v>
      </c>
      <c r="H563" t="n">
        <v>0</v>
      </c>
      <c r="I563" t="n">
        <v>0</v>
      </c>
      <c r="J563" t="n">
        <v>0</v>
      </c>
      <c r="K563" t="n">
        <v>0</v>
      </c>
      <c r="L563" t="n">
        <v>0</v>
      </c>
      <c r="M563" t="n">
        <v>0</v>
      </c>
      <c r="N563" t="n">
        <v>0</v>
      </c>
      <c r="O563" t="n">
        <v>0</v>
      </c>
      <c r="P563" t="n">
        <v>0</v>
      </c>
      <c r="Q563" t="n">
        <v>0</v>
      </c>
      <c r="R563" s="2" t="inlineStr"/>
    </row>
    <row r="564" ht="15" customHeight="1">
      <c r="A564" t="inlineStr">
        <is>
          <t>A 51455-2025</t>
        </is>
      </c>
      <c r="B564" s="1" t="n">
        <v>45950</v>
      </c>
      <c r="C564" s="1" t="n">
        <v>46193</v>
      </c>
      <c r="D564" t="inlineStr">
        <is>
          <t>VÄSTERBOTTENS LÄN</t>
        </is>
      </c>
      <c r="E564" t="inlineStr">
        <is>
          <t>UMEÅ</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51930-2025</t>
        </is>
      </c>
      <c r="B565" s="1" t="n">
        <v>45952</v>
      </c>
      <c r="C565" s="1" t="n">
        <v>46193</v>
      </c>
      <c r="D565" t="inlineStr">
        <is>
          <t>VÄSTERBOTTENS LÄN</t>
        </is>
      </c>
      <c r="E565" t="inlineStr">
        <is>
          <t>UMEÅ</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51689-2025</t>
        </is>
      </c>
      <c r="B566" s="1" t="n">
        <v>45951</v>
      </c>
      <c r="C566" s="1" t="n">
        <v>46193</v>
      </c>
      <c r="D566" t="inlineStr">
        <is>
          <t>VÄSTERBOTTENS LÄN</t>
        </is>
      </c>
      <c r="E566" t="inlineStr">
        <is>
          <t>UMEÅ</t>
        </is>
      </c>
      <c r="G566" t="n">
        <v>0.8</v>
      </c>
      <c r="H566" t="n">
        <v>0</v>
      </c>
      <c r="I566" t="n">
        <v>0</v>
      </c>
      <c r="J566" t="n">
        <v>0</v>
      </c>
      <c r="K566" t="n">
        <v>0</v>
      </c>
      <c r="L566" t="n">
        <v>0</v>
      </c>
      <c r="M566" t="n">
        <v>0</v>
      </c>
      <c r="N566" t="n">
        <v>0</v>
      </c>
      <c r="O566" t="n">
        <v>0</v>
      </c>
      <c r="P566" t="n">
        <v>0</v>
      </c>
      <c r="Q566" t="n">
        <v>0</v>
      </c>
      <c r="R566" s="2" t="inlineStr"/>
    </row>
    <row r="567" ht="15" customHeight="1">
      <c r="A567" t="inlineStr">
        <is>
          <t>A 51547-2025</t>
        </is>
      </c>
      <c r="B567" s="1" t="n">
        <v>45950</v>
      </c>
      <c r="C567" s="1" t="n">
        <v>46193</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52076-2025</t>
        </is>
      </c>
      <c r="B568" s="1" t="n">
        <v>45952</v>
      </c>
      <c r="C568" s="1" t="n">
        <v>46193</v>
      </c>
      <c r="D568" t="inlineStr">
        <is>
          <t>VÄSTERBOTTENS LÄN</t>
        </is>
      </c>
      <c r="E568" t="inlineStr">
        <is>
          <t>UMEÅ</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22240-2026</t>
        </is>
      </c>
      <c r="B569" s="1" t="n">
        <v>46154</v>
      </c>
      <c r="C569" s="1" t="n">
        <v>46193</v>
      </c>
      <c r="D569" t="inlineStr">
        <is>
          <t>VÄSTERBOTTENS LÄN</t>
        </is>
      </c>
      <c r="E569" t="inlineStr">
        <is>
          <t>UMEÅ</t>
        </is>
      </c>
      <c r="G569" t="n">
        <v>4.8</v>
      </c>
      <c r="H569" t="n">
        <v>0</v>
      </c>
      <c r="I569" t="n">
        <v>0</v>
      </c>
      <c r="J569" t="n">
        <v>0</v>
      </c>
      <c r="K569" t="n">
        <v>0</v>
      </c>
      <c r="L569" t="n">
        <v>0</v>
      </c>
      <c r="M569" t="n">
        <v>0</v>
      </c>
      <c r="N569" t="n">
        <v>0</v>
      </c>
      <c r="O569" t="n">
        <v>0</v>
      </c>
      <c r="P569" t="n">
        <v>0</v>
      </c>
      <c r="Q569" t="n">
        <v>0</v>
      </c>
      <c r="R569" s="2" t="inlineStr"/>
    </row>
    <row r="570" ht="15" customHeight="1">
      <c r="A570" t="inlineStr">
        <is>
          <t>A 51629-2025</t>
        </is>
      </c>
      <c r="B570" s="1" t="n">
        <v>45951</v>
      </c>
      <c r="C570" s="1" t="n">
        <v>46193</v>
      </c>
      <c r="D570" t="inlineStr">
        <is>
          <t>VÄSTERBOTTENS LÄN</t>
        </is>
      </c>
      <c r="E570" t="inlineStr">
        <is>
          <t>UMEÅ</t>
        </is>
      </c>
      <c r="G570" t="n">
        <v>4.2</v>
      </c>
      <c r="H570" t="n">
        <v>0</v>
      </c>
      <c r="I570" t="n">
        <v>0</v>
      </c>
      <c r="J570" t="n">
        <v>0</v>
      </c>
      <c r="K570" t="n">
        <v>0</v>
      </c>
      <c r="L570" t="n">
        <v>0</v>
      </c>
      <c r="M570" t="n">
        <v>0</v>
      </c>
      <c r="N570" t="n">
        <v>0</v>
      </c>
      <c r="O570" t="n">
        <v>0</v>
      </c>
      <c r="P570" t="n">
        <v>0</v>
      </c>
      <c r="Q570" t="n">
        <v>0</v>
      </c>
      <c r="R570" s="2" t="inlineStr"/>
    </row>
    <row r="571" ht="15" customHeight="1">
      <c r="A571" t="inlineStr">
        <is>
          <t>A 51621-2025</t>
        </is>
      </c>
      <c r="B571" s="1" t="n">
        <v>45951</v>
      </c>
      <c r="C571" s="1" t="n">
        <v>46193</v>
      </c>
      <c r="D571" t="inlineStr">
        <is>
          <t>VÄSTERBOTTENS LÄN</t>
        </is>
      </c>
      <c r="E571" t="inlineStr">
        <is>
          <t>UMEÅ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51970-2025</t>
        </is>
      </c>
      <c r="B572" s="1" t="n">
        <v>45952</v>
      </c>
      <c r="C572" s="1" t="n">
        <v>46193</v>
      </c>
      <c r="D572" t="inlineStr">
        <is>
          <t>VÄSTERBOTTENS LÄN</t>
        </is>
      </c>
      <c r="E572" t="inlineStr">
        <is>
          <t>UMEÅ</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489-2024</t>
        </is>
      </c>
      <c r="B573" s="1" t="n">
        <v>45298</v>
      </c>
      <c r="C573" s="1" t="n">
        <v>46193</v>
      </c>
      <c r="D573" t="inlineStr">
        <is>
          <t>VÄSTERBOTTENS LÄN</t>
        </is>
      </c>
      <c r="E573" t="inlineStr">
        <is>
          <t>UMEÅ</t>
        </is>
      </c>
      <c r="G573" t="n">
        <v>8.1</v>
      </c>
      <c r="H573" t="n">
        <v>0</v>
      </c>
      <c r="I573" t="n">
        <v>0</v>
      </c>
      <c r="J573" t="n">
        <v>0</v>
      </c>
      <c r="K573" t="n">
        <v>0</v>
      </c>
      <c r="L573" t="n">
        <v>0</v>
      </c>
      <c r="M573" t="n">
        <v>0</v>
      </c>
      <c r="N573" t="n">
        <v>0</v>
      </c>
      <c r="O573" t="n">
        <v>0</v>
      </c>
      <c r="P573" t="n">
        <v>0</v>
      </c>
      <c r="Q573" t="n">
        <v>0</v>
      </c>
      <c r="R573" s="2" t="inlineStr"/>
    </row>
    <row r="574" ht="15" customHeight="1">
      <c r="A574" t="inlineStr">
        <is>
          <t>A 51961-2025</t>
        </is>
      </c>
      <c r="B574" s="1" t="n">
        <v>45952</v>
      </c>
      <c r="C574" s="1" t="n">
        <v>46193</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52056-2025</t>
        </is>
      </c>
      <c r="B575" s="1" t="n">
        <v>45952</v>
      </c>
      <c r="C575" s="1" t="n">
        <v>46193</v>
      </c>
      <c r="D575" t="inlineStr">
        <is>
          <t>VÄSTERBOTTENS LÄN</t>
        </is>
      </c>
      <c r="E575" t="inlineStr">
        <is>
          <t>UMEÅ</t>
        </is>
      </c>
      <c r="F575" t="inlineStr">
        <is>
          <t>Holmen skog AB</t>
        </is>
      </c>
      <c r="G575" t="n">
        <v>9.4</v>
      </c>
      <c r="H575" t="n">
        <v>0</v>
      </c>
      <c r="I575" t="n">
        <v>0</v>
      </c>
      <c r="J575" t="n">
        <v>0</v>
      </c>
      <c r="K575" t="n">
        <v>0</v>
      </c>
      <c r="L575" t="n">
        <v>0</v>
      </c>
      <c r="M575" t="n">
        <v>0</v>
      </c>
      <c r="N575" t="n">
        <v>0</v>
      </c>
      <c r="O575" t="n">
        <v>0</v>
      </c>
      <c r="P575" t="n">
        <v>0</v>
      </c>
      <c r="Q575" t="n">
        <v>0</v>
      </c>
      <c r="R575" s="2" t="inlineStr"/>
    </row>
    <row r="576" ht="15" customHeight="1">
      <c r="A576" t="inlineStr">
        <is>
          <t>A 51889-2025</t>
        </is>
      </c>
      <c r="B576" s="1" t="n">
        <v>45952</v>
      </c>
      <c r="C576" s="1" t="n">
        <v>46193</v>
      </c>
      <c r="D576" t="inlineStr">
        <is>
          <t>VÄSTERBOTTENS LÄN</t>
        </is>
      </c>
      <c r="E576" t="inlineStr">
        <is>
          <t>UMEÅ</t>
        </is>
      </c>
      <c r="G576" t="n">
        <v>3.7</v>
      </c>
      <c r="H576" t="n">
        <v>0</v>
      </c>
      <c r="I576" t="n">
        <v>0</v>
      </c>
      <c r="J576" t="n">
        <v>0</v>
      </c>
      <c r="K576" t="n">
        <v>0</v>
      </c>
      <c r="L576" t="n">
        <v>0</v>
      </c>
      <c r="M576" t="n">
        <v>0</v>
      </c>
      <c r="N576" t="n">
        <v>0</v>
      </c>
      <c r="O576" t="n">
        <v>0</v>
      </c>
      <c r="P576" t="n">
        <v>0</v>
      </c>
      <c r="Q576" t="n">
        <v>0</v>
      </c>
      <c r="R576" s="2" t="inlineStr"/>
    </row>
    <row r="577" ht="15" customHeight="1">
      <c r="A577" t="inlineStr">
        <is>
          <t>A 51716-2025</t>
        </is>
      </c>
      <c r="B577" s="1" t="n">
        <v>45951</v>
      </c>
      <c r="C577" s="1" t="n">
        <v>46193</v>
      </c>
      <c r="D577" t="inlineStr">
        <is>
          <t>VÄSTERBOTTENS LÄN</t>
        </is>
      </c>
      <c r="E577" t="inlineStr">
        <is>
          <t>UMEÅ</t>
        </is>
      </c>
      <c r="G577" t="n">
        <v>1.7</v>
      </c>
      <c r="H577" t="n">
        <v>0</v>
      </c>
      <c r="I577" t="n">
        <v>0</v>
      </c>
      <c r="J577" t="n">
        <v>0</v>
      </c>
      <c r="K577" t="n">
        <v>0</v>
      </c>
      <c r="L577" t="n">
        <v>0</v>
      </c>
      <c r="M577" t="n">
        <v>0</v>
      </c>
      <c r="N577" t="n">
        <v>0</v>
      </c>
      <c r="O577" t="n">
        <v>0</v>
      </c>
      <c r="P577" t="n">
        <v>0</v>
      </c>
      <c r="Q577" t="n">
        <v>0</v>
      </c>
      <c r="R577" s="2" t="inlineStr"/>
    </row>
    <row r="578" ht="15" customHeight="1">
      <c r="A578" t="inlineStr">
        <is>
          <t>A 51901-2025</t>
        </is>
      </c>
      <c r="B578" s="1" t="n">
        <v>45952</v>
      </c>
      <c r="C578" s="1" t="n">
        <v>46193</v>
      </c>
      <c r="D578" t="inlineStr">
        <is>
          <t>VÄSTERBOTTENS LÄN</t>
        </is>
      </c>
      <c r="E578" t="inlineStr">
        <is>
          <t>UMEÅ</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26456-2026</t>
        </is>
      </c>
      <c r="B579" s="1" t="n">
        <v>46183</v>
      </c>
      <c r="C579" s="1" t="n">
        <v>46193</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52210-2025</t>
        </is>
      </c>
      <c r="B580" s="1" t="n">
        <v>45953</v>
      </c>
      <c r="C580" s="1" t="n">
        <v>46193</v>
      </c>
      <c r="D580" t="inlineStr">
        <is>
          <t>VÄSTERBOTTENS LÄN</t>
        </is>
      </c>
      <c r="E580" t="inlineStr">
        <is>
          <t>UMEÅ</t>
        </is>
      </c>
      <c r="F580" t="inlineStr">
        <is>
          <t>Holmen skog AB</t>
        </is>
      </c>
      <c r="G580" t="n">
        <v>8.1</v>
      </c>
      <c r="H580" t="n">
        <v>0</v>
      </c>
      <c r="I580" t="n">
        <v>0</v>
      </c>
      <c r="J580" t="n">
        <v>0</v>
      </c>
      <c r="K580" t="n">
        <v>0</v>
      </c>
      <c r="L580" t="n">
        <v>0</v>
      </c>
      <c r="M580" t="n">
        <v>0</v>
      </c>
      <c r="N580" t="n">
        <v>0</v>
      </c>
      <c r="O580" t="n">
        <v>0</v>
      </c>
      <c r="P580" t="n">
        <v>0</v>
      </c>
      <c r="Q580" t="n">
        <v>0</v>
      </c>
      <c r="R580" s="2" t="inlineStr"/>
    </row>
    <row r="581" ht="15" customHeight="1">
      <c r="A581" t="inlineStr">
        <is>
          <t>A 41267-2022</t>
        </is>
      </c>
      <c r="B581" s="1" t="n">
        <v>44825</v>
      </c>
      <c r="C581" s="1" t="n">
        <v>46193</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52163-2025</t>
        </is>
      </c>
      <c r="B582" s="1" t="n">
        <v>45953</v>
      </c>
      <c r="C582" s="1" t="n">
        <v>46193</v>
      </c>
      <c r="D582" t="inlineStr">
        <is>
          <t>VÄSTERBOTTENS LÄN</t>
        </is>
      </c>
      <c r="E582" t="inlineStr">
        <is>
          <t>UMEÅ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20823-2026</t>
        </is>
      </c>
      <c r="B583" s="1" t="n">
        <v>46141</v>
      </c>
      <c r="C583" s="1" t="n">
        <v>46193</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52155-2025</t>
        </is>
      </c>
      <c r="B584" s="1" t="n">
        <v>45953</v>
      </c>
      <c r="C584" s="1" t="n">
        <v>46193</v>
      </c>
      <c r="D584" t="inlineStr">
        <is>
          <t>VÄSTERBOTTENS LÄN</t>
        </is>
      </c>
      <c r="E584" t="inlineStr">
        <is>
          <t>UMEÅ</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20824-2026</t>
        </is>
      </c>
      <c r="B585" s="1" t="n">
        <v>46141</v>
      </c>
      <c r="C585" s="1" t="n">
        <v>46193</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44817-2021</t>
        </is>
      </c>
      <c r="B586" s="1" t="n">
        <v>44438</v>
      </c>
      <c r="C586" s="1" t="n">
        <v>46193</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45759-2025</t>
        </is>
      </c>
      <c r="B587" s="1" t="n">
        <v>45923</v>
      </c>
      <c r="C587" s="1" t="n">
        <v>46193</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11954-2024</t>
        </is>
      </c>
      <c r="B588" s="1" t="n">
        <v>45376</v>
      </c>
      <c r="C588" s="1" t="n">
        <v>46193</v>
      </c>
      <c r="D588" t="inlineStr">
        <is>
          <t>VÄSTERBOTTENS LÄN</t>
        </is>
      </c>
      <c r="E588" t="inlineStr">
        <is>
          <t>UMEÅ</t>
        </is>
      </c>
      <c r="G588" t="n">
        <v>4</v>
      </c>
      <c r="H588" t="n">
        <v>0</v>
      </c>
      <c r="I588" t="n">
        <v>0</v>
      </c>
      <c r="J588" t="n">
        <v>0</v>
      </c>
      <c r="K588" t="n">
        <v>0</v>
      </c>
      <c r="L588" t="n">
        <v>0</v>
      </c>
      <c r="M588" t="n">
        <v>0</v>
      </c>
      <c r="N588" t="n">
        <v>0</v>
      </c>
      <c r="O588" t="n">
        <v>0</v>
      </c>
      <c r="P588" t="n">
        <v>0</v>
      </c>
      <c r="Q588" t="n">
        <v>0</v>
      </c>
      <c r="R588" s="2" t="inlineStr"/>
    </row>
    <row r="589" ht="15" customHeight="1">
      <c r="A589" t="inlineStr">
        <is>
          <t>A 34411-2024</t>
        </is>
      </c>
      <c r="B589" s="1" t="n">
        <v>45525</v>
      </c>
      <c r="C589" s="1" t="n">
        <v>46193</v>
      </c>
      <c r="D589" t="inlineStr">
        <is>
          <t>VÄSTERBOTTENS LÄN</t>
        </is>
      </c>
      <c r="E589" t="inlineStr">
        <is>
          <t>UMEÅ</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52126-2022</t>
        </is>
      </c>
      <c r="B590" s="1" t="n">
        <v>44873</v>
      </c>
      <c r="C590" s="1" t="n">
        <v>46193</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52232-2025</t>
        </is>
      </c>
      <c r="B591" s="1" t="n">
        <v>45953</v>
      </c>
      <c r="C591" s="1" t="n">
        <v>46193</v>
      </c>
      <c r="D591" t="inlineStr">
        <is>
          <t>VÄSTERBOTTENS LÄN</t>
        </is>
      </c>
      <c r="E591" t="inlineStr">
        <is>
          <t>UMEÅ</t>
        </is>
      </c>
      <c r="F591" t="inlineStr">
        <is>
          <t>Holmen skog AB</t>
        </is>
      </c>
      <c r="G591" t="n">
        <v>7.7</v>
      </c>
      <c r="H591" t="n">
        <v>0</v>
      </c>
      <c r="I591" t="n">
        <v>0</v>
      </c>
      <c r="J591" t="n">
        <v>0</v>
      </c>
      <c r="K591" t="n">
        <v>0</v>
      </c>
      <c r="L591" t="n">
        <v>0</v>
      </c>
      <c r="M591" t="n">
        <v>0</v>
      </c>
      <c r="N591" t="n">
        <v>0</v>
      </c>
      <c r="O591" t="n">
        <v>0</v>
      </c>
      <c r="P591" t="n">
        <v>0</v>
      </c>
      <c r="Q591" t="n">
        <v>0</v>
      </c>
      <c r="R591" s="2" t="inlineStr"/>
    </row>
    <row r="592" ht="15" customHeight="1">
      <c r="A592" t="inlineStr">
        <is>
          <t>A 28628-2023</t>
        </is>
      </c>
      <c r="B592" s="1" t="n">
        <v>45103</v>
      </c>
      <c r="C592" s="1" t="n">
        <v>46193</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25505-2023</t>
        </is>
      </c>
      <c r="B593" s="1" t="n">
        <v>45089</v>
      </c>
      <c r="C593" s="1" t="n">
        <v>46193</v>
      </c>
      <c r="D593" t="inlineStr">
        <is>
          <t>VÄSTERBOTTENS LÄN</t>
        </is>
      </c>
      <c r="E593" t="inlineStr">
        <is>
          <t>UMEÅ</t>
        </is>
      </c>
      <c r="G593" t="n">
        <v>0.5</v>
      </c>
      <c r="H593" t="n">
        <v>0</v>
      </c>
      <c r="I593" t="n">
        <v>0</v>
      </c>
      <c r="J593" t="n">
        <v>0</v>
      </c>
      <c r="K593" t="n">
        <v>0</v>
      </c>
      <c r="L593" t="n">
        <v>0</v>
      </c>
      <c r="M593" t="n">
        <v>0</v>
      </c>
      <c r="N593" t="n">
        <v>0</v>
      </c>
      <c r="O593" t="n">
        <v>0</v>
      </c>
      <c r="P593" t="n">
        <v>0</v>
      </c>
      <c r="Q593" t="n">
        <v>0</v>
      </c>
      <c r="R593" s="2" t="inlineStr"/>
    </row>
    <row r="594" ht="15" customHeight="1">
      <c r="A594" t="inlineStr">
        <is>
          <t>A 52238-2025</t>
        </is>
      </c>
      <c r="B594" s="1" t="n">
        <v>45953</v>
      </c>
      <c r="C594" s="1" t="n">
        <v>46193</v>
      </c>
      <c r="D594" t="inlineStr">
        <is>
          <t>VÄSTERBOTTENS LÄN</t>
        </is>
      </c>
      <c r="E594" t="inlineStr">
        <is>
          <t>UMEÅ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29640-2023</t>
        </is>
      </c>
      <c r="B595" s="1" t="n">
        <v>45106</v>
      </c>
      <c r="C595" s="1" t="n">
        <v>46193</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52710-2025</t>
        </is>
      </c>
      <c r="B596" s="1" t="n">
        <v>45957</v>
      </c>
      <c r="C596" s="1" t="n">
        <v>46193</v>
      </c>
      <c r="D596" t="inlineStr">
        <is>
          <t>VÄSTERBOTTENS LÄN</t>
        </is>
      </c>
      <c r="E596" t="inlineStr">
        <is>
          <t>UMEÅ</t>
        </is>
      </c>
      <c r="G596" t="n">
        <v>4.4</v>
      </c>
      <c r="H596" t="n">
        <v>0</v>
      </c>
      <c r="I596" t="n">
        <v>0</v>
      </c>
      <c r="J596" t="n">
        <v>0</v>
      </c>
      <c r="K596" t="n">
        <v>0</v>
      </c>
      <c r="L596" t="n">
        <v>0</v>
      </c>
      <c r="M596" t="n">
        <v>0</v>
      </c>
      <c r="N596" t="n">
        <v>0</v>
      </c>
      <c r="O596" t="n">
        <v>0</v>
      </c>
      <c r="P596" t="n">
        <v>0</v>
      </c>
      <c r="Q596" t="n">
        <v>0</v>
      </c>
      <c r="R596" s="2" t="inlineStr"/>
    </row>
    <row r="597" ht="15" customHeight="1">
      <c r="A597" t="inlineStr">
        <is>
          <t>A 52919-2025</t>
        </is>
      </c>
      <c r="B597" s="1" t="n">
        <v>45957</v>
      </c>
      <c r="C597" s="1" t="n">
        <v>46193</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52926-2025</t>
        </is>
      </c>
      <c r="B598" s="1" t="n">
        <v>45957</v>
      </c>
      <c r="C598" s="1" t="n">
        <v>46193</v>
      </c>
      <c r="D598" t="inlineStr">
        <is>
          <t>VÄSTERBOTTENS LÄN</t>
        </is>
      </c>
      <c r="E598" t="inlineStr">
        <is>
          <t>UMEÅ</t>
        </is>
      </c>
      <c r="G598" t="n">
        <v>7.1</v>
      </c>
      <c r="H598" t="n">
        <v>0</v>
      </c>
      <c r="I598" t="n">
        <v>0</v>
      </c>
      <c r="J598" t="n">
        <v>0</v>
      </c>
      <c r="K598" t="n">
        <v>0</v>
      </c>
      <c r="L598" t="n">
        <v>0</v>
      </c>
      <c r="M598" t="n">
        <v>0</v>
      </c>
      <c r="N598" t="n">
        <v>0</v>
      </c>
      <c r="O598" t="n">
        <v>0</v>
      </c>
      <c r="P598" t="n">
        <v>0</v>
      </c>
      <c r="Q598" t="n">
        <v>0</v>
      </c>
      <c r="R598" s="2" t="inlineStr"/>
    </row>
    <row r="599" ht="15" customHeight="1">
      <c r="A599" t="inlineStr">
        <is>
          <t>A 20822-2026</t>
        </is>
      </c>
      <c r="B599" s="1" t="n">
        <v>46141</v>
      </c>
      <c r="C599" s="1" t="n">
        <v>46193</v>
      </c>
      <c r="D599" t="inlineStr">
        <is>
          <t>VÄSTERBOTTENS LÄN</t>
        </is>
      </c>
      <c r="E599" t="inlineStr">
        <is>
          <t>UMEÅ</t>
        </is>
      </c>
      <c r="G599" t="n">
        <v>0.8</v>
      </c>
      <c r="H599" t="n">
        <v>0</v>
      </c>
      <c r="I599" t="n">
        <v>0</v>
      </c>
      <c r="J599" t="n">
        <v>0</v>
      </c>
      <c r="K599" t="n">
        <v>0</v>
      </c>
      <c r="L599" t="n">
        <v>0</v>
      </c>
      <c r="M599" t="n">
        <v>0</v>
      </c>
      <c r="N599" t="n">
        <v>0</v>
      </c>
      <c r="O599" t="n">
        <v>0</v>
      </c>
      <c r="P599" t="n">
        <v>0</v>
      </c>
      <c r="Q599" t="n">
        <v>0</v>
      </c>
      <c r="R599" s="2" t="inlineStr"/>
    </row>
    <row r="600" ht="15" customHeight="1">
      <c r="A600" t="inlineStr">
        <is>
          <t>A 1003-2025</t>
        </is>
      </c>
      <c r="B600" s="1" t="n">
        <v>45666</v>
      </c>
      <c r="C600" s="1" t="n">
        <v>46193</v>
      </c>
      <c r="D600" t="inlineStr">
        <is>
          <t>VÄSTERBOTTENS LÄN</t>
        </is>
      </c>
      <c r="E600" t="inlineStr">
        <is>
          <t>UMEÅ</t>
        </is>
      </c>
      <c r="G600" t="n">
        <v>13.5</v>
      </c>
      <c r="H600" t="n">
        <v>0</v>
      </c>
      <c r="I600" t="n">
        <v>0</v>
      </c>
      <c r="J600" t="n">
        <v>0</v>
      </c>
      <c r="K600" t="n">
        <v>0</v>
      </c>
      <c r="L600" t="n">
        <v>0</v>
      </c>
      <c r="M600" t="n">
        <v>0</v>
      </c>
      <c r="N600" t="n">
        <v>0</v>
      </c>
      <c r="O600" t="n">
        <v>0</v>
      </c>
      <c r="P600" t="n">
        <v>0</v>
      </c>
      <c r="Q600" t="n">
        <v>0</v>
      </c>
      <c r="R600" s="2" t="inlineStr"/>
    </row>
    <row r="601" ht="15" customHeight="1">
      <c r="A601" t="inlineStr">
        <is>
          <t>A 52882-2025</t>
        </is>
      </c>
      <c r="B601" s="1" t="n">
        <v>45957</v>
      </c>
      <c r="C601" s="1" t="n">
        <v>46193</v>
      </c>
      <c r="D601" t="inlineStr">
        <is>
          <t>VÄSTERBOTTENS LÄN</t>
        </is>
      </c>
      <c r="E601" t="inlineStr">
        <is>
          <t>UMEÅ</t>
        </is>
      </c>
      <c r="G601" t="n">
        <v>1.4</v>
      </c>
      <c r="H601" t="n">
        <v>0</v>
      </c>
      <c r="I601" t="n">
        <v>0</v>
      </c>
      <c r="J601" t="n">
        <v>0</v>
      </c>
      <c r="K601" t="n">
        <v>0</v>
      </c>
      <c r="L601" t="n">
        <v>0</v>
      </c>
      <c r="M601" t="n">
        <v>0</v>
      </c>
      <c r="N601" t="n">
        <v>0</v>
      </c>
      <c r="O601" t="n">
        <v>0</v>
      </c>
      <c r="P601" t="n">
        <v>0</v>
      </c>
      <c r="Q601" t="n">
        <v>0</v>
      </c>
      <c r="R601" s="2" t="inlineStr"/>
    </row>
    <row r="602" ht="15" customHeight="1">
      <c r="A602" t="inlineStr">
        <is>
          <t>A 52925-2025</t>
        </is>
      </c>
      <c r="B602" s="1" t="n">
        <v>45957</v>
      </c>
      <c r="C602" s="1" t="n">
        <v>46193</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52990-2025</t>
        </is>
      </c>
      <c r="B603" s="1" t="n">
        <v>45957</v>
      </c>
      <c r="C603" s="1" t="n">
        <v>46193</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52706-2025</t>
        </is>
      </c>
      <c r="B604" s="1" t="n">
        <v>45957</v>
      </c>
      <c r="C604" s="1" t="n">
        <v>46193</v>
      </c>
      <c r="D604" t="inlineStr">
        <is>
          <t>VÄSTERBOTTENS LÄN</t>
        </is>
      </c>
      <c r="E604" t="inlineStr">
        <is>
          <t>UMEÅ</t>
        </is>
      </c>
      <c r="G604" t="n">
        <v>2</v>
      </c>
      <c r="H604" t="n">
        <v>0</v>
      </c>
      <c r="I604" t="n">
        <v>0</v>
      </c>
      <c r="J604" t="n">
        <v>0</v>
      </c>
      <c r="K604" t="n">
        <v>0</v>
      </c>
      <c r="L604" t="n">
        <v>0</v>
      </c>
      <c r="M604" t="n">
        <v>0</v>
      </c>
      <c r="N604" t="n">
        <v>0</v>
      </c>
      <c r="O604" t="n">
        <v>0</v>
      </c>
      <c r="P604" t="n">
        <v>0</v>
      </c>
      <c r="Q604" t="n">
        <v>0</v>
      </c>
      <c r="R604" s="2" t="inlineStr"/>
    </row>
    <row r="605" ht="15" customHeight="1">
      <c r="A605" t="inlineStr">
        <is>
          <t>A 26434-2026</t>
        </is>
      </c>
      <c r="B605" s="1" t="n">
        <v>46183</v>
      </c>
      <c r="C605" s="1" t="n">
        <v>46193</v>
      </c>
      <c r="D605" t="inlineStr">
        <is>
          <t>VÄSTERBOTTENS LÄN</t>
        </is>
      </c>
      <c r="E605" t="inlineStr">
        <is>
          <t>UMEÅ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22538-2024</t>
        </is>
      </c>
      <c r="B606" s="1" t="n">
        <v>45447</v>
      </c>
      <c r="C606" s="1" t="n">
        <v>46193</v>
      </c>
      <c r="D606" t="inlineStr">
        <is>
          <t>VÄSTERBOTTENS LÄN</t>
        </is>
      </c>
      <c r="E606" t="inlineStr">
        <is>
          <t>UMEÅ</t>
        </is>
      </c>
      <c r="F606" t="inlineStr">
        <is>
          <t>Holmen skog AB</t>
        </is>
      </c>
      <c r="G606" t="n">
        <v>7.1</v>
      </c>
      <c r="H606" t="n">
        <v>0</v>
      </c>
      <c r="I606" t="n">
        <v>0</v>
      </c>
      <c r="J606" t="n">
        <v>0</v>
      </c>
      <c r="K606" t="n">
        <v>0</v>
      </c>
      <c r="L606" t="n">
        <v>0</v>
      </c>
      <c r="M606" t="n">
        <v>0</v>
      </c>
      <c r="N606" t="n">
        <v>0</v>
      </c>
      <c r="O606" t="n">
        <v>0</v>
      </c>
      <c r="P606" t="n">
        <v>0</v>
      </c>
      <c r="Q606" t="n">
        <v>0</v>
      </c>
      <c r="R606" s="2" t="inlineStr"/>
    </row>
    <row r="607" ht="15" customHeight="1">
      <c r="A607" t="inlineStr">
        <is>
          <t>A 52992-2025</t>
        </is>
      </c>
      <c r="B607" s="1" t="n">
        <v>45957</v>
      </c>
      <c r="C607" s="1" t="n">
        <v>46193</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53247-2025</t>
        </is>
      </c>
      <c r="B608" s="1" t="n">
        <v>45958</v>
      </c>
      <c r="C608" s="1" t="n">
        <v>46193</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52966-2025</t>
        </is>
      </c>
      <c r="B609" s="1" t="n">
        <v>45957</v>
      </c>
      <c r="C609" s="1" t="n">
        <v>46193</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52996-2025</t>
        </is>
      </c>
      <c r="B610" s="1" t="n">
        <v>45957</v>
      </c>
      <c r="C610" s="1" t="n">
        <v>46193</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21047-2026</t>
        </is>
      </c>
      <c r="B611" s="1" t="n">
        <v>46146</v>
      </c>
      <c r="C611" s="1" t="n">
        <v>46193</v>
      </c>
      <c r="D611" t="inlineStr">
        <is>
          <t>VÄSTERBOTTENS LÄN</t>
        </is>
      </c>
      <c r="E611" t="inlineStr">
        <is>
          <t>UMEÅ</t>
        </is>
      </c>
      <c r="G611" t="n">
        <v>1.9</v>
      </c>
      <c r="H611" t="n">
        <v>0</v>
      </c>
      <c r="I611" t="n">
        <v>0</v>
      </c>
      <c r="J611" t="n">
        <v>0</v>
      </c>
      <c r="K611" t="n">
        <v>0</v>
      </c>
      <c r="L611" t="n">
        <v>0</v>
      </c>
      <c r="M611" t="n">
        <v>0</v>
      </c>
      <c r="N611" t="n">
        <v>0</v>
      </c>
      <c r="O611" t="n">
        <v>0</v>
      </c>
      <c r="P611" t="n">
        <v>0</v>
      </c>
      <c r="Q611" t="n">
        <v>0</v>
      </c>
      <c r="R611" s="2" t="inlineStr"/>
    </row>
    <row r="612" ht="15" customHeight="1">
      <c r="A612" t="inlineStr">
        <is>
          <t>A 53336-2025</t>
        </is>
      </c>
      <c r="B612" s="1" t="n">
        <v>45959</v>
      </c>
      <c r="C612" s="1" t="n">
        <v>46193</v>
      </c>
      <c r="D612" t="inlineStr">
        <is>
          <t>VÄSTERBOTTENS LÄN</t>
        </is>
      </c>
      <c r="E612" t="inlineStr">
        <is>
          <t>UMEÅ</t>
        </is>
      </c>
      <c r="G612" t="n">
        <v>9.9</v>
      </c>
      <c r="H612" t="n">
        <v>0</v>
      </c>
      <c r="I612" t="n">
        <v>0</v>
      </c>
      <c r="J612" t="n">
        <v>0</v>
      </c>
      <c r="K612" t="n">
        <v>0</v>
      </c>
      <c r="L612" t="n">
        <v>0</v>
      </c>
      <c r="M612" t="n">
        <v>0</v>
      </c>
      <c r="N612" t="n">
        <v>0</v>
      </c>
      <c r="O612" t="n">
        <v>0</v>
      </c>
      <c r="P612" t="n">
        <v>0</v>
      </c>
      <c r="Q612" t="n">
        <v>0</v>
      </c>
      <c r="R612" s="2" t="inlineStr"/>
    </row>
    <row r="613" ht="15" customHeight="1">
      <c r="A613" t="inlineStr">
        <is>
          <t>A 32628-2023</t>
        </is>
      </c>
      <c r="B613" s="1" t="n">
        <v>45112</v>
      </c>
      <c r="C613" s="1" t="n">
        <v>46193</v>
      </c>
      <c r="D613" t="inlineStr">
        <is>
          <t>VÄSTERBOTTENS LÄN</t>
        </is>
      </c>
      <c r="E613" t="inlineStr">
        <is>
          <t>UMEÅ</t>
        </is>
      </c>
      <c r="G613" t="n">
        <v>2.5</v>
      </c>
      <c r="H613" t="n">
        <v>0</v>
      </c>
      <c r="I613" t="n">
        <v>0</v>
      </c>
      <c r="J613" t="n">
        <v>0</v>
      </c>
      <c r="K613" t="n">
        <v>0</v>
      </c>
      <c r="L613" t="n">
        <v>0</v>
      </c>
      <c r="M613" t="n">
        <v>0</v>
      </c>
      <c r="N613" t="n">
        <v>0</v>
      </c>
      <c r="O613" t="n">
        <v>0</v>
      </c>
      <c r="P613" t="n">
        <v>0</v>
      </c>
      <c r="Q613" t="n">
        <v>0</v>
      </c>
      <c r="R613" s="2" t="inlineStr"/>
    </row>
    <row r="614" ht="15" customHeight="1">
      <c r="A614" t="inlineStr">
        <is>
          <t>A 55053-2023</t>
        </is>
      </c>
      <c r="B614" s="1" t="n">
        <v>45237</v>
      </c>
      <c r="C614" s="1" t="n">
        <v>46193</v>
      </c>
      <c r="D614" t="inlineStr">
        <is>
          <t>VÄSTERBOTTENS LÄN</t>
        </is>
      </c>
      <c r="E614" t="inlineStr">
        <is>
          <t>UMEÅ</t>
        </is>
      </c>
      <c r="G614" t="n">
        <v>1.3</v>
      </c>
      <c r="H614" t="n">
        <v>0</v>
      </c>
      <c r="I614" t="n">
        <v>0</v>
      </c>
      <c r="J614" t="n">
        <v>0</v>
      </c>
      <c r="K614" t="n">
        <v>0</v>
      </c>
      <c r="L614" t="n">
        <v>0</v>
      </c>
      <c r="M614" t="n">
        <v>0</v>
      </c>
      <c r="N614" t="n">
        <v>0</v>
      </c>
      <c r="O614" t="n">
        <v>0</v>
      </c>
      <c r="P614" t="n">
        <v>0</v>
      </c>
      <c r="Q614" t="n">
        <v>0</v>
      </c>
      <c r="R614" s="2" t="inlineStr"/>
    </row>
    <row r="615" ht="15" customHeight="1">
      <c r="A615" t="inlineStr">
        <is>
          <t>A 26930-2025</t>
        </is>
      </c>
      <c r="B615" s="1" t="n">
        <v>45811</v>
      </c>
      <c r="C615" s="1" t="n">
        <v>46193</v>
      </c>
      <c r="D615" t="inlineStr">
        <is>
          <t>VÄSTERBOTTENS LÄN</t>
        </is>
      </c>
      <c r="E615" t="inlineStr">
        <is>
          <t>UMEÅ</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56085-2024</t>
        </is>
      </c>
      <c r="B616" s="1" t="n">
        <v>45623</v>
      </c>
      <c r="C616" s="1" t="n">
        <v>46193</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27172-2025</t>
        </is>
      </c>
      <c r="B617" s="1" t="n">
        <v>45812</v>
      </c>
      <c r="C617" s="1" t="n">
        <v>46193</v>
      </c>
      <c r="D617" t="inlineStr">
        <is>
          <t>VÄSTERBOTTENS LÄN</t>
        </is>
      </c>
      <c r="E617" t="inlineStr">
        <is>
          <t>UMEÅ</t>
        </is>
      </c>
      <c r="G617" t="n">
        <v>3.6</v>
      </c>
      <c r="H617" t="n">
        <v>0</v>
      </c>
      <c r="I617" t="n">
        <v>0</v>
      </c>
      <c r="J617" t="n">
        <v>0</v>
      </c>
      <c r="K617" t="n">
        <v>0</v>
      </c>
      <c r="L617" t="n">
        <v>0</v>
      </c>
      <c r="M617" t="n">
        <v>0</v>
      </c>
      <c r="N617" t="n">
        <v>0</v>
      </c>
      <c r="O617" t="n">
        <v>0</v>
      </c>
      <c r="P617" t="n">
        <v>0</v>
      </c>
      <c r="Q617" t="n">
        <v>0</v>
      </c>
      <c r="R617" s="2" t="inlineStr"/>
    </row>
    <row r="618" ht="15" customHeight="1">
      <c r="A618" t="inlineStr">
        <is>
          <t>A 26984-2026</t>
        </is>
      </c>
      <c r="B618" s="1" t="n">
        <v>46185</v>
      </c>
      <c r="C618" s="1" t="n">
        <v>46193</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15337-2025</t>
        </is>
      </c>
      <c r="B619" s="1" t="n">
        <v>45747</v>
      </c>
      <c r="C619" s="1" t="n">
        <v>46193</v>
      </c>
      <c r="D619" t="inlineStr">
        <is>
          <t>VÄSTERBOTTENS LÄN</t>
        </is>
      </c>
      <c r="E619" t="inlineStr">
        <is>
          <t>UMEÅ</t>
        </is>
      </c>
      <c r="G619" t="n">
        <v>8.6</v>
      </c>
      <c r="H619" t="n">
        <v>0</v>
      </c>
      <c r="I619" t="n">
        <v>0</v>
      </c>
      <c r="J619" t="n">
        <v>0</v>
      </c>
      <c r="K619" t="n">
        <v>0</v>
      </c>
      <c r="L619" t="n">
        <v>0</v>
      </c>
      <c r="M619" t="n">
        <v>0</v>
      </c>
      <c r="N619" t="n">
        <v>0</v>
      </c>
      <c r="O619" t="n">
        <v>0</v>
      </c>
      <c r="P619" t="n">
        <v>0</v>
      </c>
      <c r="Q619" t="n">
        <v>0</v>
      </c>
      <c r="R619" s="2" t="inlineStr"/>
    </row>
    <row r="620" ht="15" customHeight="1">
      <c r="A620" t="inlineStr">
        <is>
          <t>A 30258-2023</t>
        </is>
      </c>
      <c r="B620" s="1" t="n">
        <v>45110</v>
      </c>
      <c r="C620" s="1" t="n">
        <v>46193</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49875-2025</t>
        </is>
      </c>
      <c r="B621" s="1" t="n">
        <v>45940</v>
      </c>
      <c r="C621" s="1" t="n">
        <v>46193</v>
      </c>
      <c r="D621" t="inlineStr">
        <is>
          <t>VÄSTERBOTTENS LÄN</t>
        </is>
      </c>
      <c r="E621" t="inlineStr">
        <is>
          <t>UMEÅ</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19219-2025</t>
        </is>
      </c>
      <c r="B622" s="1" t="n">
        <v>45769</v>
      </c>
      <c r="C622" s="1" t="n">
        <v>46193</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46287-2022</t>
        </is>
      </c>
      <c r="B623" s="1" t="n">
        <v>44847</v>
      </c>
      <c r="C623" s="1" t="n">
        <v>46193</v>
      </c>
      <c r="D623" t="inlineStr">
        <is>
          <t>VÄSTERBOTTENS LÄN</t>
        </is>
      </c>
      <c r="E623" t="inlineStr">
        <is>
          <t>UMEÅ</t>
        </is>
      </c>
      <c r="G623" t="n">
        <v>1.1</v>
      </c>
      <c r="H623" t="n">
        <v>0</v>
      </c>
      <c r="I623" t="n">
        <v>0</v>
      </c>
      <c r="J623" t="n">
        <v>0</v>
      </c>
      <c r="K623" t="n">
        <v>0</v>
      </c>
      <c r="L623" t="n">
        <v>0</v>
      </c>
      <c r="M623" t="n">
        <v>0</v>
      </c>
      <c r="N623" t="n">
        <v>0</v>
      </c>
      <c r="O623" t="n">
        <v>0</v>
      </c>
      <c r="P623" t="n">
        <v>0</v>
      </c>
      <c r="Q623" t="n">
        <v>0</v>
      </c>
      <c r="R623" s="2" t="inlineStr"/>
    </row>
    <row r="624" ht="15" customHeight="1">
      <c r="A624" t="inlineStr">
        <is>
          <t>A 13090-2024</t>
        </is>
      </c>
      <c r="B624" s="1" t="n">
        <v>45385</v>
      </c>
      <c r="C624" s="1" t="n">
        <v>46193</v>
      </c>
      <c r="D624" t="inlineStr">
        <is>
          <t>VÄSTERBOTTENS LÄN</t>
        </is>
      </c>
      <c r="E624" t="inlineStr">
        <is>
          <t>UMEÅ</t>
        </is>
      </c>
      <c r="G624" t="n">
        <v>2.1</v>
      </c>
      <c r="H624" t="n">
        <v>0</v>
      </c>
      <c r="I624" t="n">
        <v>0</v>
      </c>
      <c r="J624" t="n">
        <v>0</v>
      </c>
      <c r="K624" t="n">
        <v>0</v>
      </c>
      <c r="L624" t="n">
        <v>0</v>
      </c>
      <c r="M624" t="n">
        <v>0</v>
      </c>
      <c r="N624" t="n">
        <v>0</v>
      </c>
      <c r="O624" t="n">
        <v>0</v>
      </c>
      <c r="P624" t="n">
        <v>0</v>
      </c>
      <c r="Q624" t="n">
        <v>0</v>
      </c>
      <c r="R624" s="2" t="inlineStr"/>
    </row>
    <row r="625" ht="15" customHeight="1">
      <c r="A625" t="inlineStr">
        <is>
          <t>A 21081-2024</t>
        </is>
      </c>
      <c r="B625" s="1" t="n">
        <v>45439</v>
      </c>
      <c r="C625" s="1" t="n">
        <v>46193</v>
      </c>
      <c r="D625" t="inlineStr">
        <is>
          <t>VÄSTERBOTTENS LÄN</t>
        </is>
      </c>
      <c r="E625" t="inlineStr">
        <is>
          <t>UMEÅ</t>
        </is>
      </c>
      <c r="G625" t="n">
        <v>3</v>
      </c>
      <c r="H625" t="n">
        <v>0</v>
      </c>
      <c r="I625" t="n">
        <v>0</v>
      </c>
      <c r="J625" t="n">
        <v>0</v>
      </c>
      <c r="K625" t="n">
        <v>0</v>
      </c>
      <c r="L625" t="n">
        <v>0</v>
      </c>
      <c r="M625" t="n">
        <v>0</v>
      </c>
      <c r="N625" t="n">
        <v>0</v>
      </c>
      <c r="O625" t="n">
        <v>0</v>
      </c>
      <c r="P625" t="n">
        <v>0</v>
      </c>
      <c r="Q625" t="n">
        <v>0</v>
      </c>
      <c r="R625" s="2" t="inlineStr"/>
    </row>
    <row r="626" ht="15" customHeight="1">
      <c r="A626" t="inlineStr">
        <is>
          <t>A 54321-2025</t>
        </is>
      </c>
      <c r="B626" s="1" t="n">
        <v>45965</v>
      </c>
      <c r="C626" s="1" t="n">
        <v>46193</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11184-2024</t>
        </is>
      </c>
      <c r="B627" s="1" t="n">
        <v>45371</v>
      </c>
      <c r="C627" s="1" t="n">
        <v>46193</v>
      </c>
      <c r="D627" t="inlineStr">
        <is>
          <t>VÄSTERBOTTENS LÄN</t>
        </is>
      </c>
      <c r="E627" t="inlineStr">
        <is>
          <t>UMEÅ</t>
        </is>
      </c>
      <c r="F627" t="inlineStr">
        <is>
          <t>Övriga statliga verk och myndigheter</t>
        </is>
      </c>
      <c r="G627" t="n">
        <v>4.5</v>
      </c>
      <c r="H627" t="n">
        <v>0</v>
      </c>
      <c r="I627" t="n">
        <v>0</v>
      </c>
      <c r="J627" t="n">
        <v>0</v>
      </c>
      <c r="K627" t="n">
        <v>0</v>
      </c>
      <c r="L627" t="n">
        <v>0</v>
      </c>
      <c r="M627" t="n">
        <v>0</v>
      </c>
      <c r="N627" t="n">
        <v>0</v>
      </c>
      <c r="O627" t="n">
        <v>0</v>
      </c>
      <c r="P627" t="n">
        <v>0</v>
      </c>
      <c r="Q627" t="n">
        <v>0</v>
      </c>
      <c r="R627" s="2" t="inlineStr"/>
    </row>
    <row r="628" ht="15" customHeight="1">
      <c r="A628" t="inlineStr">
        <is>
          <t>A 21162-2026</t>
        </is>
      </c>
      <c r="B628" s="1" t="n">
        <v>46146</v>
      </c>
      <c r="C628" s="1" t="n">
        <v>46193</v>
      </c>
      <c r="D628" t="inlineStr">
        <is>
          <t>VÄSTERBOTTENS LÄN</t>
        </is>
      </c>
      <c r="E628" t="inlineStr">
        <is>
          <t>UMEÅ</t>
        </is>
      </c>
      <c r="G628" t="n">
        <v>3.2</v>
      </c>
      <c r="H628" t="n">
        <v>0</v>
      </c>
      <c r="I628" t="n">
        <v>0</v>
      </c>
      <c r="J628" t="n">
        <v>0</v>
      </c>
      <c r="K628" t="n">
        <v>0</v>
      </c>
      <c r="L628" t="n">
        <v>0</v>
      </c>
      <c r="M628" t="n">
        <v>0</v>
      </c>
      <c r="N628" t="n">
        <v>0</v>
      </c>
      <c r="O628" t="n">
        <v>0</v>
      </c>
      <c r="P628" t="n">
        <v>0</v>
      </c>
      <c r="Q628" t="n">
        <v>0</v>
      </c>
      <c r="R628" s="2" t="inlineStr"/>
    </row>
    <row r="629" ht="15" customHeight="1">
      <c r="A629" t="inlineStr">
        <is>
          <t>A 54796-2025</t>
        </is>
      </c>
      <c r="B629" s="1" t="n">
        <v>45966</v>
      </c>
      <c r="C629" s="1" t="n">
        <v>46193</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54797-2025</t>
        </is>
      </c>
      <c r="B630" s="1" t="n">
        <v>45966</v>
      </c>
      <c r="C630" s="1" t="n">
        <v>46193</v>
      </c>
      <c r="D630" t="inlineStr">
        <is>
          <t>VÄSTERBOTTENS LÄN</t>
        </is>
      </c>
      <c r="E630" t="inlineStr">
        <is>
          <t>UMEÅ</t>
        </is>
      </c>
      <c r="G630" t="n">
        <v>7</v>
      </c>
      <c r="H630" t="n">
        <v>0</v>
      </c>
      <c r="I630" t="n">
        <v>0</v>
      </c>
      <c r="J630" t="n">
        <v>0</v>
      </c>
      <c r="K630" t="n">
        <v>0</v>
      </c>
      <c r="L630" t="n">
        <v>0</v>
      </c>
      <c r="M630" t="n">
        <v>0</v>
      </c>
      <c r="N630" t="n">
        <v>0</v>
      </c>
      <c r="O630" t="n">
        <v>0</v>
      </c>
      <c r="P630" t="n">
        <v>0</v>
      </c>
      <c r="Q630" t="n">
        <v>0</v>
      </c>
      <c r="R630" s="2" t="inlineStr"/>
    </row>
    <row r="631" ht="15" customHeight="1">
      <c r="A631" t="inlineStr">
        <is>
          <t>A 31068-2023</t>
        </is>
      </c>
      <c r="B631" s="1" t="n">
        <v>45113</v>
      </c>
      <c r="C631" s="1" t="n">
        <v>46193</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14043-2024</t>
        </is>
      </c>
      <c r="B632" s="1" t="n">
        <v>45392</v>
      </c>
      <c r="C632" s="1" t="n">
        <v>46193</v>
      </c>
      <c r="D632" t="inlineStr">
        <is>
          <t>VÄSTERBOTTENS LÄN</t>
        </is>
      </c>
      <c r="E632" t="inlineStr">
        <is>
          <t>UMEÅ</t>
        </is>
      </c>
      <c r="G632" t="n">
        <v>0.6</v>
      </c>
      <c r="H632" t="n">
        <v>0</v>
      </c>
      <c r="I632" t="n">
        <v>0</v>
      </c>
      <c r="J632" t="n">
        <v>0</v>
      </c>
      <c r="K632" t="n">
        <v>0</v>
      </c>
      <c r="L632" t="n">
        <v>0</v>
      </c>
      <c r="M632" t="n">
        <v>0</v>
      </c>
      <c r="N632" t="n">
        <v>0</v>
      </c>
      <c r="O632" t="n">
        <v>0</v>
      </c>
      <c r="P632" t="n">
        <v>0</v>
      </c>
      <c r="Q632" t="n">
        <v>0</v>
      </c>
      <c r="R632" s="2" t="inlineStr"/>
    </row>
    <row r="633" ht="15" customHeight="1">
      <c r="A633" t="inlineStr">
        <is>
          <t>A 28832-2025</t>
        </is>
      </c>
      <c r="B633" s="1" t="n">
        <v>45820</v>
      </c>
      <c r="C633" s="1" t="n">
        <v>46193</v>
      </c>
      <c r="D633" t="inlineStr">
        <is>
          <t>VÄSTERBOTTENS LÄN</t>
        </is>
      </c>
      <c r="E633" t="inlineStr">
        <is>
          <t>UMEÅ</t>
        </is>
      </c>
      <c r="G633" t="n">
        <v>4.6</v>
      </c>
      <c r="H633" t="n">
        <v>0</v>
      </c>
      <c r="I633" t="n">
        <v>0</v>
      </c>
      <c r="J633" t="n">
        <v>0</v>
      </c>
      <c r="K633" t="n">
        <v>0</v>
      </c>
      <c r="L633" t="n">
        <v>0</v>
      </c>
      <c r="M633" t="n">
        <v>0</v>
      </c>
      <c r="N633" t="n">
        <v>0</v>
      </c>
      <c r="O633" t="n">
        <v>0</v>
      </c>
      <c r="P633" t="n">
        <v>0</v>
      </c>
      <c r="Q633" t="n">
        <v>0</v>
      </c>
      <c r="R633" s="2" t="inlineStr"/>
    </row>
    <row r="634" ht="15" customHeight="1">
      <c r="A634" t="inlineStr">
        <is>
          <t>A 22159-2025</t>
        </is>
      </c>
      <c r="B634" s="1" t="n">
        <v>45785</v>
      </c>
      <c r="C634" s="1" t="n">
        <v>46193</v>
      </c>
      <c r="D634" t="inlineStr">
        <is>
          <t>VÄSTERBOTTENS LÄN</t>
        </is>
      </c>
      <c r="E634" t="inlineStr">
        <is>
          <t>UMEÅ</t>
        </is>
      </c>
      <c r="G634" t="n">
        <v>1.8</v>
      </c>
      <c r="H634" t="n">
        <v>0</v>
      </c>
      <c r="I634" t="n">
        <v>0</v>
      </c>
      <c r="J634" t="n">
        <v>0</v>
      </c>
      <c r="K634" t="n">
        <v>0</v>
      </c>
      <c r="L634" t="n">
        <v>0</v>
      </c>
      <c r="M634" t="n">
        <v>0</v>
      </c>
      <c r="N634" t="n">
        <v>0</v>
      </c>
      <c r="O634" t="n">
        <v>0</v>
      </c>
      <c r="P634" t="n">
        <v>0</v>
      </c>
      <c r="Q634" t="n">
        <v>0</v>
      </c>
      <c r="R634" s="2" t="inlineStr"/>
    </row>
    <row r="635" ht="15" customHeight="1">
      <c r="A635" t="inlineStr">
        <is>
          <t>A 751-2023</t>
        </is>
      </c>
      <c r="B635" s="1" t="n">
        <v>44931</v>
      </c>
      <c r="C635" s="1" t="n">
        <v>46193</v>
      </c>
      <c r="D635" t="inlineStr">
        <is>
          <t>VÄSTERBOTTENS LÄN</t>
        </is>
      </c>
      <c r="E635" t="inlineStr">
        <is>
          <t>UMEÅ</t>
        </is>
      </c>
      <c r="G635" t="n">
        <v>0.6</v>
      </c>
      <c r="H635" t="n">
        <v>0</v>
      </c>
      <c r="I635" t="n">
        <v>0</v>
      </c>
      <c r="J635" t="n">
        <v>0</v>
      </c>
      <c r="K635" t="n">
        <v>0</v>
      </c>
      <c r="L635" t="n">
        <v>0</v>
      </c>
      <c r="M635" t="n">
        <v>0</v>
      </c>
      <c r="N635" t="n">
        <v>0</v>
      </c>
      <c r="O635" t="n">
        <v>0</v>
      </c>
      <c r="P635" t="n">
        <v>0</v>
      </c>
      <c r="Q635" t="n">
        <v>0</v>
      </c>
      <c r="R635" s="2" t="inlineStr"/>
    </row>
    <row r="636" ht="15" customHeight="1">
      <c r="A636" t="inlineStr">
        <is>
          <t>A 23842-2024</t>
        </is>
      </c>
      <c r="B636" s="1" t="n">
        <v>45455</v>
      </c>
      <c r="C636" s="1" t="n">
        <v>46193</v>
      </c>
      <c r="D636" t="inlineStr">
        <is>
          <t>VÄSTERBOTTENS LÄN</t>
        </is>
      </c>
      <c r="E636" t="inlineStr">
        <is>
          <t>UMEÅ</t>
        </is>
      </c>
      <c r="G636" t="n">
        <v>2.1</v>
      </c>
      <c r="H636" t="n">
        <v>0</v>
      </c>
      <c r="I636" t="n">
        <v>0</v>
      </c>
      <c r="J636" t="n">
        <v>0</v>
      </c>
      <c r="K636" t="n">
        <v>0</v>
      </c>
      <c r="L636" t="n">
        <v>0</v>
      </c>
      <c r="M636" t="n">
        <v>0</v>
      </c>
      <c r="N636" t="n">
        <v>0</v>
      </c>
      <c r="O636" t="n">
        <v>0</v>
      </c>
      <c r="P636" t="n">
        <v>0</v>
      </c>
      <c r="Q636" t="n">
        <v>0</v>
      </c>
      <c r="R636" s="2" t="inlineStr"/>
    </row>
    <row r="637" ht="15" customHeight="1">
      <c r="A637" t="inlineStr">
        <is>
          <t>A 65242-2021</t>
        </is>
      </c>
      <c r="B637" s="1" t="n">
        <v>44515</v>
      </c>
      <c r="C637" s="1" t="n">
        <v>46193</v>
      </c>
      <c r="D637" t="inlineStr">
        <is>
          <t>VÄSTERBOTTENS LÄN</t>
        </is>
      </c>
      <c r="E637" t="inlineStr">
        <is>
          <t>UMEÅ</t>
        </is>
      </c>
      <c r="G637" t="n">
        <v>1.1</v>
      </c>
      <c r="H637" t="n">
        <v>0</v>
      </c>
      <c r="I637" t="n">
        <v>0</v>
      </c>
      <c r="J637" t="n">
        <v>0</v>
      </c>
      <c r="K637" t="n">
        <v>0</v>
      </c>
      <c r="L637" t="n">
        <v>0</v>
      </c>
      <c r="M637" t="n">
        <v>0</v>
      </c>
      <c r="N637" t="n">
        <v>0</v>
      </c>
      <c r="O637" t="n">
        <v>0</v>
      </c>
      <c r="P637" t="n">
        <v>0</v>
      </c>
      <c r="Q637" t="n">
        <v>0</v>
      </c>
      <c r="R637" s="2" t="inlineStr"/>
    </row>
    <row r="638" ht="15" customHeight="1">
      <c r="A638" t="inlineStr">
        <is>
          <t>A 29330-2025</t>
        </is>
      </c>
      <c r="B638" s="1" t="n">
        <v>45824</v>
      </c>
      <c r="C638" s="1" t="n">
        <v>46193</v>
      </c>
      <c r="D638" t="inlineStr">
        <is>
          <t>VÄSTERBOTTENS LÄN</t>
        </is>
      </c>
      <c r="E638" t="inlineStr">
        <is>
          <t>UMEÅ</t>
        </is>
      </c>
      <c r="G638" t="n">
        <v>1.1</v>
      </c>
      <c r="H638" t="n">
        <v>0</v>
      </c>
      <c r="I638" t="n">
        <v>0</v>
      </c>
      <c r="J638" t="n">
        <v>0</v>
      </c>
      <c r="K638" t="n">
        <v>0</v>
      </c>
      <c r="L638" t="n">
        <v>0</v>
      </c>
      <c r="M638" t="n">
        <v>0</v>
      </c>
      <c r="N638" t="n">
        <v>0</v>
      </c>
      <c r="O638" t="n">
        <v>0</v>
      </c>
      <c r="P638" t="n">
        <v>0</v>
      </c>
      <c r="Q638" t="n">
        <v>0</v>
      </c>
      <c r="R638" s="2" t="inlineStr"/>
    </row>
    <row r="639" ht="15" customHeight="1">
      <c r="A639" t="inlineStr">
        <is>
          <t>A 29344-2025</t>
        </is>
      </c>
      <c r="B639" s="1" t="n">
        <v>45824</v>
      </c>
      <c r="C639" s="1" t="n">
        <v>46193</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29327-2025</t>
        </is>
      </c>
      <c r="B640" s="1" t="n">
        <v>45824</v>
      </c>
      <c r="C640" s="1" t="n">
        <v>46193</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55752-2025</t>
        </is>
      </c>
      <c r="B641" s="1" t="n">
        <v>45972</v>
      </c>
      <c r="C641" s="1" t="n">
        <v>46193</v>
      </c>
      <c r="D641" t="inlineStr">
        <is>
          <t>VÄSTERBOTTENS LÄN</t>
        </is>
      </c>
      <c r="E641" t="inlineStr">
        <is>
          <t>UMEÅ</t>
        </is>
      </c>
      <c r="G641" t="n">
        <v>1.9</v>
      </c>
      <c r="H641" t="n">
        <v>0</v>
      </c>
      <c r="I641" t="n">
        <v>0</v>
      </c>
      <c r="J641" t="n">
        <v>0</v>
      </c>
      <c r="K641" t="n">
        <v>0</v>
      </c>
      <c r="L641" t="n">
        <v>0</v>
      </c>
      <c r="M641" t="n">
        <v>0</v>
      </c>
      <c r="N641" t="n">
        <v>0</v>
      </c>
      <c r="O641" t="n">
        <v>0</v>
      </c>
      <c r="P641" t="n">
        <v>0</v>
      </c>
      <c r="Q641" t="n">
        <v>0</v>
      </c>
      <c r="R641" s="2" t="inlineStr"/>
    </row>
    <row r="642" ht="15" customHeight="1">
      <c r="A642" t="inlineStr">
        <is>
          <t>A 29583-2025</t>
        </is>
      </c>
      <c r="B642" s="1" t="n">
        <v>45825</v>
      </c>
      <c r="C642" s="1" t="n">
        <v>46193</v>
      </c>
      <c r="D642" t="inlineStr">
        <is>
          <t>VÄSTERBOTTENS LÄN</t>
        </is>
      </c>
      <c r="E642" t="inlineStr">
        <is>
          <t>UMEÅ</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55844-2025</t>
        </is>
      </c>
      <c r="B643" s="1" t="n">
        <v>45973</v>
      </c>
      <c r="C643" s="1" t="n">
        <v>46193</v>
      </c>
      <c r="D643" t="inlineStr">
        <is>
          <t>VÄSTERBOTTENS LÄN</t>
        </is>
      </c>
      <c r="E643" t="inlineStr">
        <is>
          <t>UMEÅ</t>
        </is>
      </c>
      <c r="G643" t="n">
        <v>3.8</v>
      </c>
      <c r="H643" t="n">
        <v>0</v>
      </c>
      <c r="I643" t="n">
        <v>0</v>
      </c>
      <c r="J643" t="n">
        <v>0</v>
      </c>
      <c r="K643" t="n">
        <v>0</v>
      </c>
      <c r="L643" t="n">
        <v>0</v>
      </c>
      <c r="M643" t="n">
        <v>0</v>
      </c>
      <c r="N643" t="n">
        <v>0</v>
      </c>
      <c r="O643" t="n">
        <v>0</v>
      </c>
      <c r="P643" t="n">
        <v>0</v>
      </c>
      <c r="Q643" t="n">
        <v>0</v>
      </c>
      <c r="R643" s="2" t="inlineStr"/>
    </row>
    <row r="644" ht="15" customHeight="1">
      <c r="A644" t="inlineStr">
        <is>
          <t>A 29704-2025</t>
        </is>
      </c>
      <c r="B644" s="1" t="n">
        <v>45825</v>
      </c>
      <c r="C644" s="1" t="n">
        <v>46193</v>
      </c>
      <c r="D644" t="inlineStr">
        <is>
          <t>VÄSTERBOTTENS LÄN</t>
        </is>
      </c>
      <c r="E644" t="inlineStr">
        <is>
          <t>UMEÅ</t>
        </is>
      </c>
      <c r="F644" t="inlineStr">
        <is>
          <t>Holmen skog AB</t>
        </is>
      </c>
      <c r="G644" t="n">
        <v>35.1</v>
      </c>
      <c r="H644" t="n">
        <v>0</v>
      </c>
      <c r="I644" t="n">
        <v>0</v>
      </c>
      <c r="J644" t="n">
        <v>0</v>
      </c>
      <c r="K644" t="n">
        <v>0</v>
      </c>
      <c r="L644" t="n">
        <v>0</v>
      </c>
      <c r="M644" t="n">
        <v>0</v>
      </c>
      <c r="N644" t="n">
        <v>0</v>
      </c>
      <c r="O644" t="n">
        <v>0</v>
      </c>
      <c r="P644" t="n">
        <v>0</v>
      </c>
      <c r="Q644" t="n">
        <v>0</v>
      </c>
      <c r="R644" s="2" t="inlineStr"/>
    </row>
    <row r="645" ht="15" customHeight="1">
      <c r="A645" t="inlineStr">
        <is>
          <t>A 29502-2025</t>
        </is>
      </c>
      <c r="B645" s="1" t="n">
        <v>45825</v>
      </c>
      <c r="C645" s="1" t="n">
        <v>46193</v>
      </c>
      <c r="D645" t="inlineStr">
        <is>
          <t>VÄSTERBOTTENS LÄN</t>
        </is>
      </c>
      <c r="E645" t="inlineStr">
        <is>
          <t>UMEÅ</t>
        </is>
      </c>
      <c r="F645" t="inlineStr">
        <is>
          <t>Holmen skog AB</t>
        </is>
      </c>
      <c r="G645" t="n">
        <v>5.8</v>
      </c>
      <c r="H645" t="n">
        <v>0</v>
      </c>
      <c r="I645" t="n">
        <v>0</v>
      </c>
      <c r="J645" t="n">
        <v>0</v>
      </c>
      <c r="K645" t="n">
        <v>0</v>
      </c>
      <c r="L645" t="n">
        <v>0</v>
      </c>
      <c r="M645" t="n">
        <v>0</v>
      </c>
      <c r="N645" t="n">
        <v>0</v>
      </c>
      <c r="O645" t="n">
        <v>0</v>
      </c>
      <c r="P645" t="n">
        <v>0</v>
      </c>
      <c r="Q645" t="n">
        <v>0</v>
      </c>
      <c r="R645" s="2" t="inlineStr"/>
    </row>
    <row r="646" ht="15" customHeight="1">
      <c r="A646" t="inlineStr">
        <is>
          <t>A 61034-2022</t>
        </is>
      </c>
      <c r="B646" s="1" t="n">
        <v>44914</v>
      </c>
      <c r="C646" s="1" t="n">
        <v>46193</v>
      </c>
      <c r="D646" t="inlineStr">
        <is>
          <t>VÄSTERBOTTENS LÄN</t>
        </is>
      </c>
      <c r="E646" t="inlineStr">
        <is>
          <t>UMEÅ</t>
        </is>
      </c>
      <c r="G646" t="n">
        <v>16.7</v>
      </c>
      <c r="H646" t="n">
        <v>0</v>
      </c>
      <c r="I646" t="n">
        <v>0</v>
      </c>
      <c r="J646" t="n">
        <v>0</v>
      </c>
      <c r="K646" t="n">
        <v>0</v>
      </c>
      <c r="L646" t="n">
        <v>0</v>
      </c>
      <c r="M646" t="n">
        <v>0</v>
      </c>
      <c r="N646" t="n">
        <v>0</v>
      </c>
      <c r="O646" t="n">
        <v>0</v>
      </c>
      <c r="P646" t="n">
        <v>0</v>
      </c>
      <c r="Q646" t="n">
        <v>0</v>
      </c>
      <c r="R646" s="2" t="inlineStr"/>
    </row>
    <row r="647" ht="15" customHeight="1">
      <c r="A647" t="inlineStr">
        <is>
          <t>A 21085-2026</t>
        </is>
      </c>
      <c r="B647" s="1" t="n">
        <v>46146</v>
      </c>
      <c r="C647" s="1" t="n">
        <v>46193</v>
      </c>
      <c r="D647" t="inlineStr">
        <is>
          <t>VÄSTERBOTTENS LÄN</t>
        </is>
      </c>
      <c r="E647" t="inlineStr">
        <is>
          <t>UMEÅ</t>
        </is>
      </c>
      <c r="F647" t="inlineStr">
        <is>
          <t>Holmen skog AB</t>
        </is>
      </c>
      <c r="G647" t="n">
        <v>9</v>
      </c>
      <c r="H647" t="n">
        <v>0</v>
      </c>
      <c r="I647" t="n">
        <v>0</v>
      </c>
      <c r="J647" t="n">
        <v>0</v>
      </c>
      <c r="K647" t="n">
        <v>0</v>
      </c>
      <c r="L647" t="n">
        <v>0</v>
      </c>
      <c r="M647" t="n">
        <v>0</v>
      </c>
      <c r="N647" t="n">
        <v>0</v>
      </c>
      <c r="O647" t="n">
        <v>0</v>
      </c>
      <c r="P647" t="n">
        <v>0</v>
      </c>
      <c r="Q647" t="n">
        <v>0</v>
      </c>
      <c r="R647" s="2" t="inlineStr"/>
    </row>
    <row r="648" ht="15" customHeight="1">
      <c r="A648" t="inlineStr">
        <is>
          <t>A 56617-2025</t>
        </is>
      </c>
      <c r="B648" s="1" t="n">
        <v>45975</v>
      </c>
      <c r="C648" s="1" t="n">
        <v>46193</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31037-2025</t>
        </is>
      </c>
      <c r="B649" s="1" t="n">
        <v>45832</v>
      </c>
      <c r="C649" s="1" t="n">
        <v>46193</v>
      </c>
      <c r="D649" t="inlineStr">
        <is>
          <t>VÄSTERBOTTENS LÄN</t>
        </is>
      </c>
      <c r="E649" t="inlineStr">
        <is>
          <t>UMEÅ</t>
        </is>
      </c>
      <c r="G649" t="n">
        <v>5</v>
      </c>
      <c r="H649" t="n">
        <v>0</v>
      </c>
      <c r="I649" t="n">
        <v>0</v>
      </c>
      <c r="J649" t="n">
        <v>0</v>
      </c>
      <c r="K649" t="n">
        <v>0</v>
      </c>
      <c r="L649" t="n">
        <v>0</v>
      </c>
      <c r="M649" t="n">
        <v>0</v>
      </c>
      <c r="N649" t="n">
        <v>0</v>
      </c>
      <c r="O649" t="n">
        <v>0</v>
      </c>
      <c r="P649" t="n">
        <v>0</v>
      </c>
      <c r="Q649" t="n">
        <v>0</v>
      </c>
      <c r="R649" s="2" t="inlineStr"/>
    </row>
    <row r="650" ht="15" customHeight="1">
      <c r="A650" t="inlineStr">
        <is>
          <t>A 30960-2025</t>
        </is>
      </c>
      <c r="B650" s="1" t="n">
        <v>45832</v>
      </c>
      <c r="C650" s="1" t="n">
        <v>46193</v>
      </c>
      <c r="D650" t="inlineStr">
        <is>
          <t>VÄSTERBOTTENS LÄN</t>
        </is>
      </c>
      <c r="E650" t="inlineStr">
        <is>
          <t>UMEÅ</t>
        </is>
      </c>
      <c r="G650" t="n">
        <v>4</v>
      </c>
      <c r="H650" t="n">
        <v>0</v>
      </c>
      <c r="I650" t="n">
        <v>0</v>
      </c>
      <c r="J650" t="n">
        <v>0</v>
      </c>
      <c r="K650" t="n">
        <v>0</v>
      </c>
      <c r="L650" t="n">
        <v>0</v>
      </c>
      <c r="M650" t="n">
        <v>0</v>
      </c>
      <c r="N650" t="n">
        <v>0</v>
      </c>
      <c r="O650" t="n">
        <v>0</v>
      </c>
      <c r="P650" t="n">
        <v>0</v>
      </c>
      <c r="Q650" t="n">
        <v>0</v>
      </c>
      <c r="R650" s="2" t="inlineStr"/>
    </row>
    <row r="651" ht="15" customHeight="1">
      <c r="A651" t="inlineStr">
        <is>
          <t>A 56542-2025</t>
        </is>
      </c>
      <c r="B651" s="1" t="n">
        <v>45975</v>
      </c>
      <c r="C651" s="1" t="n">
        <v>46193</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31599-2025</t>
        </is>
      </c>
      <c r="B652" s="1" t="n">
        <v>45833</v>
      </c>
      <c r="C652" s="1" t="n">
        <v>46193</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27169-2026</t>
        </is>
      </c>
      <c r="B653" s="1" t="n">
        <v>46188</v>
      </c>
      <c r="C653" s="1" t="n">
        <v>46193</v>
      </c>
      <c r="D653" t="inlineStr">
        <is>
          <t>VÄSTERBOTTENS LÄN</t>
        </is>
      </c>
      <c r="E653" t="inlineStr">
        <is>
          <t>UMEÅ</t>
        </is>
      </c>
      <c r="G653" t="n">
        <v>0.6</v>
      </c>
      <c r="H653" t="n">
        <v>0</v>
      </c>
      <c r="I653" t="n">
        <v>0</v>
      </c>
      <c r="J653" t="n">
        <v>0</v>
      </c>
      <c r="K653" t="n">
        <v>0</v>
      </c>
      <c r="L653" t="n">
        <v>0</v>
      </c>
      <c r="M653" t="n">
        <v>0</v>
      </c>
      <c r="N653" t="n">
        <v>0</v>
      </c>
      <c r="O653" t="n">
        <v>0</v>
      </c>
      <c r="P653" t="n">
        <v>0</v>
      </c>
      <c r="Q653" t="n">
        <v>0</v>
      </c>
      <c r="R653" s="2" t="inlineStr"/>
    </row>
    <row r="654" ht="15" customHeight="1">
      <c r="A654" t="inlineStr">
        <is>
          <t>A 26889-2026</t>
        </is>
      </c>
      <c r="B654" s="1" t="n">
        <v>46185</v>
      </c>
      <c r="C654" s="1" t="n">
        <v>46193</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35630-2024</t>
        </is>
      </c>
      <c r="B655" s="1" t="n">
        <v>45531</v>
      </c>
      <c r="C655" s="1" t="n">
        <v>46193</v>
      </c>
      <c r="D655" t="inlineStr">
        <is>
          <t>VÄSTERBOTTENS LÄN</t>
        </is>
      </c>
      <c r="E655" t="inlineStr">
        <is>
          <t>UMEÅ</t>
        </is>
      </c>
      <c r="G655" t="n">
        <v>4.7</v>
      </c>
      <c r="H655" t="n">
        <v>0</v>
      </c>
      <c r="I655" t="n">
        <v>0</v>
      </c>
      <c r="J655" t="n">
        <v>0</v>
      </c>
      <c r="K655" t="n">
        <v>0</v>
      </c>
      <c r="L655" t="n">
        <v>0</v>
      </c>
      <c r="M655" t="n">
        <v>0</v>
      </c>
      <c r="N655" t="n">
        <v>0</v>
      </c>
      <c r="O655" t="n">
        <v>0</v>
      </c>
      <c r="P655" t="n">
        <v>0</v>
      </c>
      <c r="Q655" t="n">
        <v>0</v>
      </c>
      <c r="R655" s="2" t="inlineStr"/>
    </row>
    <row r="656" ht="15" customHeight="1">
      <c r="A656" t="inlineStr">
        <is>
          <t>A 56547-2025</t>
        </is>
      </c>
      <c r="B656" s="1" t="n">
        <v>45975</v>
      </c>
      <c r="C656" s="1" t="n">
        <v>46193</v>
      </c>
      <c r="D656" t="inlineStr">
        <is>
          <t>VÄSTERBOTTENS LÄN</t>
        </is>
      </c>
      <c r="E656" t="inlineStr">
        <is>
          <t>UMEÅ</t>
        </is>
      </c>
      <c r="G656" t="n">
        <v>6.1</v>
      </c>
      <c r="H656" t="n">
        <v>0</v>
      </c>
      <c r="I656" t="n">
        <v>0</v>
      </c>
      <c r="J656" t="n">
        <v>0</v>
      </c>
      <c r="K656" t="n">
        <v>0</v>
      </c>
      <c r="L656" t="n">
        <v>0</v>
      </c>
      <c r="M656" t="n">
        <v>0</v>
      </c>
      <c r="N656" t="n">
        <v>0</v>
      </c>
      <c r="O656" t="n">
        <v>0</v>
      </c>
      <c r="P656" t="n">
        <v>0</v>
      </c>
      <c r="Q656" t="n">
        <v>0</v>
      </c>
      <c r="R656" s="2" t="inlineStr"/>
    </row>
    <row r="657" ht="15" customHeight="1">
      <c r="A657" t="inlineStr">
        <is>
          <t>A 45770-2024</t>
        </is>
      </c>
      <c r="B657" s="1" t="n">
        <v>45579</v>
      </c>
      <c r="C657" s="1" t="n">
        <v>46193</v>
      </c>
      <c r="D657" t="inlineStr">
        <is>
          <t>VÄSTERBOTTENS LÄN</t>
        </is>
      </c>
      <c r="E657" t="inlineStr">
        <is>
          <t>UMEÅ</t>
        </is>
      </c>
      <c r="G657" t="n">
        <v>1.2</v>
      </c>
      <c r="H657" t="n">
        <v>0</v>
      </c>
      <c r="I657" t="n">
        <v>0</v>
      </c>
      <c r="J657" t="n">
        <v>0</v>
      </c>
      <c r="K657" t="n">
        <v>0</v>
      </c>
      <c r="L657" t="n">
        <v>0</v>
      </c>
      <c r="M657" t="n">
        <v>0</v>
      </c>
      <c r="N657" t="n">
        <v>0</v>
      </c>
      <c r="O657" t="n">
        <v>0</v>
      </c>
      <c r="P657" t="n">
        <v>0</v>
      </c>
      <c r="Q657" t="n">
        <v>0</v>
      </c>
      <c r="R657" s="2" t="inlineStr"/>
    </row>
    <row r="658" ht="15" customHeight="1">
      <c r="A658" t="inlineStr">
        <is>
          <t>A 56642-2025</t>
        </is>
      </c>
      <c r="B658" s="1" t="n">
        <v>45975</v>
      </c>
      <c r="C658" s="1" t="n">
        <v>46193</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27004-2026</t>
        </is>
      </c>
      <c r="B659" s="1" t="n">
        <v>46185</v>
      </c>
      <c r="C659" s="1" t="n">
        <v>46193</v>
      </c>
      <c r="D659" t="inlineStr">
        <is>
          <t>VÄSTERBOTTENS LÄN</t>
        </is>
      </c>
      <c r="E659" t="inlineStr">
        <is>
          <t>UMEÅ</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31859-2025</t>
        </is>
      </c>
      <c r="B660" s="1" t="n">
        <v>45834</v>
      </c>
      <c r="C660" s="1" t="n">
        <v>46193</v>
      </c>
      <c r="D660" t="inlineStr">
        <is>
          <t>VÄSTERBOTTENS LÄN</t>
        </is>
      </c>
      <c r="E660" t="inlineStr">
        <is>
          <t>UMEÅ</t>
        </is>
      </c>
      <c r="G660" t="n">
        <v>0.8</v>
      </c>
      <c r="H660" t="n">
        <v>0</v>
      </c>
      <c r="I660" t="n">
        <v>0</v>
      </c>
      <c r="J660" t="n">
        <v>0</v>
      </c>
      <c r="K660" t="n">
        <v>0</v>
      </c>
      <c r="L660" t="n">
        <v>0</v>
      </c>
      <c r="M660" t="n">
        <v>0</v>
      </c>
      <c r="N660" t="n">
        <v>0</v>
      </c>
      <c r="O660" t="n">
        <v>0</v>
      </c>
      <c r="P660" t="n">
        <v>0</v>
      </c>
      <c r="Q660" t="n">
        <v>0</v>
      </c>
      <c r="R660" s="2" t="inlineStr"/>
    </row>
    <row r="661" ht="15" customHeight="1">
      <c r="A661" t="inlineStr">
        <is>
          <t>A 32522-2025</t>
        </is>
      </c>
      <c r="B661" s="1" t="n">
        <v>45838</v>
      </c>
      <c r="C661" s="1" t="n">
        <v>46193</v>
      </c>
      <c r="D661" t="inlineStr">
        <is>
          <t>VÄSTERBOTTENS LÄN</t>
        </is>
      </c>
      <c r="E661" t="inlineStr">
        <is>
          <t>UMEÅ</t>
        </is>
      </c>
      <c r="G661" t="n">
        <v>3.6</v>
      </c>
      <c r="H661" t="n">
        <v>0</v>
      </c>
      <c r="I661" t="n">
        <v>0</v>
      </c>
      <c r="J661" t="n">
        <v>0</v>
      </c>
      <c r="K661" t="n">
        <v>0</v>
      </c>
      <c r="L661" t="n">
        <v>0</v>
      </c>
      <c r="M661" t="n">
        <v>0</v>
      </c>
      <c r="N661" t="n">
        <v>0</v>
      </c>
      <c r="O661" t="n">
        <v>0</v>
      </c>
      <c r="P661" t="n">
        <v>0</v>
      </c>
      <c r="Q661" t="n">
        <v>0</v>
      </c>
      <c r="R661" s="2" t="inlineStr"/>
    </row>
    <row r="662" ht="15" customHeight="1">
      <c r="A662" t="inlineStr">
        <is>
          <t>A 57551-2025</t>
        </is>
      </c>
      <c r="B662" s="1" t="n">
        <v>45980</v>
      </c>
      <c r="C662" s="1" t="n">
        <v>46193</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54150-2024</t>
        </is>
      </c>
      <c r="B663" s="1" t="n">
        <v>45616</v>
      </c>
      <c r="C663" s="1" t="n">
        <v>46193</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14407-2023</t>
        </is>
      </c>
      <c r="B664" s="1" t="n">
        <v>45012</v>
      </c>
      <c r="C664" s="1" t="n">
        <v>46193</v>
      </c>
      <c r="D664" t="inlineStr">
        <is>
          <t>VÄSTERBOTTENS LÄN</t>
        </is>
      </c>
      <c r="E664" t="inlineStr">
        <is>
          <t>UMEÅ</t>
        </is>
      </c>
      <c r="G664" t="n">
        <v>2</v>
      </c>
      <c r="H664" t="n">
        <v>0</v>
      </c>
      <c r="I664" t="n">
        <v>0</v>
      </c>
      <c r="J664" t="n">
        <v>0</v>
      </c>
      <c r="K664" t="n">
        <v>0</v>
      </c>
      <c r="L664" t="n">
        <v>0</v>
      </c>
      <c r="M664" t="n">
        <v>0</v>
      </c>
      <c r="N664" t="n">
        <v>0</v>
      </c>
      <c r="O664" t="n">
        <v>0</v>
      </c>
      <c r="P664" t="n">
        <v>0</v>
      </c>
      <c r="Q664" t="n">
        <v>0</v>
      </c>
      <c r="R664" s="2" t="inlineStr"/>
    </row>
    <row r="665" ht="15" customHeight="1">
      <c r="A665" t="inlineStr">
        <is>
          <t>A 57374-2025</t>
        </is>
      </c>
      <c r="B665" s="1" t="n">
        <v>45980</v>
      </c>
      <c r="C665" s="1" t="n">
        <v>46193</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19831-2025</t>
        </is>
      </c>
      <c r="B666" s="1" t="n">
        <v>45771</v>
      </c>
      <c r="C666" s="1" t="n">
        <v>46193</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5280-2025</t>
        </is>
      </c>
      <c r="B667" s="1" t="n">
        <v>45692</v>
      </c>
      <c r="C667" s="1" t="n">
        <v>46193</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10587-2023</t>
        </is>
      </c>
      <c r="B668" s="1" t="n">
        <v>44984</v>
      </c>
      <c r="C668" s="1" t="n">
        <v>46193</v>
      </c>
      <c r="D668" t="inlineStr">
        <is>
          <t>VÄSTERBOTTENS LÄN</t>
        </is>
      </c>
      <c r="E668" t="inlineStr">
        <is>
          <t>UMEÅ</t>
        </is>
      </c>
      <c r="G668" t="n">
        <v>2</v>
      </c>
      <c r="H668" t="n">
        <v>0</v>
      </c>
      <c r="I668" t="n">
        <v>0</v>
      </c>
      <c r="J668" t="n">
        <v>0</v>
      </c>
      <c r="K668" t="n">
        <v>0</v>
      </c>
      <c r="L668" t="n">
        <v>0</v>
      </c>
      <c r="M668" t="n">
        <v>0</v>
      </c>
      <c r="N668" t="n">
        <v>0</v>
      </c>
      <c r="O668" t="n">
        <v>0</v>
      </c>
      <c r="P668" t="n">
        <v>0</v>
      </c>
      <c r="Q668" t="n">
        <v>0</v>
      </c>
      <c r="R668" s="2" t="inlineStr"/>
    </row>
    <row r="669" ht="15" customHeight="1">
      <c r="A669" t="inlineStr">
        <is>
          <t>A 27314-2026</t>
        </is>
      </c>
      <c r="B669" s="1" t="n">
        <v>46188</v>
      </c>
      <c r="C669" s="1" t="n">
        <v>46193</v>
      </c>
      <c r="D669" t="inlineStr">
        <is>
          <t>VÄSTERBOTTENS LÄN</t>
        </is>
      </c>
      <c r="E669" t="inlineStr">
        <is>
          <t>UMEÅ</t>
        </is>
      </c>
      <c r="F669" t="inlineStr">
        <is>
          <t>Holmen skog AB</t>
        </is>
      </c>
      <c r="G669" t="n">
        <v>3.5</v>
      </c>
      <c r="H669" t="n">
        <v>0</v>
      </c>
      <c r="I669" t="n">
        <v>0</v>
      </c>
      <c r="J669" t="n">
        <v>0</v>
      </c>
      <c r="K669" t="n">
        <v>0</v>
      </c>
      <c r="L669" t="n">
        <v>0</v>
      </c>
      <c r="M669" t="n">
        <v>0</v>
      </c>
      <c r="N669" t="n">
        <v>0</v>
      </c>
      <c r="O669" t="n">
        <v>0</v>
      </c>
      <c r="P669" t="n">
        <v>0</v>
      </c>
      <c r="Q669" t="n">
        <v>0</v>
      </c>
      <c r="R669" s="2" t="inlineStr"/>
    </row>
    <row r="670" ht="15" customHeight="1">
      <c r="A670" t="inlineStr">
        <is>
          <t>A 33198-2025</t>
        </is>
      </c>
      <c r="B670" s="1" t="n">
        <v>45840</v>
      </c>
      <c r="C670" s="1" t="n">
        <v>46193</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33210-2025</t>
        </is>
      </c>
      <c r="B671" s="1" t="n">
        <v>45840</v>
      </c>
      <c r="C671" s="1" t="n">
        <v>46193</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21158-2026</t>
        </is>
      </c>
      <c r="B672" s="1" t="n">
        <v>46146</v>
      </c>
      <c r="C672" s="1" t="n">
        <v>46193</v>
      </c>
      <c r="D672" t="inlineStr">
        <is>
          <t>VÄSTERBOTTENS LÄN</t>
        </is>
      </c>
      <c r="E672" t="inlineStr">
        <is>
          <t>UMEÅ</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16903-2025</t>
        </is>
      </c>
      <c r="B673" s="1" t="n">
        <v>45755</v>
      </c>
      <c r="C673" s="1" t="n">
        <v>46193</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58080-2025</t>
        </is>
      </c>
      <c r="B674" s="1" t="n">
        <v>45982</v>
      </c>
      <c r="C674" s="1" t="n">
        <v>46193</v>
      </c>
      <c r="D674" t="inlineStr">
        <is>
          <t>VÄSTERBOTTENS LÄN</t>
        </is>
      </c>
      <c r="E674" t="inlineStr">
        <is>
          <t>UMEÅ</t>
        </is>
      </c>
      <c r="G674" t="n">
        <v>2.4</v>
      </c>
      <c r="H674" t="n">
        <v>0</v>
      </c>
      <c r="I674" t="n">
        <v>0</v>
      </c>
      <c r="J674" t="n">
        <v>0</v>
      </c>
      <c r="K674" t="n">
        <v>0</v>
      </c>
      <c r="L674" t="n">
        <v>0</v>
      </c>
      <c r="M674" t="n">
        <v>0</v>
      </c>
      <c r="N674" t="n">
        <v>0</v>
      </c>
      <c r="O674" t="n">
        <v>0</v>
      </c>
      <c r="P674" t="n">
        <v>0</v>
      </c>
      <c r="Q674" t="n">
        <v>0</v>
      </c>
      <c r="R674" s="2" t="inlineStr"/>
    </row>
    <row r="675" ht="15" customHeight="1">
      <c r="A675" t="inlineStr">
        <is>
          <t>A 17945-2023</t>
        </is>
      </c>
      <c r="B675" s="1" t="n">
        <v>45037</v>
      </c>
      <c r="C675" s="1" t="n">
        <v>46193</v>
      </c>
      <c r="D675" t="inlineStr">
        <is>
          <t>VÄSTERBOTTENS LÄN</t>
        </is>
      </c>
      <c r="E675" t="inlineStr">
        <is>
          <t>UMEÅ</t>
        </is>
      </c>
      <c r="F675" t="inlineStr">
        <is>
          <t>Kommuner</t>
        </is>
      </c>
      <c r="G675" t="n">
        <v>5.7</v>
      </c>
      <c r="H675" t="n">
        <v>0</v>
      </c>
      <c r="I675" t="n">
        <v>0</v>
      </c>
      <c r="J675" t="n">
        <v>0</v>
      </c>
      <c r="K675" t="n">
        <v>0</v>
      </c>
      <c r="L675" t="n">
        <v>0</v>
      </c>
      <c r="M675" t="n">
        <v>0</v>
      </c>
      <c r="N675" t="n">
        <v>0</v>
      </c>
      <c r="O675" t="n">
        <v>0</v>
      </c>
      <c r="P675" t="n">
        <v>0</v>
      </c>
      <c r="Q675" t="n">
        <v>0</v>
      </c>
      <c r="R675" s="2" t="inlineStr"/>
    </row>
    <row r="676" ht="15" customHeight="1">
      <c r="A676" t="inlineStr">
        <is>
          <t>A 18861-2024</t>
        </is>
      </c>
      <c r="B676" s="1" t="n">
        <v>45426</v>
      </c>
      <c r="C676" s="1" t="n">
        <v>46193</v>
      </c>
      <c r="D676" t="inlineStr">
        <is>
          <t>VÄSTERBOTTENS LÄN</t>
        </is>
      </c>
      <c r="E676" t="inlineStr">
        <is>
          <t>UMEÅ</t>
        </is>
      </c>
      <c r="G676" t="n">
        <v>7.4</v>
      </c>
      <c r="H676" t="n">
        <v>0</v>
      </c>
      <c r="I676" t="n">
        <v>0</v>
      </c>
      <c r="J676" t="n">
        <v>0</v>
      </c>
      <c r="K676" t="n">
        <v>0</v>
      </c>
      <c r="L676" t="n">
        <v>0</v>
      </c>
      <c r="M676" t="n">
        <v>0</v>
      </c>
      <c r="N676" t="n">
        <v>0</v>
      </c>
      <c r="O676" t="n">
        <v>0</v>
      </c>
      <c r="P676" t="n">
        <v>0</v>
      </c>
      <c r="Q676" t="n">
        <v>0</v>
      </c>
      <c r="R676" s="2" t="inlineStr"/>
    </row>
    <row r="677" ht="15" customHeight="1">
      <c r="A677" t="inlineStr">
        <is>
          <t>A 30053-2025</t>
        </is>
      </c>
      <c r="B677" s="1" t="n">
        <v>45826</v>
      </c>
      <c r="C677" s="1" t="n">
        <v>46193</v>
      </c>
      <c r="D677" t="inlineStr">
        <is>
          <t>VÄSTERBOTTENS LÄN</t>
        </is>
      </c>
      <c r="E677" t="inlineStr">
        <is>
          <t>UMEÅ</t>
        </is>
      </c>
      <c r="G677" t="n">
        <v>5.5</v>
      </c>
      <c r="H677" t="n">
        <v>0</v>
      </c>
      <c r="I677" t="n">
        <v>0</v>
      </c>
      <c r="J677" t="n">
        <v>0</v>
      </c>
      <c r="K677" t="n">
        <v>0</v>
      </c>
      <c r="L677" t="n">
        <v>0</v>
      </c>
      <c r="M677" t="n">
        <v>0</v>
      </c>
      <c r="N677" t="n">
        <v>0</v>
      </c>
      <c r="O677" t="n">
        <v>0</v>
      </c>
      <c r="P677" t="n">
        <v>0</v>
      </c>
      <c r="Q677" t="n">
        <v>0</v>
      </c>
      <c r="R677" s="2" t="inlineStr"/>
    </row>
    <row r="678" ht="15" customHeight="1">
      <c r="A678" t="inlineStr">
        <is>
          <t>A 58028-2025</t>
        </is>
      </c>
      <c r="B678" s="1" t="n">
        <v>45982</v>
      </c>
      <c r="C678" s="1" t="n">
        <v>46193</v>
      </c>
      <c r="D678" t="inlineStr">
        <is>
          <t>VÄSTERBOTTENS LÄN</t>
        </is>
      </c>
      <c r="E678" t="inlineStr">
        <is>
          <t>UMEÅ</t>
        </is>
      </c>
      <c r="G678" t="n">
        <v>3.4</v>
      </c>
      <c r="H678" t="n">
        <v>0</v>
      </c>
      <c r="I678" t="n">
        <v>0</v>
      </c>
      <c r="J678" t="n">
        <v>0</v>
      </c>
      <c r="K678" t="n">
        <v>0</v>
      </c>
      <c r="L678" t="n">
        <v>0</v>
      </c>
      <c r="M678" t="n">
        <v>0</v>
      </c>
      <c r="N678" t="n">
        <v>0</v>
      </c>
      <c r="O678" t="n">
        <v>0</v>
      </c>
      <c r="P678" t="n">
        <v>0</v>
      </c>
      <c r="Q678" t="n">
        <v>0</v>
      </c>
      <c r="R678" s="2" t="inlineStr"/>
    </row>
    <row r="679" ht="15" customHeight="1">
      <c r="A679" t="inlineStr">
        <is>
          <t>A 57779-2025</t>
        </is>
      </c>
      <c r="B679" s="1" t="n">
        <v>45981</v>
      </c>
      <c r="C679" s="1" t="n">
        <v>46193</v>
      </c>
      <c r="D679" t="inlineStr">
        <is>
          <t>VÄSTERBOTTENS LÄN</t>
        </is>
      </c>
      <c r="E679" t="inlineStr">
        <is>
          <t>UMEÅ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57998-2025</t>
        </is>
      </c>
      <c r="B680" s="1" t="n">
        <v>45982</v>
      </c>
      <c r="C680" s="1" t="n">
        <v>46193</v>
      </c>
      <c r="D680" t="inlineStr">
        <is>
          <t>VÄSTERBOTTENS LÄN</t>
        </is>
      </c>
      <c r="E680" t="inlineStr">
        <is>
          <t>UMEÅ</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v>
      </c>
      <c r="C681" s="1" t="n">
        <v>46193</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58088-2025</t>
        </is>
      </c>
      <c r="B682" s="1" t="n">
        <v>45982</v>
      </c>
      <c r="C682" s="1" t="n">
        <v>46193</v>
      </c>
      <c r="D682" t="inlineStr">
        <is>
          <t>VÄSTERBOTTENS LÄN</t>
        </is>
      </c>
      <c r="E682" t="inlineStr">
        <is>
          <t>UMEÅ</t>
        </is>
      </c>
      <c r="G682" t="n">
        <v>2.2</v>
      </c>
      <c r="H682" t="n">
        <v>0</v>
      </c>
      <c r="I682" t="n">
        <v>0</v>
      </c>
      <c r="J682" t="n">
        <v>0</v>
      </c>
      <c r="K682" t="n">
        <v>0</v>
      </c>
      <c r="L682" t="n">
        <v>0</v>
      </c>
      <c r="M682" t="n">
        <v>0</v>
      </c>
      <c r="N682" t="n">
        <v>0</v>
      </c>
      <c r="O682" t="n">
        <v>0</v>
      </c>
      <c r="P682" t="n">
        <v>0</v>
      </c>
      <c r="Q682" t="n">
        <v>0</v>
      </c>
      <c r="R682" s="2" t="inlineStr"/>
    </row>
    <row r="683" ht="15" customHeight="1">
      <c r="A683" t="inlineStr">
        <is>
          <t>A 33795-2025</t>
        </is>
      </c>
      <c r="B683" s="1" t="n">
        <v>45842</v>
      </c>
      <c r="C683" s="1" t="n">
        <v>46193</v>
      </c>
      <c r="D683" t="inlineStr">
        <is>
          <t>VÄSTERBOTTENS LÄN</t>
        </is>
      </c>
      <c r="E683" t="inlineStr">
        <is>
          <t>UMEÅ</t>
        </is>
      </c>
      <c r="G683" t="n">
        <v>1</v>
      </c>
      <c r="H683" t="n">
        <v>0</v>
      </c>
      <c r="I683" t="n">
        <v>0</v>
      </c>
      <c r="J683" t="n">
        <v>0</v>
      </c>
      <c r="K683" t="n">
        <v>0</v>
      </c>
      <c r="L683" t="n">
        <v>0</v>
      </c>
      <c r="M683" t="n">
        <v>0</v>
      </c>
      <c r="N683" t="n">
        <v>0</v>
      </c>
      <c r="O683" t="n">
        <v>0</v>
      </c>
      <c r="P683" t="n">
        <v>0</v>
      </c>
      <c r="Q683" t="n">
        <v>0</v>
      </c>
      <c r="R683" s="2" t="inlineStr"/>
    </row>
    <row r="684" ht="15" customHeight="1">
      <c r="A684" t="inlineStr">
        <is>
          <t>A 56083-2024</t>
        </is>
      </c>
      <c r="B684" s="1" t="n">
        <v>45623</v>
      </c>
      <c r="C684" s="1" t="n">
        <v>46193</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58699-2025</t>
        </is>
      </c>
      <c r="B685" s="1" t="n">
        <v>45986</v>
      </c>
      <c r="C685" s="1" t="n">
        <v>46193</v>
      </c>
      <c r="D685" t="inlineStr">
        <is>
          <t>VÄSTERBOTTENS LÄN</t>
        </is>
      </c>
      <c r="E685" t="inlineStr">
        <is>
          <t>UMEÅ</t>
        </is>
      </c>
      <c r="F685" t="inlineStr">
        <is>
          <t>Sveaskog</t>
        </is>
      </c>
      <c r="G685" t="n">
        <v>3.8</v>
      </c>
      <c r="H685" t="n">
        <v>0</v>
      </c>
      <c r="I685" t="n">
        <v>0</v>
      </c>
      <c r="J685" t="n">
        <v>0</v>
      </c>
      <c r="K685" t="n">
        <v>0</v>
      </c>
      <c r="L685" t="n">
        <v>0</v>
      </c>
      <c r="M685" t="n">
        <v>0</v>
      </c>
      <c r="N685" t="n">
        <v>0</v>
      </c>
      <c r="O685" t="n">
        <v>0</v>
      </c>
      <c r="P685" t="n">
        <v>0</v>
      </c>
      <c r="Q685" t="n">
        <v>0</v>
      </c>
      <c r="R685" s="2" t="inlineStr"/>
    </row>
    <row r="686" ht="15" customHeight="1">
      <c r="A686" t="inlineStr">
        <is>
          <t>A 34991-2023</t>
        </is>
      </c>
      <c r="B686" s="1" t="n">
        <v>45142</v>
      </c>
      <c r="C686" s="1" t="n">
        <v>46193</v>
      </c>
      <c r="D686" t="inlineStr">
        <is>
          <t>VÄSTERBOTTENS LÄN</t>
        </is>
      </c>
      <c r="E686" t="inlineStr">
        <is>
          <t>UMEÅ</t>
        </is>
      </c>
      <c r="G686" t="n">
        <v>6.9</v>
      </c>
      <c r="H686" t="n">
        <v>0</v>
      </c>
      <c r="I686" t="n">
        <v>0</v>
      </c>
      <c r="J686" t="n">
        <v>0</v>
      </c>
      <c r="K686" t="n">
        <v>0</v>
      </c>
      <c r="L686" t="n">
        <v>0</v>
      </c>
      <c r="M686" t="n">
        <v>0</v>
      </c>
      <c r="N686" t="n">
        <v>0</v>
      </c>
      <c r="O686" t="n">
        <v>0</v>
      </c>
      <c r="P686" t="n">
        <v>0</v>
      </c>
      <c r="Q686" t="n">
        <v>0</v>
      </c>
      <c r="R686" s="2" t="inlineStr"/>
    </row>
    <row r="687" ht="15" customHeight="1">
      <c r="A687" t="inlineStr">
        <is>
          <t>A 58608-2025</t>
        </is>
      </c>
      <c r="B687" s="1" t="n">
        <v>45986</v>
      </c>
      <c r="C687" s="1" t="n">
        <v>46193</v>
      </c>
      <c r="D687" t="inlineStr">
        <is>
          <t>VÄSTERBOTTENS LÄN</t>
        </is>
      </c>
      <c r="E687" t="inlineStr">
        <is>
          <t>UMEÅ</t>
        </is>
      </c>
      <c r="G687" t="n">
        <v>2.5</v>
      </c>
      <c r="H687" t="n">
        <v>0</v>
      </c>
      <c r="I687" t="n">
        <v>0</v>
      </c>
      <c r="J687" t="n">
        <v>0</v>
      </c>
      <c r="K687" t="n">
        <v>0</v>
      </c>
      <c r="L687" t="n">
        <v>0</v>
      </c>
      <c r="M687" t="n">
        <v>0</v>
      </c>
      <c r="N687" t="n">
        <v>0</v>
      </c>
      <c r="O687" t="n">
        <v>0</v>
      </c>
      <c r="P687" t="n">
        <v>0</v>
      </c>
      <c r="Q687" t="n">
        <v>0</v>
      </c>
      <c r="R687" s="2" t="inlineStr"/>
    </row>
    <row r="688" ht="15" customHeight="1">
      <c r="A688" t="inlineStr">
        <is>
          <t>A 28860-2024</t>
        </is>
      </c>
      <c r="B688" s="1" t="n">
        <v>45478</v>
      </c>
      <c r="C688" s="1" t="n">
        <v>46193</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34290-2025</t>
        </is>
      </c>
      <c r="B689" s="1" t="n">
        <v>45846</v>
      </c>
      <c r="C689" s="1" t="n">
        <v>46193</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58309-2025</t>
        </is>
      </c>
      <c r="B690" s="1" t="n">
        <v>45985</v>
      </c>
      <c r="C690" s="1" t="n">
        <v>46193</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47171-2024</t>
        </is>
      </c>
      <c r="B691" s="1" t="n">
        <v>45586</v>
      </c>
      <c r="C691" s="1" t="n">
        <v>46193</v>
      </c>
      <c r="D691" t="inlineStr">
        <is>
          <t>VÄSTERBOTTENS LÄN</t>
        </is>
      </c>
      <c r="E691" t="inlineStr">
        <is>
          <t>UMEÅ</t>
        </is>
      </c>
      <c r="F691" t="inlineStr">
        <is>
          <t>Holmen skog AB</t>
        </is>
      </c>
      <c r="G691" t="n">
        <v>5.2</v>
      </c>
      <c r="H691" t="n">
        <v>0</v>
      </c>
      <c r="I691" t="n">
        <v>0</v>
      </c>
      <c r="J691" t="n">
        <v>0</v>
      </c>
      <c r="K691" t="n">
        <v>0</v>
      </c>
      <c r="L691" t="n">
        <v>0</v>
      </c>
      <c r="M691" t="n">
        <v>0</v>
      </c>
      <c r="N691" t="n">
        <v>0</v>
      </c>
      <c r="O691" t="n">
        <v>0</v>
      </c>
      <c r="P691" t="n">
        <v>0</v>
      </c>
      <c r="Q691" t="n">
        <v>0</v>
      </c>
      <c r="R691" s="2" t="inlineStr"/>
    </row>
    <row r="692" ht="15" customHeight="1">
      <c r="A692" t="inlineStr">
        <is>
          <t>A 59168-2025</t>
        </is>
      </c>
      <c r="B692" s="1" t="n">
        <v>45988</v>
      </c>
      <c r="C692" s="1" t="n">
        <v>46193</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43976-2024</t>
        </is>
      </c>
      <c r="B693" s="1" t="n">
        <v>45572</v>
      </c>
      <c r="C693" s="1" t="n">
        <v>46193</v>
      </c>
      <c r="D693" t="inlineStr">
        <is>
          <t>VÄSTERBOTTENS LÄN</t>
        </is>
      </c>
      <c r="E693" t="inlineStr">
        <is>
          <t>UMEÅ</t>
        </is>
      </c>
      <c r="G693" t="n">
        <v>0.5</v>
      </c>
      <c r="H693" t="n">
        <v>0</v>
      </c>
      <c r="I693" t="n">
        <v>0</v>
      </c>
      <c r="J693" t="n">
        <v>0</v>
      </c>
      <c r="K693" t="n">
        <v>0</v>
      </c>
      <c r="L693" t="n">
        <v>0</v>
      </c>
      <c r="M693" t="n">
        <v>0</v>
      </c>
      <c r="N693" t="n">
        <v>0</v>
      </c>
      <c r="O693" t="n">
        <v>0</v>
      </c>
      <c r="P693" t="n">
        <v>0</v>
      </c>
      <c r="Q693" t="n">
        <v>0</v>
      </c>
      <c r="R693" s="2" t="inlineStr"/>
    </row>
    <row r="694" ht="15" customHeight="1">
      <c r="A694" t="inlineStr">
        <is>
          <t>A 43977-2024</t>
        </is>
      </c>
      <c r="B694" s="1" t="n">
        <v>45572</v>
      </c>
      <c r="C694" s="1" t="n">
        <v>46193</v>
      </c>
      <c r="D694" t="inlineStr">
        <is>
          <t>VÄSTERBOTTENS LÄN</t>
        </is>
      </c>
      <c r="E694" t="inlineStr">
        <is>
          <t>UMEÅ</t>
        </is>
      </c>
      <c r="G694" t="n">
        <v>3.3</v>
      </c>
      <c r="H694" t="n">
        <v>0</v>
      </c>
      <c r="I694" t="n">
        <v>0</v>
      </c>
      <c r="J694" t="n">
        <v>0</v>
      </c>
      <c r="K694" t="n">
        <v>0</v>
      </c>
      <c r="L694" t="n">
        <v>0</v>
      </c>
      <c r="M694" t="n">
        <v>0</v>
      </c>
      <c r="N694" t="n">
        <v>0</v>
      </c>
      <c r="O694" t="n">
        <v>0</v>
      </c>
      <c r="P694" t="n">
        <v>0</v>
      </c>
      <c r="Q694" t="n">
        <v>0</v>
      </c>
      <c r="R694" s="2" t="inlineStr"/>
    </row>
    <row r="695" ht="15" customHeight="1">
      <c r="A695" t="inlineStr">
        <is>
          <t>A 17989-2023</t>
        </is>
      </c>
      <c r="B695" s="1" t="n">
        <v>45040</v>
      </c>
      <c r="C695" s="1" t="n">
        <v>46193</v>
      </c>
      <c r="D695" t="inlineStr">
        <is>
          <t>VÄSTERBOTTENS LÄN</t>
        </is>
      </c>
      <c r="E695" t="inlineStr">
        <is>
          <t>UMEÅ</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64355-2021</t>
        </is>
      </c>
      <c r="B696" s="1" t="n">
        <v>44511</v>
      </c>
      <c r="C696" s="1" t="n">
        <v>46193</v>
      </c>
      <c r="D696" t="inlineStr">
        <is>
          <t>VÄSTERBOTTENS LÄN</t>
        </is>
      </c>
      <c r="E696" t="inlineStr">
        <is>
          <t>UMEÅ</t>
        </is>
      </c>
      <c r="G696" t="n">
        <v>2.3</v>
      </c>
      <c r="H696" t="n">
        <v>0</v>
      </c>
      <c r="I696" t="n">
        <v>0</v>
      </c>
      <c r="J696" t="n">
        <v>0</v>
      </c>
      <c r="K696" t="n">
        <v>0</v>
      </c>
      <c r="L696" t="n">
        <v>0</v>
      </c>
      <c r="M696" t="n">
        <v>0</v>
      </c>
      <c r="N696" t="n">
        <v>0</v>
      </c>
      <c r="O696" t="n">
        <v>0</v>
      </c>
      <c r="P696" t="n">
        <v>0</v>
      </c>
      <c r="Q696" t="n">
        <v>0</v>
      </c>
      <c r="R696" s="2" t="inlineStr"/>
    </row>
    <row r="697" ht="15" customHeight="1">
      <c r="A697" t="inlineStr">
        <is>
          <t>A 54152-2024</t>
        </is>
      </c>
      <c r="B697" s="1" t="n">
        <v>45616</v>
      </c>
      <c r="C697" s="1" t="n">
        <v>46193</v>
      </c>
      <c r="D697" t="inlineStr">
        <is>
          <t>VÄSTERBOTTENS LÄN</t>
        </is>
      </c>
      <c r="E697" t="inlineStr">
        <is>
          <t>UMEÅ</t>
        </is>
      </c>
      <c r="G697" t="n">
        <v>0.4</v>
      </c>
      <c r="H697" t="n">
        <v>0</v>
      </c>
      <c r="I697" t="n">
        <v>0</v>
      </c>
      <c r="J697" t="n">
        <v>0</v>
      </c>
      <c r="K697" t="n">
        <v>0</v>
      </c>
      <c r="L697" t="n">
        <v>0</v>
      </c>
      <c r="M697" t="n">
        <v>0</v>
      </c>
      <c r="N697" t="n">
        <v>0</v>
      </c>
      <c r="O697" t="n">
        <v>0</v>
      </c>
      <c r="P697" t="n">
        <v>0</v>
      </c>
      <c r="Q697" t="n">
        <v>0</v>
      </c>
      <c r="R697" s="2" t="inlineStr"/>
    </row>
    <row r="698" ht="15" customHeight="1">
      <c r="A698" t="inlineStr">
        <is>
          <t>A 59344-2025</t>
        </is>
      </c>
      <c r="B698" s="1" t="n">
        <v>45989</v>
      </c>
      <c r="C698" s="1" t="n">
        <v>46193</v>
      </c>
      <c r="D698" t="inlineStr">
        <is>
          <t>VÄSTERBOTTENS LÄN</t>
        </is>
      </c>
      <c r="E698" t="inlineStr">
        <is>
          <t>UMEÅ</t>
        </is>
      </c>
      <c r="G698" t="n">
        <v>0.3</v>
      </c>
      <c r="H698" t="n">
        <v>0</v>
      </c>
      <c r="I698" t="n">
        <v>0</v>
      </c>
      <c r="J698" t="n">
        <v>0</v>
      </c>
      <c r="K698" t="n">
        <v>0</v>
      </c>
      <c r="L698" t="n">
        <v>0</v>
      </c>
      <c r="M698" t="n">
        <v>0</v>
      </c>
      <c r="N698" t="n">
        <v>0</v>
      </c>
      <c r="O698" t="n">
        <v>0</v>
      </c>
      <c r="P698" t="n">
        <v>0</v>
      </c>
      <c r="Q698" t="n">
        <v>0</v>
      </c>
      <c r="R698" s="2" t="inlineStr"/>
    </row>
    <row r="699" ht="15" customHeight="1">
      <c r="A699" t="inlineStr">
        <is>
          <t>A 31311-2023</t>
        </is>
      </c>
      <c r="B699" s="1" t="n">
        <v>45104</v>
      </c>
      <c r="C699" s="1" t="n">
        <v>46193</v>
      </c>
      <c r="D699" t="inlineStr">
        <is>
          <t>VÄSTERBOTTENS LÄN</t>
        </is>
      </c>
      <c r="E699" t="inlineStr">
        <is>
          <t>UMEÅ</t>
        </is>
      </c>
      <c r="G699" t="n">
        <v>3.2</v>
      </c>
      <c r="H699" t="n">
        <v>0</v>
      </c>
      <c r="I699" t="n">
        <v>0</v>
      </c>
      <c r="J699" t="n">
        <v>0</v>
      </c>
      <c r="K699" t="n">
        <v>0</v>
      </c>
      <c r="L699" t="n">
        <v>0</v>
      </c>
      <c r="M699" t="n">
        <v>0</v>
      </c>
      <c r="N699" t="n">
        <v>0</v>
      </c>
      <c r="O699" t="n">
        <v>0</v>
      </c>
      <c r="P699" t="n">
        <v>0</v>
      </c>
      <c r="Q699" t="n">
        <v>0</v>
      </c>
      <c r="R699" s="2" t="inlineStr"/>
    </row>
    <row r="700" ht="15" customHeight="1">
      <c r="A700" t="inlineStr">
        <is>
          <t>A 59734-2025</t>
        </is>
      </c>
      <c r="B700" s="1" t="n">
        <v>45992</v>
      </c>
      <c r="C700" s="1" t="n">
        <v>46193</v>
      </c>
      <c r="D700" t="inlineStr">
        <is>
          <t>VÄSTERBOTTENS LÄN</t>
        </is>
      </c>
      <c r="E700" t="inlineStr">
        <is>
          <t>UMEÅ</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48448-2024</t>
        </is>
      </c>
      <c r="B701" s="1" t="n">
        <v>45590</v>
      </c>
      <c r="C701" s="1" t="n">
        <v>46193</v>
      </c>
      <c r="D701" t="inlineStr">
        <is>
          <t>VÄSTERBOTTENS LÄN</t>
        </is>
      </c>
      <c r="E701" t="inlineStr">
        <is>
          <t>UMEÅ</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1502-2025</t>
        </is>
      </c>
      <c r="B702" s="1" t="n">
        <v>45670</v>
      </c>
      <c r="C702" s="1" t="n">
        <v>46193</v>
      </c>
      <c r="D702" t="inlineStr">
        <is>
          <t>VÄSTERBOTTENS LÄN</t>
        </is>
      </c>
      <c r="E702" t="inlineStr">
        <is>
          <t>UMEÅ</t>
        </is>
      </c>
      <c r="G702" t="n">
        <v>8.9</v>
      </c>
      <c r="H702" t="n">
        <v>0</v>
      </c>
      <c r="I702" t="n">
        <v>0</v>
      </c>
      <c r="J702" t="n">
        <v>0</v>
      </c>
      <c r="K702" t="n">
        <v>0</v>
      </c>
      <c r="L702" t="n">
        <v>0</v>
      </c>
      <c r="M702" t="n">
        <v>0</v>
      </c>
      <c r="N702" t="n">
        <v>0</v>
      </c>
      <c r="O702" t="n">
        <v>0</v>
      </c>
      <c r="P702" t="n">
        <v>0</v>
      </c>
      <c r="Q702" t="n">
        <v>0</v>
      </c>
      <c r="R702" s="2" t="inlineStr"/>
    </row>
    <row r="703" ht="15" customHeight="1">
      <c r="A703" t="inlineStr">
        <is>
          <t>A 59753-2025</t>
        </is>
      </c>
      <c r="B703" s="1" t="n">
        <v>45992</v>
      </c>
      <c r="C703" s="1" t="n">
        <v>46193</v>
      </c>
      <c r="D703" t="inlineStr">
        <is>
          <t>VÄSTERBOTTENS LÄN</t>
        </is>
      </c>
      <c r="E703" t="inlineStr">
        <is>
          <t>UMEÅ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59760-2025</t>
        </is>
      </c>
      <c r="B704" s="1" t="n">
        <v>45992</v>
      </c>
      <c r="C704" s="1" t="n">
        <v>46193</v>
      </c>
      <c r="D704" t="inlineStr">
        <is>
          <t>VÄSTERBOTTENS LÄN</t>
        </is>
      </c>
      <c r="E704" t="inlineStr">
        <is>
          <t>UMEÅ</t>
        </is>
      </c>
      <c r="G704" t="n">
        <v>2.6</v>
      </c>
      <c r="H704" t="n">
        <v>0</v>
      </c>
      <c r="I704" t="n">
        <v>0</v>
      </c>
      <c r="J704" t="n">
        <v>0</v>
      </c>
      <c r="K704" t="n">
        <v>0</v>
      </c>
      <c r="L704" t="n">
        <v>0</v>
      </c>
      <c r="M704" t="n">
        <v>0</v>
      </c>
      <c r="N704" t="n">
        <v>0</v>
      </c>
      <c r="O704" t="n">
        <v>0</v>
      </c>
      <c r="P704" t="n">
        <v>0</v>
      </c>
      <c r="Q704" t="n">
        <v>0</v>
      </c>
      <c r="R704" s="2" t="inlineStr"/>
    </row>
    <row r="705" ht="15" customHeight="1">
      <c r="A705" t="inlineStr">
        <is>
          <t>A 27084-2026</t>
        </is>
      </c>
      <c r="B705" s="1" t="n">
        <v>46187</v>
      </c>
      <c r="C705" s="1" t="n">
        <v>46193</v>
      </c>
      <c r="D705" t="inlineStr">
        <is>
          <t>VÄSTERBOTTENS LÄN</t>
        </is>
      </c>
      <c r="E705" t="inlineStr">
        <is>
          <t>UMEÅ</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22912-2025</t>
        </is>
      </c>
      <c r="B706" s="1" t="n">
        <v>45790</v>
      </c>
      <c r="C706" s="1" t="n">
        <v>46193</v>
      </c>
      <c r="D706" t="inlineStr">
        <is>
          <t>VÄSTERBOTTENS LÄN</t>
        </is>
      </c>
      <c r="E706" t="inlineStr">
        <is>
          <t>UMEÅ</t>
        </is>
      </c>
      <c r="G706" t="n">
        <v>2.4</v>
      </c>
      <c r="H706" t="n">
        <v>0</v>
      </c>
      <c r="I706" t="n">
        <v>0</v>
      </c>
      <c r="J706" t="n">
        <v>0</v>
      </c>
      <c r="K706" t="n">
        <v>0</v>
      </c>
      <c r="L706" t="n">
        <v>0</v>
      </c>
      <c r="M706" t="n">
        <v>0</v>
      </c>
      <c r="N706" t="n">
        <v>0</v>
      </c>
      <c r="O706" t="n">
        <v>0</v>
      </c>
      <c r="P706" t="n">
        <v>0</v>
      </c>
      <c r="Q706" t="n">
        <v>0</v>
      </c>
      <c r="R706" s="2" t="inlineStr"/>
    </row>
    <row r="707" ht="15" customHeight="1">
      <c r="A707" t="inlineStr">
        <is>
          <t>A 21188-2026</t>
        </is>
      </c>
      <c r="B707" s="1" t="n">
        <v>46146</v>
      </c>
      <c r="C707" s="1" t="n">
        <v>46193</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59982-2025</t>
        </is>
      </c>
      <c r="B708" s="1" t="n">
        <v>45993</v>
      </c>
      <c r="C708" s="1" t="n">
        <v>46193</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60074-2025</t>
        </is>
      </c>
      <c r="B709" s="1" t="n">
        <v>45993</v>
      </c>
      <c r="C709" s="1" t="n">
        <v>46193</v>
      </c>
      <c r="D709" t="inlineStr">
        <is>
          <t>VÄSTERBOTTENS LÄN</t>
        </is>
      </c>
      <c r="E709" t="inlineStr">
        <is>
          <t>UMEÅ</t>
        </is>
      </c>
      <c r="G709" t="n">
        <v>9.9</v>
      </c>
      <c r="H709" t="n">
        <v>0</v>
      </c>
      <c r="I709" t="n">
        <v>0</v>
      </c>
      <c r="J709" t="n">
        <v>0</v>
      </c>
      <c r="K709" t="n">
        <v>0</v>
      </c>
      <c r="L709" t="n">
        <v>0</v>
      </c>
      <c r="M709" t="n">
        <v>0</v>
      </c>
      <c r="N709" t="n">
        <v>0</v>
      </c>
      <c r="O709" t="n">
        <v>0</v>
      </c>
      <c r="P709" t="n">
        <v>0</v>
      </c>
      <c r="Q709" t="n">
        <v>0</v>
      </c>
      <c r="R709" s="2" t="inlineStr"/>
    </row>
    <row r="710" ht="15" customHeight="1">
      <c r="A710" t="inlineStr">
        <is>
          <t>A 60088-2025</t>
        </is>
      </c>
      <c r="B710" s="1" t="n">
        <v>45993</v>
      </c>
      <c r="C710" s="1" t="n">
        <v>46193</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35625-2024</t>
        </is>
      </c>
      <c r="B711" s="1" t="n">
        <v>45531</v>
      </c>
      <c r="C711" s="1" t="n">
        <v>46193</v>
      </c>
      <c r="D711" t="inlineStr">
        <is>
          <t>VÄSTERBOTTENS LÄN</t>
        </is>
      </c>
      <c r="E711" t="inlineStr">
        <is>
          <t>UMEÅ</t>
        </is>
      </c>
      <c r="G711" t="n">
        <v>1.5</v>
      </c>
      <c r="H711" t="n">
        <v>0</v>
      </c>
      <c r="I711" t="n">
        <v>0</v>
      </c>
      <c r="J711" t="n">
        <v>0</v>
      </c>
      <c r="K711" t="n">
        <v>0</v>
      </c>
      <c r="L711" t="n">
        <v>0</v>
      </c>
      <c r="M711" t="n">
        <v>0</v>
      </c>
      <c r="N711" t="n">
        <v>0</v>
      </c>
      <c r="O711" t="n">
        <v>0</v>
      </c>
      <c r="P711" t="n">
        <v>0</v>
      </c>
      <c r="Q711" t="n">
        <v>0</v>
      </c>
      <c r="R711" s="2" t="inlineStr"/>
    </row>
    <row r="712" ht="15" customHeight="1">
      <c r="A712" t="inlineStr">
        <is>
          <t>A 25690-2025</t>
        </is>
      </c>
      <c r="B712" s="1" t="n">
        <v>45803</v>
      </c>
      <c r="C712" s="1" t="n">
        <v>46193</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58256-2023</t>
        </is>
      </c>
      <c r="B713" s="1" t="n">
        <v>45250</v>
      </c>
      <c r="C713" s="1" t="n">
        <v>46193</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36114-2025</t>
        </is>
      </c>
      <c r="B714" s="1" t="n">
        <v>45866</v>
      </c>
      <c r="C714" s="1" t="n">
        <v>46193</v>
      </c>
      <c r="D714" t="inlineStr">
        <is>
          <t>VÄSTERBOTTENS LÄN</t>
        </is>
      </c>
      <c r="E714" t="inlineStr">
        <is>
          <t>UMEÅ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18010-2025</t>
        </is>
      </c>
      <c r="B715" s="1" t="n">
        <v>45761</v>
      </c>
      <c r="C715" s="1" t="n">
        <v>46193</v>
      </c>
      <c r="D715" t="inlineStr">
        <is>
          <t>VÄSTERBOTTENS LÄN</t>
        </is>
      </c>
      <c r="E715" t="inlineStr">
        <is>
          <t>UMEÅ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36334-2025</t>
        </is>
      </c>
      <c r="B716" s="1" t="n">
        <v>45868</v>
      </c>
      <c r="C716" s="1" t="n">
        <v>46193</v>
      </c>
      <c r="D716" t="inlineStr">
        <is>
          <t>VÄSTERBOTTENS LÄN</t>
        </is>
      </c>
      <c r="E716" t="inlineStr">
        <is>
          <t>UMEÅ</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36217-2025</t>
        </is>
      </c>
      <c r="B717" s="1" t="n">
        <v>45867</v>
      </c>
      <c r="C717" s="1" t="n">
        <v>46193</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5374-2022</t>
        </is>
      </c>
      <c r="B718" s="1" t="n">
        <v>44594</v>
      </c>
      <c r="C718" s="1" t="n">
        <v>46193</v>
      </c>
      <c r="D718" t="inlineStr">
        <is>
          <t>VÄSTERBOTTENS LÄN</t>
        </is>
      </c>
      <c r="E718" t="inlineStr">
        <is>
          <t>UMEÅ</t>
        </is>
      </c>
      <c r="G718" t="n">
        <v>4.6</v>
      </c>
      <c r="H718" t="n">
        <v>0</v>
      </c>
      <c r="I718" t="n">
        <v>0</v>
      </c>
      <c r="J718" t="n">
        <v>0</v>
      </c>
      <c r="K718" t="n">
        <v>0</v>
      </c>
      <c r="L718" t="n">
        <v>0</v>
      </c>
      <c r="M718" t="n">
        <v>0</v>
      </c>
      <c r="N718" t="n">
        <v>0</v>
      </c>
      <c r="O718" t="n">
        <v>0</v>
      </c>
      <c r="P718" t="n">
        <v>0</v>
      </c>
      <c r="Q718" t="n">
        <v>0</v>
      </c>
      <c r="R718" s="2" t="inlineStr"/>
    </row>
    <row r="719" ht="15" customHeight="1">
      <c r="A719" t="inlineStr">
        <is>
          <t>A 61218-2025</t>
        </is>
      </c>
      <c r="B719" s="1" t="n">
        <v>46000</v>
      </c>
      <c r="C719" s="1" t="n">
        <v>46193</v>
      </c>
      <c r="D719" t="inlineStr">
        <is>
          <t>VÄSTERBOTTENS LÄN</t>
        </is>
      </c>
      <c r="E719" t="inlineStr">
        <is>
          <t>UMEÅ</t>
        </is>
      </c>
      <c r="F719" t="inlineStr">
        <is>
          <t>Sveaskog</t>
        </is>
      </c>
      <c r="G719" t="n">
        <v>2.7</v>
      </c>
      <c r="H719" t="n">
        <v>0</v>
      </c>
      <c r="I719" t="n">
        <v>0</v>
      </c>
      <c r="J719" t="n">
        <v>0</v>
      </c>
      <c r="K719" t="n">
        <v>0</v>
      </c>
      <c r="L719" t="n">
        <v>0</v>
      </c>
      <c r="M719" t="n">
        <v>0</v>
      </c>
      <c r="N719" t="n">
        <v>0</v>
      </c>
      <c r="O719" t="n">
        <v>0</v>
      </c>
      <c r="P719" t="n">
        <v>0</v>
      </c>
      <c r="Q719" t="n">
        <v>0</v>
      </c>
      <c r="R719" s="2" t="inlineStr"/>
    </row>
    <row r="720" ht="15" customHeight="1">
      <c r="A720" t="inlineStr">
        <is>
          <t>A 21578-2026</t>
        </is>
      </c>
      <c r="B720" s="1" t="n">
        <v>46148</v>
      </c>
      <c r="C720" s="1" t="n">
        <v>46193</v>
      </c>
      <c r="D720" t="inlineStr">
        <is>
          <t>VÄSTERBOTTENS LÄN</t>
        </is>
      </c>
      <c r="E720" t="inlineStr">
        <is>
          <t>UMEÅ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v>
      </c>
      <c r="C721" s="1" t="n">
        <v>46193</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11109-2022</t>
        </is>
      </c>
      <c r="B722" s="1" t="n">
        <v>44628</v>
      </c>
      <c r="C722" s="1" t="n">
        <v>46193</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61241-2025</t>
        </is>
      </c>
      <c r="B723" s="1" t="n">
        <v>46000</v>
      </c>
      <c r="C723" s="1" t="n">
        <v>46193</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61243-2025</t>
        </is>
      </c>
      <c r="B724" s="1" t="n">
        <v>46000</v>
      </c>
      <c r="C724" s="1" t="n">
        <v>46193</v>
      </c>
      <c r="D724" t="inlineStr">
        <is>
          <t>VÄSTERBOTTENS LÄN</t>
        </is>
      </c>
      <c r="E724" t="inlineStr">
        <is>
          <t>UMEÅ</t>
        </is>
      </c>
      <c r="G724" t="n">
        <v>2.6</v>
      </c>
      <c r="H724" t="n">
        <v>0</v>
      </c>
      <c r="I724" t="n">
        <v>0</v>
      </c>
      <c r="J724" t="n">
        <v>0</v>
      </c>
      <c r="K724" t="n">
        <v>0</v>
      </c>
      <c r="L724" t="n">
        <v>0</v>
      </c>
      <c r="M724" t="n">
        <v>0</v>
      </c>
      <c r="N724" t="n">
        <v>0</v>
      </c>
      <c r="O724" t="n">
        <v>0</v>
      </c>
      <c r="P724" t="n">
        <v>0</v>
      </c>
      <c r="Q724" t="n">
        <v>0</v>
      </c>
      <c r="R724" s="2" t="inlineStr"/>
    </row>
    <row r="725" ht="15" customHeight="1">
      <c r="A725" t="inlineStr">
        <is>
          <t>A 36739-2025</t>
        </is>
      </c>
      <c r="B725" s="1" t="n">
        <v>45873</v>
      </c>
      <c r="C725" s="1" t="n">
        <v>46193</v>
      </c>
      <c r="D725" t="inlineStr">
        <is>
          <t>VÄSTERBOTTENS LÄN</t>
        </is>
      </c>
      <c r="E725" t="inlineStr">
        <is>
          <t>UMEÅ</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60179-2024</t>
        </is>
      </c>
      <c r="B726" s="1" t="n">
        <v>45642</v>
      </c>
      <c r="C726" s="1" t="n">
        <v>46193</v>
      </c>
      <c r="D726" t="inlineStr">
        <is>
          <t>VÄSTERBOTTENS LÄN</t>
        </is>
      </c>
      <c r="E726" t="inlineStr">
        <is>
          <t>UMEÅ</t>
        </is>
      </c>
      <c r="G726" t="n">
        <v>3.4</v>
      </c>
      <c r="H726" t="n">
        <v>0</v>
      </c>
      <c r="I726" t="n">
        <v>0</v>
      </c>
      <c r="J726" t="n">
        <v>0</v>
      </c>
      <c r="K726" t="n">
        <v>0</v>
      </c>
      <c r="L726" t="n">
        <v>0</v>
      </c>
      <c r="M726" t="n">
        <v>0</v>
      </c>
      <c r="N726" t="n">
        <v>0</v>
      </c>
      <c r="O726" t="n">
        <v>0</v>
      </c>
      <c r="P726" t="n">
        <v>0</v>
      </c>
      <c r="Q726" t="n">
        <v>0</v>
      </c>
      <c r="R726" s="2" t="inlineStr"/>
    </row>
    <row r="727" ht="15" customHeight="1">
      <c r="A727" t="inlineStr">
        <is>
          <t>A 16330-2023</t>
        </is>
      </c>
      <c r="B727" s="1" t="n">
        <v>45028</v>
      </c>
      <c r="C727" s="1" t="n">
        <v>46193</v>
      </c>
      <c r="D727" t="inlineStr">
        <is>
          <t>VÄSTERBOTTENS LÄN</t>
        </is>
      </c>
      <c r="E727" t="inlineStr">
        <is>
          <t>UMEÅ</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61448-2025</t>
        </is>
      </c>
      <c r="B728" s="1" t="n">
        <v>46001</v>
      </c>
      <c r="C728" s="1" t="n">
        <v>46193</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46849-2023</t>
        </is>
      </c>
      <c r="B729" s="1" t="n">
        <v>45199</v>
      </c>
      <c r="C729" s="1" t="n">
        <v>46193</v>
      </c>
      <c r="D729" t="inlineStr">
        <is>
          <t>VÄSTERBOTTENS LÄN</t>
        </is>
      </c>
      <c r="E729" t="inlineStr">
        <is>
          <t>UMEÅ</t>
        </is>
      </c>
      <c r="G729" t="n">
        <v>1.6</v>
      </c>
      <c r="H729" t="n">
        <v>0</v>
      </c>
      <c r="I729" t="n">
        <v>0</v>
      </c>
      <c r="J729" t="n">
        <v>0</v>
      </c>
      <c r="K729" t="n">
        <v>0</v>
      </c>
      <c r="L729" t="n">
        <v>0</v>
      </c>
      <c r="M729" t="n">
        <v>0</v>
      </c>
      <c r="N729" t="n">
        <v>0</v>
      </c>
      <c r="O729" t="n">
        <v>0</v>
      </c>
      <c r="P729" t="n">
        <v>0</v>
      </c>
      <c r="Q729" t="n">
        <v>0</v>
      </c>
      <c r="R729" s="2" t="inlineStr"/>
    </row>
    <row r="730" ht="15" customHeight="1">
      <c r="A730" t="inlineStr">
        <is>
          <t>A 61458-2025</t>
        </is>
      </c>
      <c r="B730" s="1" t="n">
        <v>46001</v>
      </c>
      <c r="C730" s="1" t="n">
        <v>46193</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22000-2023</t>
        </is>
      </c>
      <c r="B731" s="1" t="n">
        <v>45068</v>
      </c>
      <c r="C731" s="1" t="n">
        <v>46193</v>
      </c>
      <c r="D731" t="inlineStr">
        <is>
          <t>VÄSTERBOTTENS LÄN</t>
        </is>
      </c>
      <c r="E731" t="inlineStr">
        <is>
          <t>UMEÅ</t>
        </is>
      </c>
      <c r="G731" t="n">
        <v>4.4</v>
      </c>
      <c r="H731" t="n">
        <v>0</v>
      </c>
      <c r="I731" t="n">
        <v>0</v>
      </c>
      <c r="J731" t="n">
        <v>0</v>
      </c>
      <c r="K731" t="n">
        <v>0</v>
      </c>
      <c r="L731" t="n">
        <v>0</v>
      </c>
      <c r="M731" t="n">
        <v>0</v>
      </c>
      <c r="N731" t="n">
        <v>0</v>
      </c>
      <c r="O731" t="n">
        <v>0</v>
      </c>
      <c r="P731" t="n">
        <v>0</v>
      </c>
      <c r="Q731" t="n">
        <v>0</v>
      </c>
      <c r="R731" s="2" t="inlineStr"/>
    </row>
    <row r="732" ht="15" customHeight="1">
      <c r="A732" t="inlineStr">
        <is>
          <t>A 62089-2025</t>
        </is>
      </c>
      <c r="B732" s="1" t="n">
        <v>46006</v>
      </c>
      <c r="C732" s="1" t="n">
        <v>46193</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2148-2024</t>
        </is>
      </c>
      <c r="B733" s="1" t="n">
        <v>45309</v>
      </c>
      <c r="C733" s="1" t="n">
        <v>46193</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24719-2026</t>
        </is>
      </c>
      <c r="B734" s="1" t="n">
        <v>46171</v>
      </c>
      <c r="C734" s="1" t="n">
        <v>46193</v>
      </c>
      <c r="D734" t="inlineStr">
        <is>
          <t>VÄSTERBOTTENS LÄN</t>
        </is>
      </c>
      <c r="E734" t="inlineStr">
        <is>
          <t>UMEÅ</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62130-2025</t>
        </is>
      </c>
      <c r="B735" s="1" t="n">
        <v>46006</v>
      </c>
      <c r="C735" s="1" t="n">
        <v>46193</v>
      </c>
      <c r="D735" t="inlineStr">
        <is>
          <t>VÄSTERBOTTENS LÄN</t>
        </is>
      </c>
      <c r="E735" t="inlineStr">
        <is>
          <t>UMEÅ</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62224-2025</t>
        </is>
      </c>
      <c r="B736" s="1" t="n">
        <v>46006</v>
      </c>
      <c r="C736" s="1" t="n">
        <v>46193</v>
      </c>
      <c r="D736" t="inlineStr">
        <is>
          <t>VÄSTERBOTTENS LÄN</t>
        </is>
      </c>
      <c r="E736" t="inlineStr">
        <is>
          <t>UMEÅ</t>
        </is>
      </c>
      <c r="G736" t="n">
        <v>1.4</v>
      </c>
      <c r="H736" t="n">
        <v>0</v>
      </c>
      <c r="I736" t="n">
        <v>0</v>
      </c>
      <c r="J736" t="n">
        <v>0</v>
      </c>
      <c r="K736" t="n">
        <v>0</v>
      </c>
      <c r="L736" t="n">
        <v>0</v>
      </c>
      <c r="M736" t="n">
        <v>0</v>
      </c>
      <c r="N736" t="n">
        <v>0</v>
      </c>
      <c r="O736" t="n">
        <v>0</v>
      </c>
      <c r="P736" t="n">
        <v>0</v>
      </c>
      <c r="Q736" t="n">
        <v>0</v>
      </c>
      <c r="R736" s="2" t="inlineStr"/>
    </row>
    <row r="737" ht="15" customHeight="1">
      <c r="A737" t="inlineStr">
        <is>
          <t>A 36902-2025</t>
        </is>
      </c>
      <c r="B737" s="1" t="n">
        <v>45874</v>
      </c>
      <c r="C737" s="1" t="n">
        <v>46193</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62104-2025</t>
        </is>
      </c>
      <c r="B738" s="1" t="n">
        <v>46006</v>
      </c>
      <c r="C738" s="1" t="n">
        <v>46193</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73537-2021</t>
        </is>
      </c>
      <c r="B739" s="1" t="n">
        <v>44550</v>
      </c>
      <c r="C739" s="1" t="n">
        <v>46193</v>
      </c>
      <c r="D739" t="inlineStr">
        <is>
          <t>VÄSTERBOTTENS LÄN</t>
        </is>
      </c>
      <c r="E739" t="inlineStr">
        <is>
          <t>UMEÅ</t>
        </is>
      </c>
      <c r="G739" t="n">
        <v>2.6</v>
      </c>
      <c r="H739" t="n">
        <v>0</v>
      </c>
      <c r="I739" t="n">
        <v>0</v>
      </c>
      <c r="J739" t="n">
        <v>0</v>
      </c>
      <c r="K739" t="n">
        <v>0</v>
      </c>
      <c r="L739" t="n">
        <v>0</v>
      </c>
      <c r="M739" t="n">
        <v>0</v>
      </c>
      <c r="N739" t="n">
        <v>0</v>
      </c>
      <c r="O739" t="n">
        <v>0</v>
      </c>
      <c r="P739" t="n">
        <v>0</v>
      </c>
      <c r="Q739" t="n">
        <v>0</v>
      </c>
      <c r="R739" s="2" t="inlineStr"/>
    </row>
    <row r="740" ht="15" customHeight="1">
      <c r="A740" t="inlineStr">
        <is>
          <t>A 62231-2025</t>
        </is>
      </c>
      <c r="B740" s="1" t="n">
        <v>46006</v>
      </c>
      <c r="C740" s="1" t="n">
        <v>46193</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62269-2025</t>
        </is>
      </c>
      <c r="B741" s="1" t="n">
        <v>46006</v>
      </c>
      <c r="C741" s="1" t="n">
        <v>46193</v>
      </c>
      <c r="D741" t="inlineStr">
        <is>
          <t>VÄSTERBOTTENS LÄN</t>
        </is>
      </c>
      <c r="E741" t="inlineStr">
        <is>
          <t>UMEÅ</t>
        </is>
      </c>
      <c r="F741" t="inlineStr">
        <is>
          <t>Holmen skog AB</t>
        </is>
      </c>
      <c r="G741" t="n">
        <v>1.1</v>
      </c>
      <c r="H741" t="n">
        <v>0</v>
      </c>
      <c r="I741" t="n">
        <v>0</v>
      </c>
      <c r="J741" t="n">
        <v>0</v>
      </c>
      <c r="K741" t="n">
        <v>0</v>
      </c>
      <c r="L741" t="n">
        <v>0</v>
      </c>
      <c r="M741" t="n">
        <v>0</v>
      </c>
      <c r="N741" t="n">
        <v>0</v>
      </c>
      <c r="O741" t="n">
        <v>0</v>
      </c>
      <c r="P741" t="n">
        <v>0</v>
      </c>
      <c r="Q741" t="n">
        <v>0</v>
      </c>
      <c r="R741" s="2" t="inlineStr"/>
    </row>
    <row r="742" ht="15" customHeight="1">
      <c r="A742" t="inlineStr">
        <is>
          <t>A 19200-2023</t>
        </is>
      </c>
      <c r="B742" s="1" t="n">
        <v>45048</v>
      </c>
      <c r="C742" s="1" t="n">
        <v>46193</v>
      </c>
      <c r="D742" t="inlineStr">
        <is>
          <t>VÄSTERBOTTENS LÄN</t>
        </is>
      </c>
      <c r="E742" t="inlineStr">
        <is>
          <t>UMEÅ</t>
        </is>
      </c>
      <c r="G742" t="n">
        <v>0.2</v>
      </c>
      <c r="H742" t="n">
        <v>0</v>
      </c>
      <c r="I742" t="n">
        <v>0</v>
      </c>
      <c r="J742" t="n">
        <v>0</v>
      </c>
      <c r="K742" t="n">
        <v>0</v>
      </c>
      <c r="L742" t="n">
        <v>0</v>
      </c>
      <c r="M742" t="n">
        <v>0</v>
      </c>
      <c r="N742" t="n">
        <v>0</v>
      </c>
      <c r="O742" t="n">
        <v>0</v>
      </c>
      <c r="P742" t="n">
        <v>0</v>
      </c>
      <c r="Q742" t="n">
        <v>0</v>
      </c>
      <c r="R742" s="2" t="inlineStr"/>
    </row>
    <row r="743" ht="15" customHeight="1">
      <c r="A743" t="inlineStr">
        <is>
          <t>A 62663-2025</t>
        </is>
      </c>
      <c r="B743" s="1" t="n">
        <v>46008</v>
      </c>
      <c r="C743" s="1" t="n">
        <v>46193</v>
      </c>
      <c r="D743" t="inlineStr">
        <is>
          <t>VÄSTERBOTTENS LÄN</t>
        </is>
      </c>
      <c r="E743" t="inlineStr">
        <is>
          <t>UMEÅ</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36746-2025</t>
        </is>
      </c>
      <c r="B744" s="1" t="n">
        <v>45873</v>
      </c>
      <c r="C744" s="1" t="n">
        <v>46193</v>
      </c>
      <c r="D744" t="inlineStr">
        <is>
          <t>VÄSTERBOTTENS LÄN</t>
        </is>
      </c>
      <c r="E744" t="inlineStr">
        <is>
          <t>UMEÅ</t>
        </is>
      </c>
      <c r="F744" t="inlineStr">
        <is>
          <t>Kommuner</t>
        </is>
      </c>
      <c r="G744" t="n">
        <v>1.1</v>
      </c>
      <c r="H744" t="n">
        <v>0</v>
      </c>
      <c r="I744" t="n">
        <v>0</v>
      </c>
      <c r="J744" t="n">
        <v>0</v>
      </c>
      <c r="K744" t="n">
        <v>0</v>
      </c>
      <c r="L744" t="n">
        <v>0</v>
      </c>
      <c r="M744" t="n">
        <v>0</v>
      </c>
      <c r="N744" t="n">
        <v>0</v>
      </c>
      <c r="O744" t="n">
        <v>0</v>
      </c>
      <c r="P744" t="n">
        <v>0</v>
      </c>
      <c r="Q744" t="n">
        <v>0</v>
      </c>
      <c r="R744" s="2" t="inlineStr"/>
    </row>
    <row r="745" ht="15" customHeight="1">
      <c r="A745" t="inlineStr">
        <is>
          <t>A 62767-2025</t>
        </is>
      </c>
      <c r="B745" s="1" t="n">
        <v>46008</v>
      </c>
      <c r="C745" s="1" t="n">
        <v>46193</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v>
      </c>
      <c r="C746" s="1" t="n">
        <v>46193</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37309-2025</t>
        </is>
      </c>
      <c r="B747" s="1" t="n">
        <v>45876</v>
      </c>
      <c r="C747" s="1" t="n">
        <v>46193</v>
      </c>
      <c r="D747" t="inlineStr">
        <is>
          <t>VÄSTERBOTTENS LÄN</t>
        </is>
      </c>
      <c r="E747" t="inlineStr">
        <is>
          <t>UMEÅ</t>
        </is>
      </c>
      <c r="G747" t="n">
        <v>1.7</v>
      </c>
      <c r="H747" t="n">
        <v>0</v>
      </c>
      <c r="I747" t="n">
        <v>0</v>
      </c>
      <c r="J747" t="n">
        <v>0</v>
      </c>
      <c r="K747" t="n">
        <v>0</v>
      </c>
      <c r="L747" t="n">
        <v>0</v>
      </c>
      <c r="M747" t="n">
        <v>0</v>
      </c>
      <c r="N747" t="n">
        <v>0</v>
      </c>
      <c r="O747" t="n">
        <v>0</v>
      </c>
      <c r="P747" t="n">
        <v>0</v>
      </c>
      <c r="Q747" t="n">
        <v>0</v>
      </c>
      <c r="R747" s="2" t="inlineStr"/>
    </row>
    <row r="748" ht="15" customHeight="1">
      <c r="A748" t="inlineStr">
        <is>
          <t>A 37039-2025</t>
        </is>
      </c>
      <c r="B748" s="1" t="n">
        <v>45875</v>
      </c>
      <c r="C748" s="1" t="n">
        <v>46193</v>
      </c>
      <c r="D748" t="inlineStr">
        <is>
          <t>VÄSTERBOTTENS LÄN</t>
        </is>
      </c>
      <c r="E748" t="inlineStr">
        <is>
          <t>UMEÅ</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37038-2025</t>
        </is>
      </c>
      <c r="B749" s="1" t="n">
        <v>45875</v>
      </c>
      <c r="C749" s="1" t="n">
        <v>46193</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37308-2025</t>
        </is>
      </c>
      <c r="B750" s="1" t="n">
        <v>45876</v>
      </c>
      <c r="C750" s="1" t="n">
        <v>46193</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63218-2025</t>
        </is>
      </c>
      <c r="B751" s="1" t="n">
        <v>46010</v>
      </c>
      <c r="C751" s="1" t="n">
        <v>46193</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63219-2025</t>
        </is>
      </c>
      <c r="B752" s="1" t="n">
        <v>46010</v>
      </c>
      <c r="C752" s="1" t="n">
        <v>46193</v>
      </c>
      <c r="D752" t="inlineStr">
        <is>
          <t>VÄSTERBOTTENS LÄN</t>
        </is>
      </c>
      <c r="E752" t="inlineStr">
        <is>
          <t>UMEÅ</t>
        </is>
      </c>
      <c r="G752" t="n">
        <v>4.2</v>
      </c>
      <c r="H752" t="n">
        <v>0</v>
      </c>
      <c r="I752" t="n">
        <v>0</v>
      </c>
      <c r="J752" t="n">
        <v>0</v>
      </c>
      <c r="K752" t="n">
        <v>0</v>
      </c>
      <c r="L752" t="n">
        <v>0</v>
      </c>
      <c r="M752" t="n">
        <v>0</v>
      </c>
      <c r="N752" t="n">
        <v>0</v>
      </c>
      <c r="O752" t="n">
        <v>0</v>
      </c>
      <c r="P752" t="n">
        <v>0</v>
      </c>
      <c r="Q752" t="n">
        <v>0</v>
      </c>
      <c r="R752" s="2" t="inlineStr"/>
    </row>
    <row r="753" ht="15" customHeight="1">
      <c r="A753" t="inlineStr">
        <is>
          <t>A 37482-2025</t>
        </is>
      </c>
      <c r="B753" s="1" t="n">
        <v>45877</v>
      </c>
      <c r="C753" s="1" t="n">
        <v>46193</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63155-2025</t>
        </is>
      </c>
      <c r="B754" s="1" t="n">
        <v>46010</v>
      </c>
      <c r="C754" s="1" t="n">
        <v>46193</v>
      </c>
      <c r="D754" t="inlineStr">
        <is>
          <t>VÄSTERBOTTENS LÄN</t>
        </is>
      </c>
      <c r="E754" t="inlineStr">
        <is>
          <t>UMEÅ</t>
        </is>
      </c>
      <c r="G754" t="n">
        <v>3.4</v>
      </c>
      <c r="H754" t="n">
        <v>0</v>
      </c>
      <c r="I754" t="n">
        <v>0</v>
      </c>
      <c r="J754" t="n">
        <v>0</v>
      </c>
      <c r="K754" t="n">
        <v>0</v>
      </c>
      <c r="L754" t="n">
        <v>0</v>
      </c>
      <c r="M754" t="n">
        <v>0</v>
      </c>
      <c r="N754" t="n">
        <v>0</v>
      </c>
      <c r="O754" t="n">
        <v>0</v>
      </c>
      <c r="P754" t="n">
        <v>0</v>
      </c>
      <c r="Q754" t="n">
        <v>0</v>
      </c>
      <c r="R754" s="2" t="inlineStr"/>
    </row>
    <row r="755" ht="15" customHeight="1">
      <c r="A755" t="inlineStr">
        <is>
          <t>A 61604-2024</t>
        </is>
      </c>
      <c r="B755" s="1" t="n">
        <v>45646</v>
      </c>
      <c r="C755" s="1" t="n">
        <v>46193</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64157-2025</t>
        </is>
      </c>
      <c r="B756" s="1" t="n">
        <v>46013</v>
      </c>
      <c r="C756" s="1" t="n">
        <v>46193</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8716-2024</t>
        </is>
      </c>
      <c r="B757" s="1" t="n">
        <v>45356</v>
      </c>
      <c r="C757" s="1" t="n">
        <v>46193</v>
      </c>
      <c r="D757" t="inlineStr">
        <is>
          <t>VÄSTERBOTTENS LÄN</t>
        </is>
      </c>
      <c r="E757" t="inlineStr">
        <is>
          <t>UMEÅ</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2767-2025</t>
        </is>
      </c>
      <c r="B758" s="1" t="n">
        <v>45677</v>
      </c>
      <c r="C758" s="1" t="n">
        <v>46193</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37814-2025</t>
        </is>
      </c>
      <c r="B759" s="1" t="n">
        <v>45881</v>
      </c>
      <c r="C759" s="1" t="n">
        <v>46193</v>
      </c>
      <c r="D759" t="inlineStr">
        <is>
          <t>VÄSTERBOTTENS LÄN</t>
        </is>
      </c>
      <c r="E759" t="inlineStr">
        <is>
          <t>UMEÅ</t>
        </is>
      </c>
      <c r="G759" t="n">
        <v>6</v>
      </c>
      <c r="H759" t="n">
        <v>0</v>
      </c>
      <c r="I759" t="n">
        <v>0</v>
      </c>
      <c r="J759" t="n">
        <v>0</v>
      </c>
      <c r="K759" t="n">
        <v>0</v>
      </c>
      <c r="L759" t="n">
        <v>0</v>
      </c>
      <c r="M759" t="n">
        <v>0</v>
      </c>
      <c r="N759" t="n">
        <v>0</v>
      </c>
      <c r="O759" t="n">
        <v>0</v>
      </c>
      <c r="P759" t="n">
        <v>0</v>
      </c>
      <c r="Q759" t="n">
        <v>0</v>
      </c>
      <c r="R759" s="2" t="inlineStr"/>
    </row>
    <row r="760" ht="15" customHeight="1">
      <c r="A760" t="inlineStr">
        <is>
          <t>A 43649-2024</t>
        </is>
      </c>
      <c r="B760" s="1" t="n">
        <v>45569</v>
      </c>
      <c r="C760" s="1" t="n">
        <v>46193</v>
      </c>
      <c r="D760" t="inlineStr">
        <is>
          <t>VÄSTERBOTTENS LÄN</t>
        </is>
      </c>
      <c r="E760" t="inlineStr">
        <is>
          <t>UMEÅ</t>
        </is>
      </c>
      <c r="F760" t="inlineStr">
        <is>
          <t>Kommuner</t>
        </is>
      </c>
      <c r="G760" t="n">
        <v>4.3</v>
      </c>
      <c r="H760" t="n">
        <v>0</v>
      </c>
      <c r="I760" t="n">
        <v>0</v>
      </c>
      <c r="J760" t="n">
        <v>0</v>
      </c>
      <c r="K760" t="n">
        <v>0</v>
      </c>
      <c r="L760" t="n">
        <v>0</v>
      </c>
      <c r="M760" t="n">
        <v>0</v>
      </c>
      <c r="N760" t="n">
        <v>0</v>
      </c>
      <c r="O760" t="n">
        <v>0</v>
      </c>
      <c r="P760" t="n">
        <v>0</v>
      </c>
      <c r="Q760" t="n">
        <v>0</v>
      </c>
      <c r="R760" s="2" t="inlineStr"/>
    </row>
    <row r="761" ht="15" customHeight="1">
      <c r="A761" t="inlineStr">
        <is>
          <t>A 32282-2024</t>
        </is>
      </c>
      <c r="B761" s="1" t="n">
        <v>45512</v>
      </c>
      <c r="C761" s="1" t="n">
        <v>46193</v>
      </c>
      <c r="D761" t="inlineStr">
        <is>
          <t>VÄSTERBOTTENS LÄN</t>
        </is>
      </c>
      <c r="E761" t="inlineStr">
        <is>
          <t>UMEÅ</t>
        </is>
      </c>
      <c r="G761" t="n">
        <v>9.5</v>
      </c>
      <c r="H761" t="n">
        <v>0</v>
      </c>
      <c r="I761" t="n">
        <v>0</v>
      </c>
      <c r="J761" t="n">
        <v>0</v>
      </c>
      <c r="K761" t="n">
        <v>0</v>
      </c>
      <c r="L761" t="n">
        <v>0</v>
      </c>
      <c r="M761" t="n">
        <v>0</v>
      </c>
      <c r="N761" t="n">
        <v>0</v>
      </c>
      <c r="O761" t="n">
        <v>0</v>
      </c>
      <c r="P761" t="n">
        <v>0</v>
      </c>
      <c r="Q761" t="n">
        <v>0</v>
      </c>
      <c r="R761" s="2" t="inlineStr"/>
    </row>
    <row r="762" ht="15" customHeight="1">
      <c r="A762" t="inlineStr">
        <is>
          <t>A 63600-2025</t>
        </is>
      </c>
      <c r="B762" s="1" t="n">
        <v>46014</v>
      </c>
      <c r="C762" s="1" t="n">
        <v>46193</v>
      </c>
      <c r="D762" t="inlineStr">
        <is>
          <t>VÄSTERBOTTENS LÄN</t>
        </is>
      </c>
      <c r="E762" t="inlineStr">
        <is>
          <t>UMEÅ</t>
        </is>
      </c>
      <c r="G762" t="n">
        <v>2.1</v>
      </c>
      <c r="H762" t="n">
        <v>0</v>
      </c>
      <c r="I762" t="n">
        <v>0</v>
      </c>
      <c r="J762" t="n">
        <v>0</v>
      </c>
      <c r="K762" t="n">
        <v>0</v>
      </c>
      <c r="L762" t="n">
        <v>0</v>
      </c>
      <c r="M762" t="n">
        <v>0</v>
      </c>
      <c r="N762" t="n">
        <v>0</v>
      </c>
      <c r="O762" t="n">
        <v>0</v>
      </c>
      <c r="P762" t="n">
        <v>0</v>
      </c>
      <c r="Q762" t="n">
        <v>0</v>
      </c>
      <c r="R762" s="2" t="inlineStr"/>
    </row>
    <row r="763" ht="15" customHeight="1">
      <c r="A763" t="inlineStr">
        <is>
          <t>A 26967-2023</t>
        </is>
      </c>
      <c r="B763" s="1" t="n">
        <v>45091</v>
      </c>
      <c r="C763" s="1" t="n">
        <v>46193</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63810-2025</t>
        </is>
      </c>
      <c r="B764" s="1" t="n">
        <v>46020</v>
      </c>
      <c r="C764" s="1" t="n">
        <v>46193</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13190-2025</t>
        </is>
      </c>
      <c r="B765" s="1" t="n">
        <v>45735</v>
      </c>
      <c r="C765" s="1" t="n">
        <v>46193</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13197-2025</t>
        </is>
      </c>
      <c r="B766" s="1" t="n">
        <v>45735</v>
      </c>
      <c r="C766" s="1" t="n">
        <v>46193</v>
      </c>
      <c r="D766" t="inlineStr">
        <is>
          <t>VÄSTERBOTTENS LÄN</t>
        </is>
      </c>
      <c r="E766" t="inlineStr">
        <is>
          <t>UMEÅ</t>
        </is>
      </c>
      <c r="G766" t="n">
        <v>2.3</v>
      </c>
      <c r="H766" t="n">
        <v>0</v>
      </c>
      <c r="I766" t="n">
        <v>0</v>
      </c>
      <c r="J766" t="n">
        <v>0</v>
      </c>
      <c r="K766" t="n">
        <v>0</v>
      </c>
      <c r="L766" t="n">
        <v>0</v>
      </c>
      <c r="M766" t="n">
        <v>0</v>
      </c>
      <c r="N766" t="n">
        <v>0</v>
      </c>
      <c r="O766" t="n">
        <v>0</v>
      </c>
      <c r="P766" t="n">
        <v>0</v>
      </c>
      <c r="Q766" t="n">
        <v>0</v>
      </c>
      <c r="R766" s="2" t="inlineStr"/>
    </row>
    <row r="767" ht="15" customHeight="1">
      <c r="A767" t="inlineStr">
        <is>
          <t>A 27898-2026</t>
        </is>
      </c>
      <c r="B767" s="1" t="n">
        <v>46191</v>
      </c>
      <c r="C767" s="1" t="n">
        <v>46193</v>
      </c>
      <c r="D767" t="inlineStr">
        <is>
          <t>VÄSTERBOTTENS LÄN</t>
        </is>
      </c>
      <c r="E767" t="inlineStr">
        <is>
          <t>UMEÅ</t>
        </is>
      </c>
      <c r="G767" t="n">
        <v>10.1</v>
      </c>
      <c r="H767" t="n">
        <v>0</v>
      </c>
      <c r="I767" t="n">
        <v>0</v>
      </c>
      <c r="J767" t="n">
        <v>0</v>
      </c>
      <c r="K767" t="n">
        <v>0</v>
      </c>
      <c r="L767" t="n">
        <v>0</v>
      </c>
      <c r="M767" t="n">
        <v>0</v>
      </c>
      <c r="N767" t="n">
        <v>0</v>
      </c>
      <c r="O767" t="n">
        <v>0</v>
      </c>
      <c r="P767" t="n">
        <v>0</v>
      </c>
      <c r="Q767" t="n">
        <v>0</v>
      </c>
      <c r="R767" s="2" t="inlineStr"/>
    </row>
    <row r="768" ht="15" customHeight="1">
      <c r="A768" t="inlineStr">
        <is>
          <t>A 45603-2023</t>
        </is>
      </c>
      <c r="B768" s="1" t="n">
        <v>45194</v>
      </c>
      <c r="C768" s="1" t="n">
        <v>46193</v>
      </c>
      <c r="D768" t="inlineStr">
        <is>
          <t>VÄSTERBOTTENS LÄN</t>
        </is>
      </c>
      <c r="E768" t="inlineStr">
        <is>
          <t>UMEÅ</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27823-2026</t>
        </is>
      </c>
      <c r="B769" s="1" t="n">
        <v>46191</v>
      </c>
      <c r="C769" s="1" t="n">
        <v>46193</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46193</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5078-2025</t>
        </is>
      </c>
      <c r="B771" s="1" t="n">
        <v>45691</v>
      </c>
      <c r="C771" s="1" t="n">
        <v>46193</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46193</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46193</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21802-2026</t>
        </is>
      </c>
      <c r="B774" s="1" t="n">
        <v>46150</v>
      </c>
      <c r="C774" s="1" t="n">
        <v>46193</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46193</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16453-2024</t>
        </is>
      </c>
      <c r="B776" s="1" t="n">
        <v>45407</v>
      </c>
      <c r="C776" s="1" t="n">
        <v>46193</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53731-2024</t>
        </is>
      </c>
      <c r="B777" s="1" t="n">
        <v>45615</v>
      </c>
      <c r="C777" s="1" t="n">
        <v>46193</v>
      </c>
      <c r="D777" t="inlineStr">
        <is>
          <t>VÄSTERBOTTENS LÄN</t>
        </is>
      </c>
      <c r="E777" t="inlineStr">
        <is>
          <t>UMEÅ</t>
        </is>
      </c>
      <c r="G777" t="n">
        <v>2.7</v>
      </c>
      <c r="H777" t="n">
        <v>0</v>
      </c>
      <c r="I777" t="n">
        <v>0</v>
      </c>
      <c r="J777" t="n">
        <v>0</v>
      </c>
      <c r="K777" t="n">
        <v>0</v>
      </c>
      <c r="L777" t="n">
        <v>0</v>
      </c>
      <c r="M777" t="n">
        <v>0</v>
      </c>
      <c r="N777" t="n">
        <v>0</v>
      </c>
      <c r="O777" t="n">
        <v>0</v>
      </c>
      <c r="P777" t="n">
        <v>0</v>
      </c>
      <c r="Q777" t="n">
        <v>0</v>
      </c>
      <c r="R777" s="2" t="inlineStr"/>
    </row>
    <row r="778" ht="15" customHeight="1">
      <c r="A778" t="inlineStr">
        <is>
          <t>A 39445-2023</t>
        </is>
      </c>
      <c r="B778" s="1" t="n">
        <v>45166</v>
      </c>
      <c r="C778" s="1" t="n">
        <v>46193</v>
      </c>
      <c r="D778" t="inlineStr">
        <is>
          <t>VÄSTERBOTTENS LÄN</t>
        </is>
      </c>
      <c r="E778" t="inlineStr">
        <is>
          <t>UMEÅ</t>
        </is>
      </c>
      <c r="G778" t="n">
        <v>33.4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46193</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8184-2025</t>
        </is>
      </c>
      <c r="B780" s="1" t="n">
        <v>45708</v>
      </c>
      <c r="C780" s="1" t="n">
        <v>46193</v>
      </c>
      <c r="D780" t="inlineStr">
        <is>
          <t>VÄSTERBOTTENS LÄN</t>
        </is>
      </c>
      <c r="E780" t="inlineStr">
        <is>
          <t>UMEÅ</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v>
      </c>
      <c r="C781" s="1" t="n">
        <v>46193</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v>
      </c>
      <c r="C782" s="1" t="n">
        <v>46193</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841-2026</t>
        </is>
      </c>
      <c r="B783" s="1" t="n">
        <v>46030</v>
      </c>
      <c r="C783" s="1" t="n">
        <v>46193</v>
      </c>
      <c r="D783" t="inlineStr">
        <is>
          <t>VÄSTERBOTTENS LÄN</t>
        </is>
      </c>
      <c r="E783" t="inlineStr">
        <is>
          <t>UMEÅ</t>
        </is>
      </c>
      <c r="G783" t="n">
        <v>2.2</v>
      </c>
      <c r="H783" t="n">
        <v>0</v>
      </c>
      <c r="I783" t="n">
        <v>0</v>
      </c>
      <c r="J783" t="n">
        <v>0</v>
      </c>
      <c r="K783" t="n">
        <v>0</v>
      </c>
      <c r="L783" t="n">
        <v>0</v>
      </c>
      <c r="M783" t="n">
        <v>0</v>
      </c>
      <c r="N783" t="n">
        <v>0</v>
      </c>
      <c r="O783" t="n">
        <v>0</v>
      </c>
      <c r="P783" t="n">
        <v>0</v>
      </c>
      <c r="Q783" t="n">
        <v>0</v>
      </c>
      <c r="R783" s="2" t="inlineStr"/>
    </row>
    <row r="784" ht="15" customHeight="1">
      <c r="A784" t="inlineStr">
        <is>
          <t>A 8618-2025</t>
        </is>
      </c>
      <c r="B784" s="1" t="n">
        <v>45711</v>
      </c>
      <c r="C784" s="1" t="n">
        <v>46193</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14039-2024</t>
        </is>
      </c>
      <c r="B785" s="1" t="n">
        <v>45392</v>
      </c>
      <c r="C785" s="1" t="n">
        <v>46193</v>
      </c>
      <c r="D785" t="inlineStr">
        <is>
          <t>VÄSTERBOTTENS LÄN</t>
        </is>
      </c>
      <c r="E785" t="inlineStr">
        <is>
          <t>UMEÅ</t>
        </is>
      </c>
      <c r="G785" t="n">
        <v>6.1</v>
      </c>
      <c r="H785" t="n">
        <v>0</v>
      </c>
      <c r="I785" t="n">
        <v>0</v>
      </c>
      <c r="J785" t="n">
        <v>0</v>
      </c>
      <c r="K785" t="n">
        <v>0</v>
      </c>
      <c r="L785" t="n">
        <v>0</v>
      </c>
      <c r="M785" t="n">
        <v>0</v>
      </c>
      <c r="N785" t="n">
        <v>0</v>
      </c>
      <c r="O785" t="n">
        <v>0</v>
      </c>
      <c r="P785" t="n">
        <v>0</v>
      </c>
      <c r="Q785" t="n">
        <v>0</v>
      </c>
      <c r="R785" s="2" t="inlineStr"/>
    </row>
    <row r="786" ht="15" customHeight="1">
      <c r="A786" t="inlineStr">
        <is>
          <t>A 526-2026</t>
        </is>
      </c>
      <c r="B786" s="1" t="n">
        <v>46029</v>
      </c>
      <c r="C786" s="1" t="n">
        <v>46193</v>
      </c>
      <c r="D786" t="inlineStr">
        <is>
          <t>VÄSTERBOTTENS LÄN</t>
        </is>
      </c>
      <c r="E786" t="inlineStr">
        <is>
          <t>UMEÅ</t>
        </is>
      </c>
      <c r="G786" t="n">
        <v>2.4</v>
      </c>
      <c r="H786" t="n">
        <v>0</v>
      </c>
      <c r="I786" t="n">
        <v>0</v>
      </c>
      <c r="J786" t="n">
        <v>0</v>
      </c>
      <c r="K786" t="n">
        <v>0</v>
      </c>
      <c r="L786" t="n">
        <v>0</v>
      </c>
      <c r="M786" t="n">
        <v>0</v>
      </c>
      <c r="N786" t="n">
        <v>0</v>
      </c>
      <c r="O786" t="n">
        <v>0</v>
      </c>
      <c r="P786" t="n">
        <v>0</v>
      </c>
      <c r="Q786" t="n">
        <v>0</v>
      </c>
      <c r="R786" s="2" t="inlineStr"/>
    </row>
    <row r="787" ht="15" customHeight="1">
      <c r="A787" t="inlineStr">
        <is>
          <t>A 667-2026</t>
        </is>
      </c>
      <c r="B787" s="1" t="n">
        <v>46029</v>
      </c>
      <c r="C787" s="1" t="n">
        <v>46193</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524-2026</t>
        </is>
      </c>
      <c r="B788" s="1" t="n">
        <v>46029</v>
      </c>
      <c r="C788" s="1" t="n">
        <v>46193</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1142-2026</t>
        </is>
      </c>
      <c r="B789" s="1" t="n">
        <v>46030</v>
      </c>
      <c r="C789" s="1" t="n">
        <v>46193</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28099-2023</t>
        </is>
      </c>
      <c r="B790" s="1" t="n">
        <v>45099</v>
      </c>
      <c r="C790" s="1" t="n">
        <v>46193</v>
      </c>
      <c r="D790" t="inlineStr">
        <is>
          <t>VÄSTERBOTTENS LÄN</t>
        </is>
      </c>
      <c r="E790" t="inlineStr">
        <is>
          <t>UMEÅ</t>
        </is>
      </c>
      <c r="F790" t="inlineStr">
        <is>
          <t>Holmen skog AB</t>
        </is>
      </c>
      <c r="G790" t="n">
        <v>3.9</v>
      </c>
      <c r="H790" t="n">
        <v>0</v>
      </c>
      <c r="I790" t="n">
        <v>0</v>
      </c>
      <c r="J790" t="n">
        <v>0</v>
      </c>
      <c r="K790" t="n">
        <v>0</v>
      </c>
      <c r="L790" t="n">
        <v>0</v>
      </c>
      <c r="M790" t="n">
        <v>0</v>
      </c>
      <c r="N790" t="n">
        <v>0</v>
      </c>
      <c r="O790" t="n">
        <v>0</v>
      </c>
      <c r="P790" t="n">
        <v>0</v>
      </c>
      <c r="Q790" t="n">
        <v>0</v>
      </c>
      <c r="R790" s="2" t="inlineStr"/>
    </row>
    <row r="791" ht="15" customHeight="1">
      <c r="A791" t="inlineStr">
        <is>
          <t>A 2252-2026</t>
        </is>
      </c>
      <c r="B791" s="1" t="n">
        <v>46034</v>
      </c>
      <c r="C791" s="1" t="n">
        <v>46193</v>
      </c>
      <c r="D791" t="inlineStr">
        <is>
          <t>VÄSTERBOTTENS LÄN</t>
        </is>
      </c>
      <c r="E791" t="inlineStr">
        <is>
          <t>UMEÅ</t>
        </is>
      </c>
      <c r="G791" t="n">
        <v>10.7</v>
      </c>
      <c r="H791" t="n">
        <v>0</v>
      </c>
      <c r="I791" t="n">
        <v>0</v>
      </c>
      <c r="J791" t="n">
        <v>0</v>
      </c>
      <c r="K791" t="n">
        <v>0</v>
      </c>
      <c r="L791" t="n">
        <v>0</v>
      </c>
      <c r="M791" t="n">
        <v>0</v>
      </c>
      <c r="N791" t="n">
        <v>0</v>
      </c>
      <c r="O791" t="n">
        <v>0</v>
      </c>
      <c r="P791" t="n">
        <v>0</v>
      </c>
      <c r="Q791" t="n">
        <v>0</v>
      </c>
      <c r="R791" s="2" t="inlineStr"/>
    </row>
    <row r="792" ht="15" customHeight="1">
      <c r="A792" t="inlineStr">
        <is>
          <t>A 7438-2022</t>
        </is>
      </c>
      <c r="B792" s="1" t="n">
        <v>44606</v>
      </c>
      <c r="C792" s="1" t="n">
        <v>46193</v>
      </c>
      <c r="D792" t="inlineStr">
        <is>
          <t>VÄSTERBOTTENS LÄN</t>
        </is>
      </c>
      <c r="E792" t="inlineStr">
        <is>
          <t>UMEÅ</t>
        </is>
      </c>
      <c r="G792" t="n">
        <v>3.1</v>
      </c>
      <c r="H792" t="n">
        <v>0</v>
      </c>
      <c r="I792" t="n">
        <v>0</v>
      </c>
      <c r="J792" t="n">
        <v>0</v>
      </c>
      <c r="K792" t="n">
        <v>0</v>
      </c>
      <c r="L792" t="n">
        <v>0</v>
      </c>
      <c r="M792" t="n">
        <v>0</v>
      </c>
      <c r="N792" t="n">
        <v>0</v>
      </c>
      <c r="O792" t="n">
        <v>0</v>
      </c>
      <c r="P792" t="n">
        <v>0</v>
      </c>
      <c r="Q792" t="n">
        <v>0</v>
      </c>
      <c r="R792" s="2" t="inlineStr"/>
    </row>
    <row r="793" ht="15" customHeight="1">
      <c r="A793" t="inlineStr">
        <is>
          <t>A 1388-2026</t>
        </is>
      </c>
      <c r="B793" s="1" t="n">
        <v>46031</v>
      </c>
      <c r="C793" s="1" t="n">
        <v>46193</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46372-2023</t>
        </is>
      </c>
      <c r="B794" s="1" t="n">
        <v>45197</v>
      </c>
      <c r="C794" s="1" t="n">
        <v>46193</v>
      </c>
      <c r="D794" t="inlineStr">
        <is>
          <t>VÄSTERBOTTENS LÄN</t>
        </is>
      </c>
      <c r="E794" t="inlineStr">
        <is>
          <t>UMEÅ</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4650-2025</t>
        </is>
      </c>
      <c r="B795" s="1" t="n">
        <v>45687</v>
      </c>
      <c r="C795" s="1" t="n">
        <v>46193</v>
      </c>
      <c r="D795" t="inlineStr">
        <is>
          <t>VÄSTERBOTTENS LÄN</t>
        </is>
      </c>
      <c r="E795" t="inlineStr">
        <is>
          <t>UMEÅ</t>
        </is>
      </c>
      <c r="F795" t="inlineStr">
        <is>
          <t>Holmen skog AB</t>
        </is>
      </c>
      <c r="G795" t="n">
        <v>20.8</v>
      </c>
      <c r="H795" t="n">
        <v>0</v>
      </c>
      <c r="I795" t="n">
        <v>0</v>
      </c>
      <c r="J795" t="n">
        <v>0</v>
      </c>
      <c r="K795" t="n">
        <v>0</v>
      </c>
      <c r="L795" t="n">
        <v>0</v>
      </c>
      <c r="M795" t="n">
        <v>0</v>
      </c>
      <c r="N795" t="n">
        <v>0</v>
      </c>
      <c r="O795" t="n">
        <v>0</v>
      </c>
      <c r="P795" t="n">
        <v>0</v>
      </c>
      <c r="Q795" t="n">
        <v>0</v>
      </c>
      <c r="R795" s="2" t="inlineStr"/>
    </row>
    <row r="796" ht="15" customHeight="1">
      <c r="A796" t="inlineStr">
        <is>
          <t>A 21440-2024</t>
        </is>
      </c>
      <c r="B796" s="1" t="n">
        <v>45441</v>
      </c>
      <c r="C796" s="1" t="n">
        <v>46193</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3828-2025</t>
        </is>
      </c>
      <c r="B797" s="1" t="n">
        <v>45681</v>
      </c>
      <c r="C797" s="1" t="n">
        <v>46193</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3829-2025</t>
        </is>
      </c>
      <c r="B798" s="1" t="n">
        <v>45681</v>
      </c>
      <c r="C798" s="1" t="n">
        <v>46193</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9769-2022</t>
        </is>
      </c>
      <c r="B799" s="1" t="n">
        <v>44619</v>
      </c>
      <c r="C799" s="1" t="n">
        <v>46193</v>
      </c>
      <c r="D799" t="inlineStr">
        <is>
          <t>VÄSTERBOTTENS LÄN</t>
        </is>
      </c>
      <c r="E799" t="inlineStr">
        <is>
          <t>UMEÅ</t>
        </is>
      </c>
      <c r="G799" t="n">
        <v>12.6</v>
      </c>
      <c r="H799" t="n">
        <v>0</v>
      </c>
      <c r="I799" t="n">
        <v>0</v>
      </c>
      <c r="J799" t="n">
        <v>0</v>
      </c>
      <c r="K799" t="n">
        <v>0</v>
      </c>
      <c r="L799" t="n">
        <v>0</v>
      </c>
      <c r="M799" t="n">
        <v>0</v>
      </c>
      <c r="N799" t="n">
        <v>0</v>
      </c>
      <c r="O799" t="n">
        <v>0</v>
      </c>
      <c r="P799" t="n">
        <v>0</v>
      </c>
      <c r="Q799" t="n">
        <v>0</v>
      </c>
      <c r="R799" s="2" t="inlineStr"/>
    </row>
    <row r="800" ht="15" customHeight="1">
      <c r="A800" t="inlineStr">
        <is>
          <t>A 39594-2023</t>
        </is>
      </c>
      <c r="B800" s="1" t="n">
        <v>45167</v>
      </c>
      <c r="C800" s="1" t="n">
        <v>46193</v>
      </c>
      <c r="D800" t="inlineStr">
        <is>
          <t>VÄSTERBOTTENS LÄN</t>
        </is>
      </c>
      <c r="E800" t="inlineStr">
        <is>
          <t>UMEÅ</t>
        </is>
      </c>
      <c r="F800" t="inlineStr">
        <is>
          <t>Sveaskog</t>
        </is>
      </c>
      <c r="G800" t="n">
        <v>8.6</v>
      </c>
      <c r="H800" t="n">
        <v>0</v>
      </c>
      <c r="I800" t="n">
        <v>0</v>
      </c>
      <c r="J800" t="n">
        <v>0</v>
      </c>
      <c r="K800" t="n">
        <v>0</v>
      </c>
      <c r="L800" t="n">
        <v>0</v>
      </c>
      <c r="M800" t="n">
        <v>0</v>
      </c>
      <c r="N800" t="n">
        <v>0</v>
      </c>
      <c r="O800" t="n">
        <v>0</v>
      </c>
      <c r="P800" t="n">
        <v>0</v>
      </c>
      <c r="Q800" t="n">
        <v>0</v>
      </c>
      <c r="R800" s="2" t="inlineStr"/>
    </row>
    <row r="801" ht="15" customHeight="1">
      <c r="A801" t="inlineStr">
        <is>
          <t>A 44121-2022</t>
        </is>
      </c>
      <c r="B801" s="1" t="n">
        <v>44839</v>
      </c>
      <c r="C801" s="1" t="n">
        <v>46193</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2857-2026</t>
        </is>
      </c>
      <c r="B802" s="1" t="n">
        <v>46038</v>
      </c>
      <c r="C802" s="1" t="n">
        <v>46193</v>
      </c>
      <c r="D802" t="inlineStr">
        <is>
          <t>VÄSTERBOTTENS LÄN</t>
        </is>
      </c>
      <c r="E802" t="inlineStr">
        <is>
          <t>UMEÅ</t>
        </is>
      </c>
      <c r="G802" t="n">
        <v>4.5</v>
      </c>
      <c r="H802" t="n">
        <v>0</v>
      </c>
      <c r="I802" t="n">
        <v>0</v>
      </c>
      <c r="J802" t="n">
        <v>0</v>
      </c>
      <c r="K802" t="n">
        <v>0</v>
      </c>
      <c r="L802" t="n">
        <v>0</v>
      </c>
      <c r="M802" t="n">
        <v>0</v>
      </c>
      <c r="N802" t="n">
        <v>0</v>
      </c>
      <c r="O802" t="n">
        <v>0</v>
      </c>
      <c r="P802" t="n">
        <v>0</v>
      </c>
      <c r="Q802" t="n">
        <v>0</v>
      </c>
      <c r="R802" s="2" t="inlineStr"/>
    </row>
    <row r="803" ht="15" customHeight="1">
      <c r="A803" t="inlineStr">
        <is>
          <t>A 55082-2023</t>
        </is>
      </c>
      <c r="B803" s="1" t="n">
        <v>45230</v>
      </c>
      <c r="C803" s="1" t="n">
        <v>46193</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7853-2025</t>
        </is>
      </c>
      <c r="B804" s="1" t="n">
        <v>45706</v>
      </c>
      <c r="C804" s="1" t="n">
        <v>46193</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14380-2025</t>
        </is>
      </c>
      <c r="B805" s="1" t="n">
        <v>45741</v>
      </c>
      <c r="C805" s="1" t="n">
        <v>46193</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3154-2026</t>
        </is>
      </c>
      <c r="B806" s="1" t="n">
        <v>46041</v>
      </c>
      <c r="C806" s="1" t="n">
        <v>46193</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46727-2023</t>
        </is>
      </c>
      <c r="B807" s="1" t="n">
        <v>45198</v>
      </c>
      <c r="C807" s="1" t="n">
        <v>46193</v>
      </c>
      <c r="D807" t="inlineStr">
        <is>
          <t>VÄSTERBOTTENS LÄN</t>
        </is>
      </c>
      <c r="E807" t="inlineStr">
        <is>
          <t>UMEÅ</t>
        </is>
      </c>
      <c r="G807" t="n">
        <v>4.3</v>
      </c>
      <c r="H807" t="n">
        <v>0</v>
      </c>
      <c r="I807" t="n">
        <v>0</v>
      </c>
      <c r="J807" t="n">
        <v>0</v>
      </c>
      <c r="K807" t="n">
        <v>0</v>
      </c>
      <c r="L807" t="n">
        <v>0</v>
      </c>
      <c r="M807" t="n">
        <v>0</v>
      </c>
      <c r="N807" t="n">
        <v>0</v>
      </c>
      <c r="O807" t="n">
        <v>0</v>
      </c>
      <c r="P807" t="n">
        <v>0</v>
      </c>
      <c r="Q807" t="n">
        <v>0</v>
      </c>
      <c r="R807" s="2" t="inlineStr"/>
    </row>
    <row r="808" ht="15" customHeight="1">
      <c r="A808" t="inlineStr">
        <is>
          <t>A 16606-2022</t>
        </is>
      </c>
      <c r="B808" s="1" t="n">
        <v>44672</v>
      </c>
      <c r="C808" s="1" t="n">
        <v>46193</v>
      </c>
      <c r="D808" t="inlineStr">
        <is>
          <t>VÄSTERBOTTENS LÄN</t>
        </is>
      </c>
      <c r="E808" t="inlineStr">
        <is>
          <t>UMEÅ</t>
        </is>
      </c>
      <c r="G808" t="n">
        <v>1.8</v>
      </c>
      <c r="H808" t="n">
        <v>0</v>
      </c>
      <c r="I808" t="n">
        <v>0</v>
      </c>
      <c r="J808" t="n">
        <v>0</v>
      </c>
      <c r="K808" t="n">
        <v>0</v>
      </c>
      <c r="L808" t="n">
        <v>0</v>
      </c>
      <c r="M808" t="n">
        <v>0</v>
      </c>
      <c r="N808" t="n">
        <v>0</v>
      </c>
      <c r="O808" t="n">
        <v>0</v>
      </c>
      <c r="P808" t="n">
        <v>0</v>
      </c>
      <c r="Q808" t="n">
        <v>0</v>
      </c>
      <c r="R808" s="2" t="inlineStr"/>
    </row>
    <row r="809" ht="15" customHeight="1">
      <c r="A809" t="inlineStr">
        <is>
          <t>A 59289-2023</t>
        </is>
      </c>
      <c r="B809" s="1" t="n">
        <v>45252</v>
      </c>
      <c r="C809" s="1" t="n">
        <v>46193</v>
      </c>
      <c r="D809" t="inlineStr">
        <is>
          <t>VÄSTERBOTTENS LÄN</t>
        </is>
      </c>
      <c r="E809" t="inlineStr">
        <is>
          <t>UMEÅ</t>
        </is>
      </c>
      <c r="G809" t="n">
        <v>2</v>
      </c>
      <c r="H809" t="n">
        <v>0</v>
      </c>
      <c r="I809" t="n">
        <v>0</v>
      </c>
      <c r="J809" t="n">
        <v>0</v>
      </c>
      <c r="K809" t="n">
        <v>0</v>
      </c>
      <c r="L809" t="n">
        <v>0</v>
      </c>
      <c r="M809" t="n">
        <v>0</v>
      </c>
      <c r="N809" t="n">
        <v>0</v>
      </c>
      <c r="O809" t="n">
        <v>0</v>
      </c>
      <c r="P809" t="n">
        <v>0</v>
      </c>
      <c r="Q809" t="n">
        <v>0</v>
      </c>
      <c r="R809" s="2" t="inlineStr"/>
    </row>
    <row r="810" ht="15" customHeight="1">
      <c r="A810" t="inlineStr">
        <is>
          <t>A 42463-2023</t>
        </is>
      </c>
      <c r="B810" s="1" t="n">
        <v>45180</v>
      </c>
      <c r="C810" s="1" t="n">
        <v>46193</v>
      </c>
      <c r="D810" t="inlineStr">
        <is>
          <t>VÄSTERBOTTENS LÄN</t>
        </is>
      </c>
      <c r="E810" t="inlineStr">
        <is>
          <t>UMEÅ</t>
        </is>
      </c>
      <c r="G810" t="n">
        <v>3.5</v>
      </c>
      <c r="H810" t="n">
        <v>0</v>
      </c>
      <c r="I810" t="n">
        <v>0</v>
      </c>
      <c r="J810" t="n">
        <v>0</v>
      </c>
      <c r="K810" t="n">
        <v>0</v>
      </c>
      <c r="L810" t="n">
        <v>0</v>
      </c>
      <c r="M810" t="n">
        <v>0</v>
      </c>
      <c r="N810" t="n">
        <v>0</v>
      </c>
      <c r="O810" t="n">
        <v>0</v>
      </c>
      <c r="P810" t="n">
        <v>0</v>
      </c>
      <c r="Q810" t="n">
        <v>0</v>
      </c>
      <c r="R810" s="2" t="inlineStr"/>
    </row>
    <row r="811" ht="15" customHeight="1">
      <c r="A811" t="inlineStr">
        <is>
          <t>A 6130-2025</t>
        </is>
      </c>
      <c r="B811" s="1" t="n">
        <v>45698</v>
      </c>
      <c r="C811" s="1" t="n">
        <v>46193</v>
      </c>
      <c r="D811" t="inlineStr">
        <is>
          <t>VÄSTERBOTTENS LÄN</t>
        </is>
      </c>
      <c r="E811" t="inlineStr">
        <is>
          <t>UMEÅ</t>
        </is>
      </c>
      <c r="G811" t="n">
        <v>2.5</v>
      </c>
      <c r="H811" t="n">
        <v>0</v>
      </c>
      <c r="I811" t="n">
        <v>0</v>
      </c>
      <c r="J811" t="n">
        <v>0</v>
      </c>
      <c r="K811" t="n">
        <v>0</v>
      </c>
      <c r="L811" t="n">
        <v>0</v>
      </c>
      <c r="M811" t="n">
        <v>0</v>
      </c>
      <c r="N811" t="n">
        <v>0</v>
      </c>
      <c r="O811" t="n">
        <v>0</v>
      </c>
      <c r="P811" t="n">
        <v>0</v>
      </c>
      <c r="Q811" t="n">
        <v>0</v>
      </c>
      <c r="R811" s="2" t="inlineStr"/>
    </row>
    <row r="812" ht="15" customHeight="1">
      <c r="A812" t="inlineStr">
        <is>
          <t>A 3215-2026</t>
        </is>
      </c>
      <c r="B812" s="1" t="n">
        <v>46041</v>
      </c>
      <c r="C812" s="1" t="n">
        <v>46193</v>
      </c>
      <c r="D812" t="inlineStr">
        <is>
          <t>VÄSTERBOTTENS LÄN</t>
        </is>
      </c>
      <c r="E812" t="inlineStr">
        <is>
          <t>UMEÅ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3964-2026</t>
        </is>
      </c>
      <c r="B813" s="1" t="n">
        <v>46044</v>
      </c>
      <c r="C813" s="1" t="n">
        <v>46193</v>
      </c>
      <c r="D813" t="inlineStr">
        <is>
          <t>VÄSTERBOTTENS LÄN</t>
        </is>
      </c>
      <c r="E813" t="inlineStr">
        <is>
          <t>UMEÅ</t>
        </is>
      </c>
      <c r="G813" t="n">
        <v>2.6</v>
      </c>
      <c r="H813" t="n">
        <v>0</v>
      </c>
      <c r="I813" t="n">
        <v>0</v>
      </c>
      <c r="J813" t="n">
        <v>0</v>
      </c>
      <c r="K813" t="n">
        <v>0</v>
      </c>
      <c r="L813" t="n">
        <v>0</v>
      </c>
      <c r="M813" t="n">
        <v>0</v>
      </c>
      <c r="N813" t="n">
        <v>0</v>
      </c>
      <c r="O813" t="n">
        <v>0</v>
      </c>
      <c r="P813" t="n">
        <v>0</v>
      </c>
      <c r="Q813" t="n">
        <v>0</v>
      </c>
      <c r="R813" s="2" t="inlineStr"/>
    </row>
    <row r="814" ht="15" customHeight="1">
      <c r="A814" t="inlineStr">
        <is>
          <t>A 3966-2026</t>
        </is>
      </c>
      <c r="B814" s="1" t="n">
        <v>46044</v>
      </c>
      <c r="C814" s="1" t="n">
        <v>46193</v>
      </c>
      <c r="D814" t="inlineStr">
        <is>
          <t>VÄSTERBOTTENS LÄN</t>
        </is>
      </c>
      <c r="E814" t="inlineStr">
        <is>
          <t>UMEÅ</t>
        </is>
      </c>
      <c r="G814" t="n">
        <v>1.4</v>
      </c>
      <c r="H814" t="n">
        <v>0</v>
      </c>
      <c r="I814" t="n">
        <v>0</v>
      </c>
      <c r="J814" t="n">
        <v>0</v>
      </c>
      <c r="K814" t="n">
        <v>0</v>
      </c>
      <c r="L814" t="n">
        <v>0</v>
      </c>
      <c r="M814" t="n">
        <v>0</v>
      </c>
      <c r="N814" t="n">
        <v>0</v>
      </c>
      <c r="O814" t="n">
        <v>0</v>
      </c>
      <c r="P814" t="n">
        <v>0</v>
      </c>
      <c r="Q814" t="n">
        <v>0</v>
      </c>
      <c r="R814" s="2" t="inlineStr"/>
    </row>
    <row r="815" ht="15" customHeight="1">
      <c r="A815" t="inlineStr">
        <is>
          <t>A 3972-2026</t>
        </is>
      </c>
      <c r="B815" s="1" t="n">
        <v>46044</v>
      </c>
      <c r="C815" s="1" t="n">
        <v>46193</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4110-2026</t>
        </is>
      </c>
      <c r="B816" s="1" t="n">
        <v>46043</v>
      </c>
      <c r="C816" s="1" t="n">
        <v>46193</v>
      </c>
      <c r="D816" t="inlineStr">
        <is>
          <t>VÄSTERBOTTENS LÄN</t>
        </is>
      </c>
      <c r="E816" t="inlineStr">
        <is>
          <t>UMEÅ</t>
        </is>
      </c>
      <c r="G816" t="n">
        <v>7.6</v>
      </c>
      <c r="H816" t="n">
        <v>0</v>
      </c>
      <c r="I816" t="n">
        <v>0</v>
      </c>
      <c r="J816" t="n">
        <v>0</v>
      </c>
      <c r="K816" t="n">
        <v>0</v>
      </c>
      <c r="L816" t="n">
        <v>0</v>
      </c>
      <c r="M816" t="n">
        <v>0</v>
      </c>
      <c r="N816" t="n">
        <v>0</v>
      </c>
      <c r="O816" t="n">
        <v>0</v>
      </c>
      <c r="P816" t="n">
        <v>0</v>
      </c>
      <c r="Q816" t="n">
        <v>0</v>
      </c>
      <c r="R816" s="2" t="inlineStr"/>
    </row>
    <row r="817" ht="15" customHeight="1">
      <c r="A817" t="inlineStr">
        <is>
          <t>A 39945-2023</t>
        </is>
      </c>
      <c r="B817" s="1" t="n">
        <v>45168</v>
      </c>
      <c r="C817" s="1" t="n">
        <v>46193</v>
      </c>
      <c r="D817" t="inlineStr">
        <is>
          <t>VÄSTERBOTTENS LÄN</t>
        </is>
      </c>
      <c r="E817" t="inlineStr">
        <is>
          <t>UMEÅ</t>
        </is>
      </c>
      <c r="G817" t="n">
        <v>4.9</v>
      </c>
      <c r="H817" t="n">
        <v>0</v>
      </c>
      <c r="I817" t="n">
        <v>0</v>
      </c>
      <c r="J817" t="n">
        <v>0</v>
      </c>
      <c r="K817" t="n">
        <v>0</v>
      </c>
      <c r="L817" t="n">
        <v>0</v>
      </c>
      <c r="M817" t="n">
        <v>0</v>
      </c>
      <c r="N817" t="n">
        <v>0</v>
      </c>
      <c r="O817" t="n">
        <v>0</v>
      </c>
      <c r="P817" t="n">
        <v>0</v>
      </c>
      <c r="Q817" t="n">
        <v>0</v>
      </c>
      <c r="R817" s="2" t="inlineStr"/>
    </row>
    <row r="818" ht="15" customHeight="1">
      <c r="A818" t="inlineStr">
        <is>
          <t>A 3957-2026</t>
        </is>
      </c>
      <c r="B818" s="1" t="n">
        <v>46044</v>
      </c>
      <c r="C818" s="1" t="n">
        <v>46193</v>
      </c>
      <c r="D818" t="inlineStr">
        <is>
          <t>VÄSTERBOTTENS LÄN</t>
        </is>
      </c>
      <c r="E818" t="inlineStr">
        <is>
          <t>UMEÅ</t>
        </is>
      </c>
      <c r="G818" t="n">
        <v>0.8</v>
      </c>
      <c r="H818" t="n">
        <v>0</v>
      </c>
      <c r="I818" t="n">
        <v>0</v>
      </c>
      <c r="J818" t="n">
        <v>0</v>
      </c>
      <c r="K818" t="n">
        <v>0</v>
      </c>
      <c r="L818" t="n">
        <v>0</v>
      </c>
      <c r="M818" t="n">
        <v>0</v>
      </c>
      <c r="N818" t="n">
        <v>0</v>
      </c>
      <c r="O818" t="n">
        <v>0</v>
      </c>
      <c r="P818" t="n">
        <v>0</v>
      </c>
      <c r="Q818" t="n">
        <v>0</v>
      </c>
      <c r="R818" s="2" t="inlineStr"/>
    </row>
    <row r="819" ht="15" customHeight="1">
      <c r="A819" t="inlineStr">
        <is>
          <t>A 3726-2026</t>
        </is>
      </c>
      <c r="B819" s="1" t="n">
        <v>46043</v>
      </c>
      <c r="C819" s="1" t="n">
        <v>46193</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4362-2026</t>
        </is>
      </c>
      <c r="B820" s="1" t="n">
        <v>46045</v>
      </c>
      <c r="C820" s="1" t="n">
        <v>46193</v>
      </c>
      <c r="D820" t="inlineStr">
        <is>
          <t>VÄSTERBOTTENS LÄN</t>
        </is>
      </c>
      <c r="E820" t="inlineStr">
        <is>
          <t>UMEÅ</t>
        </is>
      </c>
      <c r="G820" t="n">
        <v>2</v>
      </c>
      <c r="H820" t="n">
        <v>0</v>
      </c>
      <c r="I820" t="n">
        <v>0</v>
      </c>
      <c r="J820" t="n">
        <v>0</v>
      </c>
      <c r="K820" t="n">
        <v>0</v>
      </c>
      <c r="L820" t="n">
        <v>0</v>
      </c>
      <c r="M820" t="n">
        <v>0</v>
      </c>
      <c r="N820" t="n">
        <v>0</v>
      </c>
      <c r="O820" t="n">
        <v>0</v>
      </c>
      <c r="P820" t="n">
        <v>0</v>
      </c>
      <c r="Q820" t="n">
        <v>0</v>
      </c>
      <c r="R820" s="2" t="inlineStr"/>
    </row>
    <row r="821" ht="15" customHeight="1">
      <c r="A821" t="inlineStr">
        <is>
          <t>A 5467-2026</t>
        </is>
      </c>
      <c r="B821" s="1" t="n">
        <v>46048</v>
      </c>
      <c r="C821" s="1" t="n">
        <v>46193</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4633-2026</t>
        </is>
      </c>
      <c r="B822" s="1" t="n">
        <v>46048</v>
      </c>
      <c r="C822" s="1" t="n">
        <v>46193</v>
      </c>
      <c r="D822" t="inlineStr">
        <is>
          <t>VÄSTERBOTTENS LÄN</t>
        </is>
      </c>
      <c r="E822" t="inlineStr">
        <is>
          <t>UMEÅ</t>
        </is>
      </c>
      <c r="G822" t="n">
        <v>3.3</v>
      </c>
      <c r="H822" t="n">
        <v>0</v>
      </c>
      <c r="I822" t="n">
        <v>0</v>
      </c>
      <c r="J822" t="n">
        <v>0</v>
      </c>
      <c r="K822" t="n">
        <v>0</v>
      </c>
      <c r="L822" t="n">
        <v>0</v>
      </c>
      <c r="M822" t="n">
        <v>0</v>
      </c>
      <c r="N822" t="n">
        <v>0</v>
      </c>
      <c r="O822" t="n">
        <v>0</v>
      </c>
      <c r="P822" t="n">
        <v>0</v>
      </c>
      <c r="Q822" t="n">
        <v>0</v>
      </c>
      <c r="R822" s="2" t="inlineStr"/>
    </row>
    <row r="823" ht="15" customHeight="1">
      <c r="A823" t="inlineStr">
        <is>
          <t>A 29027-2022</t>
        </is>
      </c>
      <c r="B823" s="1" t="n">
        <v>44749</v>
      </c>
      <c r="C823" s="1" t="n">
        <v>46193</v>
      </c>
      <c r="D823" t="inlineStr">
        <is>
          <t>VÄSTERBOTTENS LÄN</t>
        </is>
      </c>
      <c r="E823" t="inlineStr">
        <is>
          <t>UMEÅ</t>
        </is>
      </c>
      <c r="G823" t="n">
        <v>1.5</v>
      </c>
      <c r="H823" t="n">
        <v>0</v>
      </c>
      <c r="I823" t="n">
        <v>0</v>
      </c>
      <c r="J823" t="n">
        <v>0</v>
      </c>
      <c r="K823" t="n">
        <v>0</v>
      </c>
      <c r="L823" t="n">
        <v>0</v>
      </c>
      <c r="M823" t="n">
        <v>0</v>
      </c>
      <c r="N823" t="n">
        <v>0</v>
      </c>
      <c r="O823" t="n">
        <v>0</v>
      </c>
      <c r="P823" t="n">
        <v>0</v>
      </c>
      <c r="Q823" t="n">
        <v>0</v>
      </c>
      <c r="R823" s="2" t="inlineStr"/>
    </row>
    <row r="824" ht="15" customHeight="1">
      <c r="A824" t="inlineStr">
        <is>
          <t>A 52529-2023</t>
        </is>
      </c>
      <c r="B824" s="1" t="n">
        <v>45225</v>
      </c>
      <c r="C824" s="1" t="n">
        <v>46193</v>
      </c>
      <c r="D824" t="inlineStr">
        <is>
          <t>VÄSTERBOTTENS LÄN</t>
        </is>
      </c>
      <c r="E824" t="inlineStr">
        <is>
          <t>UMEÅ</t>
        </is>
      </c>
      <c r="G824" t="n">
        <v>0.5</v>
      </c>
      <c r="H824" t="n">
        <v>0</v>
      </c>
      <c r="I824" t="n">
        <v>0</v>
      </c>
      <c r="J824" t="n">
        <v>0</v>
      </c>
      <c r="K824" t="n">
        <v>0</v>
      </c>
      <c r="L824" t="n">
        <v>0</v>
      </c>
      <c r="M824" t="n">
        <v>0</v>
      </c>
      <c r="N824" t="n">
        <v>0</v>
      </c>
      <c r="O824" t="n">
        <v>0</v>
      </c>
      <c r="P824" t="n">
        <v>0</v>
      </c>
      <c r="Q824" t="n">
        <v>0</v>
      </c>
      <c r="R824" s="2" t="inlineStr"/>
    </row>
    <row r="825" ht="15" customHeight="1">
      <c r="A825" t="inlineStr">
        <is>
          <t>A 5454-2026</t>
        </is>
      </c>
      <c r="B825" s="1" t="n">
        <v>46048</v>
      </c>
      <c r="C825" s="1" t="n">
        <v>46193</v>
      </c>
      <c r="D825" t="inlineStr">
        <is>
          <t>VÄSTERBOTTENS LÄN</t>
        </is>
      </c>
      <c r="E825" t="inlineStr">
        <is>
          <t>UMEÅ</t>
        </is>
      </c>
      <c r="G825" t="n">
        <v>3.2</v>
      </c>
      <c r="H825" t="n">
        <v>0</v>
      </c>
      <c r="I825" t="n">
        <v>0</v>
      </c>
      <c r="J825" t="n">
        <v>0</v>
      </c>
      <c r="K825" t="n">
        <v>0</v>
      </c>
      <c r="L825" t="n">
        <v>0</v>
      </c>
      <c r="M825" t="n">
        <v>0</v>
      </c>
      <c r="N825" t="n">
        <v>0</v>
      </c>
      <c r="O825" t="n">
        <v>0</v>
      </c>
      <c r="P825" t="n">
        <v>0</v>
      </c>
      <c r="Q825" t="n">
        <v>0</v>
      </c>
      <c r="R825" s="2" t="inlineStr"/>
    </row>
    <row r="826" ht="15" customHeight="1">
      <c r="A826" t="inlineStr">
        <is>
          <t>A 26352-2024</t>
        </is>
      </c>
      <c r="B826" s="1" t="n">
        <v>45469</v>
      </c>
      <c r="C826" s="1" t="n">
        <v>46193</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5291-2026</t>
        </is>
      </c>
      <c r="B827" s="1" t="n">
        <v>46050</v>
      </c>
      <c r="C827" s="1" t="n">
        <v>46193</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25346-2024</t>
        </is>
      </c>
      <c r="B828" s="1" t="n">
        <v>45462</v>
      </c>
      <c r="C828" s="1" t="n">
        <v>46193</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5293-2026</t>
        </is>
      </c>
      <c r="B829" s="1" t="n">
        <v>46050</v>
      </c>
      <c r="C829" s="1" t="n">
        <v>46193</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10422-2025</t>
        </is>
      </c>
      <c r="B830" s="1" t="n">
        <v>45720</v>
      </c>
      <c r="C830" s="1" t="n">
        <v>46193</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5013-2026</t>
        </is>
      </c>
      <c r="B831" s="1" t="n">
        <v>46049</v>
      </c>
      <c r="C831" s="1" t="n">
        <v>46193</v>
      </c>
      <c r="D831" t="inlineStr">
        <is>
          <t>VÄSTERBOTTENS LÄN</t>
        </is>
      </c>
      <c r="E831" t="inlineStr">
        <is>
          <t>UMEÅ</t>
        </is>
      </c>
      <c r="G831" t="n">
        <v>3.8</v>
      </c>
      <c r="H831" t="n">
        <v>0</v>
      </c>
      <c r="I831" t="n">
        <v>0</v>
      </c>
      <c r="J831" t="n">
        <v>0</v>
      </c>
      <c r="K831" t="n">
        <v>0</v>
      </c>
      <c r="L831" t="n">
        <v>0</v>
      </c>
      <c r="M831" t="n">
        <v>0</v>
      </c>
      <c r="N831" t="n">
        <v>0</v>
      </c>
      <c r="O831" t="n">
        <v>0</v>
      </c>
      <c r="P831" t="n">
        <v>0</v>
      </c>
      <c r="Q831" t="n">
        <v>0</v>
      </c>
      <c r="R831" s="2" t="inlineStr"/>
    </row>
    <row r="832" ht="15" customHeight="1">
      <c r="A832" t="inlineStr">
        <is>
          <t>A 5322-2026</t>
        </is>
      </c>
      <c r="B832" s="1" t="n">
        <v>46050</v>
      </c>
      <c r="C832" s="1" t="n">
        <v>46193</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51709-2023</t>
        </is>
      </c>
      <c r="B833" s="1" t="n">
        <v>45215</v>
      </c>
      <c r="C833" s="1" t="n">
        <v>46193</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5329-2026</t>
        </is>
      </c>
      <c r="B834" s="1" t="n">
        <v>46050</v>
      </c>
      <c r="C834" s="1" t="n">
        <v>46193</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5011-2026</t>
        </is>
      </c>
      <c r="B835" s="1" t="n">
        <v>46049</v>
      </c>
      <c r="C835" s="1" t="n">
        <v>46193</v>
      </c>
      <c r="D835" t="inlineStr">
        <is>
          <t>VÄSTERBOTTENS LÄN</t>
        </is>
      </c>
      <c r="E835" t="inlineStr">
        <is>
          <t>UMEÅ</t>
        </is>
      </c>
      <c r="G835" t="n">
        <v>2.3</v>
      </c>
      <c r="H835" t="n">
        <v>0</v>
      </c>
      <c r="I835" t="n">
        <v>0</v>
      </c>
      <c r="J835" t="n">
        <v>0</v>
      </c>
      <c r="K835" t="n">
        <v>0</v>
      </c>
      <c r="L835" t="n">
        <v>0</v>
      </c>
      <c r="M835" t="n">
        <v>0</v>
      </c>
      <c r="N835" t="n">
        <v>0</v>
      </c>
      <c r="O835" t="n">
        <v>0</v>
      </c>
      <c r="P835" t="n">
        <v>0</v>
      </c>
      <c r="Q835" t="n">
        <v>0</v>
      </c>
      <c r="R835" s="2" t="inlineStr"/>
    </row>
    <row r="836" ht="15" customHeight="1">
      <c r="A836" t="inlineStr">
        <is>
          <t>A 5016-2026</t>
        </is>
      </c>
      <c r="B836" s="1" t="n">
        <v>46049</v>
      </c>
      <c r="C836" s="1" t="n">
        <v>46193</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6070-2026</t>
        </is>
      </c>
      <c r="B837" s="1" t="n">
        <v>46052</v>
      </c>
      <c r="C837" s="1" t="n">
        <v>46193</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44459-2023</t>
        </is>
      </c>
      <c r="B838" s="1" t="n">
        <v>45189</v>
      </c>
      <c r="C838" s="1" t="n">
        <v>46193</v>
      </c>
      <c r="D838" t="inlineStr">
        <is>
          <t>VÄSTERBOTTENS LÄN</t>
        </is>
      </c>
      <c r="E838" t="inlineStr">
        <is>
          <t>UMEÅ</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6519-2026</t>
        </is>
      </c>
      <c r="B839" s="1" t="n">
        <v>46056</v>
      </c>
      <c r="C839" s="1" t="n">
        <v>46193</v>
      </c>
      <c r="D839" t="inlineStr">
        <is>
          <t>VÄSTERBOTTENS LÄN</t>
        </is>
      </c>
      <c r="E839" t="inlineStr">
        <is>
          <t>UMEÅ</t>
        </is>
      </c>
      <c r="G839" t="n">
        <v>2.1</v>
      </c>
      <c r="H839" t="n">
        <v>0</v>
      </c>
      <c r="I839" t="n">
        <v>0</v>
      </c>
      <c r="J839" t="n">
        <v>0</v>
      </c>
      <c r="K839" t="n">
        <v>0</v>
      </c>
      <c r="L839" t="n">
        <v>0</v>
      </c>
      <c r="M839" t="n">
        <v>0</v>
      </c>
      <c r="N839" t="n">
        <v>0</v>
      </c>
      <c r="O839" t="n">
        <v>0</v>
      </c>
      <c r="P839" t="n">
        <v>0</v>
      </c>
      <c r="Q839" t="n">
        <v>0</v>
      </c>
      <c r="R839" s="2" t="inlineStr"/>
    </row>
    <row r="840" ht="15" customHeight="1">
      <c r="A840" t="inlineStr">
        <is>
          <t>A 7285-2026</t>
        </is>
      </c>
      <c r="B840" s="1" t="n">
        <v>46058</v>
      </c>
      <c r="C840" s="1" t="n">
        <v>46193</v>
      </c>
      <c r="D840" t="inlineStr">
        <is>
          <t>VÄSTERBOTTENS LÄN</t>
        </is>
      </c>
      <c r="E840" t="inlineStr">
        <is>
          <t>UMEÅ</t>
        </is>
      </c>
      <c r="G840" t="n">
        <v>7.7</v>
      </c>
      <c r="H840" t="n">
        <v>0</v>
      </c>
      <c r="I840" t="n">
        <v>0</v>
      </c>
      <c r="J840" t="n">
        <v>0</v>
      </c>
      <c r="K840" t="n">
        <v>0</v>
      </c>
      <c r="L840" t="n">
        <v>0</v>
      </c>
      <c r="M840" t="n">
        <v>0</v>
      </c>
      <c r="N840" t="n">
        <v>0</v>
      </c>
      <c r="O840" t="n">
        <v>0</v>
      </c>
      <c r="P840" t="n">
        <v>0</v>
      </c>
      <c r="Q840" t="n">
        <v>0</v>
      </c>
      <c r="R840" s="2" t="inlineStr"/>
    </row>
    <row r="841" ht="15" customHeight="1">
      <c r="A841" t="inlineStr">
        <is>
          <t>A 7371-2026</t>
        </is>
      </c>
      <c r="B841" s="1" t="n">
        <v>46059</v>
      </c>
      <c r="C841" s="1" t="n">
        <v>46193</v>
      </c>
      <c r="D841" t="inlineStr">
        <is>
          <t>VÄSTERBOTTENS LÄN</t>
        </is>
      </c>
      <c r="E841" t="inlineStr">
        <is>
          <t>UMEÅ</t>
        </is>
      </c>
      <c r="G841" t="n">
        <v>3</v>
      </c>
      <c r="H841" t="n">
        <v>0</v>
      </c>
      <c r="I841" t="n">
        <v>0</v>
      </c>
      <c r="J841" t="n">
        <v>0</v>
      </c>
      <c r="K841" t="n">
        <v>0</v>
      </c>
      <c r="L841" t="n">
        <v>0</v>
      </c>
      <c r="M841" t="n">
        <v>0</v>
      </c>
      <c r="N841" t="n">
        <v>0</v>
      </c>
      <c r="O841" t="n">
        <v>0</v>
      </c>
      <c r="P841" t="n">
        <v>0</v>
      </c>
      <c r="Q841" t="n">
        <v>0</v>
      </c>
      <c r="R841" s="2" t="inlineStr"/>
    </row>
    <row r="842" ht="15" customHeight="1">
      <c r="A842" t="inlineStr">
        <is>
          <t>A 7389-2026</t>
        </is>
      </c>
      <c r="B842" s="1" t="n">
        <v>46059</v>
      </c>
      <c r="C842" s="1" t="n">
        <v>46193</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50725-2023</t>
        </is>
      </c>
      <c r="B843" s="1" t="n">
        <v>45217</v>
      </c>
      <c r="C843" s="1" t="n">
        <v>46193</v>
      </c>
      <c r="D843" t="inlineStr">
        <is>
          <t>VÄSTERBOTTENS LÄN</t>
        </is>
      </c>
      <c r="E843" t="inlineStr">
        <is>
          <t>UMEÅ</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50726-2023</t>
        </is>
      </c>
      <c r="B844" s="1" t="n">
        <v>45217</v>
      </c>
      <c r="C844" s="1" t="n">
        <v>46193</v>
      </c>
      <c r="D844" t="inlineStr">
        <is>
          <t>VÄSTERBOTTENS LÄN</t>
        </is>
      </c>
      <c r="E844" t="inlineStr">
        <is>
          <t>UMEÅ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46193</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36816-2022</t>
        </is>
      </c>
      <c r="B846" s="1" t="n">
        <v>44805</v>
      </c>
      <c r="C846" s="1" t="n">
        <v>46193</v>
      </c>
      <c r="D846" t="inlineStr">
        <is>
          <t>VÄSTERBOTTENS LÄN</t>
        </is>
      </c>
      <c r="E846" t="inlineStr">
        <is>
          <t>UMEÅ</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54354-2021</t>
        </is>
      </c>
      <c r="B847" s="1" t="n">
        <v>44473</v>
      </c>
      <c r="C847" s="1" t="n">
        <v>46193</v>
      </c>
      <c r="D847" t="inlineStr">
        <is>
          <t>VÄSTERBOTTENS LÄN</t>
        </is>
      </c>
      <c r="E847" t="inlineStr">
        <is>
          <t>UMEÅ</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7381-2026</t>
        </is>
      </c>
      <c r="B848" s="1" t="n">
        <v>46059</v>
      </c>
      <c r="C848" s="1" t="n">
        <v>46193</v>
      </c>
      <c r="D848" t="inlineStr">
        <is>
          <t>VÄSTERBOTTENS LÄN</t>
        </is>
      </c>
      <c r="E848" t="inlineStr">
        <is>
          <t>UMEÅ</t>
        </is>
      </c>
      <c r="G848" t="n">
        <v>1.3</v>
      </c>
      <c r="H848" t="n">
        <v>0</v>
      </c>
      <c r="I848" t="n">
        <v>0</v>
      </c>
      <c r="J848" t="n">
        <v>0</v>
      </c>
      <c r="K848" t="n">
        <v>0</v>
      </c>
      <c r="L848" t="n">
        <v>0</v>
      </c>
      <c r="M848" t="n">
        <v>0</v>
      </c>
      <c r="N848" t="n">
        <v>0</v>
      </c>
      <c r="O848" t="n">
        <v>0</v>
      </c>
      <c r="P848" t="n">
        <v>0</v>
      </c>
      <c r="Q848" t="n">
        <v>0</v>
      </c>
      <c r="R848" s="2" t="inlineStr"/>
    </row>
    <row r="849" ht="15" customHeight="1">
      <c r="A849" t="inlineStr">
        <is>
          <t>A 6998-2024</t>
        </is>
      </c>
      <c r="B849" s="1" t="n">
        <v>45343</v>
      </c>
      <c r="C849" s="1" t="n">
        <v>46193</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27307-2022</t>
        </is>
      </c>
      <c r="B850" s="1" t="n">
        <v>44742</v>
      </c>
      <c r="C850" s="1" t="n">
        <v>46193</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34331-2024</t>
        </is>
      </c>
      <c r="B851" s="1" t="n">
        <v>45524</v>
      </c>
      <c r="C851" s="1" t="n">
        <v>46193</v>
      </c>
      <c r="D851" t="inlineStr">
        <is>
          <t>VÄSTERBOTTENS LÄN</t>
        </is>
      </c>
      <c r="E851" t="inlineStr">
        <is>
          <t>UMEÅ</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8208-2026</t>
        </is>
      </c>
      <c r="B852" s="1" t="n">
        <v>46064</v>
      </c>
      <c r="C852" s="1" t="n">
        <v>46193</v>
      </c>
      <c r="D852" t="inlineStr">
        <is>
          <t>VÄSTERBOTTENS LÄN</t>
        </is>
      </c>
      <c r="E852" t="inlineStr">
        <is>
          <t>UMEÅ</t>
        </is>
      </c>
      <c r="G852" t="n">
        <v>19.9</v>
      </c>
      <c r="H852" t="n">
        <v>0</v>
      </c>
      <c r="I852" t="n">
        <v>0</v>
      </c>
      <c r="J852" t="n">
        <v>0</v>
      </c>
      <c r="K852" t="n">
        <v>0</v>
      </c>
      <c r="L852" t="n">
        <v>0</v>
      </c>
      <c r="M852" t="n">
        <v>0</v>
      </c>
      <c r="N852" t="n">
        <v>0</v>
      </c>
      <c r="O852" t="n">
        <v>0</v>
      </c>
      <c r="P852" t="n">
        <v>0</v>
      </c>
      <c r="Q852" t="n">
        <v>0</v>
      </c>
      <c r="R852" s="2" t="inlineStr"/>
    </row>
    <row r="853" ht="15" customHeight="1">
      <c r="A853" t="inlineStr">
        <is>
          <t>A 62648-2021</t>
        </is>
      </c>
      <c r="B853" s="1" t="n">
        <v>44503</v>
      </c>
      <c r="C853" s="1" t="n">
        <v>46193</v>
      </c>
      <c r="D853" t="inlineStr">
        <is>
          <t>VÄSTERBOTTENS LÄN</t>
        </is>
      </c>
      <c r="E853" t="inlineStr">
        <is>
          <t>UMEÅ</t>
        </is>
      </c>
      <c r="G853" t="n">
        <v>2.3</v>
      </c>
      <c r="H853" t="n">
        <v>0</v>
      </c>
      <c r="I853" t="n">
        <v>0</v>
      </c>
      <c r="J853" t="n">
        <v>0</v>
      </c>
      <c r="K853" t="n">
        <v>0</v>
      </c>
      <c r="L853" t="n">
        <v>0</v>
      </c>
      <c r="M853" t="n">
        <v>0</v>
      </c>
      <c r="N853" t="n">
        <v>0</v>
      </c>
      <c r="O853" t="n">
        <v>0</v>
      </c>
      <c r="P853" t="n">
        <v>0</v>
      </c>
      <c r="Q853" t="n">
        <v>0</v>
      </c>
      <c r="R853" s="2" t="inlineStr"/>
    </row>
    <row r="854" ht="15" customHeight="1">
      <c r="A854" t="inlineStr">
        <is>
          <t>A 8194-2026</t>
        </is>
      </c>
      <c r="B854" s="1" t="n">
        <v>46064</v>
      </c>
      <c r="C854" s="1" t="n">
        <v>46193</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7975-2026</t>
        </is>
      </c>
      <c r="B855" s="1" t="n">
        <v>46063</v>
      </c>
      <c r="C855" s="1" t="n">
        <v>46193</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7929-2026</t>
        </is>
      </c>
      <c r="B856" s="1" t="n">
        <v>46063</v>
      </c>
      <c r="C856" s="1" t="n">
        <v>46193</v>
      </c>
      <c r="D856" t="inlineStr">
        <is>
          <t>VÄSTERBOTTENS LÄN</t>
        </is>
      </c>
      <c r="E856" t="inlineStr">
        <is>
          <t>UMEÅ</t>
        </is>
      </c>
      <c r="G856" t="n">
        <v>4.6</v>
      </c>
      <c r="H856" t="n">
        <v>0</v>
      </c>
      <c r="I856" t="n">
        <v>0</v>
      </c>
      <c r="J856" t="n">
        <v>0</v>
      </c>
      <c r="K856" t="n">
        <v>0</v>
      </c>
      <c r="L856" t="n">
        <v>0</v>
      </c>
      <c r="M856" t="n">
        <v>0</v>
      </c>
      <c r="N856" t="n">
        <v>0</v>
      </c>
      <c r="O856" t="n">
        <v>0</v>
      </c>
      <c r="P856" t="n">
        <v>0</v>
      </c>
      <c r="Q856" t="n">
        <v>0</v>
      </c>
      <c r="R856" s="2" t="inlineStr"/>
    </row>
    <row r="857" ht="15" customHeight="1">
      <c r="A857" t="inlineStr">
        <is>
          <t>A 8192-2026</t>
        </is>
      </c>
      <c r="B857" s="1" t="n">
        <v>46064</v>
      </c>
      <c r="C857" s="1" t="n">
        <v>46193</v>
      </c>
      <c r="D857" t="inlineStr">
        <is>
          <t>VÄSTERBOTTENS LÄN</t>
        </is>
      </c>
      <c r="E857" t="inlineStr">
        <is>
          <t>UMEÅ</t>
        </is>
      </c>
      <c r="G857" t="n">
        <v>12.9</v>
      </c>
      <c r="H857" t="n">
        <v>0</v>
      </c>
      <c r="I857" t="n">
        <v>0</v>
      </c>
      <c r="J857" t="n">
        <v>0</v>
      </c>
      <c r="K857" t="n">
        <v>0</v>
      </c>
      <c r="L857" t="n">
        <v>0</v>
      </c>
      <c r="M857" t="n">
        <v>0</v>
      </c>
      <c r="N857" t="n">
        <v>0</v>
      </c>
      <c r="O857" t="n">
        <v>0</v>
      </c>
      <c r="P857" t="n">
        <v>0</v>
      </c>
      <c r="Q857" t="n">
        <v>0</v>
      </c>
      <c r="R857" s="2" t="inlineStr"/>
    </row>
    <row r="858" ht="15" customHeight="1">
      <c r="A858" t="inlineStr">
        <is>
          <t>A 8193-2026</t>
        </is>
      </c>
      <c r="B858" s="1" t="n">
        <v>46064</v>
      </c>
      <c r="C858" s="1" t="n">
        <v>46193</v>
      </c>
      <c r="D858" t="inlineStr">
        <is>
          <t>VÄSTERBOTTENS LÄN</t>
        </is>
      </c>
      <c r="E858" t="inlineStr">
        <is>
          <t>UMEÅ</t>
        </is>
      </c>
      <c r="G858" t="n">
        <v>10.5</v>
      </c>
      <c r="H858" t="n">
        <v>0</v>
      </c>
      <c r="I858" t="n">
        <v>0</v>
      </c>
      <c r="J858" t="n">
        <v>0</v>
      </c>
      <c r="K858" t="n">
        <v>0</v>
      </c>
      <c r="L858" t="n">
        <v>0</v>
      </c>
      <c r="M858" t="n">
        <v>0</v>
      </c>
      <c r="N858" t="n">
        <v>0</v>
      </c>
      <c r="O858" t="n">
        <v>0</v>
      </c>
      <c r="P858" t="n">
        <v>0</v>
      </c>
      <c r="Q858" t="n">
        <v>0</v>
      </c>
      <c r="R858" s="2" t="inlineStr"/>
    </row>
    <row r="859" ht="15" customHeight="1">
      <c r="A859" t="inlineStr">
        <is>
          <t>A 8668-2026</t>
        </is>
      </c>
      <c r="B859" s="1" t="n">
        <v>46066</v>
      </c>
      <c r="C859" s="1" t="n">
        <v>46193</v>
      </c>
      <c r="D859" t="inlineStr">
        <is>
          <t>VÄSTERBOTTENS LÄN</t>
        </is>
      </c>
      <c r="E859" t="inlineStr">
        <is>
          <t>UMEÅ</t>
        </is>
      </c>
      <c r="G859" t="n">
        <v>0.7</v>
      </c>
      <c r="H859" t="n">
        <v>0</v>
      </c>
      <c r="I859" t="n">
        <v>0</v>
      </c>
      <c r="J859" t="n">
        <v>0</v>
      </c>
      <c r="K859" t="n">
        <v>0</v>
      </c>
      <c r="L859" t="n">
        <v>0</v>
      </c>
      <c r="M859" t="n">
        <v>0</v>
      </c>
      <c r="N859" t="n">
        <v>0</v>
      </c>
      <c r="O859" t="n">
        <v>0</v>
      </c>
      <c r="P859" t="n">
        <v>0</v>
      </c>
      <c r="Q859" t="n">
        <v>0</v>
      </c>
      <c r="R859" s="2" t="inlineStr"/>
    </row>
    <row r="860" ht="15" customHeight="1">
      <c r="A860" t="inlineStr">
        <is>
          <t>A 9030-2026</t>
        </is>
      </c>
      <c r="B860" s="1" t="n">
        <v>46069</v>
      </c>
      <c r="C860" s="1" t="n">
        <v>46193</v>
      </c>
      <c r="D860" t="inlineStr">
        <is>
          <t>VÄSTERBOTTENS LÄN</t>
        </is>
      </c>
      <c r="E860" t="inlineStr">
        <is>
          <t>UMEÅ</t>
        </is>
      </c>
      <c r="G860" t="n">
        <v>0.8</v>
      </c>
      <c r="H860" t="n">
        <v>0</v>
      </c>
      <c r="I860" t="n">
        <v>0</v>
      </c>
      <c r="J860" t="n">
        <v>0</v>
      </c>
      <c r="K860" t="n">
        <v>0</v>
      </c>
      <c r="L860" t="n">
        <v>0</v>
      </c>
      <c r="M860" t="n">
        <v>0</v>
      </c>
      <c r="N860" t="n">
        <v>0</v>
      </c>
      <c r="O860" t="n">
        <v>0</v>
      </c>
      <c r="P860" t="n">
        <v>0</v>
      </c>
      <c r="Q860" t="n">
        <v>0</v>
      </c>
      <c r="R860" s="2" t="inlineStr"/>
    </row>
    <row r="861" ht="15" customHeight="1">
      <c r="A861" t="inlineStr">
        <is>
          <t>A 3366-2024</t>
        </is>
      </c>
      <c r="B861" s="1" t="n">
        <v>45317</v>
      </c>
      <c r="C861" s="1" t="n">
        <v>46193</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9123-2026</t>
        </is>
      </c>
      <c r="B862" s="1" t="n">
        <v>46069</v>
      </c>
      <c r="C862" s="1" t="n">
        <v>46193</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9454-2026</t>
        </is>
      </c>
      <c r="B863" s="1" t="n">
        <v>46071</v>
      </c>
      <c r="C863" s="1" t="n">
        <v>46193</v>
      </c>
      <c r="D863" t="inlineStr">
        <is>
          <t>VÄSTERBOTTENS LÄN</t>
        </is>
      </c>
      <c r="E863" t="inlineStr">
        <is>
          <t>UMEÅ</t>
        </is>
      </c>
      <c r="G863" t="n">
        <v>0.4</v>
      </c>
      <c r="H863" t="n">
        <v>0</v>
      </c>
      <c r="I863" t="n">
        <v>0</v>
      </c>
      <c r="J863" t="n">
        <v>0</v>
      </c>
      <c r="K863" t="n">
        <v>0</v>
      </c>
      <c r="L863" t="n">
        <v>0</v>
      </c>
      <c r="M863" t="n">
        <v>0</v>
      </c>
      <c r="N863" t="n">
        <v>0</v>
      </c>
      <c r="O863" t="n">
        <v>0</v>
      </c>
      <c r="P863" t="n">
        <v>0</v>
      </c>
      <c r="Q863" t="n">
        <v>0</v>
      </c>
      <c r="R863" s="2" t="inlineStr"/>
    </row>
    <row r="864" ht="15" customHeight="1">
      <c r="A864" t="inlineStr">
        <is>
          <t>A 14286-2025</t>
        </is>
      </c>
      <c r="B864" s="1" t="n">
        <v>45740</v>
      </c>
      <c r="C864" s="1" t="n">
        <v>46193</v>
      </c>
      <c r="D864" t="inlineStr">
        <is>
          <t>VÄSTERBOTTENS LÄN</t>
        </is>
      </c>
      <c r="E864" t="inlineStr">
        <is>
          <t>UMEÅ</t>
        </is>
      </c>
      <c r="G864" t="n">
        <v>1.9</v>
      </c>
      <c r="H864" t="n">
        <v>0</v>
      </c>
      <c r="I864" t="n">
        <v>0</v>
      </c>
      <c r="J864" t="n">
        <v>0</v>
      </c>
      <c r="K864" t="n">
        <v>0</v>
      </c>
      <c r="L864" t="n">
        <v>0</v>
      </c>
      <c r="M864" t="n">
        <v>0</v>
      </c>
      <c r="N864" t="n">
        <v>0</v>
      </c>
      <c r="O864" t="n">
        <v>0</v>
      </c>
      <c r="P864" t="n">
        <v>0</v>
      </c>
      <c r="Q864" t="n">
        <v>0</v>
      </c>
      <c r="R864" s="2" t="inlineStr"/>
    </row>
    <row r="865" ht="15" customHeight="1">
      <c r="A865" t="inlineStr">
        <is>
          <t>A 40024-2022</t>
        </is>
      </c>
      <c r="B865" s="1" t="n">
        <v>44820</v>
      </c>
      <c r="C865" s="1" t="n">
        <v>46193</v>
      </c>
      <c r="D865" t="inlineStr">
        <is>
          <t>VÄSTERBOTTENS LÄN</t>
        </is>
      </c>
      <c r="E865" t="inlineStr">
        <is>
          <t>UMEÅ</t>
        </is>
      </c>
      <c r="G865" t="n">
        <v>3</v>
      </c>
      <c r="H865" t="n">
        <v>0</v>
      </c>
      <c r="I865" t="n">
        <v>0</v>
      </c>
      <c r="J865" t="n">
        <v>0</v>
      </c>
      <c r="K865" t="n">
        <v>0</v>
      </c>
      <c r="L865" t="n">
        <v>0</v>
      </c>
      <c r="M865" t="n">
        <v>0</v>
      </c>
      <c r="N865" t="n">
        <v>0</v>
      </c>
      <c r="O865" t="n">
        <v>0</v>
      </c>
      <c r="P865" t="n">
        <v>0</v>
      </c>
      <c r="Q865" t="n">
        <v>0</v>
      </c>
      <c r="R865" s="2" t="inlineStr"/>
    </row>
    <row r="866" ht="15" customHeight="1">
      <c r="A866" t="inlineStr">
        <is>
          <t>A 9457-2026</t>
        </is>
      </c>
      <c r="B866" s="1" t="n">
        <v>46071</v>
      </c>
      <c r="C866" s="1" t="n">
        <v>46193</v>
      </c>
      <c r="D866" t="inlineStr">
        <is>
          <t>VÄSTERBOTTENS LÄN</t>
        </is>
      </c>
      <c r="E866" t="inlineStr">
        <is>
          <t>UMEÅ</t>
        </is>
      </c>
      <c r="G866" t="n">
        <v>0.3</v>
      </c>
      <c r="H866" t="n">
        <v>0</v>
      </c>
      <c r="I866" t="n">
        <v>0</v>
      </c>
      <c r="J866" t="n">
        <v>0</v>
      </c>
      <c r="K866" t="n">
        <v>0</v>
      </c>
      <c r="L866" t="n">
        <v>0</v>
      </c>
      <c r="M866" t="n">
        <v>0</v>
      </c>
      <c r="N866" t="n">
        <v>0</v>
      </c>
      <c r="O866" t="n">
        <v>0</v>
      </c>
      <c r="P866" t="n">
        <v>0</v>
      </c>
      <c r="Q866" t="n">
        <v>0</v>
      </c>
      <c r="R866" s="2" t="inlineStr"/>
    </row>
    <row r="867" ht="15" customHeight="1">
      <c r="A867" t="inlineStr">
        <is>
          <t>A 7440-2024</t>
        </is>
      </c>
      <c r="B867" s="1" t="n">
        <v>45345</v>
      </c>
      <c r="C867" s="1" t="n">
        <v>46193</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37023-2024</t>
        </is>
      </c>
      <c r="B868" s="1" t="n">
        <v>45539</v>
      </c>
      <c r="C868" s="1" t="n">
        <v>46193</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10014-2026</t>
        </is>
      </c>
      <c r="B869" s="1" t="n">
        <v>46073</v>
      </c>
      <c r="C869" s="1" t="n">
        <v>46193</v>
      </c>
      <c r="D869" t="inlineStr">
        <is>
          <t>VÄSTERBOTTENS LÄN</t>
        </is>
      </c>
      <c r="E869" t="inlineStr">
        <is>
          <t>UMEÅ</t>
        </is>
      </c>
      <c r="G869" t="n">
        <v>1.6</v>
      </c>
      <c r="H869" t="n">
        <v>0</v>
      </c>
      <c r="I869" t="n">
        <v>0</v>
      </c>
      <c r="J869" t="n">
        <v>0</v>
      </c>
      <c r="K869" t="n">
        <v>0</v>
      </c>
      <c r="L869" t="n">
        <v>0</v>
      </c>
      <c r="M869" t="n">
        <v>0</v>
      </c>
      <c r="N869" t="n">
        <v>0</v>
      </c>
      <c r="O869" t="n">
        <v>0</v>
      </c>
      <c r="P869" t="n">
        <v>0</v>
      </c>
      <c r="Q869" t="n">
        <v>0</v>
      </c>
      <c r="R869" s="2" t="inlineStr"/>
    </row>
    <row r="870" ht="15" customHeight="1">
      <c r="A870" t="inlineStr">
        <is>
          <t>A 9961-2026</t>
        </is>
      </c>
      <c r="B870" s="1" t="n">
        <v>46073</v>
      </c>
      <c r="C870" s="1" t="n">
        <v>46193</v>
      </c>
      <c r="D870" t="inlineStr">
        <is>
          <t>VÄSTERBOTTENS LÄN</t>
        </is>
      </c>
      <c r="E870" t="inlineStr">
        <is>
          <t>UMEÅ</t>
        </is>
      </c>
      <c r="G870" t="n">
        <v>4.1</v>
      </c>
      <c r="H870" t="n">
        <v>0</v>
      </c>
      <c r="I870" t="n">
        <v>0</v>
      </c>
      <c r="J870" t="n">
        <v>0</v>
      </c>
      <c r="K870" t="n">
        <v>0</v>
      </c>
      <c r="L870" t="n">
        <v>0</v>
      </c>
      <c r="M870" t="n">
        <v>0</v>
      </c>
      <c r="N870" t="n">
        <v>0</v>
      </c>
      <c r="O870" t="n">
        <v>0</v>
      </c>
      <c r="P870" t="n">
        <v>0</v>
      </c>
      <c r="Q870" t="n">
        <v>0</v>
      </c>
      <c r="R870" s="2" t="inlineStr"/>
    </row>
    <row r="871" ht="15" customHeight="1">
      <c r="A871" t="inlineStr">
        <is>
          <t>A 41177-2024</t>
        </is>
      </c>
      <c r="B871" s="1" t="n">
        <v>45559</v>
      </c>
      <c r="C871" s="1" t="n">
        <v>46193</v>
      </c>
      <c r="D871" t="inlineStr">
        <is>
          <t>VÄSTERBOTTENS LÄN</t>
        </is>
      </c>
      <c r="E871" t="inlineStr">
        <is>
          <t>UMEÅ</t>
        </is>
      </c>
      <c r="G871" t="n">
        <v>9.6</v>
      </c>
      <c r="H871" t="n">
        <v>0</v>
      </c>
      <c r="I871" t="n">
        <v>0</v>
      </c>
      <c r="J871" t="n">
        <v>0</v>
      </c>
      <c r="K871" t="n">
        <v>0</v>
      </c>
      <c r="L871" t="n">
        <v>0</v>
      </c>
      <c r="M871" t="n">
        <v>0</v>
      </c>
      <c r="N871" t="n">
        <v>0</v>
      </c>
      <c r="O871" t="n">
        <v>0</v>
      </c>
      <c r="P871" t="n">
        <v>0</v>
      </c>
      <c r="Q871" t="n">
        <v>0</v>
      </c>
      <c r="R871" s="2" t="inlineStr"/>
    </row>
    <row r="872" ht="15" customHeight="1">
      <c r="A872" t="inlineStr">
        <is>
          <t>A 41525-2023</t>
        </is>
      </c>
      <c r="B872" s="1" t="n">
        <v>45173</v>
      </c>
      <c r="C872" s="1" t="n">
        <v>46193</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10746-2026</t>
        </is>
      </c>
      <c r="B873" s="1" t="n">
        <v>46078</v>
      </c>
      <c r="C873" s="1" t="n">
        <v>46193</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40032-2023</t>
        </is>
      </c>
      <c r="B874" s="1" t="n">
        <v>45167</v>
      </c>
      <c r="C874" s="1" t="n">
        <v>46193</v>
      </c>
      <c r="D874" t="inlineStr">
        <is>
          <t>VÄSTERBOTTENS LÄN</t>
        </is>
      </c>
      <c r="E874" t="inlineStr">
        <is>
          <t>UMEÅ</t>
        </is>
      </c>
      <c r="G874" t="n">
        <v>5.5</v>
      </c>
      <c r="H874" t="n">
        <v>0</v>
      </c>
      <c r="I874" t="n">
        <v>0</v>
      </c>
      <c r="J874" t="n">
        <v>0</v>
      </c>
      <c r="K874" t="n">
        <v>0</v>
      </c>
      <c r="L874" t="n">
        <v>0</v>
      </c>
      <c r="M874" t="n">
        <v>0</v>
      </c>
      <c r="N874" t="n">
        <v>0</v>
      </c>
      <c r="O874" t="n">
        <v>0</v>
      </c>
      <c r="P874" t="n">
        <v>0</v>
      </c>
      <c r="Q874" t="n">
        <v>0</v>
      </c>
      <c r="R874" s="2" t="inlineStr"/>
    </row>
    <row r="875" ht="15" customHeight="1">
      <c r="A875" t="inlineStr">
        <is>
          <t>A 50287-2023</t>
        </is>
      </c>
      <c r="B875" s="1" t="n">
        <v>45216</v>
      </c>
      <c r="C875" s="1" t="n">
        <v>46193</v>
      </c>
      <c r="D875" t="inlineStr">
        <is>
          <t>VÄSTERBOTTENS LÄN</t>
        </is>
      </c>
      <c r="E875" t="inlineStr">
        <is>
          <t>UMEÅ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10685-2026</t>
        </is>
      </c>
      <c r="B876" s="1" t="n">
        <v>46078</v>
      </c>
      <c r="C876" s="1" t="n">
        <v>46193</v>
      </c>
      <c r="D876" t="inlineStr">
        <is>
          <t>VÄSTERBOTTENS LÄN</t>
        </is>
      </c>
      <c r="E876" t="inlineStr">
        <is>
          <t>UMEÅ</t>
        </is>
      </c>
      <c r="G876" t="n">
        <v>2.5</v>
      </c>
      <c r="H876" t="n">
        <v>0</v>
      </c>
      <c r="I876" t="n">
        <v>0</v>
      </c>
      <c r="J876" t="n">
        <v>0</v>
      </c>
      <c r="K876" t="n">
        <v>0</v>
      </c>
      <c r="L876" t="n">
        <v>0</v>
      </c>
      <c r="M876" t="n">
        <v>0</v>
      </c>
      <c r="N876" t="n">
        <v>0</v>
      </c>
      <c r="O876" t="n">
        <v>0</v>
      </c>
      <c r="P876" t="n">
        <v>0</v>
      </c>
      <c r="Q876" t="n">
        <v>0</v>
      </c>
      <c r="R876" s="2" t="inlineStr"/>
    </row>
    <row r="877" ht="15" customHeight="1">
      <c r="A877" t="inlineStr">
        <is>
          <t>A 14403-2025</t>
        </is>
      </c>
      <c r="B877" s="1" t="n">
        <v>45741</v>
      </c>
      <c r="C877" s="1" t="n">
        <v>46193</v>
      </c>
      <c r="D877" t="inlineStr">
        <is>
          <t>VÄSTERBOTTENS LÄN</t>
        </is>
      </c>
      <c r="E877" t="inlineStr">
        <is>
          <t>UMEÅ</t>
        </is>
      </c>
      <c r="G877" t="n">
        <v>1.8</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46193</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46193</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57914-2022</t>
        </is>
      </c>
      <c r="B880" s="1" t="n">
        <v>44900</v>
      </c>
      <c r="C880" s="1" t="n">
        <v>46193</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12299-2026</t>
        </is>
      </c>
      <c r="B881" s="1" t="n">
        <v>46087</v>
      </c>
      <c r="C881" s="1" t="n">
        <v>46193</v>
      </c>
      <c r="D881" t="inlineStr">
        <is>
          <t>VÄSTERBOTTENS LÄN</t>
        </is>
      </c>
      <c r="E881" t="inlineStr">
        <is>
          <t>UMEÅ</t>
        </is>
      </c>
      <c r="G881" t="n">
        <v>2.8</v>
      </c>
      <c r="H881" t="n">
        <v>0</v>
      </c>
      <c r="I881" t="n">
        <v>0</v>
      </c>
      <c r="J881" t="n">
        <v>0</v>
      </c>
      <c r="K881" t="n">
        <v>0</v>
      </c>
      <c r="L881" t="n">
        <v>0</v>
      </c>
      <c r="M881" t="n">
        <v>0</v>
      </c>
      <c r="N881" t="n">
        <v>0</v>
      </c>
      <c r="O881" t="n">
        <v>0</v>
      </c>
      <c r="P881" t="n">
        <v>0</v>
      </c>
      <c r="Q881" t="n">
        <v>0</v>
      </c>
      <c r="R881" s="2" t="inlineStr"/>
    </row>
    <row r="882" ht="15" customHeight="1">
      <c r="A882" t="inlineStr">
        <is>
          <t>A 12648-2026</t>
        </is>
      </c>
      <c r="B882" s="1" t="n">
        <v>46091</v>
      </c>
      <c r="C882" s="1" t="n">
        <v>46193</v>
      </c>
      <c r="D882" t="inlineStr">
        <is>
          <t>VÄSTERBOTTENS LÄN</t>
        </is>
      </c>
      <c r="E882" t="inlineStr">
        <is>
          <t>UMEÅ</t>
        </is>
      </c>
      <c r="F882" t="inlineStr">
        <is>
          <t>Kommuner</t>
        </is>
      </c>
      <c r="G882" t="n">
        <v>5.6</v>
      </c>
      <c r="H882" t="n">
        <v>0</v>
      </c>
      <c r="I882" t="n">
        <v>0</v>
      </c>
      <c r="J882" t="n">
        <v>0</v>
      </c>
      <c r="K882" t="n">
        <v>0</v>
      </c>
      <c r="L882" t="n">
        <v>0</v>
      </c>
      <c r="M882" t="n">
        <v>0</v>
      </c>
      <c r="N882" t="n">
        <v>0</v>
      </c>
      <c r="O882" t="n">
        <v>0</v>
      </c>
      <c r="P882" t="n">
        <v>0</v>
      </c>
      <c r="Q882" t="n">
        <v>0</v>
      </c>
      <c r="R882" s="2" t="inlineStr"/>
    </row>
    <row r="883" ht="15" customHeight="1">
      <c r="A883" t="inlineStr">
        <is>
          <t>A 12617-2026</t>
        </is>
      </c>
      <c r="B883" s="1" t="n">
        <v>46091</v>
      </c>
      <c r="C883" s="1" t="n">
        <v>46193</v>
      </c>
      <c r="D883" t="inlineStr">
        <is>
          <t>VÄSTERBOTTENS LÄN</t>
        </is>
      </c>
      <c r="E883" t="inlineStr">
        <is>
          <t>UMEÅ</t>
        </is>
      </c>
      <c r="F883" t="inlineStr">
        <is>
          <t>Kommuner</t>
        </is>
      </c>
      <c r="G883" t="n">
        <v>14.8</v>
      </c>
      <c r="H883" t="n">
        <v>0</v>
      </c>
      <c r="I883" t="n">
        <v>0</v>
      </c>
      <c r="J883" t="n">
        <v>0</v>
      </c>
      <c r="K883" t="n">
        <v>0</v>
      </c>
      <c r="L883" t="n">
        <v>0</v>
      </c>
      <c r="M883" t="n">
        <v>0</v>
      </c>
      <c r="N883" t="n">
        <v>0</v>
      </c>
      <c r="O883" t="n">
        <v>0</v>
      </c>
      <c r="P883" t="n">
        <v>0</v>
      </c>
      <c r="Q883" t="n">
        <v>0</v>
      </c>
      <c r="R883" s="2" t="inlineStr"/>
    </row>
    <row r="884" ht="15" customHeight="1">
      <c r="A884" t="inlineStr">
        <is>
          <t>A 13049-2026</t>
        </is>
      </c>
      <c r="B884" s="1" t="n">
        <v>46093</v>
      </c>
      <c r="C884" s="1" t="n">
        <v>46193</v>
      </c>
      <c r="D884" t="inlineStr">
        <is>
          <t>VÄSTERBOTTENS LÄN</t>
        </is>
      </c>
      <c r="E884" t="inlineStr">
        <is>
          <t>UMEÅ</t>
        </is>
      </c>
      <c r="G884" t="n">
        <v>7.6</v>
      </c>
      <c r="H884" t="n">
        <v>0</v>
      </c>
      <c r="I884" t="n">
        <v>0</v>
      </c>
      <c r="J884" t="n">
        <v>0</v>
      </c>
      <c r="K884" t="n">
        <v>0</v>
      </c>
      <c r="L884" t="n">
        <v>0</v>
      </c>
      <c r="M884" t="n">
        <v>0</v>
      </c>
      <c r="N884" t="n">
        <v>0</v>
      </c>
      <c r="O884" t="n">
        <v>0</v>
      </c>
      <c r="P884" t="n">
        <v>0</v>
      </c>
      <c r="Q884" t="n">
        <v>0</v>
      </c>
      <c r="R884" s="2" t="inlineStr"/>
    </row>
    <row r="885" ht="15" customHeight="1">
      <c r="A885" t="inlineStr">
        <is>
          <t>A 9671-2024</t>
        </is>
      </c>
      <c r="B885" s="1" t="n">
        <v>45362</v>
      </c>
      <c r="C885" s="1" t="n">
        <v>46193</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7384-2022</t>
        </is>
      </c>
      <c r="B886" s="1" t="n">
        <v>44606</v>
      </c>
      <c r="C886" s="1" t="n">
        <v>46193</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52900-2023</t>
        </is>
      </c>
      <c r="B887" s="1" t="n">
        <v>45226</v>
      </c>
      <c r="C887" s="1" t="n">
        <v>46193</v>
      </c>
      <c r="D887" t="inlineStr">
        <is>
          <t>VÄSTERBOTTENS LÄN</t>
        </is>
      </c>
      <c r="E887" t="inlineStr">
        <is>
          <t>UMEÅ</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13281-2026</t>
        </is>
      </c>
      <c r="B888" s="1" t="n">
        <v>46093</v>
      </c>
      <c r="C888" s="1" t="n">
        <v>46193</v>
      </c>
      <c r="D888" t="inlineStr">
        <is>
          <t>VÄSTERBOTTENS LÄN</t>
        </is>
      </c>
      <c r="E888" t="inlineStr">
        <is>
          <t>UMEÅ</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v>
      </c>
      <c r="C889" s="1" t="n">
        <v>46193</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42010-2024</t>
        </is>
      </c>
      <c r="B890" s="1" t="n">
        <v>45561</v>
      </c>
      <c r="C890" s="1" t="n">
        <v>46193</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14026-2026</t>
        </is>
      </c>
      <c r="B891" s="1" t="n">
        <v>46098</v>
      </c>
      <c r="C891" s="1" t="n">
        <v>46193</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14027-2026</t>
        </is>
      </c>
      <c r="B892" s="1" t="n">
        <v>46098</v>
      </c>
      <c r="C892" s="1" t="n">
        <v>46193</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8409-2022</t>
        </is>
      </c>
      <c r="B893" s="1" t="n">
        <v>44610</v>
      </c>
      <c r="C893" s="1" t="n">
        <v>46193</v>
      </c>
      <c r="D893" t="inlineStr">
        <is>
          <t>VÄSTERBOTTENS LÄN</t>
        </is>
      </c>
      <c r="E893" t="inlineStr">
        <is>
          <t>UMEÅ</t>
        </is>
      </c>
      <c r="G893" t="n">
        <v>1.3</v>
      </c>
      <c r="H893" t="n">
        <v>0</v>
      </c>
      <c r="I893" t="n">
        <v>0</v>
      </c>
      <c r="J893" t="n">
        <v>0</v>
      </c>
      <c r="K893" t="n">
        <v>0</v>
      </c>
      <c r="L893" t="n">
        <v>0</v>
      </c>
      <c r="M893" t="n">
        <v>0</v>
      </c>
      <c r="N893" t="n">
        <v>0</v>
      </c>
      <c r="O893" t="n">
        <v>0</v>
      </c>
      <c r="P893" t="n">
        <v>0</v>
      </c>
      <c r="Q893" t="n">
        <v>0</v>
      </c>
      <c r="R893" s="2" t="inlineStr"/>
    </row>
    <row r="894" ht="15" customHeight="1">
      <c r="A894" t="inlineStr">
        <is>
          <t>A 13985-2026</t>
        </is>
      </c>
      <c r="B894" s="1" t="n">
        <v>46098</v>
      </c>
      <c r="C894" s="1" t="n">
        <v>46193</v>
      </c>
      <c r="D894" t="inlineStr">
        <is>
          <t>VÄSTERBOTTENS LÄN</t>
        </is>
      </c>
      <c r="E894" t="inlineStr">
        <is>
          <t>UMEÅ</t>
        </is>
      </c>
      <c r="F894" t="inlineStr">
        <is>
          <t>Holmen skog AB</t>
        </is>
      </c>
      <c r="G894" t="n">
        <v>12.4</v>
      </c>
      <c r="H894" t="n">
        <v>0</v>
      </c>
      <c r="I894" t="n">
        <v>0</v>
      </c>
      <c r="J894" t="n">
        <v>0</v>
      </c>
      <c r="K894" t="n">
        <v>0</v>
      </c>
      <c r="L894" t="n">
        <v>0</v>
      </c>
      <c r="M894" t="n">
        <v>0</v>
      </c>
      <c r="N894" t="n">
        <v>0</v>
      </c>
      <c r="O894" t="n">
        <v>0</v>
      </c>
      <c r="P894" t="n">
        <v>0</v>
      </c>
      <c r="Q894" t="n">
        <v>0</v>
      </c>
      <c r="R894" s="2" t="inlineStr"/>
    </row>
    <row r="895" ht="15" customHeight="1">
      <c r="A895" t="inlineStr">
        <is>
          <t>A 14414-2026</t>
        </is>
      </c>
      <c r="B895" s="1" t="n">
        <v>46100</v>
      </c>
      <c r="C895" s="1" t="n">
        <v>46193</v>
      </c>
      <c r="D895" t="inlineStr">
        <is>
          <t>VÄSTERBOTTENS LÄN</t>
        </is>
      </c>
      <c r="E895" t="inlineStr">
        <is>
          <t>UMEÅ</t>
        </is>
      </c>
      <c r="G895" t="n">
        <v>1.2</v>
      </c>
      <c r="H895" t="n">
        <v>0</v>
      </c>
      <c r="I895" t="n">
        <v>0</v>
      </c>
      <c r="J895" t="n">
        <v>0</v>
      </c>
      <c r="K895" t="n">
        <v>0</v>
      </c>
      <c r="L895" t="n">
        <v>0</v>
      </c>
      <c r="M895" t="n">
        <v>0</v>
      </c>
      <c r="N895" t="n">
        <v>0</v>
      </c>
      <c r="O895" t="n">
        <v>0</v>
      </c>
      <c r="P895" t="n">
        <v>0</v>
      </c>
      <c r="Q895" t="n">
        <v>0</v>
      </c>
      <c r="R895" s="2" t="inlineStr"/>
    </row>
    <row r="896" ht="15" customHeight="1">
      <c r="A896" t="inlineStr">
        <is>
          <t>A 14550-2026</t>
        </is>
      </c>
      <c r="B896" s="1" t="n">
        <v>46100</v>
      </c>
      <c r="C896" s="1" t="n">
        <v>46193</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14312-2026</t>
        </is>
      </c>
      <c r="B897" s="1" t="n">
        <v>46099</v>
      </c>
      <c r="C897" s="1" t="n">
        <v>46193</v>
      </c>
      <c r="D897" t="inlineStr">
        <is>
          <t>VÄSTERBOTTENS LÄN</t>
        </is>
      </c>
      <c r="E897" t="inlineStr">
        <is>
          <t>UMEÅ</t>
        </is>
      </c>
      <c r="G897" t="n">
        <v>3.5</v>
      </c>
      <c r="H897" t="n">
        <v>0</v>
      </c>
      <c r="I897" t="n">
        <v>0</v>
      </c>
      <c r="J897" t="n">
        <v>0</v>
      </c>
      <c r="K897" t="n">
        <v>0</v>
      </c>
      <c r="L897" t="n">
        <v>0</v>
      </c>
      <c r="M897" t="n">
        <v>0</v>
      </c>
      <c r="N897" t="n">
        <v>0</v>
      </c>
      <c r="O897" t="n">
        <v>0</v>
      </c>
      <c r="P897" t="n">
        <v>0</v>
      </c>
      <c r="Q897" t="n">
        <v>0</v>
      </c>
      <c r="R897" s="2" t="inlineStr"/>
    </row>
    <row r="898" ht="15" customHeight="1">
      <c r="A898" t="inlineStr">
        <is>
          <t>A 14702-2026</t>
        </is>
      </c>
      <c r="B898" s="1" t="n">
        <v>46101</v>
      </c>
      <c r="C898" s="1" t="n">
        <v>46193</v>
      </c>
      <c r="D898" t="inlineStr">
        <is>
          <t>VÄSTERBOTTENS LÄN</t>
        </is>
      </c>
      <c r="E898" t="inlineStr">
        <is>
          <t>UMEÅ</t>
        </is>
      </c>
      <c r="G898" t="n">
        <v>0.9</v>
      </c>
      <c r="H898" t="n">
        <v>0</v>
      </c>
      <c r="I898" t="n">
        <v>0</v>
      </c>
      <c r="J898" t="n">
        <v>0</v>
      </c>
      <c r="K898" t="n">
        <v>0</v>
      </c>
      <c r="L898" t="n">
        <v>0</v>
      </c>
      <c r="M898" t="n">
        <v>0</v>
      </c>
      <c r="N898" t="n">
        <v>0</v>
      </c>
      <c r="O898" t="n">
        <v>0</v>
      </c>
      <c r="P898" t="n">
        <v>0</v>
      </c>
      <c r="Q898" t="n">
        <v>0</v>
      </c>
      <c r="R898" s="2" t="inlineStr"/>
    </row>
    <row r="899" ht="15" customHeight="1">
      <c r="A899" t="inlineStr">
        <is>
          <t>A 15221-2026</t>
        </is>
      </c>
      <c r="B899" s="1" t="n">
        <v>46105</v>
      </c>
      <c r="C899" s="1" t="n">
        <v>46193</v>
      </c>
      <c r="D899" t="inlineStr">
        <is>
          <t>VÄSTERBOTTENS LÄN</t>
        </is>
      </c>
      <c r="E899" t="inlineStr">
        <is>
          <t>UMEÅ</t>
        </is>
      </c>
      <c r="G899" t="n">
        <v>3.7</v>
      </c>
      <c r="H899" t="n">
        <v>0</v>
      </c>
      <c r="I899" t="n">
        <v>0</v>
      </c>
      <c r="J899" t="n">
        <v>0</v>
      </c>
      <c r="K899" t="n">
        <v>0</v>
      </c>
      <c r="L899" t="n">
        <v>0</v>
      </c>
      <c r="M899" t="n">
        <v>0</v>
      </c>
      <c r="N899" t="n">
        <v>0</v>
      </c>
      <c r="O899" t="n">
        <v>0</v>
      </c>
      <c r="P899" t="n">
        <v>0</v>
      </c>
      <c r="Q899" t="n">
        <v>0</v>
      </c>
      <c r="R899" s="2" t="inlineStr"/>
    </row>
    <row r="900" ht="15" customHeight="1">
      <c r="A900" t="inlineStr">
        <is>
          <t>A 15179-2026</t>
        </is>
      </c>
      <c r="B900" s="1" t="n">
        <v>46105</v>
      </c>
      <c r="C900" s="1" t="n">
        <v>46193</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15235-2026</t>
        </is>
      </c>
      <c r="B901" s="1" t="n">
        <v>46105</v>
      </c>
      <c r="C901" s="1" t="n">
        <v>46193</v>
      </c>
      <c r="D901" t="inlineStr">
        <is>
          <t>VÄSTERBOTTENS LÄN</t>
        </is>
      </c>
      <c r="E901" t="inlineStr">
        <is>
          <t>UMEÅ</t>
        </is>
      </c>
      <c r="G901" t="n">
        <v>2.2</v>
      </c>
      <c r="H901" t="n">
        <v>0</v>
      </c>
      <c r="I901" t="n">
        <v>0</v>
      </c>
      <c r="J901" t="n">
        <v>0</v>
      </c>
      <c r="K901" t="n">
        <v>0</v>
      </c>
      <c r="L901" t="n">
        <v>0</v>
      </c>
      <c r="M901" t="n">
        <v>0</v>
      </c>
      <c r="N901" t="n">
        <v>0</v>
      </c>
      <c r="O901" t="n">
        <v>0</v>
      </c>
      <c r="P901" t="n">
        <v>0</v>
      </c>
      <c r="Q901" t="n">
        <v>0</v>
      </c>
      <c r="R901" s="2" t="inlineStr"/>
    </row>
    <row r="902" ht="15" customHeight="1">
      <c r="A902" t="inlineStr">
        <is>
          <t>A 15219-2026</t>
        </is>
      </c>
      <c r="B902" s="1" t="n">
        <v>46105</v>
      </c>
      <c r="C902" s="1" t="n">
        <v>46193</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15231-2026</t>
        </is>
      </c>
      <c r="B903" s="1" t="n">
        <v>46105</v>
      </c>
      <c r="C903" s="1" t="n">
        <v>46193</v>
      </c>
      <c r="D903" t="inlineStr">
        <is>
          <t>VÄSTERBOTTENS LÄN</t>
        </is>
      </c>
      <c r="E903" t="inlineStr">
        <is>
          <t>UMEÅ</t>
        </is>
      </c>
      <c r="G903" t="n">
        <v>0.6</v>
      </c>
      <c r="H903" t="n">
        <v>0</v>
      </c>
      <c r="I903" t="n">
        <v>0</v>
      </c>
      <c r="J903" t="n">
        <v>0</v>
      </c>
      <c r="K903" t="n">
        <v>0</v>
      </c>
      <c r="L903" t="n">
        <v>0</v>
      </c>
      <c r="M903" t="n">
        <v>0</v>
      </c>
      <c r="N903" t="n">
        <v>0</v>
      </c>
      <c r="O903" t="n">
        <v>0</v>
      </c>
      <c r="P903" t="n">
        <v>0</v>
      </c>
      <c r="Q903" t="n">
        <v>0</v>
      </c>
      <c r="R903" s="2" t="inlineStr"/>
    </row>
    <row r="904" ht="15" customHeight="1">
      <c r="A904" t="inlineStr">
        <is>
          <t>A 15803-2026</t>
        </is>
      </c>
      <c r="B904" s="1" t="n">
        <v>46107</v>
      </c>
      <c r="C904" s="1" t="n">
        <v>46193</v>
      </c>
      <c r="D904" t="inlineStr">
        <is>
          <t>VÄSTERBOTTENS LÄN</t>
        </is>
      </c>
      <c r="E904" t="inlineStr">
        <is>
          <t>UMEÅ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15690-2026</t>
        </is>
      </c>
      <c r="B905" s="1" t="n">
        <v>46107</v>
      </c>
      <c r="C905" s="1" t="n">
        <v>46193</v>
      </c>
      <c r="D905" t="inlineStr">
        <is>
          <t>VÄSTERBOTTENS LÄN</t>
        </is>
      </c>
      <c r="E905" t="inlineStr">
        <is>
          <t>UMEÅ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22141-2026</t>
        </is>
      </c>
      <c r="B906" s="1" t="n">
        <v>46153</v>
      </c>
      <c r="C906" s="1" t="n">
        <v>46193</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22140-2026</t>
        </is>
      </c>
      <c r="B907" s="1" t="n">
        <v>46153</v>
      </c>
      <c r="C907" s="1" t="n">
        <v>46193</v>
      </c>
      <c r="D907" t="inlineStr">
        <is>
          <t>VÄSTERBOTTENS LÄN</t>
        </is>
      </c>
      <c r="E907" t="inlineStr">
        <is>
          <t>UMEÅ</t>
        </is>
      </c>
      <c r="G907" t="n">
        <v>1.8</v>
      </c>
      <c r="H907" t="n">
        <v>0</v>
      </c>
      <c r="I907" t="n">
        <v>0</v>
      </c>
      <c r="J907" t="n">
        <v>0</v>
      </c>
      <c r="K907" t="n">
        <v>0</v>
      </c>
      <c r="L907" t="n">
        <v>0</v>
      </c>
      <c r="M907" t="n">
        <v>0</v>
      </c>
      <c r="N907" t="n">
        <v>0</v>
      </c>
      <c r="O907" t="n">
        <v>0</v>
      </c>
      <c r="P907" t="n">
        <v>0</v>
      </c>
      <c r="Q907" t="n">
        <v>0</v>
      </c>
      <c r="R907" s="2" t="inlineStr"/>
    </row>
    <row r="908" ht="15" customHeight="1">
      <c r="A908" t="inlineStr">
        <is>
          <t>A 42832-2025</t>
        </is>
      </c>
      <c r="B908" s="1" t="n">
        <v>45908</v>
      </c>
      <c r="C908" s="1" t="n">
        <v>46193</v>
      </c>
      <c r="D908" t="inlineStr">
        <is>
          <t>VÄSTERBOTTENS LÄN</t>
        </is>
      </c>
      <c r="E908" t="inlineStr">
        <is>
          <t>UMEÅ</t>
        </is>
      </c>
      <c r="G908" t="n">
        <v>1.9</v>
      </c>
      <c r="H908" t="n">
        <v>0</v>
      </c>
      <c r="I908" t="n">
        <v>0</v>
      </c>
      <c r="J908" t="n">
        <v>0</v>
      </c>
      <c r="K908" t="n">
        <v>0</v>
      </c>
      <c r="L908" t="n">
        <v>0</v>
      </c>
      <c r="M908" t="n">
        <v>0</v>
      </c>
      <c r="N908" t="n">
        <v>0</v>
      </c>
      <c r="O908" t="n">
        <v>0</v>
      </c>
      <c r="P908" t="n">
        <v>0</v>
      </c>
      <c r="Q908" t="n">
        <v>0</v>
      </c>
      <c r="R908" s="2" t="inlineStr"/>
    </row>
    <row r="909" ht="15" customHeight="1">
      <c r="A909" t="inlineStr">
        <is>
          <t>A 22270-2026</t>
        </is>
      </c>
      <c r="B909" s="1" t="n">
        <v>46154</v>
      </c>
      <c r="C909" s="1" t="n">
        <v>46193</v>
      </c>
      <c r="D909" t="inlineStr">
        <is>
          <t>VÄSTERBOTTENS LÄN</t>
        </is>
      </c>
      <c r="E909" t="inlineStr">
        <is>
          <t>UMEÅ</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16855-2026</t>
        </is>
      </c>
      <c r="B910" s="1" t="n">
        <v>46113</v>
      </c>
      <c r="C910" s="1" t="n">
        <v>46193</v>
      </c>
      <c r="D910" t="inlineStr">
        <is>
          <t>VÄSTERBOTTENS LÄN</t>
        </is>
      </c>
      <c r="E910" t="inlineStr">
        <is>
          <t>UMEÅ</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16725-2026</t>
        </is>
      </c>
      <c r="B911" s="1" t="n">
        <v>46113</v>
      </c>
      <c r="C911" s="1" t="n">
        <v>46193</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22439-2026</t>
        </is>
      </c>
      <c r="B912" s="1" t="n">
        <v>46155</v>
      </c>
      <c r="C912" s="1" t="n">
        <v>46193</v>
      </c>
      <c r="D912" t="inlineStr">
        <is>
          <t>VÄSTERBOTTENS LÄN</t>
        </is>
      </c>
      <c r="E912" t="inlineStr">
        <is>
          <t>UMEÅ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16728-2026</t>
        </is>
      </c>
      <c r="B913" s="1" t="n">
        <v>46113</v>
      </c>
      <c r="C913" s="1" t="n">
        <v>46193</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22708-2026</t>
        </is>
      </c>
      <c r="B914" s="1" t="n">
        <v>46156</v>
      </c>
      <c r="C914" s="1" t="n">
        <v>46193</v>
      </c>
      <c r="D914" t="inlineStr">
        <is>
          <t>VÄSTERBOTTENS LÄN</t>
        </is>
      </c>
      <c r="E914" t="inlineStr">
        <is>
          <t>UMEÅ</t>
        </is>
      </c>
      <c r="G914" t="n">
        <v>4</v>
      </c>
      <c r="H914" t="n">
        <v>0</v>
      </c>
      <c r="I914" t="n">
        <v>0</v>
      </c>
      <c r="J914" t="n">
        <v>0</v>
      </c>
      <c r="K914" t="n">
        <v>0</v>
      </c>
      <c r="L914" t="n">
        <v>0</v>
      </c>
      <c r="M914" t="n">
        <v>0</v>
      </c>
      <c r="N914" t="n">
        <v>0</v>
      </c>
      <c r="O914" t="n">
        <v>0</v>
      </c>
      <c r="P914" t="n">
        <v>0</v>
      </c>
      <c r="Q914" t="n">
        <v>0</v>
      </c>
      <c r="R914" s="2" t="inlineStr"/>
    </row>
    <row r="915" ht="15" customHeight="1">
      <c r="A915" t="inlineStr">
        <is>
          <t>A 23109-2026</t>
        </is>
      </c>
      <c r="B915" s="1" t="n">
        <v>46161</v>
      </c>
      <c r="C915" s="1" t="n">
        <v>46193</v>
      </c>
      <c r="D915" t="inlineStr">
        <is>
          <t>VÄSTERBOTTENS LÄN</t>
        </is>
      </c>
      <c r="E915" t="inlineStr">
        <is>
          <t>UMEÅ</t>
        </is>
      </c>
      <c r="F915" t="inlineStr">
        <is>
          <t>Holmen skog AB</t>
        </is>
      </c>
      <c r="G915" t="n">
        <v>4.1</v>
      </c>
      <c r="H915" t="n">
        <v>0</v>
      </c>
      <c r="I915" t="n">
        <v>0</v>
      </c>
      <c r="J915" t="n">
        <v>0</v>
      </c>
      <c r="K915" t="n">
        <v>0</v>
      </c>
      <c r="L915" t="n">
        <v>0</v>
      </c>
      <c r="M915" t="n">
        <v>0</v>
      </c>
      <c r="N915" t="n">
        <v>0</v>
      </c>
      <c r="O915" t="n">
        <v>0</v>
      </c>
      <c r="P915" t="n">
        <v>0</v>
      </c>
      <c r="Q915" t="n">
        <v>0</v>
      </c>
      <c r="R915" s="2" t="inlineStr"/>
    </row>
    <row r="916" ht="15" customHeight="1">
      <c r="A916" t="inlineStr">
        <is>
          <t>A 23112-2026</t>
        </is>
      </c>
      <c r="B916" s="1" t="n">
        <v>46161</v>
      </c>
      <c r="C916" s="1" t="n">
        <v>46193</v>
      </c>
      <c r="D916" t="inlineStr">
        <is>
          <t>VÄSTERBOTTENS LÄN</t>
        </is>
      </c>
      <c r="E916" t="inlineStr">
        <is>
          <t>UMEÅ</t>
        </is>
      </c>
      <c r="F916" t="inlineStr">
        <is>
          <t>Holmen skog AB</t>
        </is>
      </c>
      <c r="G916" t="n">
        <v>32.5</v>
      </c>
      <c r="H916" t="n">
        <v>0</v>
      </c>
      <c r="I916" t="n">
        <v>0</v>
      </c>
      <c r="J916" t="n">
        <v>0</v>
      </c>
      <c r="K916" t="n">
        <v>0</v>
      </c>
      <c r="L916" t="n">
        <v>0</v>
      </c>
      <c r="M916" t="n">
        <v>0</v>
      </c>
      <c r="N916" t="n">
        <v>0</v>
      </c>
      <c r="O916" t="n">
        <v>0</v>
      </c>
      <c r="P916" t="n">
        <v>0</v>
      </c>
      <c r="Q916" t="n">
        <v>0</v>
      </c>
      <c r="R916" s="2" t="inlineStr"/>
    </row>
    <row r="917" ht="15" customHeight="1">
      <c r="A917" t="inlineStr">
        <is>
          <t>A 23025-2026</t>
        </is>
      </c>
      <c r="B917" s="1" t="n">
        <v>46161</v>
      </c>
      <c r="C917" s="1" t="n">
        <v>46193</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17457-2026</t>
        </is>
      </c>
      <c r="B918" s="1" t="n">
        <v>46119</v>
      </c>
      <c r="C918" s="1" t="n">
        <v>46193</v>
      </c>
      <c r="D918" t="inlineStr">
        <is>
          <t>VÄSTERBOTTENS LÄN</t>
        </is>
      </c>
      <c r="E918" t="inlineStr">
        <is>
          <t>UMEÅ</t>
        </is>
      </c>
      <c r="G918" t="n">
        <v>10</v>
      </c>
      <c r="H918" t="n">
        <v>0</v>
      </c>
      <c r="I918" t="n">
        <v>0</v>
      </c>
      <c r="J918" t="n">
        <v>0</v>
      </c>
      <c r="K918" t="n">
        <v>0</v>
      </c>
      <c r="L918" t="n">
        <v>0</v>
      </c>
      <c r="M918" t="n">
        <v>0</v>
      </c>
      <c r="N918" t="n">
        <v>0</v>
      </c>
      <c r="O918" t="n">
        <v>0</v>
      </c>
      <c r="P918" t="n">
        <v>0</v>
      </c>
      <c r="Q918" t="n">
        <v>0</v>
      </c>
      <c r="R918" s="2" t="inlineStr"/>
    </row>
    <row r="919" ht="15" customHeight="1">
      <c r="A919" t="inlineStr">
        <is>
          <t>A 22957-2026</t>
        </is>
      </c>
      <c r="B919" s="1" t="n">
        <v>46160</v>
      </c>
      <c r="C919" s="1" t="n">
        <v>46193</v>
      </c>
      <c r="D919" t="inlineStr">
        <is>
          <t>VÄSTERBOTTENS LÄN</t>
        </is>
      </c>
      <c r="E919" t="inlineStr">
        <is>
          <t>UMEÅ</t>
        </is>
      </c>
      <c r="F919" t="inlineStr">
        <is>
          <t>Holmen skog AB</t>
        </is>
      </c>
      <c r="G919" t="n">
        <v>2.6</v>
      </c>
      <c r="H919" t="n">
        <v>0</v>
      </c>
      <c r="I919" t="n">
        <v>0</v>
      </c>
      <c r="J919" t="n">
        <v>0</v>
      </c>
      <c r="K919" t="n">
        <v>0</v>
      </c>
      <c r="L919" t="n">
        <v>0</v>
      </c>
      <c r="M919" t="n">
        <v>0</v>
      </c>
      <c r="N919" t="n">
        <v>0</v>
      </c>
      <c r="O919" t="n">
        <v>0</v>
      </c>
      <c r="P919" t="n">
        <v>0</v>
      </c>
      <c r="Q919" t="n">
        <v>0</v>
      </c>
      <c r="R919" s="2" t="inlineStr"/>
    </row>
    <row r="920" ht="15" customHeight="1">
      <c r="A920" t="inlineStr">
        <is>
          <t>A 23021-2026</t>
        </is>
      </c>
      <c r="B920" s="1" t="n">
        <v>46161</v>
      </c>
      <c r="C920" s="1" t="n">
        <v>46193</v>
      </c>
      <c r="D920" t="inlineStr">
        <is>
          <t>VÄSTERBOTTENS LÄN</t>
        </is>
      </c>
      <c r="E920" t="inlineStr">
        <is>
          <t>UMEÅ</t>
        </is>
      </c>
      <c r="G920" t="n">
        <v>5</v>
      </c>
      <c r="H920" t="n">
        <v>0</v>
      </c>
      <c r="I920" t="n">
        <v>0</v>
      </c>
      <c r="J920" t="n">
        <v>0</v>
      </c>
      <c r="K920" t="n">
        <v>0</v>
      </c>
      <c r="L920" t="n">
        <v>0</v>
      </c>
      <c r="M920" t="n">
        <v>0</v>
      </c>
      <c r="N920" t="n">
        <v>0</v>
      </c>
      <c r="O920" t="n">
        <v>0</v>
      </c>
      <c r="P920" t="n">
        <v>0</v>
      </c>
      <c r="Q920" t="n">
        <v>0</v>
      </c>
      <c r="R920" s="2" t="inlineStr"/>
    </row>
    <row r="921" ht="15" customHeight="1">
      <c r="A921" t="inlineStr">
        <is>
          <t>A 23026-2026</t>
        </is>
      </c>
      <c r="B921" s="1" t="n">
        <v>46161</v>
      </c>
      <c r="C921" s="1" t="n">
        <v>46193</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23163-2026</t>
        </is>
      </c>
      <c r="B922" s="1" t="n">
        <v>46161</v>
      </c>
      <c r="C922" s="1" t="n">
        <v>46193</v>
      </c>
      <c r="D922" t="inlineStr">
        <is>
          <t>VÄSTERBOTTENS LÄN</t>
        </is>
      </c>
      <c r="E922" t="inlineStr">
        <is>
          <t>UMEÅ</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22894-2026</t>
        </is>
      </c>
      <c r="B923" s="1" t="n">
        <v>46160</v>
      </c>
      <c r="C923" s="1" t="n">
        <v>46193</v>
      </c>
      <c r="D923" t="inlineStr">
        <is>
          <t>VÄSTERBOTTENS LÄN</t>
        </is>
      </c>
      <c r="E923" t="inlineStr">
        <is>
          <t>UMEÅ</t>
        </is>
      </c>
      <c r="G923" t="n">
        <v>1.1</v>
      </c>
      <c r="H923" t="n">
        <v>0</v>
      </c>
      <c r="I923" t="n">
        <v>0</v>
      </c>
      <c r="J923" t="n">
        <v>0</v>
      </c>
      <c r="K923" t="n">
        <v>0</v>
      </c>
      <c r="L923" t="n">
        <v>0</v>
      </c>
      <c r="M923" t="n">
        <v>0</v>
      </c>
      <c r="N923" t="n">
        <v>0</v>
      </c>
      <c r="O923" t="n">
        <v>0</v>
      </c>
      <c r="P923" t="n">
        <v>0</v>
      </c>
      <c r="Q923" t="n">
        <v>0</v>
      </c>
      <c r="R923" s="2" t="inlineStr"/>
    </row>
    <row r="924" ht="15" customHeight="1">
      <c r="A924" t="inlineStr">
        <is>
          <t>A 17231-2026</t>
        </is>
      </c>
      <c r="B924" s="1" t="n">
        <v>46119</v>
      </c>
      <c r="C924" s="1" t="n">
        <v>46193</v>
      </c>
      <c r="D924" t="inlineStr">
        <is>
          <t>VÄSTERBOTTENS LÄN</t>
        </is>
      </c>
      <c r="E924" t="inlineStr">
        <is>
          <t>UMEÅ</t>
        </is>
      </c>
      <c r="G924" t="n">
        <v>4.4</v>
      </c>
      <c r="H924" t="n">
        <v>0</v>
      </c>
      <c r="I924" t="n">
        <v>0</v>
      </c>
      <c r="J924" t="n">
        <v>0</v>
      </c>
      <c r="K924" t="n">
        <v>0</v>
      </c>
      <c r="L924" t="n">
        <v>0</v>
      </c>
      <c r="M924" t="n">
        <v>0</v>
      </c>
      <c r="N924" t="n">
        <v>0</v>
      </c>
      <c r="O924" t="n">
        <v>0</v>
      </c>
      <c r="P924" t="n">
        <v>0</v>
      </c>
      <c r="Q924" t="n">
        <v>0</v>
      </c>
      <c r="R924" s="2" t="inlineStr"/>
    </row>
    <row r="925" ht="15" customHeight="1">
      <c r="A925" t="inlineStr">
        <is>
          <t>A 23029-2026</t>
        </is>
      </c>
      <c r="B925" s="1" t="n">
        <v>46161</v>
      </c>
      <c r="C925" s="1" t="n">
        <v>46193</v>
      </c>
      <c r="D925" t="inlineStr">
        <is>
          <t>VÄSTERBOTTENS LÄN</t>
        </is>
      </c>
      <c r="E925" t="inlineStr">
        <is>
          <t>UMEÅ</t>
        </is>
      </c>
      <c r="G925" t="n">
        <v>1.8</v>
      </c>
      <c r="H925" t="n">
        <v>0</v>
      </c>
      <c r="I925" t="n">
        <v>0</v>
      </c>
      <c r="J925" t="n">
        <v>0</v>
      </c>
      <c r="K925" t="n">
        <v>0</v>
      </c>
      <c r="L925" t="n">
        <v>0</v>
      </c>
      <c r="M925" t="n">
        <v>0</v>
      </c>
      <c r="N925" t="n">
        <v>0</v>
      </c>
      <c r="O925" t="n">
        <v>0</v>
      </c>
      <c r="P925" t="n">
        <v>0</v>
      </c>
      <c r="Q925" t="n">
        <v>0</v>
      </c>
      <c r="R925" s="2" t="inlineStr"/>
    </row>
    <row r="926" ht="15" customHeight="1">
      <c r="A926" t="inlineStr">
        <is>
          <t>A 23199-2026</t>
        </is>
      </c>
      <c r="B926" s="1" t="n">
        <v>46161</v>
      </c>
      <c r="C926" s="1" t="n">
        <v>46193</v>
      </c>
      <c r="D926" t="inlineStr">
        <is>
          <t>VÄSTERBOTTENS LÄN</t>
        </is>
      </c>
      <c r="E926" t="inlineStr">
        <is>
          <t>UMEÅ</t>
        </is>
      </c>
      <c r="F926" t="inlineStr">
        <is>
          <t>Holmen skog AB</t>
        </is>
      </c>
      <c r="G926" t="n">
        <v>11.6</v>
      </c>
      <c r="H926" t="n">
        <v>0</v>
      </c>
      <c r="I926" t="n">
        <v>0</v>
      </c>
      <c r="J926" t="n">
        <v>0</v>
      </c>
      <c r="K926" t="n">
        <v>0</v>
      </c>
      <c r="L926" t="n">
        <v>0</v>
      </c>
      <c r="M926" t="n">
        <v>0</v>
      </c>
      <c r="N926" t="n">
        <v>0</v>
      </c>
      <c r="O926" t="n">
        <v>0</v>
      </c>
      <c r="P926" t="n">
        <v>0</v>
      </c>
      <c r="Q926" t="n">
        <v>0</v>
      </c>
      <c r="R926" s="2" t="inlineStr"/>
    </row>
    <row r="927" ht="15" customHeight="1">
      <c r="A927" t="inlineStr">
        <is>
          <t>A 17507-2026</t>
        </is>
      </c>
      <c r="B927" s="1" t="n">
        <v>46120</v>
      </c>
      <c r="C927" s="1" t="n">
        <v>46193</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23313-2026</t>
        </is>
      </c>
      <c r="B928" s="1" t="n">
        <v>46162</v>
      </c>
      <c r="C928" s="1" t="n">
        <v>46193</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24029-2026</t>
        </is>
      </c>
      <c r="B929" s="1" t="n">
        <v>46167</v>
      </c>
      <c r="C929" s="1" t="n">
        <v>46193</v>
      </c>
      <c r="D929" t="inlineStr">
        <is>
          <t>VÄSTERBOTTENS LÄN</t>
        </is>
      </c>
      <c r="E929" t="inlineStr">
        <is>
          <t>UMEÅ</t>
        </is>
      </c>
      <c r="G929" t="n">
        <v>5.3</v>
      </c>
      <c r="H929" t="n">
        <v>0</v>
      </c>
      <c r="I929" t="n">
        <v>0</v>
      </c>
      <c r="J929" t="n">
        <v>0</v>
      </c>
      <c r="K929" t="n">
        <v>0</v>
      </c>
      <c r="L929" t="n">
        <v>0</v>
      </c>
      <c r="M929" t="n">
        <v>0</v>
      </c>
      <c r="N929" t="n">
        <v>0</v>
      </c>
      <c r="O929" t="n">
        <v>0</v>
      </c>
      <c r="P929" t="n">
        <v>0</v>
      </c>
      <c r="Q929" t="n">
        <v>0</v>
      </c>
      <c r="R929" s="2" t="inlineStr"/>
    </row>
    <row r="930" ht="15" customHeight="1">
      <c r="A930" t="inlineStr">
        <is>
          <t>A 17816-2026</t>
        </is>
      </c>
      <c r="B930" s="1" t="n">
        <v>46122</v>
      </c>
      <c r="C930" s="1" t="n">
        <v>46193</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23962-2026</t>
        </is>
      </c>
      <c r="B931" s="1" t="n">
        <v>46167</v>
      </c>
      <c r="C931" s="1" t="n">
        <v>46193</v>
      </c>
      <c r="D931" t="inlineStr">
        <is>
          <t>VÄSTERBOTTENS LÄN</t>
        </is>
      </c>
      <c r="E931" t="inlineStr">
        <is>
          <t>UMEÅ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23844-2026</t>
        </is>
      </c>
      <c r="B932" s="1" t="n">
        <v>46167</v>
      </c>
      <c r="C932" s="1" t="n">
        <v>46193</v>
      </c>
      <c r="D932" t="inlineStr">
        <is>
          <t>VÄSTERBOTTENS LÄN</t>
        </is>
      </c>
      <c r="E932" t="inlineStr">
        <is>
          <t>UMEÅ</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24030-2026</t>
        </is>
      </c>
      <c r="B933" s="1" t="n">
        <v>46167</v>
      </c>
      <c r="C933" s="1" t="n">
        <v>46193</v>
      </c>
      <c r="D933" t="inlineStr">
        <is>
          <t>VÄSTERBOTTENS LÄN</t>
        </is>
      </c>
      <c r="E933" t="inlineStr">
        <is>
          <t>UMEÅ</t>
        </is>
      </c>
      <c r="G933" t="n">
        <v>3.5</v>
      </c>
      <c r="H933" t="n">
        <v>0</v>
      </c>
      <c r="I933" t="n">
        <v>0</v>
      </c>
      <c r="J933" t="n">
        <v>0</v>
      </c>
      <c r="K933" t="n">
        <v>0</v>
      </c>
      <c r="L933" t="n">
        <v>0</v>
      </c>
      <c r="M933" t="n">
        <v>0</v>
      </c>
      <c r="N933" t="n">
        <v>0</v>
      </c>
      <c r="O933" t="n">
        <v>0</v>
      </c>
      <c r="P933" t="n">
        <v>0</v>
      </c>
      <c r="Q933" t="n">
        <v>0</v>
      </c>
      <c r="R933" s="2" t="inlineStr"/>
    </row>
    <row r="934" ht="15" customHeight="1">
      <c r="A934" t="inlineStr">
        <is>
          <t>A 17807-2026</t>
        </is>
      </c>
      <c r="B934" s="1" t="n">
        <v>46122</v>
      </c>
      <c r="C934" s="1" t="n">
        <v>46193</v>
      </c>
      <c r="D934" t="inlineStr">
        <is>
          <t>VÄSTERBOTTENS LÄN</t>
        </is>
      </c>
      <c r="E934" t="inlineStr">
        <is>
          <t>UMEÅ</t>
        </is>
      </c>
      <c r="G934" t="n">
        <v>2.1</v>
      </c>
      <c r="H934" t="n">
        <v>0</v>
      </c>
      <c r="I934" t="n">
        <v>0</v>
      </c>
      <c r="J934" t="n">
        <v>0</v>
      </c>
      <c r="K934" t="n">
        <v>0</v>
      </c>
      <c r="L934" t="n">
        <v>0</v>
      </c>
      <c r="M934" t="n">
        <v>0</v>
      </c>
      <c r="N934" t="n">
        <v>0</v>
      </c>
      <c r="O934" t="n">
        <v>0</v>
      </c>
      <c r="P934" t="n">
        <v>0</v>
      </c>
      <c r="Q934" t="n">
        <v>0</v>
      </c>
      <c r="R934" s="2" t="inlineStr"/>
    </row>
    <row r="935" ht="15" customHeight="1">
      <c r="A935" t="inlineStr">
        <is>
          <t>A 23713-2026</t>
        </is>
      </c>
      <c r="B935" s="1" t="n">
        <v>46164</v>
      </c>
      <c r="C935" s="1" t="n">
        <v>46193</v>
      </c>
      <c r="D935" t="inlineStr">
        <is>
          <t>VÄSTERBOTTENS LÄN</t>
        </is>
      </c>
      <c r="E935" t="inlineStr">
        <is>
          <t>UMEÅ</t>
        </is>
      </c>
      <c r="F935" t="inlineStr">
        <is>
          <t>Holmen skog AB</t>
        </is>
      </c>
      <c r="G935" t="n">
        <v>4</v>
      </c>
      <c r="H935" t="n">
        <v>0</v>
      </c>
      <c r="I935" t="n">
        <v>0</v>
      </c>
      <c r="J935" t="n">
        <v>0</v>
      </c>
      <c r="K935" t="n">
        <v>0</v>
      </c>
      <c r="L935" t="n">
        <v>0</v>
      </c>
      <c r="M935" t="n">
        <v>0</v>
      </c>
      <c r="N935" t="n">
        <v>0</v>
      </c>
      <c r="O935" t="n">
        <v>0</v>
      </c>
      <c r="P935" t="n">
        <v>0</v>
      </c>
      <c r="Q935" t="n">
        <v>0</v>
      </c>
      <c r="R935" s="2" t="inlineStr"/>
    </row>
    <row r="936" ht="15" customHeight="1">
      <c r="A936" t="inlineStr">
        <is>
          <t>A 24397-2026</t>
        </is>
      </c>
      <c r="B936" s="1" t="n">
        <v>46169</v>
      </c>
      <c r="C936" s="1" t="n">
        <v>46193</v>
      </c>
      <c r="D936" t="inlineStr">
        <is>
          <t>VÄSTERBOTTENS LÄN</t>
        </is>
      </c>
      <c r="E936" t="inlineStr">
        <is>
          <t>UMEÅ</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24146-2026</t>
        </is>
      </c>
      <c r="B937" s="1" t="n">
        <v>46168</v>
      </c>
      <c r="C937" s="1" t="n">
        <v>46193</v>
      </c>
      <c r="D937" t="inlineStr">
        <is>
          <t>VÄSTERBOTTENS LÄN</t>
        </is>
      </c>
      <c r="E937" t="inlineStr">
        <is>
          <t>UMEÅ</t>
        </is>
      </c>
      <c r="G937" t="n">
        <v>2.3</v>
      </c>
      <c r="H937" t="n">
        <v>0</v>
      </c>
      <c r="I937" t="n">
        <v>0</v>
      </c>
      <c r="J937" t="n">
        <v>0</v>
      </c>
      <c r="K937" t="n">
        <v>0</v>
      </c>
      <c r="L937" t="n">
        <v>0</v>
      </c>
      <c r="M937" t="n">
        <v>0</v>
      </c>
      <c r="N937" t="n">
        <v>0</v>
      </c>
      <c r="O937" t="n">
        <v>0</v>
      </c>
      <c r="P937" t="n">
        <v>0</v>
      </c>
      <c r="Q937" t="n">
        <v>0</v>
      </c>
      <c r="R937" s="2" t="inlineStr"/>
    </row>
    <row r="938" ht="15" customHeight="1">
      <c r="A938" t="inlineStr">
        <is>
          <t>A 24031-2026</t>
        </is>
      </c>
      <c r="B938" s="1" t="n">
        <v>46167</v>
      </c>
      <c r="C938" s="1" t="n">
        <v>46193</v>
      </c>
      <c r="D938" t="inlineStr">
        <is>
          <t>VÄSTERBOTTENS LÄN</t>
        </is>
      </c>
      <c r="E938" t="inlineStr">
        <is>
          <t>UMEÅ</t>
        </is>
      </c>
      <c r="G938" t="n">
        <v>0.6</v>
      </c>
      <c r="H938" t="n">
        <v>0</v>
      </c>
      <c r="I938" t="n">
        <v>0</v>
      </c>
      <c r="J938" t="n">
        <v>0</v>
      </c>
      <c r="K938" t="n">
        <v>0</v>
      </c>
      <c r="L938" t="n">
        <v>0</v>
      </c>
      <c r="M938" t="n">
        <v>0</v>
      </c>
      <c r="N938" t="n">
        <v>0</v>
      </c>
      <c r="O938" t="n">
        <v>0</v>
      </c>
      <c r="P938" t="n">
        <v>0</v>
      </c>
      <c r="Q938" t="n">
        <v>0</v>
      </c>
      <c r="R938" s="2" t="inlineStr"/>
    </row>
    <row r="939" ht="15" customHeight="1">
      <c r="A939" t="inlineStr">
        <is>
          <t>A 18371-2026</t>
        </is>
      </c>
      <c r="B939" s="1" t="n">
        <v>46126</v>
      </c>
      <c r="C939" s="1" t="n">
        <v>46193</v>
      </c>
      <c r="D939" t="inlineStr">
        <is>
          <t>VÄSTERBOTTENS LÄN</t>
        </is>
      </c>
      <c r="E939" t="inlineStr">
        <is>
          <t>UMEÅ</t>
        </is>
      </c>
      <c r="G939" t="n">
        <v>1.6</v>
      </c>
      <c r="H939" t="n">
        <v>0</v>
      </c>
      <c r="I939" t="n">
        <v>0</v>
      </c>
      <c r="J939" t="n">
        <v>0</v>
      </c>
      <c r="K939" t="n">
        <v>0</v>
      </c>
      <c r="L939" t="n">
        <v>0</v>
      </c>
      <c r="M939" t="n">
        <v>0</v>
      </c>
      <c r="N939" t="n">
        <v>0</v>
      </c>
      <c r="O939" t="n">
        <v>0</v>
      </c>
      <c r="P939" t="n">
        <v>0</v>
      </c>
      <c r="Q939" t="n">
        <v>0</v>
      </c>
      <c r="R939" s="2" t="inlineStr"/>
    </row>
    <row r="940" ht="15" customHeight="1">
      <c r="A940" t="inlineStr">
        <is>
          <t>A 24850-2026</t>
        </is>
      </c>
      <c r="B940" s="1" t="n">
        <v>46174</v>
      </c>
      <c r="C940" s="1" t="n">
        <v>46193</v>
      </c>
      <c r="D940" t="inlineStr">
        <is>
          <t>VÄSTERBOTTENS LÄN</t>
        </is>
      </c>
      <c r="E940" t="inlineStr">
        <is>
          <t>UMEÅ</t>
        </is>
      </c>
      <c r="G940" t="n">
        <v>3.7</v>
      </c>
      <c r="H940" t="n">
        <v>0</v>
      </c>
      <c r="I940" t="n">
        <v>0</v>
      </c>
      <c r="J940" t="n">
        <v>0</v>
      </c>
      <c r="K940" t="n">
        <v>0</v>
      </c>
      <c r="L940" t="n">
        <v>0</v>
      </c>
      <c r="M940" t="n">
        <v>0</v>
      </c>
      <c r="N940" t="n">
        <v>0</v>
      </c>
      <c r="O940" t="n">
        <v>0</v>
      </c>
      <c r="P940" t="n">
        <v>0</v>
      </c>
      <c r="Q940" t="n">
        <v>0</v>
      </c>
      <c r="R940" s="2" t="inlineStr"/>
    </row>
    <row r="941" ht="15" customHeight="1">
      <c r="A941" t="inlineStr">
        <is>
          <t>A 24561-2026</t>
        </is>
      </c>
      <c r="B941" s="1" t="n">
        <v>46170</v>
      </c>
      <c r="C941" s="1" t="n">
        <v>46193</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24765-2026</t>
        </is>
      </c>
      <c r="B942" s="1" t="n">
        <v>46171</v>
      </c>
      <c r="C942" s="1" t="n">
        <v>46193</v>
      </c>
      <c r="D942" t="inlineStr">
        <is>
          <t>VÄSTERBOTTENS LÄN</t>
        </is>
      </c>
      <c r="E942" t="inlineStr">
        <is>
          <t>UMEÅ</t>
        </is>
      </c>
      <c r="F942" t="inlineStr">
        <is>
          <t>Holmen skog AB</t>
        </is>
      </c>
      <c r="G942" t="n">
        <v>15.1</v>
      </c>
      <c r="H942" t="n">
        <v>0</v>
      </c>
      <c r="I942" t="n">
        <v>0</v>
      </c>
      <c r="J942" t="n">
        <v>0</v>
      </c>
      <c r="K942" t="n">
        <v>0</v>
      </c>
      <c r="L942" t="n">
        <v>0</v>
      </c>
      <c r="M942" t="n">
        <v>0</v>
      </c>
      <c r="N942" t="n">
        <v>0</v>
      </c>
      <c r="O942" t="n">
        <v>0</v>
      </c>
      <c r="P942" t="n">
        <v>0</v>
      </c>
      <c r="Q942" t="n">
        <v>0</v>
      </c>
      <c r="R942" s="2" t="inlineStr"/>
    </row>
    <row r="943" ht="15" customHeight="1">
      <c r="A943" t="inlineStr">
        <is>
          <t>A 38237-2025</t>
        </is>
      </c>
      <c r="B943" s="1" t="n">
        <v>45883</v>
      </c>
      <c r="C943" s="1" t="n">
        <v>46193</v>
      </c>
      <c r="D943" t="inlineStr">
        <is>
          <t>VÄSTERBOTTENS LÄN</t>
        </is>
      </c>
      <c r="E943" t="inlineStr">
        <is>
          <t>UMEÅ</t>
        </is>
      </c>
      <c r="G943" t="n">
        <v>2.2</v>
      </c>
      <c r="H943" t="n">
        <v>0</v>
      </c>
      <c r="I943" t="n">
        <v>0</v>
      </c>
      <c r="J943" t="n">
        <v>0</v>
      </c>
      <c r="K943" t="n">
        <v>0</v>
      </c>
      <c r="L943" t="n">
        <v>0</v>
      </c>
      <c r="M943" t="n">
        <v>0</v>
      </c>
      <c r="N943" t="n">
        <v>0</v>
      </c>
      <c r="O943" t="n">
        <v>0</v>
      </c>
      <c r="P943" t="n">
        <v>0</v>
      </c>
      <c r="Q943" t="n">
        <v>0</v>
      </c>
      <c r="R943" s="2" t="inlineStr"/>
    </row>
    <row r="944" ht="15" customHeight="1">
      <c r="A944" t="inlineStr">
        <is>
          <t>A 25874-2026</t>
        </is>
      </c>
      <c r="B944" s="1" t="n">
        <v>46178</v>
      </c>
      <c r="C944" s="1" t="n">
        <v>46193</v>
      </c>
      <c r="D944" t="inlineStr">
        <is>
          <t>VÄSTERBOTTENS LÄN</t>
        </is>
      </c>
      <c r="E944" t="inlineStr">
        <is>
          <t>UMEÅ</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19733-2026</t>
        </is>
      </c>
      <c r="B945" s="1" t="n">
        <v>46135</v>
      </c>
      <c r="C945" s="1" t="n">
        <v>46193</v>
      </c>
      <c r="D945" t="inlineStr">
        <is>
          <t>VÄSTERBOTTENS LÄN</t>
        </is>
      </c>
      <c r="E945" t="inlineStr">
        <is>
          <t>UMEÅ</t>
        </is>
      </c>
      <c r="G945" t="n">
        <v>5</v>
      </c>
      <c r="H945" t="n">
        <v>0</v>
      </c>
      <c r="I945" t="n">
        <v>0</v>
      </c>
      <c r="J945" t="n">
        <v>0</v>
      </c>
      <c r="K945" t="n">
        <v>0</v>
      </c>
      <c r="L945" t="n">
        <v>0</v>
      </c>
      <c r="M945" t="n">
        <v>0</v>
      </c>
      <c r="N945" t="n">
        <v>0</v>
      </c>
      <c r="O945" t="n">
        <v>0</v>
      </c>
      <c r="P945" t="n">
        <v>0</v>
      </c>
      <c r="Q945" t="n">
        <v>0</v>
      </c>
      <c r="R945" s="2" t="inlineStr"/>
    </row>
    <row r="946" ht="15" customHeight="1">
      <c r="A946" t="inlineStr">
        <is>
          <t>A 49142-2025</t>
        </is>
      </c>
      <c r="B946" s="1" t="n">
        <v>45938</v>
      </c>
      <c r="C946" s="1" t="n">
        <v>46193</v>
      </c>
      <c r="D946" t="inlineStr">
        <is>
          <t>VÄSTERBOTTENS LÄN</t>
        </is>
      </c>
      <c r="E946" t="inlineStr">
        <is>
          <t>UMEÅ</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46193</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25541-2026</t>
        </is>
      </c>
      <c r="B948" s="1" t="n">
        <v>46177</v>
      </c>
      <c r="C948" s="1" t="n">
        <v>46193</v>
      </c>
      <c r="D948" t="inlineStr">
        <is>
          <t>VÄSTERBOTTENS LÄN</t>
        </is>
      </c>
      <c r="E948" t="inlineStr">
        <is>
          <t>UMEÅ</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25857-2026</t>
        </is>
      </c>
      <c r="B949" s="1" t="n">
        <v>46178</v>
      </c>
      <c r="C949" s="1" t="n">
        <v>46193</v>
      </c>
      <c r="D949" t="inlineStr">
        <is>
          <t>VÄSTERBOTTENS LÄN</t>
        </is>
      </c>
      <c r="E949" t="inlineStr">
        <is>
          <t>UMEÅ</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25615-2026</t>
        </is>
      </c>
      <c r="B950" s="1" t="n">
        <v>46177</v>
      </c>
      <c r="C950" s="1" t="n">
        <v>46193</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10718-2025</t>
        </is>
      </c>
      <c r="B951" s="1" t="n">
        <v>45722</v>
      </c>
      <c r="C951" s="1" t="n">
        <v>46193</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38669-2025</t>
        </is>
      </c>
      <c r="B952" s="1" t="n">
        <v>45884</v>
      </c>
      <c r="C952" s="1" t="n">
        <v>46193</v>
      </c>
      <c r="D952" t="inlineStr">
        <is>
          <t>VÄSTERBOTTENS LÄN</t>
        </is>
      </c>
      <c r="E952" t="inlineStr">
        <is>
          <t>UMEÅ</t>
        </is>
      </c>
      <c r="G952" t="n">
        <v>4.9</v>
      </c>
      <c r="H952" t="n">
        <v>0</v>
      </c>
      <c r="I952" t="n">
        <v>0</v>
      </c>
      <c r="J952" t="n">
        <v>0</v>
      </c>
      <c r="K952" t="n">
        <v>0</v>
      </c>
      <c r="L952" t="n">
        <v>0</v>
      </c>
      <c r="M952" t="n">
        <v>0</v>
      </c>
      <c r="N952" t="n">
        <v>0</v>
      </c>
      <c r="O952" t="n">
        <v>0</v>
      </c>
      <c r="P952" t="n">
        <v>0</v>
      </c>
      <c r="Q952" t="n">
        <v>0</v>
      </c>
      <c r="R952" s="2" t="inlineStr"/>
    </row>
    <row r="953" ht="15" customHeight="1">
      <c r="A953" t="inlineStr">
        <is>
          <t>A 13822-2025</t>
        </is>
      </c>
      <c r="B953" s="1" t="n">
        <v>45737</v>
      </c>
      <c r="C953" s="1" t="n">
        <v>46193</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49030-2025</t>
        </is>
      </c>
      <c r="B954" s="1" t="n">
        <v>45937</v>
      </c>
      <c r="C954" s="1" t="n">
        <v>46193</v>
      </c>
      <c r="D954" t="inlineStr">
        <is>
          <t>VÄSTERBOTTENS LÄN</t>
        </is>
      </c>
      <c r="E954" t="inlineStr">
        <is>
          <t>UMEÅ</t>
        </is>
      </c>
      <c r="G954" t="n">
        <v>3.6</v>
      </c>
      <c r="H954" t="n">
        <v>0</v>
      </c>
      <c r="I954" t="n">
        <v>0</v>
      </c>
      <c r="J954" t="n">
        <v>0</v>
      </c>
      <c r="K954" t="n">
        <v>0</v>
      </c>
      <c r="L954" t="n">
        <v>0</v>
      </c>
      <c r="M954" t="n">
        <v>0</v>
      </c>
      <c r="N954" t="n">
        <v>0</v>
      </c>
      <c r="O954" t="n">
        <v>0</v>
      </c>
      <c r="P954" t="n">
        <v>0</v>
      </c>
      <c r="Q954" t="n">
        <v>0</v>
      </c>
      <c r="R954" s="2" t="inlineStr"/>
    </row>
    <row r="955" ht="15" customHeight="1">
      <c r="A955" t="inlineStr">
        <is>
          <t>A 42617-2025</t>
        </is>
      </c>
      <c r="B955" s="1" t="n">
        <v>45905</v>
      </c>
      <c r="C955" s="1" t="n">
        <v>46193</v>
      </c>
      <c r="D955" t="inlineStr">
        <is>
          <t>VÄSTERBOTTENS LÄN</t>
        </is>
      </c>
      <c r="E955" t="inlineStr">
        <is>
          <t>UMEÅ</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32462-2023</t>
        </is>
      </c>
      <c r="B956" s="1" t="n">
        <v>45120</v>
      </c>
      <c r="C956" s="1" t="n">
        <v>46193</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26319-2026</t>
        </is>
      </c>
      <c r="B957" s="1" t="n">
        <v>46182</v>
      </c>
      <c r="C957" s="1" t="n">
        <v>46193</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22632-2024</t>
        </is>
      </c>
      <c r="B958" s="1" t="n">
        <v>45447</v>
      </c>
      <c r="C958" s="1" t="n">
        <v>46193</v>
      </c>
      <c r="D958" t="inlineStr">
        <is>
          <t>VÄSTERBOTTENS LÄN</t>
        </is>
      </c>
      <c r="E958" t="inlineStr">
        <is>
          <t>UMEÅ</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25932-2026</t>
        </is>
      </c>
      <c r="B959" s="1" t="n">
        <v>46180</v>
      </c>
      <c r="C959" s="1" t="n">
        <v>46193</v>
      </c>
      <c r="D959" t="inlineStr">
        <is>
          <t>VÄSTERBOTTENS LÄN</t>
        </is>
      </c>
      <c r="E959" t="inlineStr">
        <is>
          <t>UMEÅ</t>
        </is>
      </c>
      <c r="G959" t="n">
        <v>3.1</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v>
      </c>
      <c r="C960" s="1" t="n">
        <v>46193</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43945-2024</t>
        </is>
      </c>
      <c r="B961" s="1" t="n">
        <v>45572</v>
      </c>
      <c r="C961" s="1" t="n">
        <v>46193</v>
      </c>
      <c r="D961" t="inlineStr">
        <is>
          <t>VÄSTERBOTTENS LÄN</t>
        </is>
      </c>
      <c r="E961" t="inlineStr">
        <is>
          <t>UMEÅ</t>
        </is>
      </c>
      <c r="G961" t="n">
        <v>2.1</v>
      </c>
      <c r="H961" t="n">
        <v>0</v>
      </c>
      <c r="I961" t="n">
        <v>0</v>
      </c>
      <c r="J961" t="n">
        <v>0</v>
      </c>
      <c r="K961" t="n">
        <v>0</v>
      </c>
      <c r="L961" t="n">
        <v>0</v>
      </c>
      <c r="M961" t="n">
        <v>0</v>
      </c>
      <c r="N961" t="n">
        <v>0</v>
      </c>
      <c r="O961" t="n">
        <v>0</v>
      </c>
      <c r="P961" t="n">
        <v>0</v>
      </c>
      <c r="Q961" t="n">
        <v>0</v>
      </c>
      <c r="R961" s="2" t="inlineStr"/>
    </row>
    <row r="962" ht="15" customHeight="1">
      <c r="A962" t="inlineStr">
        <is>
          <t>A 26181-2026</t>
        </is>
      </c>
      <c r="B962" s="1" t="n">
        <v>46182</v>
      </c>
      <c r="C962" s="1" t="n">
        <v>46193</v>
      </c>
      <c r="D962" t="inlineStr">
        <is>
          <t>VÄSTERBOTTENS LÄN</t>
        </is>
      </c>
      <c r="E962" t="inlineStr">
        <is>
          <t>UMEÅ</t>
        </is>
      </c>
      <c r="G962" t="n">
        <v>12.4</v>
      </c>
      <c r="H962" t="n">
        <v>0</v>
      </c>
      <c r="I962" t="n">
        <v>0</v>
      </c>
      <c r="J962" t="n">
        <v>0</v>
      </c>
      <c r="K962" t="n">
        <v>0</v>
      </c>
      <c r="L962" t="n">
        <v>0</v>
      </c>
      <c r="M962" t="n">
        <v>0</v>
      </c>
      <c r="N962" t="n">
        <v>0</v>
      </c>
      <c r="O962" t="n">
        <v>0</v>
      </c>
      <c r="P962" t="n">
        <v>0</v>
      </c>
      <c r="Q962" t="n">
        <v>0</v>
      </c>
      <c r="R962" s="2" t="inlineStr"/>
    </row>
    <row r="963" ht="15" customHeight="1">
      <c r="A963" t="inlineStr">
        <is>
          <t>A 20209-2026</t>
        </is>
      </c>
      <c r="B963" s="1" t="n">
        <v>46139</v>
      </c>
      <c r="C963" s="1" t="n">
        <v>46193</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c r="A964" t="inlineStr">
        <is>
          <t>A 3254-2024</t>
        </is>
      </c>
      <c r="B964" s="1" t="n">
        <v>45316</v>
      </c>
      <c r="C964" s="1" t="n">
        <v>46193</v>
      </c>
      <c r="D964" t="inlineStr">
        <is>
          <t>VÄSTERBOTTENS LÄN</t>
        </is>
      </c>
      <c r="E964" t="inlineStr">
        <is>
          <t>UMEÅ</t>
        </is>
      </c>
      <c r="G964" t="n">
        <v>4.1</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2026-06-20T00:46:55Z</dcterms:created>
  <dcterms:modified xmlns:dcterms="http://purl.org/dc/terms/" xmlns:xsi="http://www.w3.org/2001/XMLSchema-instance" xsi:type="dcterms:W3CDTF">2026-06-20T00:46:55Z</dcterms:modified>
</cp:coreProperties>
</file>