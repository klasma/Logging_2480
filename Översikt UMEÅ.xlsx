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45738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45738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45738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45738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45738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45738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45738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45738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45738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45738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45738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45738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45738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45738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45738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45738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45738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45738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45738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45738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45738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45738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45738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45738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45738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45738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45738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45738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45738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45738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45738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45738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45738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45738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45738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45738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45738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45738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45738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45738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45738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45738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45738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45738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45738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45738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45738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45738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45738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45738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45738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45738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45738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45738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45738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45738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45738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45738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45738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45738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45738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45738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45738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45738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45738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45738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45738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45738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45738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45738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45738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45738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45738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45738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45738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45738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45738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45738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45738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45738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45738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45738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45738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45738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45738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45738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45738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45738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45738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45738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45738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45738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45738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45738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45738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45738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45738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45738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45738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45738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45738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45738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45738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45738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45738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45738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45738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45738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45738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45738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45738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45738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45738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45738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45738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45738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45738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45738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45738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45738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45738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10945-2025</t>
        </is>
      </c>
      <c r="B168" s="1" t="n">
        <v>45723</v>
      </c>
      <c r="C168" s="1" t="n">
        <v>45738</v>
      </c>
      <c r="D168" t="inlineStr">
        <is>
          <t>VÄSTERBOTTENS LÄN</t>
        </is>
      </c>
      <c r="E168" t="inlineStr">
        <is>
          <t>UMEÅ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10945-2025 artfynd.xlsx", "A 10945-2025")</f>
        <v/>
      </c>
      <c r="T168">
        <f>HYPERLINK("https://klasma.github.io/Logging_2480/kartor/A 10945-2025 karta.png", "A 10945-2025")</f>
        <v/>
      </c>
      <c r="V168">
        <f>HYPERLINK("https://klasma.github.io/Logging_2480/klagomål/A 10945-2025 FSC-klagomål.docx", "A 10945-2025")</f>
        <v/>
      </c>
      <c r="W168">
        <f>HYPERLINK("https://klasma.github.io/Logging_2480/klagomålsmail/A 10945-2025 FSC-klagomål mail.docx", "A 10945-2025")</f>
        <v/>
      </c>
      <c r="X168">
        <f>HYPERLINK("https://klasma.github.io/Logging_2480/tillsyn/A 10945-2025 tillsynsbegäran.docx", "A 10945-2025")</f>
        <v/>
      </c>
      <c r="Y168">
        <f>HYPERLINK("https://klasma.github.io/Logging_2480/tillsynsmail/A 10945-2025 tillsynsbegäran mail.docx", "A 10945-2025")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45738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11044-2025 artfynd.xlsx", "A 11044-2025")</f>
        <v/>
      </c>
      <c r="T169">
        <f>HYPERLINK("https://klasma.github.io/Logging_2480/kartor/A 11044-2025 karta.png", "A 11044-2025")</f>
        <v/>
      </c>
      <c r="V169">
        <f>HYPERLINK("https://klasma.github.io/Logging_2480/klagomål/A 11044-2025 FSC-klagomål.docx", "A 11044-2025")</f>
        <v/>
      </c>
      <c r="W169">
        <f>HYPERLINK("https://klasma.github.io/Logging_2480/klagomålsmail/A 11044-2025 FSC-klagomål mail.docx", "A 11044-2025")</f>
        <v/>
      </c>
      <c r="X169">
        <f>HYPERLINK("https://klasma.github.io/Logging_2480/tillsyn/A 11044-2025 tillsynsbegäran.docx", "A 11044-2025")</f>
        <v/>
      </c>
      <c r="Y169">
        <f>HYPERLINK("https://klasma.github.io/Logging_2480/tillsynsmail/A 11044-2025 tillsynsbegäran mail.docx", "A 11044-2025")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45738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45738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45738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45738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45738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45738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45738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45738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45738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45738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45738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45738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45738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45738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45738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45738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45738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45738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45738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45738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45738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45738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45738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45738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45738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45738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45738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45738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45738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45738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45738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45738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45738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45738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45738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45738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45738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45738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45738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45738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45738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45738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45738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45738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45738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45738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45738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45738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45738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45738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45738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45738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45738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45738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45738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45738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45738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45738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45738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45738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45738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45738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45738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45738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45738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45738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45738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45738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45738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45738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45738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45738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45738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45738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45738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45738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45738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45738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45738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45738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45738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45738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45738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45738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45738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45738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45738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45738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45738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45738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45738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45738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45738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45738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45738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45738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45738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45738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45738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45738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45738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45738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45738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45738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45738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45738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45738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45738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45738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45738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45738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45738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45738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45738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45738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45738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45738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45738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45738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45738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45738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45738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45738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45738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45738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45738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45738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45738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45738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45738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45738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45738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45738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45738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45738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45738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45738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45738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45738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45738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45738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45738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45738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45738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45738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45738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45738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45738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45738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45738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45738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45738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45738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45738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45738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45738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45738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45738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45738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45738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45738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45738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45738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45738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45738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45738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45738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45738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45738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45738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45738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45738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45738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45738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45738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45738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45738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45738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45738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45738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45738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45738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45738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45738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45738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45738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45738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45738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45738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45738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45738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45738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45738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45738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45738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45738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45738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45738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45738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45738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45738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45738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45738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45738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45738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45738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45738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45738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45738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45738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45738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45738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45738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45738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45738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45738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45738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45738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45738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45738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45738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45738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45738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45738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45738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45738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45738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45738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45738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45738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45738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45738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45738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45738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45738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45738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45738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45738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45738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45738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45738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45738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45738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45738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45738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45738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45738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45738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45738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45738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45738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45738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45738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45738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45738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45738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45738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45738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45738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45738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45738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45738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45738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45738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45738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45738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45738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45738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45738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45738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45738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45738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45738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45738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45738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45738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45738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45738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45738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45738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45738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45738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45738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45738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45738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45738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45738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45738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45738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45738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45738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45738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45738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45738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45738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45738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45738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45738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45738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45738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45738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45738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45738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45738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45738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45738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45738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45738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45738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45738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45738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45738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45738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45738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45738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45738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45738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45738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45738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45738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45738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45738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45738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45738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45738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45738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45738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45738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45738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45738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45738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45738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45738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45738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45738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45738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45738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45738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45738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45738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45738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45738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45738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45738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45738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45738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45738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45738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45738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45738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45738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45738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45738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45738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45738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45738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45738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45738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45738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45738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45738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45738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45738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45738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45738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45738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45738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45738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45738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45738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45738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45738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45738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45738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45738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45738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45738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45738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45738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45738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45738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45738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45738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45738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45738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45738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45738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45738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45738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45738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45738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45738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45738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45738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45738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45738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45738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45738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45738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45738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45738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45738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45738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45738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45738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45738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45738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45738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45738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45738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45738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45738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45738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45738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45738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45738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45738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45738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45738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45738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45738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45738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45738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45738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45738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45738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45738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45738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45738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45738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45738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45738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45738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45738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45738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45738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45738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45738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45738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45738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45738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45738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45738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45738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45738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45738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45738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45738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45738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45738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45738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45738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45738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45738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45738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45738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45738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45738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45738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45738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45738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45738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45738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45738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45738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45738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45738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45738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45738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45738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45738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45738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45738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45738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45738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45738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45738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45738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45738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45738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45738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45738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45738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45738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45738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45738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45738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45738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45738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45738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45738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45738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45738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45738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45738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45738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45738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45738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45738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45738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45738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45738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45738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45738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45738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45738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45738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45738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45738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45738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45738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45738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45738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45738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45738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45738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45738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45738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45738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45738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45738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45738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45738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45738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45738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45738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45738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45738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45738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45738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45738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45738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45738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45738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45738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45738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45738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45738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45738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45738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45738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45738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45738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45738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45738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45738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45738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45738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45738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45738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45738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45738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45738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45738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45738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45738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45738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45738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45738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45738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45738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45738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45738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45738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45738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45738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45738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45738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45738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45738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45738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45738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45738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45738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45738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45738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45738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45738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45738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45738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45738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45738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45738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45738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45738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45738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45738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45738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45738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45738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45738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45738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45738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45738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45738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45738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45738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45738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45738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45738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45738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45738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45738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45738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45738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45738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45738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45738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45738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45738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45738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45738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45738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45738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45738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45738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45738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45738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45738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45738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45738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45738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45738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45738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45738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45738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45738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45738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45738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45738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45738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45738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45738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45738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45738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45738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45738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45738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45738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45738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45738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45738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45738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45738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45738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45738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45738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45738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45738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45738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45738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45738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45738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45738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45738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45738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45738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45738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45738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45738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45738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45738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45738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45738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45738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45738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45738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45738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45738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45738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45738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45738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45738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45738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45738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45738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45738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45738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45738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45738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45738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45738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45738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45738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45738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45738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45738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45738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45738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45738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45738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45738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45738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45738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45738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45738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45738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45738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45738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45738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45738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45738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45738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45738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45738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45738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45738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45738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45738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45738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45738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45738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45738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45738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45738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45738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45738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45738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45738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45738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45738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45738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45738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45738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45738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45738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45738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45738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45738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45738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45738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45738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45738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45738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45738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45738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45738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45738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45738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45738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45738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45738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45738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45738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45738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45738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45738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45738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45738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45738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45738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45738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45738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45738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45738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45738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45738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45738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45738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45738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45738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45738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45738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45738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45738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45738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45738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45738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45738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45738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45738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45738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45738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45738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45738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45738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45738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45738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45738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45738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45738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45738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45738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45738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45738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45738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45738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45738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45738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45738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45738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45738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45738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45738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45738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45738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45738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45738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45738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45738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45738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45738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45738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45738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45738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45738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45738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45738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45738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45738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45738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45738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45738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45738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45738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45738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45738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45738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45738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45738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45738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45738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45738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45738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45738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45738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45738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45738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45738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45738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45738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45738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45738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45738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45738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45738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45738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45738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45738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45738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45738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45738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45738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45738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45738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45738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45738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45738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45738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45738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45738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45738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45738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45738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45738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45738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45738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45738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45738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45738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45738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45738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45738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45738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45738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45738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45738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45738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45738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45738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45738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45738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45738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45738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45738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45738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45738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45738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45738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45738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45738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45738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45738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45738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45738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45738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45738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45738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45738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45738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45738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45738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45738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45738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45738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45738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45738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45738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45738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45738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45738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45738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45738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45738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45738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45738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45738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45738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45738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45738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45738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45738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45738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45738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45738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45738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45738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45738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45738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45738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45738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45738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45738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45738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45738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45738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45738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45738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45738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45738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45738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45738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45738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45738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45738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45738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45738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45738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45738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45738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45738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45738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45738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45738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45738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45738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45738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45738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45738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45738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45738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45738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45738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45738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45738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45738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45738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45738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45738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45738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45738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45738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45738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45738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45738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45738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45738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45738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45738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45738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45738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45738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45738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45738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45738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45738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45738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45738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45738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45738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45738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45738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45738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45738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45738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45738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45738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45738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45738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45738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45738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45738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45738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45738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45738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45738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45738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45738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45738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45738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45738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45738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45738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45738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45738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45738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45738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45738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45738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45738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45738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45738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45738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45738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45738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45738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45738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45738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45738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45738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45738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45738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45738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45738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45738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45738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45738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45738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45738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45738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45738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45738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45738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45738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45738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45738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45738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45738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45738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45738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45738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45738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45738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45738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45738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45738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45738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45738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45738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45738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45738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45738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45738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45738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45738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45738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45738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45738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45738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45738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45738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45738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45738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45738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45738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45738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45738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45738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45738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45738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45738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45738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45738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45738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45738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45738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45738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45738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45738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45738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45738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45738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45738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45738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45738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45738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45738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45738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45738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45738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45738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45738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45738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45738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45738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45738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45738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45738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45738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45738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45738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45738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45738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45738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45738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45738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45738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45738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45738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45738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45738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45738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45738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45738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45738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45738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45738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45738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45738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45738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45738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45738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45738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45738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45738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45738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45738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45738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45738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45738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45738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45738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45738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45738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45738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45738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45738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45738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45738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45738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45738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45738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45738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45738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45738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45738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45738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45738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45738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45738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45738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45738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45738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45738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45738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45738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45738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45738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45738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45738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45738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45738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45738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45738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45738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45738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45738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45738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45738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45738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45738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45738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45738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45738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45738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45738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45738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45738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45738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45738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45738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45738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45738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45738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45738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45738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45738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45738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45738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45738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45738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45738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45738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45738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45738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45738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45738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45738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45738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45738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45738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45738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45738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45738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45738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45738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45738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45738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45738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45738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45738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45738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45738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45738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45738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45738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45738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45738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45738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45738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45738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45738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45738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45738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45738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45738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45738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45738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45738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45738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45738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45738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45738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45738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45738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45738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45738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45738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45738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45738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45738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45738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45738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45738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45738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45738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45738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45738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45738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45738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45738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45738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45738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45738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45738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45738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45738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45738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45738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45738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45738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45738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45738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45738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45738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45738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45738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45738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45738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45738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45738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45738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45738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45738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45738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45738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45738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45738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45738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45738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45738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45738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45738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45738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45738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45738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45738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45738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45738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45738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45738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45738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45738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45738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45738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45738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45738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45738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8575-2025</t>
        </is>
      </c>
      <c r="B1468" s="1" t="n">
        <v>45709</v>
      </c>
      <c r="C1468" s="1" t="n">
        <v>45738</v>
      </c>
      <c r="D1468" t="inlineStr">
        <is>
          <t>VÄSTERBOTTENS LÄN</t>
        </is>
      </c>
      <c r="E1468" t="inlineStr">
        <is>
          <t>UMEÅ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8583-2025</t>
        </is>
      </c>
      <c r="B1469" s="1" t="n">
        <v>45709</v>
      </c>
      <c r="C1469" s="1" t="n">
        <v>45738</v>
      </c>
      <c r="D1469" t="inlineStr">
        <is>
          <t>VÄSTERBOTTENS LÄN</t>
        </is>
      </c>
      <c r="E1469" t="inlineStr">
        <is>
          <t>UMEÅ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45738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8584-2025</t>
        </is>
      </c>
      <c r="B1471" s="1" t="n">
        <v>45709</v>
      </c>
      <c r="C1471" s="1" t="n">
        <v>45738</v>
      </c>
      <c r="D1471" t="inlineStr">
        <is>
          <t>VÄSTERBOTTENS LÄN</t>
        </is>
      </c>
      <c r="E1471" t="inlineStr">
        <is>
          <t>UMEÅ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8586-2025</t>
        </is>
      </c>
      <c r="B1472" s="1" t="n">
        <v>45709</v>
      </c>
      <c r="C1472" s="1" t="n">
        <v>45738</v>
      </c>
      <c r="D1472" t="inlineStr">
        <is>
          <t>VÄSTERBOTTENS LÄN</t>
        </is>
      </c>
      <c r="E1472" t="inlineStr">
        <is>
          <t>UMEÅ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8581-2025</t>
        </is>
      </c>
      <c r="B1473" s="1" t="n">
        <v>45709</v>
      </c>
      <c r="C1473" s="1" t="n">
        <v>45738</v>
      </c>
      <c r="D1473" t="inlineStr">
        <is>
          <t>VÄSTERBOTTENS LÄN</t>
        </is>
      </c>
      <c r="E1473" t="inlineStr">
        <is>
          <t>UMEÅ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45738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45738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45738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45738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45738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45738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45738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45738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10271-2025</t>
        </is>
      </c>
      <c r="B1482" s="1" t="n">
        <v>45720</v>
      </c>
      <c r="C1482" s="1" t="n">
        <v>45738</v>
      </c>
      <c r="D1482" t="inlineStr">
        <is>
          <t>VÄSTERBOTTENS LÄN</t>
        </is>
      </c>
      <c r="E1482" t="inlineStr">
        <is>
          <t>UMEÅ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45738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45738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45738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10898-2025</t>
        </is>
      </c>
      <c r="B1486" s="1" t="n">
        <v>45722</v>
      </c>
      <c r="C1486" s="1" t="n">
        <v>45738</v>
      </c>
      <c r="D1486" t="inlineStr">
        <is>
          <t>VÄSTERBOTTENS LÄN</t>
        </is>
      </c>
      <c r="E1486" t="inlineStr">
        <is>
          <t>UMEÅ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10718-2025</t>
        </is>
      </c>
      <c r="B1487" s="1" t="n">
        <v>45722</v>
      </c>
      <c r="C1487" s="1" t="n">
        <v>45738</v>
      </c>
      <c r="D1487" t="inlineStr">
        <is>
          <t>VÄSTERBOTTENS LÄN</t>
        </is>
      </c>
      <c r="E1487" t="inlineStr">
        <is>
          <t>UMEÅ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45738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45738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11063-2025</t>
        </is>
      </c>
      <c r="B1490" s="1" t="n">
        <v>45723</v>
      </c>
      <c r="C1490" s="1" t="n">
        <v>45738</v>
      </c>
      <c r="D1490" t="inlineStr">
        <is>
          <t>VÄSTERBOTTENS LÄN</t>
        </is>
      </c>
      <c r="E1490" t="inlineStr">
        <is>
          <t>UMEÅ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45738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45738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45738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45738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45738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12226-2025</t>
        </is>
      </c>
      <c r="B1496" s="1" t="n">
        <v>45729</v>
      </c>
      <c r="C1496" s="1" t="n">
        <v>45738</v>
      </c>
      <c r="D1496" t="inlineStr">
        <is>
          <t>VÄSTERBOTTENS LÄN</t>
        </is>
      </c>
      <c r="E1496" t="inlineStr">
        <is>
          <t>UMEÅ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45738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45738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45738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45738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45738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45738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45738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13197-2025</t>
        </is>
      </c>
      <c r="B1504" s="1" t="n">
        <v>45735</v>
      </c>
      <c r="C1504" s="1" t="n">
        <v>45738</v>
      </c>
      <c r="D1504" t="inlineStr">
        <is>
          <t>VÄSTERBOTTENS LÄN</t>
        </is>
      </c>
      <c r="E1504" t="inlineStr">
        <is>
          <t>UMEÅ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45738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45738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13716-2025</t>
        </is>
      </c>
      <c r="B1507" s="1" t="n">
        <v>45737</v>
      </c>
      <c r="C1507" s="1" t="n">
        <v>45738</v>
      </c>
      <c r="D1507" t="inlineStr">
        <is>
          <t>VÄSTERBOTTENS LÄN</t>
        </is>
      </c>
      <c r="E1507" t="inlineStr">
        <is>
          <t>UMEÅ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13820-2025</t>
        </is>
      </c>
      <c r="B1508" s="1" t="n">
        <v>45737</v>
      </c>
      <c r="C1508" s="1" t="n">
        <v>45738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45738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13822-2025</t>
        </is>
      </c>
      <c r="B1510" s="1" t="n">
        <v>45737</v>
      </c>
      <c r="C1510" s="1" t="n">
        <v>45738</v>
      </c>
      <c r="D1510" t="inlineStr">
        <is>
          <t>VÄSTERBOTTENS LÄN</t>
        </is>
      </c>
      <c r="E1510" t="inlineStr">
        <is>
          <t>UMEÅ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13821-2025</t>
        </is>
      </c>
      <c r="B1511" s="1" t="n">
        <v>45737</v>
      </c>
      <c r="C1511" s="1" t="n">
        <v>45738</v>
      </c>
      <c r="D1511" t="inlineStr">
        <is>
          <t>VÄSTERBOTTENS LÄN</t>
        </is>
      </c>
      <c r="E1511" t="inlineStr">
        <is>
          <t>UMEÅ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2025-03-22T16:14:18Z</dcterms:created>
  <dcterms:modified xmlns:dcterms="http://purl.org/dc/terms/" xmlns:xsi="http://www.w3.org/2001/XMLSchema-instance" xsi:type="dcterms:W3CDTF">2025-03-22T16:14:19Z</dcterms:modified>
</cp:coreProperties>
</file>