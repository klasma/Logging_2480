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46083</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46083</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46083</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46083</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46083</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46083</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46083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46083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46083</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46083</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46083</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46083</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46083</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46083</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46083</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28430-2025</t>
        </is>
      </c>
      <c r="B29" s="1" t="n">
        <v>45819.37813657407</v>
      </c>
      <c r="C29" s="1" t="n">
        <v>46083</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46083</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46083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46083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46083</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46083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46083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46083</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46083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46083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46083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46083</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46083</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46083</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46083</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46083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46083</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15591-2023</t>
        </is>
      </c>
      <c r="B46" s="1" t="n">
        <v>45019</v>
      </c>
      <c r="C46" s="1" t="n">
        <v>46083</v>
      </c>
      <c r="D46" t="inlineStr">
        <is>
          <t>VÄSTERBOTTENS LÄN</t>
        </is>
      </c>
      <c r="E46" t="inlineStr">
        <is>
          <t>UMEÅ</t>
        </is>
      </c>
      <c r="F46" t="inlineStr">
        <is>
          <t>Kommuner</t>
        </is>
      </c>
      <c r="G46" t="n">
        <v>1.4</v>
      </c>
      <c r="H46" t="n">
        <v>1</v>
      </c>
      <c r="I46" t="n">
        <v>1</v>
      </c>
      <c r="J46" t="n">
        <v>3</v>
      </c>
      <c r="K46" t="n">
        <v>0</v>
      </c>
      <c r="L46" t="n">
        <v>0</v>
      </c>
      <c r="M46" t="n">
        <v>0</v>
      </c>
      <c r="N46" t="n">
        <v>0</v>
      </c>
      <c r="O46" t="n">
        <v>3</v>
      </c>
      <c r="P46" t="n">
        <v>0</v>
      </c>
      <c r="Q46" t="n">
        <v>4</v>
      </c>
      <c r="R46" s="2" t="inlineStr">
        <is>
          <t>Garnlav
Granticka
Tretåig hackspett
Vedticka</t>
        </is>
      </c>
      <c r="S46">
        <f>HYPERLINK("https://klasma.github.io/Logging_2480/artfynd/A 15591-2023 artfynd.xlsx", "A 15591-2023")</f>
        <v/>
      </c>
      <c r="T46">
        <f>HYPERLINK("https://klasma.github.io/Logging_2480/kartor/A 15591-2023 karta.png", "A 15591-2023")</f>
        <v/>
      </c>
      <c r="V46">
        <f>HYPERLINK("https://klasma.github.io/Logging_2480/klagomål/A 15591-2023 FSC-klagomål.docx", "A 15591-2023")</f>
        <v/>
      </c>
      <c r="W46">
        <f>HYPERLINK("https://klasma.github.io/Logging_2480/klagomålsmail/A 15591-2023 FSC-klagomål mail.docx", "A 15591-2023")</f>
        <v/>
      </c>
      <c r="X46">
        <f>HYPERLINK("https://klasma.github.io/Logging_2480/tillsyn/A 15591-2023 tillsynsbegäran.docx", "A 15591-2023")</f>
        <v/>
      </c>
      <c r="Y46">
        <f>HYPERLINK("https://klasma.github.io/Logging_2480/tillsynsmail/A 15591-2023 tillsynsbegäran mail.docx", "A 15591-2023")</f>
        <v/>
      </c>
      <c r="Z46">
        <f>HYPERLINK("https://klasma.github.io/Logging_2480/fåglar/A 15591-2023 prioriterade fågelarter.docx", "A 15591-2023")</f>
        <v/>
      </c>
    </row>
    <row r="47" ht="15" customHeight="1">
      <c r="A47" t="inlineStr">
        <is>
          <t>A 33974-2024</t>
        </is>
      </c>
      <c r="B47" s="1" t="n">
        <v>45523.49939814815</v>
      </c>
      <c r="C47" s="1" t="n">
        <v>46083</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46083</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46083</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46083</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46083</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46083</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Garnlav
Hapalopilus aurantiacus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46083</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46083</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46083</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46083</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46083</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46083</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45965.34184027778</v>
      </c>
      <c r="C59" s="1" t="n">
        <v>46083</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46083</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46083</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38443-2021</t>
        </is>
      </c>
      <c r="B62" s="1" t="n">
        <v>44406</v>
      </c>
      <c r="C62" s="1" t="n">
        <v>46083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46083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46083</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46083</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46083</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46083</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46083</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30173-2025</t>
        </is>
      </c>
      <c r="B69" s="1" t="n">
        <v>45827.34200231481</v>
      </c>
      <c r="C69" s="1" t="n">
        <v>46083</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33206-2025</t>
        </is>
      </c>
      <c r="B70" s="1" t="n">
        <v>45840.61583333334</v>
      </c>
      <c r="C70" s="1" t="n">
        <v>46083</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46083</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36794-2025</t>
        </is>
      </c>
      <c r="B72" s="1" t="n">
        <v>45873.64189814815</v>
      </c>
      <c r="C72" s="1" t="n">
        <v>46083</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47276-2025</t>
        </is>
      </c>
      <c r="B73" s="1" t="n">
        <v>45930.46909722222</v>
      </c>
      <c r="C73" s="1" t="n">
        <v>46083</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7050-2024</t>
        </is>
      </c>
      <c r="B74" s="1" t="n">
        <v>45343</v>
      </c>
      <c r="C74" s="1" t="n">
        <v>46083</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8715-2024</t>
        </is>
      </c>
      <c r="B75" s="1" t="n">
        <v>45356</v>
      </c>
      <c r="C75" s="1" t="n">
        <v>46083</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46083</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18922-2023</t>
        </is>
      </c>
      <c r="B77" s="1" t="n">
        <v>45043</v>
      </c>
      <c r="C77" s="1" t="n">
        <v>46083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46083</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46083</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46083</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46083</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46083</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46083</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46083</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46083</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46083</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46083</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46083</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46083</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46083</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46083</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46083</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46083</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46083</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43029-2024</t>
        </is>
      </c>
      <c r="B95" s="1" t="n">
        <v>45567.41245370371</v>
      </c>
      <c r="C95" s="1" t="n">
        <v>46083</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29397-2025</t>
        </is>
      </c>
      <c r="B96" s="1" t="n">
        <v>45824.60902777778</v>
      </c>
      <c r="C96" s="1" t="n">
        <v>46083</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46083</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49359-2023</t>
        </is>
      </c>
      <c r="B98" s="1" t="n">
        <v>45211.33486111111</v>
      </c>
      <c r="C98" s="1" t="n">
        <v>46083</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26250-2023</t>
        </is>
      </c>
      <c r="B99" s="1" t="n">
        <v>45086</v>
      </c>
      <c r="C99" s="1" t="n">
        <v>46083</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51990-2023</t>
        </is>
      </c>
      <c r="B100" s="1" t="n">
        <v>45216</v>
      </c>
      <c r="C100" s="1" t="n">
        <v>46083</v>
      </c>
      <c r="D100" t="inlineStr">
        <is>
          <t>VÄSTERBOTTENS LÄN</t>
        </is>
      </c>
      <c r="E100" t="inlineStr">
        <is>
          <t>UMEÅ</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HYPERLINK("https://klasma.github.io/Logging_2480/artfynd/A 51990-2023 artfynd.xlsx", "A 51990-2023")</f>
        <v/>
      </c>
      <c r="T100">
        <f>HYPERLINK("https://klasma.github.io/Logging_2480/kartor/A 51990-2023 karta.png", "A 51990-2023")</f>
        <v/>
      </c>
      <c r="V100">
        <f>HYPERLINK("https://klasma.github.io/Logging_2480/klagomål/A 51990-2023 FSC-klagomål.docx", "A 51990-2023")</f>
        <v/>
      </c>
      <c r="W100">
        <f>HYPERLINK("https://klasma.github.io/Logging_2480/klagomålsmail/A 51990-2023 FSC-klagomål mail.docx", "A 51990-2023")</f>
        <v/>
      </c>
      <c r="X100">
        <f>HYPERLINK("https://klasma.github.io/Logging_2480/tillsyn/A 51990-2023 tillsynsbegäran.docx", "A 51990-2023")</f>
        <v/>
      </c>
      <c r="Y100">
        <f>HYPERLINK("https://klasma.github.io/Logging_2480/tillsynsmail/A 51990-2023 tillsynsbegäran mail.docx", "A 51990-2023")</f>
        <v/>
      </c>
    </row>
    <row r="101" ht="15" customHeight="1">
      <c r="A101" t="inlineStr">
        <is>
          <t>A 43550-2024</t>
        </is>
      </c>
      <c r="B101" s="1" t="n">
        <v>45569.38002314815</v>
      </c>
      <c r="C101" s="1" t="n">
        <v>46083</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45659-2024</t>
        </is>
      </c>
      <c r="B102" s="1" t="n">
        <v>45579.495</v>
      </c>
      <c r="C102" s="1" t="n">
        <v>46083</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34496-2025</t>
        </is>
      </c>
      <c r="B103" s="1" t="n">
        <v>45847</v>
      </c>
      <c r="C103" s="1" t="n">
        <v>46083</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36880-2025</t>
        </is>
      </c>
      <c r="B104" s="1" t="n">
        <v>45874.43534722222</v>
      </c>
      <c r="C104" s="1" t="n">
        <v>46083</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42835-2025</t>
        </is>
      </c>
      <c r="B105" s="1" t="n">
        <v>45908</v>
      </c>
      <c r="C105" s="1" t="n">
        <v>46083</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43519-2022</t>
        </is>
      </c>
      <c r="B106" s="1" t="n">
        <v>44837</v>
      </c>
      <c r="C106" s="1" t="n">
        <v>46083</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17091-2025</t>
        </is>
      </c>
      <c r="B107" s="1" t="n">
        <v>45755.64905092592</v>
      </c>
      <c r="C107" s="1" t="n">
        <v>46083</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49497-2025</t>
        </is>
      </c>
      <c r="B108" s="1" t="n">
        <v>45939.36646990741</v>
      </c>
      <c r="C108" s="1" t="n">
        <v>46083</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18248-2021</t>
        </is>
      </c>
      <c r="B109" s="1" t="n">
        <v>44305</v>
      </c>
      <c r="C109" s="1" t="n">
        <v>46083</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10945-2025</t>
        </is>
      </c>
      <c r="B110" s="1" t="n">
        <v>45723.33811342593</v>
      </c>
      <c r="C110" s="1" t="n">
        <v>46083</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46083</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46083</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46083</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46083</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46083</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45633-2024</t>
        </is>
      </c>
      <c r="B116" s="1" t="n">
        <v>45579</v>
      </c>
      <c r="C116" s="1" t="n">
        <v>46083</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16839-2022</t>
        </is>
      </c>
      <c r="B117" s="1" t="n">
        <v>44673</v>
      </c>
      <c r="C117" s="1" t="n">
        <v>46083</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30266-2023</t>
        </is>
      </c>
      <c r="B118" s="1" t="n">
        <v>45110</v>
      </c>
      <c r="C118" s="1" t="n">
        <v>46083</v>
      </c>
      <c r="D118" t="inlineStr">
        <is>
          <t>VÄSTERBOTTENS LÄN</t>
        </is>
      </c>
      <c r="E118" t="inlineStr">
        <is>
          <t>UMEÅ</t>
        </is>
      </c>
      <c r="F118" t="inlineStr">
        <is>
          <t>Holmen skog AB</t>
        </is>
      </c>
      <c r="G118" t="n">
        <v>4.7</v>
      </c>
      <c r="H118" t="n">
        <v>0</v>
      </c>
      <c r="I118" t="n">
        <v>0</v>
      </c>
      <c r="J118" t="n">
        <v>1</v>
      </c>
      <c r="K118" t="n">
        <v>0</v>
      </c>
      <c r="L118" t="n">
        <v>0</v>
      </c>
      <c r="M118" t="n">
        <v>0</v>
      </c>
      <c r="N118" t="n">
        <v>0</v>
      </c>
      <c r="O118" t="n">
        <v>1</v>
      </c>
      <c r="P118" t="n">
        <v>0</v>
      </c>
      <c r="Q118" t="n">
        <v>1</v>
      </c>
      <c r="R118" s="2" t="inlineStr">
        <is>
          <t>Tallticka</t>
        </is>
      </c>
      <c r="S118">
        <f>HYPERLINK("https://klasma.github.io/Logging_2480/artfynd/A 30266-2023 artfynd.xlsx", "A 30266-2023")</f>
        <v/>
      </c>
      <c r="T118">
        <f>HYPERLINK("https://klasma.github.io/Logging_2480/kartor/A 30266-2023 karta.png", "A 30266-2023")</f>
        <v/>
      </c>
      <c r="V118">
        <f>HYPERLINK("https://klasma.github.io/Logging_2480/klagomål/A 30266-2023 FSC-klagomål.docx", "A 30266-2023")</f>
        <v/>
      </c>
      <c r="W118">
        <f>HYPERLINK("https://klasma.github.io/Logging_2480/klagomålsmail/A 30266-2023 FSC-klagomål mail.docx", "A 30266-2023")</f>
        <v/>
      </c>
      <c r="X118">
        <f>HYPERLINK("https://klasma.github.io/Logging_2480/tillsyn/A 30266-2023 tillsynsbegäran.docx", "A 30266-2023")</f>
        <v/>
      </c>
      <c r="Y118">
        <f>HYPERLINK("https://klasma.github.io/Logging_2480/tillsynsmail/A 30266-2023 tillsynsbegäran mail.docx", "A 30266-2023")</f>
        <v/>
      </c>
    </row>
    <row r="119" ht="15" customHeight="1">
      <c r="A119" t="inlineStr">
        <is>
          <t>A 62145-2025</t>
        </is>
      </c>
      <c r="B119" s="1" t="n">
        <v>46006.47403935185</v>
      </c>
      <c r="C119" s="1" t="n">
        <v>46083</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46083</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59075-2022</t>
        </is>
      </c>
      <c r="B121" s="1" t="n">
        <v>44904</v>
      </c>
      <c r="C121" s="1" t="n">
        <v>46083</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31318-2022</t>
        </is>
      </c>
      <c r="B122" s="1" t="n">
        <v>44772</v>
      </c>
      <c r="C122" s="1" t="n">
        <v>46083</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4913-2026</t>
        </is>
      </c>
      <c r="B123" s="1" t="n">
        <v>46048.72559027778</v>
      </c>
      <c r="C123" s="1" t="n">
        <v>46083</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Motaggsvamp</t>
        </is>
      </c>
      <c r="S123">
        <f>HYPERLINK("https://klasma.github.io/Logging_2480/artfynd/A 4913-2026 artfynd.xlsx", "A 4913-2026")</f>
        <v/>
      </c>
      <c r="T123">
        <f>HYPERLINK("https://klasma.github.io/Logging_2480/kartor/A 4913-2026 karta.png", "A 4913-2026")</f>
        <v/>
      </c>
      <c r="V123">
        <f>HYPERLINK("https://klasma.github.io/Logging_2480/klagomål/A 4913-2026 FSC-klagomål.docx", "A 4913-2026")</f>
        <v/>
      </c>
      <c r="W123">
        <f>HYPERLINK("https://klasma.github.io/Logging_2480/klagomålsmail/A 4913-2026 FSC-klagomål mail.docx", "A 4913-2026")</f>
        <v/>
      </c>
      <c r="X123">
        <f>HYPERLINK("https://klasma.github.io/Logging_2480/tillsyn/A 4913-2026 tillsynsbegäran.docx", "A 4913-2026")</f>
        <v/>
      </c>
      <c r="Y123">
        <f>HYPERLINK("https://klasma.github.io/Logging_2480/tillsynsmail/A 4913-2026 tillsynsbegäran mail.docx", "A 4913-2026")</f>
        <v/>
      </c>
    </row>
    <row r="124" ht="15" customHeight="1">
      <c r="A124" t="inlineStr">
        <is>
          <t>A 922-2026</t>
        </is>
      </c>
      <c r="B124" s="1" t="n">
        <v>46030.49030092593</v>
      </c>
      <c r="C124" s="1" t="n">
        <v>46083</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Fläcknycklar</t>
        </is>
      </c>
      <c r="S124">
        <f>HYPERLINK("https://klasma.github.io/Logging_2480/artfynd/A 922-2026 artfynd.xlsx", "A 922-2026")</f>
        <v/>
      </c>
      <c r="T124">
        <f>HYPERLINK("https://klasma.github.io/Logging_2480/kartor/A 922-2026 karta.png", "A 922-2026")</f>
        <v/>
      </c>
      <c r="V124">
        <f>HYPERLINK("https://klasma.github.io/Logging_2480/klagomål/A 922-2026 FSC-klagomål.docx", "A 922-2026")</f>
        <v/>
      </c>
      <c r="W124">
        <f>HYPERLINK("https://klasma.github.io/Logging_2480/klagomålsmail/A 922-2026 FSC-klagomål mail.docx", "A 922-2026")</f>
        <v/>
      </c>
      <c r="X124">
        <f>HYPERLINK("https://klasma.github.io/Logging_2480/tillsyn/A 922-2026 tillsynsbegäran.docx", "A 922-2026")</f>
        <v/>
      </c>
      <c r="Y124">
        <f>HYPERLINK("https://klasma.github.io/Logging_2480/tillsynsmail/A 922-2026 tillsynsbegäran mail.docx", "A 922-2026")</f>
        <v/>
      </c>
    </row>
    <row r="125" ht="15" customHeight="1">
      <c r="A125" t="inlineStr">
        <is>
          <t>A 41674-2023</t>
        </is>
      </c>
      <c r="B125" s="1" t="n">
        <v>45176</v>
      </c>
      <c r="C125" s="1" t="n">
        <v>46083</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46083</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10747-2026</t>
        </is>
      </c>
      <c r="B127" s="1" t="n">
        <v>46078.52120370371</v>
      </c>
      <c r="C127" s="1" t="n">
        <v>46083</v>
      </c>
      <c r="D127" t="inlineStr">
        <is>
          <t>VÄSTERBOTTENS LÄN</t>
        </is>
      </c>
      <c r="E127" t="inlineStr">
        <is>
          <t>UMEÅ</t>
        </is>
      </c>
      <c r="G127" t="n">
        <v>2.9</v>
      </c>
      <c r="H127" t="n">
        <v>0</v>
      </c>
      <c r="I127" t="n">
        <v>0</v>
      </c>
      <c r="J127" t="n">
        <v>1</v>
      </c>
      <c r="K127" t="n">
        <v>0</v>
      </c>
      <c r="L127" t="n">
        <v>0</v>
      </c>
      <c r="M127" t="n">
        <v>0</v>
      </c>
      <c r="N127" t="n">
        <v>0</v>
      </c>
      <c r="O127" t="n">
        <v>1</v>
      </c>
      <c r="P127" t="n">
        <v>0</v>
      </c>
      <c r="Q127" t="n">
        <v>1</v>
      </c>
      <c r="R127" s="2" t="inlineStr">
        <is>
          <t>Spinnfingersvamp</t>
        </is>
      </c>
      <c r="S127">
        <f>HYPERLINK("https://klasma.github.io/Logging_2480/artfynd/A 10747-2026 artfynd.xlsx", "A 10747-2026")</f>
        <v/>
      </c>
      <c r="T127">
        <f>HYPERLINK("https://klasma.github.io/Logging_2480/kartor/A 10747-2026 karta.png", "A 10747-2026")</f>
        <v/>
      </c>
      <c r="V127">
        <f>HYPERLINK("https://klasma.github.io/Logging_2480/klagomål/A 10747-2026 FSC-klagomål.docx", "A 10747-2026")</f>
        <v/>
      </c>
      <c r="W127">
        <f>HYPERLINK("https://klasma.github.io/Logging_2480/klagomålsmail/A 10747-2026 FSC-klagomål mail.docx", "A 10747-2026")</f>
        <v/>
      </c>
      <c r="X127">
        <f>HYPERLINK("https://klasma.github.io/Logging_2480/tillsyn/A 10747-2026 tillsynsbegäran.docx", "A 10747-2026")</f>
        <v/>
      </c>
      <c r="Y127">
        <f>HYPERLINK("https://klasma.github.io/Logging_2480/tillsynsmail/A 10747-2026 tillsynsbegäran mail.docx", "A 10747-2026")</f>
        <v/>
      </c>
    </row>
    <row r="128" ht="15" customHeight="1">
      <c r="A128" t="inlineStr">
        <is>
          <t>A 45429-2024</t>
        </is>
      </c>
      <c r="B128" s="1" t="n">
        <v>45576</v>
      </c>
      <c r="C128" s="1" t="n">
        <v>46083</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49850-2021</t>
        </is>
      </c>
      <c r="B129" s="1" t="n">
        <v>44455</v>
      </c>
      <c r="C129" s="1" t="n">
        <v>46083</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15654-2023</t>
        </is>
      </c>
      <c r="B130" s="1" t="n">
        <v>45019</v>
      </c>
      <c r="C130" s="1" t="n">
        <v>46083</v>
      </c>
      <c r="D130" t="inlineStr">
        <is>
          <t>VÄSTERBOTTENS LÄN</t>
        </is>
      </c>
      <c r="E130" t="inlineStr">
        <is>
          <t>UMEÅ</t>
        </is>
      </c>
      <c r="F130" t="inlineStr">
        <is>
          <t>Kommuner</t>
        </is>
      </c>
      <c r="G130" t="n">
        <v>3.2</v>
      </c>
      <c r="H130" t="n">
        <v>0</v>
      </c>
      <c r="I130" t="n">
        <v>0</v>
      </c>
      <c r="J130" t="n">
        <v>1</v>
      </c>
      <c r="K130" t="n">
        <v>0</v>
      </c>
      <c r="L130" t="n">
        <v>0</v>
      </c>
      <c r="M130" t="n">
        <v>0</v>
      </c>
      <c r="N130" t="n">
        <v>0</v>
      </c>
      <c r="O130" t="n">
        <v>1</v>
      </c>
      <c r="P130" t="n">
        <v>0</v>
      </c>
      <c r="Q130" t="n">
        <v>1</v>
      </c>
      <c r="R130" s="2" t="inlineStr">
        <is>
          <t>Garnlav</t>
        </is>
      </c>
      <c r="S130">
        <f>HYPERLINK("https://klasma.github.io/Logging_2480/artfynd/A 15654-2023 artfynd.xlsx", "A 15654-2023")</f>
        <v/>
      </c>
      <c r="T130">
        <f>HYPERLINK("https://klasma.github.io/Logging_2480/kartor/A 15654-2023 karta.png", "A 15654-2023")</f>
        <v/>
      </c>
      <c r="V130">
        <f>HYPERLINK("https://klasma.github.io/Logging_2480/klagomål/A 15654-2023 FSC-klagomål.docx", "A 15654-2023")</f>
        <v/>
      </c>
      <c r="W130">
        <f>HYPERLINK("https://klasma.github.io/Logging_2480/klagomålsmail/A 15654-2023 FSC-klagomål mail.docx", "A 15654-2023")</f>
        <v/>
      </c>
      <c r="X130">
        <f>HYPERLINK("https://klasma.github.io/Logging_2480/tillsyn/A 15654-2023 tillsynsbegäran.docx", "A 15654-2023")</f>
        <v/>
      </c>
      <c r="Y130">
        <f>HYPERLINK("https://klasma.github.io/Logging_2480/tillsynsmail/A 15654-2023 tillsynsbegäran mail.docx", "A 15654-2023")</f>
        <v/>
      </c>
    </row>
    <row r="131" ht="15" customHeight="1">
      <c r="A131" t="inlineStr">
        <is>
          <t>A 40665-2024</t>
        </is>
      </c>
      <c r="B131" s="1" t="n">
        <v>45558.34784722222</v>
      </c>
      <c r="C131" s="1" t="n">
        <v>46083</v>
      </c>
      <c r="D131" t="inlineStr">
        <is>
          <t>VÄSTERBOTTENS LÄN</t>
        </is>
      </c>
      <c r="E131" t="inlineStr">
        <is>
          <t>UMEÅ</t>
        </is>
      </c>
      <c r="G131" t="n">
        <v>15.3</v>
      </c>
      <c r="H131" t="n">
        <v>0</v>
      </c>
      <c r="I131" t="n">
        <v>0</v>
      </c>
      <c r="J131" t="n">
        <v>1</v>
      </c>
      <c r="K131" t="n">
        <v>0</v>
      </c>
      <c r="L131" t="n">
        <v>0</v>
      </c>
      <c r="M131" t="n">
        <v>0</v>
      </c>
      <c r="N131" t="n">
        <v>0</v>
      </c>
      <c r="O131" t="n">
        <v>1</v>
      </c>
      <c r="P131" t="n">
        <v>0</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15767-2024</t>
        </is>
      </c>
      <c r="B132" s="1" t="n">
        <v>45404</v>
      </c>
      <c r="C132" s="1" t="n">
        <v>46083</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18703-2024</t>
        </is>
      </c>
      <c r="B133" s="1" t="n">
        <v>45426</v>
      </c>
      <c r="C133" s="1" t="n">
        <v>46083</v>
      </c>
      <c r="D133" t="inlineStr">
        <is>
          <t>VÄSTERBOTTENS LÄN</t>
        </is>
      </c>
      <c r="E133" t="inlineStr">
        <is>
          <t>UMEÅ</t>
        </is>
      </c>
      <c r="F133" t="inlineStr">
        <is>
          <t>Holmen skog AB</t>
        </is>
      </c>
      <c r="G133" t="n">
        <v>2</v>
      </c>
      <c r="H133" t="n">
        <v>1</v>
      </c>
      <c r="I133" t="n">
        <v>0</v>
      </c>
      <c r="J133" t="n">
        <v>1</v>
      </c>
      <c r="K133" t="n">
        <v>0</v>
      </c>
      <c r="L133" t="n">
        <v>0</v>
      </c>
      <c r="M133" t="n">
        <v>0</v>
      </c>
      <c r="N133" t="n">
        <v>0</v>
      </c>
      <c r="O133" t="n">
        <v>1</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56135-2024</t>
        </is>
      </c>
      <c r="B134" s="1" t="n">
        <v>45624</v>
      </c>
      <c r="C134" s="1" t="n">
        <v>46083</v>
      </c>
      <c r="D134" t="inlineStr">
        <is>
          <t>VÄSTERBOTTENS LÄN</t>
        </is>
      </c>
      <c r="E134" t="inlineStr">
        <is>
          <t>UMEÅ</t>
        </is>
      </c>
      <c r="G134" t="n">
        <v>19.9</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56135-2024 artfynd.xlsx", "A 56135-2024")</f>
        <v/>
      </c>
      <c r="T134">
        <f>HYPERLINK("https://klasma.github.io/Logging_2480/kartor/A 56135-2024 karta.png", "A 56135-2024")</f>
        <v/>
      </c>
      <c r="V134">
        <f>HYPERLINK("https://klasma.github.io/Logging_2480/klagomål/A 56135-2024 FSC-klagomål.docx", "A 56135-2024")</f>
        <v/>
      </c>
      <c r="W134">
        <f>HYPERLINK("https://klasma.github.io/Logging_2480/klagomålsmail/A 56135-2024 FSC-klagomål mail.docx", "A 56135-2024")</f>
        <v/>
      </c>
      <c r="X134">
        <f>HYPERLINK("https://klasma.github.io/Logging_2480/tillsyn/A 56135-2024 tillsynsbegäran.docx", "A 56135-2024")</f>
        <v/>
      </c>
      <c r="Y134">
        <f>HYPERLINK("https://klasma.github.io/Logging_2480/tillsynsmail/A 56135-2024 tillsynsbegäran mail.docx", "A 56135-2024")</f>
        <v/>
      </c>
    </row>
    <row r="135" ht="15" customHeight="1">
      <c r="A135" t="inlineStr">
        <is>
          <t>A 39233-2022</t>
        </is>
      </c>
      <c r="B135" s="1" t="n">
        <v>44817.5884375</v>
      </c>
      <c r="C135" s="1" t="n">
        <v>46083</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46083</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38685-2021</t>
        </is>
      </c>
      <c r="B137" s="1" t="n">
        <v>44407</v>
      </c>
      <c r="C137" s="1" t="n">
        <v>46083</v>
      </c>
      <c r="D137" t="inlineStr">
        <is>
          <t>VÄSTERBOTTENS LÄN</t>
        </is>
      </c>
      <c r="E137" t="inlineStr">
        <is>
          <t>UMEÅ</t>
        </is>
      </c>
      <c r="F137" t="inlineStr">
        <is>
          <t>Kommuner</t>
        </is>
      </c>
      <c r="G137" t="n">
        <v>2.3</v>
      </c>
      <c r="H137" t="n">
        <v>0</v>
      </c>
      <c r="I137" t="n">
        <v>0</v>
      </c>
      <c r="J137" t="n">
        <v>0</v>
      </c>
      <c r="K137" t="n">
        <v>0</v>
      </c>
      <c r="L137" t="n">
        <v>0</v>
      </c>
      <c r="M137" t="n">
        <v>0</v>
      </c>
      <c r="N137" t="n">
        <v>0</v>
      </c>
      <c r="O137" t="n">
        <v>0</v>
      </c>
      <c r="P137" t="n">
        <v>0</v>
      </c>
      <c r="Q137" t="n">
        <v>0</v>
      </c>
      <c r="R137" s="2" t="inlineStr"/>
    </row>
    <row r="138" ht="15" customHeight="1">
      <c r="A138" t="inlineStr">
        <is>
          <t>A 38691-2021</t>
        </is>
      </c>
      <c r="B138" s="1" t="n">
        <v>44407</v>
      </c>
      <c r="C138" s="1" t="n">
        <v>46083</v>
      </c>
      <c r="D138" t="inlineStr">
        <is>
          <t>VÄSTERBOTTENS LÄN</t>
        </is>
      </c>
      <c r="E138" t="inlineStr">
        <is>
          <t>UMEÅ</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46083</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46083</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46083</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46083</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46083</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46083</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46083</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46083</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46083</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46083</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3940-2022</t>
        </is>
      </c>
      <c r="B149" s="1" t="n">
        <v>44587</v>
      </c>
      <c r="C149" s="1" t="n">
        <v>46083</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46083</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46083</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46083</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46083</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46083</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46083</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46083</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46083</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46083</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46083</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46083</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46083</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46083</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46083</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46083</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46083</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46083</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46083</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46083</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46083</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46083</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46083</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46083</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46083</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46083</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46083</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46083</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46083</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46083</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46083</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46083</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46083</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46083</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46083</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46083</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46083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46083</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46083</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46083</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46083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46083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46083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46083</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46083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46083</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46083</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46083</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46083</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46083</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46083</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46083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46083</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46083</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46083</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46083</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46083</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46083</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46083</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46083</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46083</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46083</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46083</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46083</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46083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46083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46083</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46083</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46083</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46083</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46083</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46083</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46083</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46083</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46083</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46083</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46083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46083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46083</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46083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46083</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46083</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46083</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46083</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46083</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46083</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46083</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46083</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46083</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46083</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46083</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46083</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46083</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46083</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46083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46083</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46083</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46083</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46083</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46083</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46083</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46083</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46083</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46083</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46083</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46083</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46083</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46083</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46083</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46083</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44983-2022</t>
        </is>
      </c>
      <c r="B265" s="1" t="n">
        <v>44841</v>
      </c>
      <c r="C265" s="1" t="n">
        <v>46083</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46083</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46083</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46083</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46083</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46083</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46083</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19061-2024</t>
        </is>
      </c>
      <c r="B272" s="1" t="n">
        <v>45427.93501157407</v>
      </c>
      <c r="C272" s="1" t="n">
        <v>46083</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46413-2022</t>
        </is>
      </c>
      <c r="B273" s="1" t="n">
        <v>44846</v>
      </c>
      <c r="C273" s="1" t="n">
        <v>46083</v>
      </c>
      <c r="D273" t="inlineStr">
        <is>
          <t>VÄSTERBOTTENS LÄN</t>
        </is>
      </c>
      <c r="E273" t="inlineStr">
        <is>
          <t>UMEÅ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46083</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46083</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46083</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955-2024</t>
        </is>
      </c>
      <c r="B277" s="1" t="n">
        <v>45301</v>
      </c>
      <c r="C277" s="1" t="n">
        <v>46083</v>
      </c>
      <c r="D277" t="inlineStr">
        <is>
          <t>VÄSTERBOTTENS LÄN</t>
        </is>
      </c>
      <c r="E277" t="inlineStr">
        <is>
          <t>UMEÅ</t>
        </is>
      </c>
      <c r="G277" t="n">
        <v>3.7</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46083</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46083</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10568-2024</t>
        </is>
      </c>
      <c r="B280" s="1" t="n">
        <v>45366</v>
      </c>
      <c r="C280" s="1" t="n">
        <v>46083</v>
      </c>
      <c r="D280" t="inlineStr">
        <is>
          <t>VÄSTERBOTTENS LÄN</t>
        </is>
      </c>
      <c r="E280" t="inlineStr">
        <is>
          <t>UMEÅ</t>
        </is>
      </c>
      <c r="G280" t="n">
        <v>6.3</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46083</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46083</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45872-2024</t>
        </is>
      </c>
      <c r="B283" s="1" t="n">
        <v>45580.37296296296</v>
      </c>
      <c r="C283" s="1" t="n">
        <v>46083</v>
      </c>
      <c r="D283" t="inlineStr">
        <is>
          <t>VÄSTERBOTTENS LÄN</t>
        </is>
      </c>
      <c r="E283" t="inlineStr">
        <is>
          <t>UMEÅ</t>
        </is>
      </c>
      <c r="F283" t="inlineStr">
        <is>
          <t>Holmen skog AB</t>
        </is>
      </c>
      <c r="G283" t="n">
        <v>3.4</v>
      </c>
      <c r="H283" t="n">
        <v>0</v>
      </c>
      <c r="I283" t="n">
        <v>0</v>
      </c>
      <c r="J283" t="n">
        <v>0</v>
      </c>
      <c r="K283" t="n">
        <v>0</v>
      </c>
      <c r="L283" t="n">
        <v>0</v>
      </c>
      <c r="M283" t="n">
        <v>0</v>
      </c>
      <c r="N283" t="n">
        <v>0</v>
      </c>
      <c r="O283" t="n">
        <v>0</v>
      </c>
      <c r="P283" t="n">
        <v>0</v>
      </c>
      <c r="Q283" t="n">
        <v>0</v>
      </c>
      <c r="R283" s="2" t="inlineStr"/>
    </row>
    <row r="284" ht="15" customHeight="1">
      <c r="A284" t="inlineStr">
        <is>
          <t>A 9147-2025</t>
        </is>
      </c>
      <c r="B284" s="1" t="n">
        <v>45714</v>
      </c>
      <c r="C284" s="1" t="n">
        <v>46083</v>
      </c>
      <c r="D284" t="inlineStr">
        <is>
          <t>VÄSTERBOTTENS LÄN</t>
        </is>
      </c>
      <c r="E284" t="inlineStr">
        <is>
          <t>UMEÅ</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17928-2023</t>
        </is>
      </c>
      <c r="B285" s="1" t="n">
        <v>45037</v>
      </c>
      <c r="C285" s="1" t="n">
        <v>46083</v>
      </c>
      <c r="D285" t="inlineStr">
        <is>
          <t>VÄSTERBOTTENS LÄN</t>
        </is>
      </c>
      <c r="E285" t="inlineStr">
        <is>
          <t>UMEÅ</t>
        </is>
      </c>
      <c r="F285" t="inlineStr">
        <is>
          <t>Kommuner</t>
        </is>
      </c>
      <c r="G285" t="n">
        <v>1.1</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46083</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48635-2024</t>
        </is>
      </c>
      <c r="B287" s="1" t="n">
        <v>45593.46998842592</v>
      </c>
      <c r="C287" s="1" t="n">
        <v>46083</v>
      </c>
      <c r="D287" t="inlineStr">
        <is>
          <t>VÄSTERBOTTENS LÄN</t>
        </is>
      </c>
      <c r="E287" t="inlineStr">
        <is>
          <t>UMEÅ</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31200-2024</t>
        </is>
      </c>
      <c r="B288" s="1" t="n">
        <v>45503</v>
      </c>
      <c r="C288" s="1" t="n">
        <v>46083</v>
      </c>
      <c r="D288" t="inlineStr">
        <is>
          <t>VÄSTERBOTTENS LÄN</t>
        </is>
      </c>
      <c r="E288" t="inlineStr">
        <is>
          <t>UMEÅ</t>
        </is>
      </c>
      <c r="F288" t="inlineStr">
        <is>
          <t>Holmen skog AB</t>
        </is>
      </c>
      <c r="G288" t="n">
        <v>3.7</v>
      </c>
      <c r="H288" t="n">
        <v>0</v>
      </c>
      <c r="I288" t="n">
        <v>0</v>
      </c>
      <c r="J288" t="n">
        <v>0</v>
      </c>
      <c r="K288" t="n">
        <v>0</v>
      </c>
      <c r="L288" t="n">
        <v>0</v>
      </c>
      <c r="M288" t="n">
        <v>0</v>
      </c>
      <c r="N288" t="n">
        <v>0</v>
      </c>
      <c r="O288" t="n">
        <v>0</v>
      </c>
      <c r="P288" t="n">
        <v>0</v>
      </c>
      <c r="Q288" t="n">
        <v>0</v>
      </c>
      <c r="R288" s="2" t="inlineStr"/>
    </row>
    <row r="289" ht="15" customHeight="1">
      <c r="A289" t="inlineStr">
        <is>
          <t>A 53181-2021</t>
        </is>
      </c>
      <c r="B289" s="1" t="n">
        <v>44467</v>
      </c>
      <c r="C289" s="1" t="n">
        <v>46083</v>
      </c>
      <c r="D289" t="inlineStr">
        <is>
          <t>VÄSTERBOTTENS LÄN</t>
        </is>
      </c>
      <c r="E289" t="inlineStr">
        <is>
          <t>UMEÅ</t>
        </is>
      </c>
      <c r="G289" t="n">
        <v>3.1</v>
      </c>
      <c r="H289" t="n">
        <v>0</v>
      </c>
      <c r="I289" t="n">
        <v>0</v>
      </c>
      <c r="J289" t="n">
        <v>0</v>
      </c>
      <c r="K289" t="n">
        <v>0</v>
      </c>
      <c r="L289" t="n">
        <v>0</v>
      </c>
      <c r="M289" t="n">
        <v>0</v>
      </c>
      <c r="N289" t="n">
        <v>0</v>
      </c>
      <c r="O289" t="n">
        <v>0</v>
      </c>
      <c r="P289" t="n">
        <v>0</v>
      </c>
      <c r="Q289" t="n">
        <v>0</v>
      </c>
      <c r="R289" s="2" t="inlineStr"/>
    </row>
    <row r="290" ht="15" customHeight="1">
      <c r="A290" t="inlineStr">
        <is>
          <t>A 25687-2024</t>
        </is>
      </c>
      <c r="B290" s="1" t="n">
        <v>45463</v>
      </c>
      <c r="C290" s="1" t="n">
        <v>46083</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30216-2023</t>
        </is>
      </c>
      <c r="B291" s="1" t="n">
        <v>45110.63961805555</v>
      </c>
      <c r="C291" s="1" t="n">
        <v>46083</v>
      </c>
      <c r="D291" t="inlineStr">
        <is>
          <t>VÄSTERBOTTENS LÄN</t>
        </is>
      </c>
      <c r="E291" t="inlineStr">
        <is>
          <t>UMEÅ</t>
        </is>
      </c>
      <c r="F291" t="inlineStr">
        <is>
          <t>Holmen skog AB</t>
        </is>
      </c>
      <c r="G291" t="n">
        <v>3.4</v>
      </c>
      <c r="H291" t="n">
        <v>0</v>
      </c>
      <c r="I291" t="n">
        <v>0</v>
      </c>
      <c r="J291" t="n">
        <v>0</v>
      </c>
      <c r="K291" t="n">
        <v>0</v>
      </c>
      <c r="L291" t="n">
        <v>0</v>
      </c>
      <c r="M291" t="n">
        <v>0</v>
      </c>
      <c r="N291" t="n">
        <v>0</v>
      </c>
      <c r="O291" t="n">
        <v>0</v>
      </c>
      <c r="P291" t="n">
        <v>0</v>
      </c>
      <c r="Q291" t="n">
        <v>0</v>
      </c>
      <c r="R291" s="2" t="inlineStr"/>
    </row>
    <row r="292" ht="15" customHeight="1">
      <c r="A292" t="inlineStr">
        <is>
          <t>A 23751-2024</t>
        </is>
      </c>
      <c r="B292" s="1" t="n">
        <v>45455</v>
      </c>
      <c r="C292" s="1" t="n">
        <v>46083</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22365-2024</t>
        </is>
      </c>
      <c r="B293" s="1" t="n">
        <v>45446</v>
      </c>
      <c r="C293" s="1" t="n">
        <v>46083</v>
      </c>
      <c r="D293" t="inlineStr">
        <is>
          <t>VÄSTERBOTTENS LÄN</t>
        </is>
      </c>
      <c r="E293" t="inlineStr">
        <is>
          <t>UMEÅ</t>
        </is>
      </c>
      <c r="G293" t="n">
        <v>1.5</v>
      </c>
      <c r="H293" t="n">
        <v>0</v>
      </c>
      <c r="I293" t="n">
        <v>0</v>
      </c>
      <c r="J293" t="n">
        <v>0</v>
      </c>
      <c r="K293" t="n">
        <v>0</v>
      </c>
      <c r="L293" t="n">
        <v>0</v>
      </c>
      <c r="M293" t="n">
        <v>0</v>
      </c>
      <c r="N293" t="n">
        <v>0</v>
      </c>
      <c r="O293" t="n">
        <v>0</v>
      </c>
      <c r="P293" t="n">
        <v>0</v>
      </c>
      <c r="Q293" t="n">
        <v>0</v>
      </c>
      <c r="R293" s="2" t="inlineStr"/>
    </row>
    <row r="294" ht="15" customHeight="1">
      <c r="A294" t="inlineStr">
        <is>
          <t>A 34550-2023</t>
        </is>
      </c>
      <c r="B294" s="1" t="n">
        <v>45140.49451388889</v>
      </c>
      <c r="C294" s="1" t="n">
        <v>46083</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44244-2024</t>
        </is>
      </c>
      <c r="B295" s="1" t="n">
        <v>45573.42783564814</v>
      </c>
      <c r="C295" s="1" t="n">
        <v>46083</v>
      </c>
      <c r="D295" t="inlineStr">
        <is>
          <t>VÄSTERBOTTENS LÄN</t>
        </is>
      </c>
      <c r="E295" t="inlineStr">
        <is>
          <t>UMEÅ</t>
        </is>
      </c>
      <c r="G295" t="n">
        <v>3</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46083</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46083</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27154-2024</t>
        </is>
      </c>
      <c r="B298" s="1" t="n">
        <v>45471.56107638889</v>
      </c>
      <c r="C298" s="1" t="n">
        <v>46083</v>
      </c>
      <c r="D298" t="inlineStr">
        <is>
          <t>VÄSTERBOTTENS LÄN</t>
        </is>
      </c>
      <c r="E298" t="inlineStr">
        <is>
          <t>UMEÅ</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59343-2023</t>
        </is>
      </c>
      <c r="B299" s="1" t="n">
        <v>45253</v>
      </c>
      <c r="C299" s="1" t="n">
        <v>46083</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29656-2024</t>
        </is>
      </c>
      <c r="B300" s="1" t="n">
        <v>45484.92354166666</v>
      </c>
      <c r="C300" s="1" t="n">
        <v>46083</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38144-2024</t>
        </is>
      </c>
      <c r="B301" s="1" t="n">
        <v>45545.42693287037</v>
      </c>
      <c r="C301" s="1" t="n">
        <v>46083</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7430-2022</t>
        </is>
      </c>
      <c r="B302" s="1" t="n">
        <v>44606.933125</v>
      </c>
      <c r="C302" s="1" t="n">
        <v>46083</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37856-2024</t>
        </is>
      </c>
      <c r="B303" s="1" t="n">
        <v>45544</v>
      </c>
      <c r="C303" s="1" t="n">
        <v>46083</v>
      </c>
      <c r="D303" t="inlineStr">
        <is>
          <t>VÄSTERBOTTENS LÄN</t>
        </is>
      </c>
      <c r="E303" t="inlineStr">
        <is>
          <t>UMEÅ</t>
        </is>
      </c>
      <c r="G303" t="n">
        <v>5.4</v>
      </c>
      <c r="H303" t="n">
        <v>0</v>
      </c>
      <c r="I303" t="n">
        <v>0</v>
      </c>
      <c r="J303" t="n">
        <v>0</v>
      </c>
      <c r="K303" t="n">
        <v>0</v>
      </c>
      <c r="L303" t="n">
        <v>0</v>
      </c>
      <c r="M303" t="n">
        <v>0</v>
      </c>
      <c r="N303" t="n">
        <v>0</v>
      </c>
      <c r="O303" t="n">
        <v>0</v>
      </c>
      <c r="P303" t="n">
        <v>0</v>
      </c>
      <c r="Q303" t="n">
        <v>0</v>
      </c>
      <c r="R303" s="2" t="inlineStr"/>
    </row>
    <row r="304" ht="15" customHeight="1">
      <c r="A304" t="inlineStr">
        <is>
          <t>A 28855-2024</t>
        </is>
      </c>
      <c r="B304" s="1" t="n">
        <v>45478</v>
      </c>
      <c r="C304" s="1" t="n">
        <v>46083</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28997-2024</t>
        </is>
      </c>
      <c r="B305" s="1" t="n">
        <v>45481</v>
      </c>
      <c r="C305" s="1" t="n">
        <v>46083</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46083</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35631-2024</t>
        </is>
      </c>
      <c r="B307" s="1" t="n">
        <v>45531.74990740741</v>
      </c>
      <c r="C307" s="1" t="n">
        <v>46083</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35434-2024</t>
        </is>
      </c>
      <c r="B308" s="1" t="n">
        <v>45531.41466435185</v>
      </c>
      <c r="C308" s="1" t="n">
        <v>46083</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27052-2024</t>
        </is>
      </c>
      <c r="B309" s="1" t="n">
        <v>45471</v>
      </c>
      <c r="C309" s="1" t="n">
        <v>46083</v>
      </c>
      <c r="D309" t="inlineStr">
        <is>
          <t>VÄSTERBOTTENS LÄN</t>
        </is>
      </c>
      <c r="E309" t="inlineStr">
        <is>
          <t>UMEÅ</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19678-2024</t>
        </is>
      </c>
      <c r="B310" s="1" t="n">
        <v>45432.48533564815</v>
      </c>
      <c r="C310" s="1" t="n">
        <v>46083</v>
      </c>
      <c r="D310" t="inlineStr">
        <is>
          <t>VÄSTERBOTTENS LÄN</t>
        </is>
      </c>
      <c r="E310" t="inlineStr">
        <is>
          <t>UMEÅ</t>
        </is>
      </c>
      <c r="G310" t="n">
        <v>3.5</v>
      </c>
      <c r="H310" t="n">
        <v>0</v>
      </c>
      <c r="I310" t="n">
        <v>0</v>
      </c>
      <c r="J310" t="n">
        <v>0</v>
      </c>
      <c r="K310" t="n">
        <v>0</v>
      </c>
      <c r="L310" t="n">
        <v>0</v>
      </c>
      <c r="M310" t="n">
        <v>0</v>
      </c>
      <c r="N310" t="n">
        <v>0</v>
      </c>
      <c r="O310" t="n">
        <v>0</v>
      </c>
      <c r="P310" t="n">
        <v>0</v>
      </c>
      <c r="Q310" t="n">
        <v>0</v>
      </c>
      <c r="R310" s="2" t="inlineStr"/>
    </row>
    <row r="311" ht="15" customHeight="1">
      <c r="A311" t="inlineStr">
        <is>
          <t>A 19189-2024</t>
        </is>
      </c>
      <c r="B311" s="1" t="n">
        <v>45428</v>
      </c>
      <c r="C311" s="1" t="n">
        <v>46083</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16999-2023</t>
        </is>
      </c>
      <c r="B312" s="1" t="n">
        <v>45033.92614583333</v>
      </c>
      <c r="C312" s="1" t="n">
        <v>46083</v>
      </c>
      <c r="D312" t="inlineStr">
        <is>
          <t>VÄSTERBOTTENS LÄN</t>
        </is>
      </c>
      <c r="E312" t="inlineStr">
        <is>
          <t>UMEÅ</t>
        </is>
      </c>
      <c r="G312" t="n">
        <v>20.1</v>
      </c>
      <c r="H312" t="n">
        <v>0</v>
      </c>
      <c r="I312" t="n">
        <v>0</v>
      </c>
      <c r="J312" t="n">
        <v>0</v>
      </c>
      <c r="K312" t="n">
        <v>0</v>
      </c>
      <c r="L312" t="n">
        <v>0</v>
      </c>
      <c r="M312" t="n">
        <v>0</v>
      </c>
      <c r="N312" t="n">
        <v>0</v>
      </c>
      <c r="O312" t="n">
        <v>0</v>
      </c>
      <c r="P312" t="n">
        <v>0</v>
      </c>
      <c r="Q312" t="n">
        <v>0</v>
      </c>
      <c r="R312" s="2" t="inlineStr"/>
    </row>
    <row r="313" ht="15" customHeight="1">
      <c r="A313" t="inlineStr">
        <is>
          <t>A 34121-2021</t>
        </is>
      </c>
      <c r="B313" s="1" t="n">
        <v>44379</v>
      </c>
      <c r="C313" s="1" t="n">
        <v>46083</v>
      </c>
      <c r="D313" t="inlineStr">
        <is>
          <t>VÄSTERBOTTENS LÄN</t>
        </is>
      </c>
      <c r="E313" t="inlineStr">
        <is>
          <t>UMEÅ</t>
        </is>
      </c>
      <c r="G313" t="n">
        <v>2.5</v>
      </c>
      <c r="H313" t="n">
        <v>0</v>
      </c>
      <c r="I313" t="n">
        <v>0</v>
      </c>
      <c r="J313" t="n">
        <v>0</v>
      </c>
      <c r="K313" t="n">
        <v>0</v>
      </c>
      <c r="L313" t="n">
        <v>0</v>
      </c>
      <c r="M313" t="n">
        <v>0</v>
      </c>
      <c r="N313" t="n">
        <v>0</v>
      </c>
      <c r="O313" t="n">
        <v>0</v>
      </c>
      <c r="P313" t="n">
        <v>0</v>
      </c>
      <c r="Q313" t="n">
        <v>0</v>
      </c>
      <c r="R313" s="2" t="inlineStr"/>
    </row>
    <row r="314" ht="15" customHeight="1">
      <c r="A314" t="inlineStr">
        <is>
          <t>A 26924-2024</t>
        </is>
      </c>
      <c r="B314" s="1" t="n">
        <v>45470.93101851852</v>
      </c>
      <c r="C314" s="1" t="n">
        <v>46083</v>
      </c>
      <c r="D314" t="inlineStr">
        <is>
          <t>VÄSTERBOTTENS LÄN</t>
        </is>
      </c>
      <c r="E314" t="inlineStr">
        <is>
          <t>UMEÅ</t>
        </is>
      </c>
      <c r="G314" t="n">
        <v>2.5</v>
      </c>
      <c r="H314" t="n">
        <v>0</v>
      </c>
      <c r="I314" t="n">
        <v>0</v>
      </c>
      <c r="J314" t="n">
        <v>0</v>
      </c>
      <c r="K314" t="n">
        <v>0</v>
      </c>
      <c r="L314" t="n">
        <v>0</v>
      </c>
      <c r="M314" t="n">
        <v>0</v>
      </c>
      <c r="N314" t="n">
        <v>0</v>
      </c>
      <c r="O314" t="n">
        <v>0</v>
      </c>
      <c r="P314" t="n">
        <v>0</v>
      </c>
      <c r="Q314" t="n">
        <v>0</v>
      </c>
      <c r="R314" s="2" t="inlineStr"/>
    </row>
    <row r="315" ht="15" customHeight="1">
      <c r="A315" t="inlineStr">
        <is>
          <t>A 38135-2024</t>
        </is>
      </c>
      <c r="B315" s="1" t="n">
        <v>45545.41424768518</v>
      </c>
      <c r="C315" s="1" t="n">
        <v>46083</v>
      </c>
      <c r="D315" t="inlineStr">
        <is>
          <t>VÄSTERBOTTENS LÄN</t>
        </is>
      </c>
      <c r="E315" t="inlineStr">
        <is>
          <t>UMEÅ</t>
        </is>
      </c>
      <c r="G315" t="n">
        <v>8.6</v>
      </c>
      <c r="H315" t="n">
        <v>0</v>
      </c>
      <c r="I315" t="n">
        <v>0</v>
      </c>
      <c r="J315" t="n">
        <v>0</v>
      </c>
      <c r="K315" t="n">
        <v>0</v>
      </c>
      <c r="L315" t="n">
        <v>0</v>
      </c>
      <c r="M315" t="n">
        <v>0</v>
      </c>
      <c r="N315" t="n">
        <v>0</v>
      </c>
      <c r="O315" t="n">
        <v>0</v>
      </c>
      <c r="P315" t="n">
        <v>0</v>
      </c>
      <c r="Q315" t="n">
        <v>0</v>
      </c>
      <c r="R315" s="2" t="inlineStr"/>
    </row>
    <row r="316" ht="15" customHeight="1">
      <c r="A316" t="inlineStr">
        <is>
          <t>A 36901-2024</t>
        </is>
      </c>
      <c r="B316" s="1" t="n">
        <v>45538.62810185185</v>
      </c>
      <c r="C316" s="1" t="n">
        <v>46083</v>
      </c>
      <c r="D316" t="inlineStr">
        <is>
          <t>VÄSTERBOTTENS LÄN</t>
        </is>
      </c>
      <c r="E316" t="inlineStr">
        <is>
          <t>UMEÅ</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36932-2024</t>
        </is>
      </c>
      <c r="B317" s="1" t="n">
        <v>45538</v>
      </c>
      <c r="C317" s="1" t="n">
        <v>46083</v>
      </c>
      <c r="D317" t="inlineStr">
        <is>
          <t>VÄSTERBOTTENS LÄN</t>
        </is>
      </c>
      <c r="E317" t="inlineStr">
        <is>
          <t>UMEÅ</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37014-2024</t>
        </is>
      </c>
      <c r="B318" s="1" t="n">
        <v>45539</v>
      </c>
      <c r="C318" s="1" t="n">
        <v>46083</v>
      </c>
      <c r="D318" t="inlineStr">
        <is>
          <t>VÄSTERBOTTENS LÄN</t>
        </is>
      </c>
      <c r="E318" t="inlineStr">
        <is>
          <t>UMEÅ</t>
        </is>
      </c>
      <c r="G318" t="n">
        <v>3.2</v>
      </c>
      <c r="H318" t="n">
        <v>0</v>
      </c>
      <c r="I318" t="n">
        <v>0</v>
      </c>
      <c r="J318" t="n">
        <v>0</v>
      </c>
      <c r="K318" t="n">
        <v>0</v>
      </c>
      <c r="L318" t="n">
        <v>0</v>
      </c>
      <c r="M318" t="n">
        <v>0</v>
      </c>
      <c r="N318" t="n">
        <v>0</v>
      </c>
      <c r="O318" t="n">
        <v>0</v>
      </c>
      <c r="P318" t="n">
        <v>0</v>
      </c>
      <c r="Q318" t="n">
        <v>0</v>
      </c>
      <c r="R318" s="2" t="inlineStr"/>
    </row>
    <row r="319" ht="15" customHeight="1">
      <c r="A319" t="inlineStr">
        <is>
          <t>A 29652-2024</t>
        </is>
      </c>
      <c r="B319" s="1" t="n">
        <v>45484.92328703704</v>
      </c>
      <c r="C319" s="1" t="n">
        <v>46083</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46083</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37007-2024</t>
        </is>
      </c>
      <c r="B321" s="1" t="n">
        <v>45539</v>
      </c>
      <c r="C321" s="1" t="n">
        <v>46083</v>
      </c>
      <c r="D321" t="inlineStr">
        <is>
          <t>VÄSTERBOTTENS LÄN</t>
        </is>
      </c>
      <c r="E321" t="inlineStr">
        <is>
          <t>UMEÅ</t>
        </is>
      </c>
      <c r="G321" t="n">
        <v>6.2</v>
      </c>
      <c r="H321" t="n">
        <v>0</v>
      </c>
      <c r="I321" t="n">
        <v>0</v>
      </c>
      <c r="J321" t="n">
        <v>0</v>
      </c>
      <c r="K321" t="n">
        <v>0</v>
      </c>
      <c r="L321" t="n">
        <v>0</v>
      </c>
      <c r="M321" t="n">
        <v>0</v>
      </c>
      <c r="N321" t="n">
        <v>0</v>
      </c>
      <c r="O321" t="n">
        <v>0</v>
      </c>
      <c r="P321" t="n">
        <v>0</v>
      </c>
      <c r="Q321" t="n">
        <v>0</v>
      </c>
      <c r="R321" s="2" t="inlineStr"/>
    </row>
    <row r="322" ht="15" customHeight="1">
      <c r="A322" t="inlineStr">
        <is>
          <t>A 2048-2023</t>
        </is>
      </c>
      <c r="B322" s="1" t="n">
        <v>44939</v>
      </c>
      <c r="C322" s="1" t="n">
        <v>46083</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58605-2022</t>
        </is>
      </c>
      <c r="B323" s="1" t="n">
        <v>44902.57146990741</v>
      </c>
      <c r="C323" s="1" t="n">
        <v>46083</v>
      </c>
      <c r="D323" t="inlineStr">
        <is>
          <t>VÄSTERBOTTENS LÄN</t>
        </is>
      </c>
      <c r="E323" t="inlineStr">
        <is>
          <t>UMEÅ</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15979-2024</t>
        </is>
      </c>
      <c r="B324" s="1" t="n">
        <v>45405</v>
      </c>
      <c r="C324" s="1" t="n">
        <v>46083</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26310-2025</t>
        </is>
      </c>
      <c r="B325" s="1" t="n">
        <v>45805.65432870371</v>
      </c>
      <c r="C325" s="1" t="n">
        <v>46083</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38434-2021</t>
        </is>
      </c>
      <c r="B326" s="1" t="n">
        <v>44406</v>
      </c>
      <c r="C326" s="1" t="n">
        <v>46083</v>
      </c>
      <c r="D326" t="inlineStr">
        <is>
          <t>VÄSTERBOTTENS LÄN</t>
        </is>
      </c>
      <c r="E326" t="inlineStr">
        <is>
          <t>UMEÅ</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40348-2021</t>
        </is>
      </c>
      <c r="B327" s="1" t="n">
        <v>44419.57832175926</v>
      </c>
      <c r="C327" s="1" t="n">
        <v>46083</v>
      </c>
      <c r="D327" t="inlineStr">
        <is>
          <t>VÄSTERBOTTENS LÄN</t>
        </is>
      </c>
      <c r="E327" t="inlineStr">
        <is>
          <t>UMEÅ</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52679-2022</t>
        </is>
      </c>
      <c r="B328" s="1" t="n">
        <v>44874</v>
      </c>
      <c r="C328" s="1" t="n">
        <v>46083</v>
      </c>
      <c r="D328" t="inlineStr">
        <is>
          <t>VÄSTERBOTTENS LÄN</t>
        </is>
      </c>
      <c r="E328" t="inlineStr">
        <is>
          <t>UMEÅ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38235-2025</t>
        </is>
      </c>
      <c r="B329" s="1" t="n">
        <v>45883.36050925926</v>
      </c>
      <c r="C329" s="1" t="n">
        <v>46083</v>
      </c>
      <c r="D329" t="inlineStr">
        <is>
          <t>VÄSTERBOTTENS LÄN</t>
        </is>
      </c>
      <c r="E329" t="inlineStr">
        <is>
          <t>UMEÅ</t>
        </is>
      </c>
      <c r="G329" t="n">
        <v>7.7</v>
      </c>
      <c r="H329" t="n">
        <v>0</v>
      </c>
      <c r="I329" t="n">
        <v>0</v>
      </c>
      <c r="J329" t="n">
        <v>0</v>
      </c>
      <c r="K329" t="n">
        <v>0</v>
      </c>
      <c r="L329" t="n">
        <v>0</v>
      </c>
      <c r="M329" t="n">
        <v>0</v>
      </c>
      <c r="N329" t="n">
        <v>0</v>
      </c>
      <c r="O329" t="n">
        <v>0</v>
      </c>
      <c r="P329" t="n">
        <v>0</v>
      </c>
      <c r="Q329" t="n">
        <v>0</v>
      </c>
      <c r="R329" s="2" t="inlineStr"/>
    </row>
    <row r="330" ht="15" customHeight="1">
      <c r="A330" t="inlineStr">
        <is>
          <t>A 2659-2023</t>
        </is>
      </c>
      <c r="B330" s="1" t="n">
        <v>44944</v>
      </c>
      <c r="C330" s="1" t="n">
        <v>46083</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26183-2025</t>
        </is>
      </c>
      <c r="B331" s="1" t="n">
        <v>45805.47530092593</v>
      </c>
      <c r="C331" s="1" t="n">
        <v>46083</v>
      </c>
      <c r="D331" t="inlineStr">
        <is>
          <t>VÄSTERBOTTENS LÄN</t>
        </is>
      </c>
      <c r="E331" t="inlineStr">
        <is>
          <t>UMEÅ</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34320-2024</t>
        </is>
      </c>
      <c r="B332" s="1" t="n">
        <v>45524</v>
      </c>
      <c r="C332" s="1" t="n">
        <v>46083</v>
      </c>
      <c r="D332" t="inlineStr">
        <is>
          <t>VÄSTERBOTTENS LÄN</t>
        </is>
      </c>
      <c r="E332" t="inlineStr">
        <is>
          <t>UMEÅ</t>
        </is>
      </c>
      <c r="G332" t="n">
        <v>0.5</v>
      </c>
      <c r="H332" t="n">
        <v>0</v>
      </c>
      <c r="I332" t="n">
        <v>0</v>
      </c>
      <c r="J332" t="n">
        <v>0</v>
      </c>
      <c r="K332" t="n">
        <v>0</v>
      </c>
      <c r="L332" t="n">
        <v>0</v>
      </c>
      <c r="M332" t="n">
        <v>0</v>
      </c>
      <c r="N332" t="n">
        <v>0</v>
      </c>
      <c r="O332" t="n">
        <v>0</v>
      </c>
      <c r="P332" t="n">
        <v>0</v>
      </c>
      <c r="Q332" t="n">
        <v>0</v>
      </c>
      <c r="R332" s="2" t="inlineStr"/>
    </row>
    <row r="333" ht="15" customHeight="1">
      <c r="A333" t="inlineStr">
        <is>
          <t>A 11511-2022</t>
        </is>
      </c>
      <c r="B333" s="1" t="n">
        <v>44631.33300925926</v>
      </c>
      <c r="C333" s="1" t="n">
        <v>46083</v>
      </c>
      <c r="D333" t="inlineStr">
        <is>
          <t>VÄSTERBOTTENS LÄN</t>
        </is>
      </c>
      <c r="E333" t="inlineStr">
        <is>
          <t>UMEÅ</t>
        </is>
      </c>
      <c r="F333" t="inlineStr">
        <is>
          <t>Kommuner</t>
        </is>
      </c>
      <c r="G333" t="n">
        <v>3.2</v>
      </c>
      <c r="H333" t="n">
        <v>0</v>
      </c>
      <c r="I333" t="n">
        <v>0</v>
      </c>
      <c r="J333" t="n">
        <v>0</v>
      </c>
      <c r="K333" t="n">
        <v>0</v>
      </c>
      <c r="L333" t="n">
        <v>0</v>
      </c>
      <c r="M333" t="n">
        <v>0</v>
      </c>
      <c r="N333" t="n">
        <v>0</v>
      </c>
      <c r="O333" t="n">
        <v>0</v>
      </c>
      <c r="P333" t="n">
        <v>0</v>
      </c>
      <c r="Q333" t="n">
        <v>0</v>
      </c>
      <c r="R333" s="2" t="inlineStr"/>
    </row>
    <row r="334" ht="15" customHeight="1">
      <c r="A334" t="inlineStr">
        <is>
          <t>A 1003-2025</t>
        </is>
      </c>
      <c r="B334" s="1" t="n">
        <v>45666.47462962963</v>
      </c>
      <c r="C334" s="1" t="n">
        <v>46083</v>
      </c>
      <c r="D334" t="inlineStr">
        <is>
          <t>VÄSTERBOTTENS LÄN</t>
        </is>
      </c>
      <c r="E334" t="inlineStr">
        <is>
          <t>UMEÅ</t>
        </is>
      </c>
      <c r="G334" t="n">
        <v>13.5</v>
      </c>
      <c r="H334" t="n">
        <v>0</v>
      </c>
      <c r="I334" t="n">
        <v>0</v>
      </c>
      <c r="J334" t="n">
        <v>0</v>
      </c>
      <c r="K334" t="n">
        <v>0</v>
      </c>
      <c r="L334" t="n">
        <v>0</v>
      </c>
      <c r="M334" t="n">
        <v>0</v>
      </c>
      <c r="N334" t="n">
        <v>0</v>
      </c>
      <c r="O334" t="n">
        <v>0</v>
      </c>
      <c r="P334" t="n">
        <v>0</v>
      </c>
      <c r="Q334" t="n">
        <v>0</v>
      </c>
      <c r="R334" s="2" t="inlineStr"/>
    </row>
    <row r="335" ht="15" customHeight="1">
      <c r="A335" t="inlineStr">
        <is>
          <t>A 38887-2025</t>
        </is>
      </c>
      <c r="B335" s="1" t="n">
        <v>45887.58591435185</v>
      </c>
      <c r="C335" s="1" t="n">
        <v>46083</v>
      </c>
      <c r="D335" t="inlineStr">
        <is>
          <t>VÄSTERBOTTENS LÄN</t>
        </is>
      </c>
      <c r="E335" t="inlineStr">
        <is>
          <t>UMEÅ</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16021-2025</t>
        </is>
      </c>
      <c r="B336" s="1" t="n">
        <v>45749</v>
      </c>
      <c r="C336" s="1" t="n">
        <v>46083</v>
      </c>
      <c r="D336" t="inlineStr">
        <is>
          <t>VÄSTERBOTTENS LÄN</t>
        </is>
      </c>
      <c r="E336" t="inlineStr">
        <is>
          <t>UMEÅ</t>
        </is>
      </c>
      <c r="G336" t="n">
        <v>4.5</v>
      </c>
      <c r="H336" t="n">
        <v>0</v>
      </c>
      <c r="I336" t="n">
        <v>0</v>
      </c>
      <c r="J336" t="n">
        <v>0</v>
      </c>
      <c r="K336" t="n">
        <v>0</v>
      </c>
      <c r="L336" t="n">
        <v>0</v>
      </c>
      <c r="M336" t="n">
        <v>0</v>
      </c>
      <c r="N336" t="n">
        <v>0</v>
      </c>
      <c r="O336" t="n">
        <v>0</v>
      </c>
      <c r="P336" t="n">
        <v>0</v>
      </c>
      <c r="Q336" t="n">
        <v>0</v>
      </c>
      <c r="R336" s="2" t="inlineStr"/>
    </row>
    <row r="337" ht="15" customHeight="1">
      <c r="A337" t="inlineStr">
        <is>
          <t>A 42160-2024</t>
        </is>
      </c>
      <c r="B337" s="1" t="n">
        <v>45562.45623842593</v>
      </c>
      <c r="C337" s="1" t="n">
        <v>46083</v>
      </c>
      <c r="D337" t="inlineStr">
        <is>
          <t>VÄSTERBOTTENS LÄN</t>
        </is>
      </c>
      <c r="E337" t="inlineStr">
        <is>
          <t>UMEÅ</t>
        </is>
      </c>
      <c r="G337" t="n">
        <v>2.1</v>
      </c>
      <c r="H337" t="n">
        <v>0</v>
      </c>
      <c r="I337" t="n">
        <v>0</v>
      </c>
      <c r="J337" t="n">
        <v>0</v>
      </c>
      <c r="K337" t="n">
        <v>0</v>
      </c>
      <c r="L337" t="n">
        <v>0</v>
      </c>
      <c r="M337" t="n">
        <v>0</v>
      </c>
      <c r="N337" t="n">
        <v>0</v>
      </c>
      <c r="O337" t="n">
        <v>0</v>
      </c>
      <c r="P337" t="n">
        <v>0</v>
      </c>
      <c r="Q337" t="n">
        <v>0</v>
      </c>
      <c r="R337" s="2" t="inlineStr"/>
    </row>
    <row r="338" ht="15" customHeight="1">
      <c r="A338" t="inlineStr">
        <is>
          <t>A 42014-2024</t>
        </is>
      </c>
      <c r="B338" s="1" t="n">
        <v>45561.69625</v>
      </c>
      <c r="C338" s="1" t="n">
        <v>46083</v>
      </c>
      <c r="D338" t="inlineStr">
        <is>
          <t>VÄSTERBOTTENS LÄN</t>
        </is>
      </c>
      <c r="E338" t="inlineStr">
        <is>
          <t>UMEÅ</t>
        </is>
      </c>
      <c r="G338" t="n">
        <v>3.5</v>
      </c>
      <c r="H338" t="n">
        <v>0</v>
      </c>
      <c r="I338" t="n">
        <v>0</v>
      </c>
      <c r="J338" t="n">
        <v>0</v>
      </c>
      <c r="K338" t="n">
        <v>0</v>
      </c>
      <c r="L338" t="n">
        <v>0</v>
      </c>
      <c r="M338" t="n">
        <v>0</v>
      </c>
      <c r="N338" t="n">
        <v>0</v>
      </c>
      <c r="O338" t="n">
        <v>0</v>
      </c>
      <c r="P338" t="n">
        <v>0</v>
      </c>
      <c r="Q338" t="n">
        <v>0</v>
      </c>
      <c r="R338" s="2" t="inlineStr"/>
    </row>
    <row r="339" ht="15" customHeight="1">
      <c r="A339" t="inlineStr">
        <is>
          <t>A 1821-2022</t>
        </is>
      </c>
      <c r="B339" s="1" t="n">
        <v>44574.65519675926</v>
      </c>
      <c r="C339" s="1" t="n">
        <v>46083</v>
      </c>
      <c r="D339" t="inlineStr">
        <is>
          <t>VÄSTERBOTTENS LÄN</t>
        </is>
      </c>
      <c r="E339" t="inlineStr">
        <is>
          <t>UMEÅ</t>
        </is>
      </c>
      <c r="G339" t="n">
        <v>0.5</v>
      </c>
      <c r="H339" t="n">
        <v>0</v>
      </c>
      <c r="I339" t="n">
        <v>0</v>
      </c>
      <c r="J339" t="n">
        <v>0</v>
      </c>
      <c r="K339" t="n">
        <v>0</v>
      </c>
      <c r="L339" t="n">
        <v>0</v>
      </c>
      <c r="M339" t="n">
        <v>0</v>
      </c>
      <c r="N339" t="n">
        <v>0</v>
      </c>
      <c r="O339" t="n">
        <v>0</v>
      </c>
      <c r="P339" t="n">
        <v>0</v>
      </c>
      <c r="Q339" t="n">
        <v>0</v>
      </c>
      <c r="R339" s="2" t="inlineStr"/>
    </row>
    <row r="340" ht="15" customHeight="1">
      <c r="A340" t="inlineStr">
        <is>
          <t>A 22538-2024</t>
        </is>
      </c>
      <c r="B340" s="1" t="n">
        <v>45447.46972222222</v>
      </c>
      <c r="C340" s="1" t="n">
        <v>46083</v>
      </c>
      <c r="D340" t="inlineStr">
        <is>
          <t>VÄSTERBOTTENS LÄN</t>
        </is>
      </c>
      <c r="E340" t="inlineStr">
        <is>
          <t>UMEÅ</t>
        </is>
      </c>
      <c r="F340" t="inlineStr">
        <is>
          <t>Holmen skog AB</t>
        </is>
      </c>
      <c r="G340" t="n">
        <v>7.1</v>
      </c>
      <c r="H340" t="n">
        <v>0</v>
      </c>
      <c r="I340" t="n">
        <v>0</v>
      </c>
      <c r="J340" t="n">
        <v>0</v>
      </c>
      <c r="K340" t="n">
        <v>0</v>
      </c>
      <c r="L340" t="n">
        <v>0</v>
      </c>
      <c r="M340" t="n">
        <v>0</v>
      </c>
      <c r="N340" t="n">
        <v>0</v>
      </c>
      <c r="O340" t="n">
        <v>0</v>
      </c>
      <c r="P340" t="n">
        <v>0</v>
      </c>
      <c r="Q340" t="n">
        <v>0</v>
      </c>
      <c r="R340" s="2" t="inlineStr"/>
    </row>
    <row r="341" ht="15" customHeight="1">
      <c r="A341" t="inlineStr">
        <is>
          <t>A 14242-2023</t>
        </is>
      </c>
      <c r="B341" s="1" t="n">
        <v>45009</v>
      </c>
      <c r="C341" s="1" t="n">
        <v>46083</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15656-2023</t>
        </is>
      </c>
      <c r="B342" s="1" t="n">
        <v>45019</v>
      </c>
      <c r="C342" s="1" t="n">
        <v>46083</v>
      </c>
      <c r="D342" t="inlineStr">
        <is>
          <t>VÄSTERBOTTENS LÄN</t>
        </is>
      </c>
      <c r="E342" t="inlineStr">
        <is>
          <t>UMEÅ</t>
        </is>
      </c>
      <c r="F342" t="inlineStr">
        <is>
          <t>Kommuner</t>
        </is>
      </c>
      <c r="G342" t="n">
        <v>2.8</v>
      </c>
      <c r="H342" t="n">
        <v>0</v>
      </c>
      <c r="I342" t="n">
        <v>0</v>
      </c>
      <c r="J342" t="n">
        <v>0</v>
      </c>
      <c r="K342" t="n">
        <v>0</v>
      </c>
      <c r="L342" t="n">
        <v>0</v>
      </c>
      <c r="M342" t="n">
        <v>0</v>
      </c>
      <c r="N342" t="n">
        <v>0</v>
      </c>
      <c r="O342" t="n">
        <v>0</v>
      </c>
      <c r="P342" t="n">
        <v>0</v>
      </c>
      <c r="Q342" t="n">
        <v>0</v>
      </c>
      <c r="R342" s="2" t="inlineStr"/>
    </row>
    <row r="343" ht="15" customHeight="1">
      <c r="A343" t="inlineStr">
        <is>
          <t>A 55053-2023</t>
        </is>
      </c>
      <c r="B343" s="1" t="n">
        <v>45237</v>
      </c>
      <c r="C343" s="1" t="n">
        <v>46083</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32788-2024</t>
        </is>
      </c>
      <c r="B344" s="1" t="n">
        <v>45516.5365625</v>
      </c>
      <c r="C344" s="1" t="n">
        <v>46083</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27246-2025</t>
        </is>
      </c>
      <c r="B345" s="1" t="n">
        <v>45812.46246527778</v>
      </c>
      <c r="C345" s="1" t="n">
        <v>46083</v>
      </c>
      <c r="D345" t="inlineStr">
        <is>
          <t>VÄSTERBOTTENS LÄN</t>
        </is>
      </c>
      <c r="E345" t="inlineStr">
        <is>
          <t>UMEÅ</t>
        </is>
      </c>
      <c r="G345" t="n">
        <v>7.2</v>
      </c>
      <c r="H345" t="n">
        <v>0</v>
      </c>
      <c r="I345" t="n">
        <v>0</v>
      </c>
      <c r="J345" t="n">
        <v>0</v>
      </c>
      <c r="K345" t="n">
        <v>0</v>
      </c>
      <c r="L345" t="n">
        <v>0</v>
      </c>
      <c r="M345" t="n">
        <v>0</v>
      </c>
      <c r="N345" t="n">
        <v>0</v>
      </c>
      <c r="O345" t="n">
        <v>0</v>
      </c>
      <c r="P345" t="n">
        <v>0</v>
      </c>
      <c r="Q345" t="n">
        <v>0</v>
      </c>
      <c r="R345" s="2" t="inlineStr"/>
    </row>
    <row r="346" ht="15" customHeight="1">
      <c r="A346" t="inlineStr">
        <is>
          <t>A 26930-2025</t>
        </is>
      </c>
      <c r="B346" s="1" t="n">
        <v>45811.39753472222</v>
      </c>
      <c r="C346" s="1" t="n">
        <v>46083</v>
      </c>
      <c r="D346" t="inlineStr">
        <is>
          <t>VÄSTERBOTTENS LÄN</t>
        </is>
      </c>
      <c r="E346" t="inlineStr">
        <is>
          <t>UMEÅ</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56085-2024</t>
        </is>
      </c>
      <c r="B347" s="1" t="n">
        <v>45623</v>
      </c>
      <c r="C347" s="1" t="n">
        <v>46083</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27172-2025</t>
        </is>
      </c>
      <c r="B348" s="1" t="n">
        <v>45812.34858796297</v>
      </c>
      <c r="C348" s="1" t="n">
        <v>46083</v>
      </c>
      <c r="D348" t="inlineStr">
        <is>
          <t>VÄSTERBOTTENS LÄN</t>
        </is>
      </c>
      <c r="E348" t="inlineStr">
        <is>
          <t>UMEÅ</t>
        </is>
      </c>
      <c r="G348" t="n">
        <v>3.6</v>
      </c>
      <c r="H348" t="n">
        <v>0</v>
      </c>
      <c r="I348" t="n">
        <v>0</v>
      </c>
      <c r="J348" t="n">
        <v>0</v>
      </c>
      <c r="K348" t="n">
        <v>0</v>
      </c>
      <c r="L348" t="n">
        <v>0</v>
      </c>
      <c r="M348" t="n">
        <v>0</v>
      </c>
      <c r="N348" t="n">
        <v>0</v>
      </c>
      <c r="O348" t="n">
        <v>0</v>
      </c>
      <c r="P348" t="n">
        <v>0</v>
      </c>
      <c r="Q348" t="n">
        <v>0</v>
      </c>
      <c r="R348" s="2" t="inlineStr"/>
    </row>
    <row r="349" ht="15" customHeight="1">
      <c r="A349" t="inlineStr">
        <is>
          <t>A 27173-2025</t>
        </is>
      </c>
      <c r="B349" s="1" t="n">
        <v>45812.34997685185</v>
      </c>
      <c r="C349" s="1" t="n">
        <v>46083</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59029-2024</t>
        </is>
      </c>
      <c r="B350" s="1" t="n">
        <v>45636</v>
      </c>
      <c r="C350" s="1" t="n">
        <v>46083</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39523-2025</t>
        </is>
      </c>
      <c r="B351" s="1" t="n">
        <v>45890.43826388889</v>
      </c>
      <c r="C351" s="1" t="n">
        <v>46083</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46232-2024</t>
        </is>
      </c>
      <c r="B352" s="1" t="n">
        <v>45581.57825231482</v>
      </c>
      <c r="C352" s="1" t="n">
        <v>46083</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27681-2025</t>
        </is>
      </c>
      <c r="B353" s="1" t="n">
        <v>45813.646875</v>
      </c>
      <c r="C353" s="1" t="n">
        <v>46083</v>
      </c>
      <c r="D353" t="inlineStr">
        <is>
          <t>VÄSTERBOTTENS LÄN</t>
        </is>
      </c>
      <c r="E353" t="inlineStr">
        <is>
          <t>UMEÅ</t>
        </is>
      </c>
      <c r="G353" t="n">
        <v>6.9</v>
      </c>
      <c r="H353" t="n">
        <v>0</v>
      </c>
      <c r="I353" t="n">
        <v>0</v>
      </c>
      <c r="J353" t="n">
        <v>0</v>
      </c>
      <c r="K353" t="n">
        <v>0</v>
      </c>
      <c r="L353" t="n">
        <v>0</v>
      </c>
      <c r="M353" t="n">
        <v>0</v>
      </c>
      <c r="N353" t="n">
        <v>0</v>
      </c>
      <c r="O353" t="n">
        <v>0</v>
      </c>
      <c r="P353" t="n">
        <v>0</v>
      </c>
      <c r="Q353" t="n">
        <v>0</v>
      </c>
      <c r="R353" s="2" t="inlineStr"/>
    </row>
    <row r="354" ht="15" customHeight="1">
      <c r="A354" t="inlineStr">
        <is>
          <t>A 27689-2025</t>
        </is>
      </c>
      <c r="B354" s="1" t="n">
        <v>45813.65648148148</v>
      </c>
      <c r="C354" s="1" t="n">
        <v>46083</v>
      </c>
      <c r="D354" t="inlineStr">
        <is>
          <t>VÄSTERBOTTENS LÄN</t>
        </is>
      </c>
      <c r="E354" t="inlineStr">
        <is>
          <t>UMEÅ</t>
        </is>
      </c>
      <c r="F354" t="inlineStr">
        <is>
          <t>Holmen skog AB</t>
        </is>
      </c>
      <c r="G354" t="n">
        <v>6.7</v>
      </c>
      <c r="H354" t="n">
        <v>0</v>
      </c>
      <c r="I354" t="n">
        <v>0</v>
      </c>
      <c r="J354" t="n">
        <v>0</v>
      </c>
      <c r="K354" t="n">
        <v>0</v>
      </c>
      <c r="L354" t="n">
        <v>0</v>
      </c>
      <c r="M354" t="n">
        <v>0</v>
      </c>
      <c r="N354" t="n">
        <v>0</v>
      </c>
      <c r="O354" t="n">
        <v>0</v>
      </c>
      <c r="P354" t="n">
        <v>0</v>
      </c>
      <c r="Q354" t="n">
        <v>0</v>
      </c>
      <c r="R354" s="2" t="inlineStr"/>
    </row>
    <row r="355" ht="15" customHeight="1">
      <c r="A355" t="inlineStr">
        <is>
          <t>A 31441-2024</t>
        </is>
      </c>
      <c r="B355" s="1" t="n">
        <v>45505</v>
      </c>
      <c r="C355" s="1" t="n">
        <v>46083</v>
      </c>
      <c r="D355" t="inlineStr">
        <is>
          <t>VÄSTERBOTTENS LÄN</t>
        </is>
      </c>
      <c r="E355" t="inlineStr">
        <is>
          <t>UMEÅ</t>
        </is>
      </c>
      <c r="G355" t="n">
        <v>2.7</v>
      </c>
      <c r="H355" t="n">
        <v>0</v>
      </c>
      <c r="I355" t="n">
        <v>0</v>
      </c>
      <c r="J355" t="n">
        <v>0</v>
      </c>
      <c r="K355" t="n">
        <v>0</v>
      </c>
      <c r="L355" t="n">
        <v>0</v>
      </c>
      <c r="M355" t="n">
        <v>0</v>
      </c>
      <c r="N355" t="n">
        <v>0</v>
      </c>
      <c r="O355" t="n">
        <v>0</v>
      </c>
      <c r="P355" t="n">
        <v>0</v>
      </c>
      <c r="Q355" t="n">
        <v>0</v>
      </c>
      <c r="R355" s="2" t="inlineStr"/>
    </row>
    <row r="356" ht="15" customHeight="1">
      <c r="A356" t="inlineStr">
        <is>
          <t>A 39373-2025</t>
        </is>
      </c>
      <c r="B356" s="1" t="n">
        <v>45889.58655092592</v>
      </c>
      <c r="C356" s="1" t="n">
        <v>46083</v>
      </c>
      <c r="D356" t="inlineStr">
        <is>
          <t>VÄSTERBOTTENS LÄN</t>
        </is>
      </c>
      <c r="E356" t="inlineStr">
        <is>
          <t>UMEÅ</t>
        </is>
      </c>
      <c r="G356" t="n">
        <v>7.3</v>
      </c>
      <c r="H356" t="n">
        <v>0</v>
      </c>
      <c r="I356" t="n">
        <v>0</v>
      </c>
      <c r="J356" t="n">
        <v>0</v>
      </c>
      <c r="K356" t="n">
        <v>0</v>
      </c>
      <c r="L356" t="n">
        <v>0</v>
      </c>
      <c r="M356" t="n">
        <v>0</v>
      </c>
      <c r="N356" t="n">
        <v>0</v>
      </c>
      <c r="O356" t="n">
        <v>0</v>
      </c>
      <c r="P356" t="n">
        <v>0</v>
      </c>
      <c r="Q356" t="n">
        <v>0</v>
      </c>
      <c r="R356" s="2" t="inlineStr"/>
    </row>
    <row r="357" ht="15" customHeight="1">
      <c r="A357" t="inlineStr">
        <is>
          <t>A 43124-2024</t>
        </is>
      </c>
      <c r="B357" s="1" t="n">
        <v>45567</v>
      </c>
      <c r="C357" s="1" t="n">
        <v>46083</v>
      </c>
      <c r="D357" t="inlineStr">
        <is>
          <t>VÄSTERBOTTENS LÄN</t>
        </is>
      </c>
      <c r="E357" t="inlineStr">
        <is>
          <t>UMEÅ</t>
        </is>
      </c>
      <c r="G357" t="n">
        <v>0.4</v>
      </c>
      <c r="H357" t="n">
        <v>0</v>
      </c>
      <c r="I357" t="n">
        <v>0</v>
      </c>
      <c r="J357" t="n">
        <v>0</v>
      </c>
      <c r="K357" t="n">
        <v>0</v>
      </c>
      <c r="L357" t="n">
        <v>0</v>
      </c>
      <c r="M357" t="n">
        <v>0</v>
      </c>
      <c r="N357" t="n">
        <v>0</v>
      </c>
      <c r="O357" t="n">
        <v>0</v>
      </c>
      <c r="P357" t="n">
        <v>0</v>
      </c>
      <c r="Q357" t="n">
        <v>0</v>
      </c>
      <c r="R357" s="2" t="inlineStr"/>
    </row>
    <row r="358" ht="15" customHeight="1">
      <c r="A358" t="inlineStr">
        <is>
          <t>A 19219-2025</t>
        </is>
      </c>
      <c r="B358" s="1" t="n">
        <v>45769.44732638889</v>
      </c>
      <c r="C358" s="1" t="n">
        <v>46083</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21081-2024</t>
        </is>
      </c>
      <c r="B359" s="1" t="n">
        <v>45439</v>
      </c>
      <c r="C359" s="1" t="n">
        <v>46083</v>
      </c>
      <c r="D359" t="inlineStr">
        <is>
          <t>VÄSTERBOTTENS LÄN</t>
        </is>
      </c>
      <c r="E359" t="inlineStr">
        <is>
          <t>UMEÅ</t>
        </is>
      </c>
      <c r="G359" t="n">
        <v>3</v>
      </c>
      <c r="H359" t="n">
        <v>0</v>
      </c>
      <c r="I359" t="n">
        <v>0</v>
      </c>
      <c r="J359" t="n">
        <v>0</v>
      </c>
      <c r="K359" t="n">
        <v>0</v>
      </c>
      <c r="L359" t="n">
        <v>0</v>
      </c>
      <c r="M359" t="n">
        <v>0</v>
      </c>
      <c r="N359" t="n">
        <v>0</v>
      </c>
      <c r="O359" t="n">
        <v>0</v>
      </c>
      <c r="P359" t="n">
        <v>0</v>
      </c>
      <c r="Q359" t="n">
        <v>0</v>
      </c>
      <c r="R359" s="2" t="inlineStr"/>
    </row>
    <row r="360" ht="15" customHeight="1">
      <c r="A360" t="inlineStr">
        <is>
          <t>A 58954-2024</t>
        </is>
      </c>
      <c r="B360" s="1" t="n">
        <v>45636.57275462963</v>
      </c>
      <c r="C360" s="1" t="n">
        <v>46083</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39820-2025</t>
        </is>
      </c>
      <c r="B361" s="1" t="n">
        <v>45891.53517361111</v>
      </c>
      <c r="C361" s="1" t="n">
        <v>46083</v>
      </c>
      <c r="D361" t="inlineStr">
        <is>
          <t>VÄSTERBOTTENS LÄN</t>
        </is>
      </c>
      <c r="E361" t="inlineStr">
        <is>
          <t>UMEÅ</t>
        </is>
      </c>
      <c r="G361" t="n">
        <v>0.7</v>
      </c>
      <c r="H361" t="n">
        <v>0</v>
      </c>
      <c r="I361" t="n">
        <v>0</v>
      </c>
      <c r="J361" t="n">
        <v>0</v>
      </c>
      <c r="K361" t="n">
        <v>0</v>
      </c>
      <c r="L361" t="n">
        <v>0</v>
      </c>
      <c r="M361" t="n">
        <v>0</v>
      </c>
      <c r="N361" t="n">
        <v>0</v>
      </c>
      <c r="O361" t="n">
        <v>0</v>
      </c>
      <c r="P361" t="n">
        <v>0</v>
      </c>
      <c r="Q361" t="n">
        <v>0</v>
      </c>
      <c r="R361" s="2" t="inlineStr"/>
    </row>
    <row r="362" ht="15" customHeight="1">
      <c r="A362" t="inlineStr">
        <is>
          <t>A 19053-2023</t>
        </is>
      </c>
      <c r="B362" s="1" t="n">
        <v>45047</v>
      </c>
      <c r="C362" s="1" t="n">
        <v>46083</v>
      </c>
      <c r="D362" t="inlineStr">
        <is>
          <t>VÄSTERBOTTENS LÄN</t>
        </is>
      </c>
      <c r="E362" t="inlineStr">
        <is>
          <t>UMEÅ</t>
        </is>
      </c>
      <c r="G362" t="n">
        <v>4.8</v>
      </c>
      <c r="H362" t="n">
        <v>0</v>
      </c>
      <c r="I362" t="n">
        <v>0</v>
      </c>
      <c r="J362" t="n">
        <v>0</v>
      </c>
      <c r="K362" t="n">
        <v>0</v>
      </c>
      <c r="L362" t="n">
        <v>0</v>
      </c>
      <c r="M362" t="n">
        <v>0</v>
      </c>
      <c r="N362" t="n">
        <v>0</v>
      </c>
      <c r="O362" t="n">
        <v>0</v>
      </c>
      <c r="P362" t="n">
        <v>0</v>
      </c>
      <c r="Q362" t="n">
        <v>0</v>
      </c>
      <c r="R362" s="2" t="inlineStr"/>
    </row>
    <row r="363" ht="15" customHeight="1">
      <c r="A363" t="inlineStr">
        <is>
          <t>A 32510-2025</t>
        </is>
      </c>
      <c r="B363" s="1" t="n">
        <v>45838.47287037037</v>
      </c>
      <c r="C363" s="1" t="n">
        <v>46083</v>
      </c>
      <c r="D363" t="inlineStr">
        <is>
          <t>VÄSTERBOTTENS LÄN</t>
        </is>
      </c>
      <c r="E363" t="inlineStr">
        <is>
          <t>UMEÅ</t>
        </is>
      </c>
      <c r="G363" t="n">
        <v>7.1</v>
      </c>
      <c r="H363" t="n">
        <v>0</v>
      </c>
      <c r="I363" t="n">
        <v>0</v>
      </c>
      <c r="J363" t="n">
        <v>0</v>
      </c>
      <c r="K363" t="n">
        <v>0</v>
      </c>
      <c r="L363" t="n">
        <v>0</v>
      </c>
      <c r="M363" t="n">
        <v>0</v>
      </c>
      <c r="N363" t="n">
        <v>0</v>
      </c>
      <c r="O363" t="n">
        <v>0</v>
      </c>
      <c r="P363" t="n">
        <v>0</v>
      </c>
      <c r="Q363" t="n">
        <v>0</v>
      </c>
      <c r="R363" s="2" t="inlineStr"/>
    </row>
    <row r="364" ht="15" customHeight="1">
      <c r="A364" t="inlineStr">
        <is>
          <t>A 30215-2025</t>
        </is>
      </c>
      <c r="B364" s="1" t="n">
        <v>45827.36939814815</v>
      </c>
      <c r="C364" s="1" t="n">
        <v>46083</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29932-2025</t>
        </is>
      </c>
      <c r="B365" s="1" t="n">
        <v>45826.43984953704</v>
      </c>
      <c r="C365" s="1" t="n">
        <v>46083</v>
      </c>
      <c r="D365" t="inlineStr">
        <is>
          <t>VÄSTERBOTTENS LÄN</t>
        </is>
      </c>
      <c r="E365" t="inlineStr">
        <is>
          <t>UMEÅ</t>
        </is>
      </c>
      <c r="G365" t="n">
        <v>2.9</v>
      </c>
      <c r="H365" t="n">
        <v>0</v>
      </c>
      <c r="I365" t="n">
        <v>0</v>
      </c>
      <c r="J365" t="n">
        <v>0</v>
      </c>
      <c r="K365" t="n">
        <v>0</v>
      </c>
      <c r="L365" t="n">
        <v>0</v>
      </c>
      <c r="M365" t="n">
        <v>0</v>
      </c>
      <c r="N365" t="n">
        <v>0</v>
      </c>
      <c r="O365" t="n">
        <v>0</v>
      </c>
      <c r="P365" t="n">
        <v>0</v>
      </c>
      <c r="Q365" t="n">
        <v>0</v>
      </c>
      <c r="R365" s="2" t="inlineStr"/>
    </row>
    <row r="366" ht="15" customHeight="1">
      <c r="A366" t="inlineStr">
        <is>
          <t>A 34777-2021</t>
        </is>
      </c>
      <c r="B366" s="1" t="n">
        <v>44382</v>
      </c>
      <c r="C366" s="1" t="n">
        <v>46083</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40039-2025</t>
        </is>
      </c>
      <c r="B367" s="1" t="n">
        <v>45894.39484953704</v>
      </c>
      <c r="C367" s="1" t="n">
        <v>46083</v>
      </c>
      <c r="D367" t="inlineStr">
        <is>
          <t>VÄSTERBOTTENS LÄN</t>
        </is>
      </c>
      <c r="E367" t="inlineStr">
        <is>
          <t>UMEÅ</t>
        </is>
      </c>
      <c r="G367" t="n">
        <v>4.5</v>
      </c>
      <c r="H367" t="n">
        <v>0</v>
      </c>
      <c r="I367" t="n">
        <v>0</v>
      </c>
      <c r="J367" t="n">
        <v>0</v>
      </c>
      <c r="K367" t="n">
        <v>0</v>
      </c>
      <c r="L367" t="n">
        <v>0</v>
      </c>
      <c r="M367" t="n">
        <v>0</v>
      </c>
      <c r="N367" t="n">
        <v>0</v>
      </c>
      <c r="O367" t="n">
        <v>0</v>
      </c>
      <c r="P367" t="n">
        <v>0</v>
      </c>
      <c r="Q367" t="n">
        <v>0</v>
      </c>
      <c r="R367" s="2" t="inlineStr"/>
    </row>
    <row r="368" ht="15" customHeight="1">
      <c r="A368" t="inlineStr">
        <is>
          <t>A 40040-2025</t>
        </is>
      </c>
      <c r="B368" s="1" t="n">
        <v>45894.39736111111</v>
      </c>
      <c r="C368" s="1" t="n">
        <v>46083</v>
      </c>
      <c r="D368" t="inlineStr">
        <is>
          <t>VÄSTERBOTTENS LÄN</t>
        </is>
      </c>
      <c r="E368" t="inlineStr">
        <is>
          <t>UMEÅ</t>
        </is>
      </c>
      <c r="G368" t="n">
        <v>6.5</v>
      </c>
      <c r="H368" t="n">
        <v>0</v>
      </c>
      <c r="I368" t="n">
        <v>0</v>
      </c>
      <c r="J368" t="n">
        <v>0</v>
      </c>
      <c r="K368" t="n">
        <v>0</v>
      </c>
      <c r="L368" t="n">
        <v>0</v>
      </c>
      <c r="M368" t="n">
        <v>0</v>
      </c>
      <c r="N368" t="n">
        <v>0</v>
      </c>
      <c r="O368" t="n">
        <v>0</v>
      </c>
      <c r="P368" t="n">
        <v>0</v>
      </c>
      <c r="Q368" t="n">
        <v>0</v>
      </c>
      <c r="R368" s="2" t="inlineStr"/>
    </row>
    <row r="369" ht="15" customHeight="1">
      <c r="A369" t="inlineStr">
        <is>
          <t>A 11157-2022</t>
        </is>
      </c>
      <c r="B369" s="1" t="n">
        <v>44629.39452546297</v>
      </c>
      <c r="C369" s="1" t="n">
        <v>46083</v>
      </c>
      <c r="D369" t="inlineStr">
        <is>
          <t>VÄSTERBOTTENS LÄN</t>
        </is>
      </c>
      <c r="E369" t="inlineStr">
        <is>
          <t>UMEÅ</t>
        </is>
      </c>
      <c r="G369" t="n">
        <v>2.3</v>
      </c>
      <c r="H369" t="n">
        <v>0</v>
      </c>
      <c r="I369" t="n">
        <v>0</v>
      </c>
      <c r="J369" t="n">
        <v>0</v>
      </c>
      <c r="K369" t="n">
        <v>0</v>
      </c>
      <c r="L369" t="n">
        <v>0</v>
      </c>
      <c r="M369" t="n">
        <v>0</v>
      </c>
      <c r="N369" t="n">
        <v>0</v>
      </c>
      <c r="O369" t="n">
        <v>0</v>
      </c>
      <c r="P369" t="n">
        <v>0</v>
      </c>
      <c r="Q369" t="n">
        <v>0</v>
      </c>
      <c r="R369" s="2" t="inlineStr"/>
    </row>
    <row r="370" ht="15" customHeight="1">
      <c r="A370" t="inlineStr">
        <is>
          <t>A 28832-2025</t>
        </is>
      </c>
      <c r="B370" s="1" t="n">
        <v>45820.55613425926</v>
      </c>
      <c r="C370" s="1" t="n">
        <v>46083</v>
      </c>
      <c r="D370" t="inlineStr">
        <is>
          <t>VÄSTERBOTTENS LÄN</t>
        </is>
      </c>
      <c r="E370" t="inlineStr">
        <is>
          <t>UMEÅ</t>
        </is>
      </c>
      <c r="G370" t="n">
        <v>4.6</v>
      </c>
      <c r="H370" t="n">
        <v>0</v>
      </c>
      <c r="I370" t="n">
        <v>0</v>
      </c>
      <c r="J370" t="n">
        <v>0</v>
      </c>
      <c r="K370" t="n">
        <v>0</v>
      </c>
      <c r="L370" t="n">
        <v>0</v>
      </c>
      <c r="M370" t="n">
        <v>0</v>
      </c>
      <c r="N370" t="n">
        <v>0</v>
      </c>
      <c r="O370" t="n">
        <v>0</v>
      </c>
      <c r="P370" t="n">
        <v>0</v>
      </c>
      <c r="Q370" t="n">
        <v>0</v>
      </c>
      <c r="R370" s="2" t="inlineStr"/>
    </row>
    <row r="371" ht="15" customHeight="1">
      <c r="A371" t="inlineStr">
        <is>
          <t>A 7382-2022</t>
        </is>
      </c>
      <c r="B371" s="1" t="n">
        <v>44606.61752314815</v>
      </c>
      <c r="C371" s="1" t="n">
        <v>46083</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46083</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22159-2025</t>
        </is>
      </c>
      <c r="B373" s="1" t="n">
        <v>45785.58716435185</v>
      </c>
      <c r="C373" s="1" t="n">
        <v>46083</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13181-2022</t>
        </is>
      </c>
      <c r="B374" s="1" t="n">
        <v>44644.47650462963</v>
      </c>
      <c r="C374" s="1" t="n">
        <v>46083</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10898-2025</t>
        </is>
      </c>
      <c r="B375" s="1" t="n">
        <v>45722</v>
      </c>
      <c r="C375" s="1" t="n">
        <v>46083</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28836-2025</t>
        </is>
      </c>
      <c r="B376" s="1" t="n">
        <v>45820.55875</v>
      </c>
      <c r="C376" s="1" t="n">
        <v>46083</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28827-2025</t>
        </is>
      </c>
      <c r="B377" s="1" t="n">
        <v>45820.55162037037</v>
      </c>
      <c r="C377" s="1" t="n">
        <v>46083</v>
      </c>
      <c r="D377" t="inlineStr">
        <is>
          <t>VÄSTERBOTTENS LÄN</t>
        </is>
      </c>
      <c r="E377" t="inlineStr">
        <is>
          <t>UMEÅ</t>
        </is>
      </c>
      <c r="G377" t="n">
        <v>3.1</v>
      </c>
      <c r="H377" t="n">
        <v>0</v>
      </c>
      <c r="I377" t="n">
        <v>0</v>
      </c>
      <c r="J377" t="n">
        <v>0</v>
      </c>
      <c r="K377" t="n">
        <v>0</v>
      </c>
      <c r="L377" t="n">
        <v>0</v>
      </c>
      <c r="M377" t="n">
        <v>0</v>
      </c>
      <c r="N377" t="n">
        <v>0</v>
      </c>
      <c r="O377" t="n">
        <v>0</v>
      </c>
      <c r="P377" t="n">
        <v>0</v>
      </c>
      <c r="Q377" t="n">
        <v>0</v>
      </c>
      <c r="R377" s="2" t="inlineStr"/>
    </row>
    <row r="378" ht="15" customHeight="1">
      <c r="A378" t="inlineStr">
        <is>
          <t>A 10718-2025</t>
        </is>
      </c>
      <c r="B378" s="1" t="n">
        <v>45722.37076388889</v>
      </c>
      <c r="C378" s="1" t="n">
        <v>46083</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29330-2025</t>
        </is>
      </c>
      <c r="B379" s="1" t="n">
        <v>45824.48680555556</v>
      </c>
      <c r="C379" s="1" t="n">
        <v>46083</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29344-2025</t>
        </is>
      </c>
      <c r="B380" s="1" t="n">
        <v>45824.50795138889</v>
      </c>
      <c r="C380" s="1" t="n">
        <v>46083</v>
      </c>
      <c r="D380" t="inlineStr">
        <is>
          <t>VÄSTERBOTTENS LÄN</t>
        </is>
      </c>
      <c r="E380" t="inlineStr">
        <is>
          <t>UMEÅ</t>
        </is>
      </c>
      <c r="G380" t="n">
        <v>8</v>
      </c>
      <c r="H380" t="n">
        <v>0</v>
      </c>
      <c r="I380" t="n">
        <v>0</v>
      </c>
      <c r="J380" t="n">
        <v>0</v>
      </c>
      <c r="K380" t="n">
        <v>0</v>
      </c>
      <c r="L380" t="n">
        <v>0</v>
      </c>
      <c r="M380" t="n">
        <v>0</v>
      </c>
      <c r="N380" t="n">
        <v>0</v>
      </c>
      <c r="O380" t="n">
        <v>0</v>
      </c>
      <c r="P380" t="n">
        <v>0</v>
      </c>
      <c r="Q380" t="n">
        <v>0</v>
      </c>
      <c r="R380" s="2" t="inlineStr"/>
    </row>
    <row r="381" ht="15" customHeight="1">
      <c r="A381" t="inlineStr">
        <is>
          <t>A 29327-2025</t>
        </is>
      </c>
      <c r="B381" s="1" t="n">
        <v>45824.48300925926</v>
      </c>
      <c r="C381" s="1" t="n">
        <v>46083</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29352-2025</t>
        </is>
      </c>
      <c r="B382" s="1" t="n">
        <v>45824.54091435186</v>
      </c>
      <c r="C382" s="1" t="n">
        <v>46083</v>
      </c>
      <c r="D382" t="inlineStr">
        <is>
          <t>VÄSTERBOTTENS LÄN</t>
        </is>
      </c>
      <c r="E382" t="inlineStr">
        <is>
          <t>UMEÅ</t>
        </is>
      </c>
      <c r="F382" t="inlineStr">
        <is>
          <t>Holmen skog AB</t>
        </is>
      </c>
      <c r="G382" t="n">
        <v>10.8</v>
      </c>
      <c r="H382" t="n">
        <v>0</v>
      </c>
      <c r="I382" t="n">
        <v>0</v>
      </c>
      <c r="J382" t="n">
        <v>0</v>
      </c>
      <c r="K382" t="n">
        <v>0</v>
      </c>
      <c r="L382" t="n">
        <v>0</v>
      </c>
      <c r="M382" t="n">
        <v>0</v>
      </c>
      <c r="N382" t="n">
        <v>0</v>
      </c>
      <c r="O382" t="n">
        <v>0</v>
      </c>
      <c r="P382" t="n">
        <v>0</v>
      </c>
      <c r="Q382" t="n">
        <v>0</v>
      </c>
      <c r="R382" s="2" t="inlineStr"/>
    </row>
    <row r="383" ht="15" customHeight="1">
      <c r="A383" t="inlineStr">
        <is>
          <t>A 29283-2025</t>
        </is>
      </c>
      <c r="B383" s="1" t="n">
        <v>45824.43114583333</v>
      </c>
      <c r="C383" s="1" t="n">
        <v>46083</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1480-2023</t>
        </is>
      </c>
      <c r="B384" s="1" t="n">
        <v>44937</v>
      </c>
      <c r="C384" s="1" t="n">
        <v>46083</v>
      </c>
      <c r="D384" t="inlineStr">
        <is>
          <t>VÄSTERBOTTENS LÄN</t>
        </is>
      </c>
      <c r="E384" t="inlineStr">
        <is>
          <t>UMEÅ</t>
        </is>
      </c>
      <c r="G384" t="n">
        <v>2.9</v>
      </c>
      <c r="H384" t="n">
        <v>0</v>
      </c>
      <c r="I384" t="n">
        <v>0</v>
      </c>
      <c r="J384" t="n">
        <v>0</v>
      </c>
      <c r="K384" t="n">
        <v>0</v>
      </c>
      <c r="L384" t="n">
        <v>0</v>
      </c>
      <c r="M384" t="n">
        <v>0</v>
      </c>
      <c r="N384" t="n">
        <v>0</v>
      </c>
      <c r="O384" t="n">
        <v>0</v>
      </c>
      <c r="P384" t="n">
        <v>0</v>
      </c>
      <c r="Q384" t="n">
        <v>0</v>
      </c>
      <c r="R384" s="2" t="inlineStr"/>
    </row>
    <row r="385" ht="15" customHeight="1">
      <c r="A385" t="inlineStr">
        <is>
          <t>A 40158-2025</t>
        </is>
      </c>
      <c r="B385" s="1" t="n">
        <v>45894.60689814815</v>
      </c>
      <c r="C385" s="1" t="n">
        <v>46083</v>
      </c>
      <c r="D385" t="inlineStr">
        <is>
          <t>VÄSTERBOTTENS LÄN</t>
        </is>
      </c>
      <c r="E385" t="inlineStr">
        <is>
          <t>UMEÅ</t>
        </is>
      </c>
      <c r="G385" t="n">
        <v>7.2</v>
      </c>
      <c r="H385" t="n">
        <v>0</v>
      </c>
      <c r="I385" t="n">
        <v>0</v>
      </c>
      <c r="J385" t="n">
        <v>0</v>
      </c>
      <c r="K385" t="n">
        <v>0</v>
      </c>
      <c r="L385" t="n">
        <v>0</v>
      </c>
      <c r="M385" t="n">
        <v>0</v>
      </c>
      <c r="N385" t="n">
        <v>0</v>
      </c>
      <c r="O385" t="n">
        <v>0</v>
      </c>
      <c r="P385" t="n">
        <v>0</v>
      </c>
      <c r="Q385" t="n">
        <v>0</v>
      </c>
      <c r="R385" s="2" t="inlineStr"/>
    </row>
    <row r="386" ht="15" customHeight="1">
      <c r="A386" t="inlineStr">
        <is>
          <t>A 29096-2025</t>
        </is>
      </c>
      <c r="B386" s="1" t="n">
        <v>45821.56319444445</v>
      </c>
      <c r="C386" s="1" t="n">
        <v>46083</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29219-2025</t>
        </is>
      </c>
      <c r="B387" s="1" t="n">
        <v>45824.31930555555</v>
      </c>
      <c r="C387" s="1" t="n">
        <v>46083</v>
      </c>
      <c r="D387" t="inlineStr">
        <is>
          <t>VÄSTERBOTTENS LÄN</t>
        </is>
      </c>
      <c r="E387" t="inlineStr">
        <is>
          <t>UMEÅ</t>
        </is>
      </c>
      <c r="F387" t="inlineStr">
        <is>
          <t>Holmen skog AB</t>
        </is>
      </c>
      <c r="G387" t="n">
        <v>12.1</v>
      </c>
      <c r="H387" t="n">
        <v>0</v>
      </c>
      <c r="I387" t="n">
        <v>0</v>
      </c>
      <c r="J387" t="n">
        <v>0</v>
      </c>
      <c r="K387" t="n">
        <v>0</v>
      </c>
      <c r="L387" t="n">
        <v>0</v>
      </c>
      <c r="M387" t="n">
        <v>0</v>
      </c>
      <c r="N387" t="n">
        <v>0</v>
      </c>
      <c r="O387" t="n">
        <v>0</v>
      </c>
      <c r="P387" t="n">
        <v>0</v>
      </c>
      <c r="Q387" t="n">
        <v>0</v>
      </c>
      <c r="R387" s="2" t="inlineStr"/>
    </row>
    <row r="388" ht="15" customHeight="1">
      <c r="A388" t="inlineStr">
        <is>
          <t>A 29925-2025</t>
        </is>
      </c>
      <c r="B388" s="1" t="n">
        <v>45826.42918981481</v>
      </c>
      <c r="C388" s="1" t="n">
        <v>46083</v>
      </c>
      <c r="D388" t="inlineStr">
        <is>
          <t>VÄSTERBOTTENS LÄN</t>
        </is>
      </c>
      <c r="E388" t="inlineStr">
        <is>
          <t>UMEÅ</t>
        </is>
      </c>
      <c r="G388" t="n">
        <v>8.4</v>
      </c>
      <c r="H388" t="n">
        <v>0</v>
      </c>
      <c r="I388" t="n">
        <v>0</v>
      </c>
      <c r="J388" t="n">
        <v>0</v>
      </c>
      <c r="K388" t="n">
        <v>0</v>
      </c>
      <c r="L388" t="n">
        <v>0</v>
      </c>
      <c r="M388" t="n">
        <v>0</v>
      </c>
      <c r="N388" t="n">
        <v>0</v>
      </c>
      <c r="O388" t="n">
        <v>0</v>
      </c>
      <c r="P388" t="n">
        <v>0</v>
      </c>
      <c r="Q388" t="n">
        <v>0</v>
      </c>
      <c r="R388" s="2" t="inlineStr"/>
    </row>
    <row r="389" ht="15" customHeight="1">
      <c r="A389" t="inlineStr">
        <is>
          <t>A 29774-2025</t>
        </is>
      </c>
      <c r="B389" s="1" t="n">
        <v>45825.63641203703</v>
      </c>
      <c r="C389" s="1" t="n">
        <v>46083</v>
      </c>
      <c r="D389" t="inlineStr">
        <is>
          <t>VÄSTERBOTTENS LÄN</t>
        </is>
      </c>
      <c r="E389" t="inlineStr">
        <is>
          <t>UMEÅ</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29583-2025</t>
        </is>
      </c>
      <c r="B390" s="1" t="n">
        <v>45825.38503472223</v>
      </c>
      <c r="C390" s="1" t="n">
        <v>46083</v>
      </c>
      <c r="D390" t="inlineStr">
        <is>
          <t>VÄSTERBOTTENS LÄN</t>
        </is>
      </c>
      <c r="E390" t="inlineStr">
        <is>
          <t>UMEÅ</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46083</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46083</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46083</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46083</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40736-2025</t>
        </is>
      </c>
      <c r="B395" s="1" t="n">
        <v>45897.36565972222</v>
      </c>
      <c r="C395" s="1" t="n">
        <v>46083</v>
      </c>
      <c r="D395" t="inlineStr">
        <is>
          <t>VÄSTERBOTTENS LÄN</t>
        </is>
      </c>
      <c r="E395" t="inlineStr">
        <is>
          <t>UMEÅ</t>
        </is>
      </c>
      <c r="G395" t="n">
        <v>4.5</v>
      </c>
      <c r="H395" t="n">
        <v>0</v>
      </c>
      <c r="I395" t="n">
        <v>0</v>
      </c>
      <c r="J395" t="n">
        <v>0</v>
      </c>
      <c r="K395" t="n">
        <v>0</v>
      </c>
      <c r="L395" t="n">
        <v>0</v>
      </c>
      <c r="M395" t="n">
        <v>0</v>
      </c>
      <c r="N395" t="n">
        <v>0</v>
      </c>
      <c r="O395" t="n">
        <v>0</v>
      </c>
      <c r="P395" t="n">
        <v>0</v>
      </c>
      <c r="Q395" t="n">
        <v>0</v>
      </c>
      <c r="R395" s="2" t="inlineStr"/>
    </row>
    <row r="396" ht="15" customHeight="1">
      <c r="A396" t="inlineStr">
        <is>
          <t>A 39233-2025</t>
        </is>
      </c>
      <c r="B396" s="1" t="n">
        <v>45889</v>
      </c>
      <c r="C396" s="1" t="n">
        <v>46083</v>
      </c>
      <c r="D396" t="inlineStr">
        <is>
          <t>VÄSTERBOTTENS LÄN</t>
        </is>
      </c>
      <c r="E396" t="inlineStr">
        <is>
          <t>UMEÅ</t>
        </is>
      </c>
      <c r="G396" t="n">
        <v>7.7</v>
      </c>
      <c r="H396" t="n">
        <v>0</v>
      </c>
      <c r="I396" t="n">
        <v>0</v>
      </c>
      <c r="J396" t="n">
        <v>0</v>
      </c>
      <c r="K396" t="n">
        <v>0</v>
      </c>
      <c r="L396" t="n">
        <v>0</v>
      </c>
      <c r="M396" t="n">
        <v>0</v>
      </c>
      <c r="N396" t="n">
        <v>0</v>
      </c>
      <c r="O396" t="n">
        <v>0</v>
      </c>
      <c r="P396" t="n">
        <v>0</v>
      </c>
      <c r="Q396" t="n">
        <v>0</v>
      </c>
      <c r="R396" s="2" t="inlineStr"/>
    </row>
    <row r="397" ht="15" customHeight="1">
      <c r="A397" t="inlineStr">
        <is>
          <t>A 29704-2025</t>
        </is>
      </c>
      <c r="B397" s="1" t="n">
        <v>45825.55847222222</v>
      </c>
      <c r="C397" s="1" t="n">
        <v>46083</v>
      </c>
      <c r="D397" t="inlineStr">
        <is>
          <t>VÄSTERBOTTENS LÄN</t>
        </is>
      </c>
      <c r="E397" t="inlineStr">
        <is>
          <t>UMEÅ</t>
        </is>
      </c>
      <c r="F397" t="inlineStr">
        <is>
          <t>Holmen skog AB</t>
        </is>
      </c>
      <c r="G397" t="n">
        <v>35.1</v>
      </c>
      <c r="H397" t="n">
        <v>0</v>
      </c>
      <c r="I397" t="n">
        <v>0</v>
      </c>
      <c r="J397" t="n">
        <v>0</v>
      </c>
      <c r="K397" t="n">
        <v>0</v>
      </c>
      <c r="L397" t="n">
        <v>0</v>
      </c>
      <c r="M397" t="n">
        <v>0</v>
      </c>
      <c r="N397" t="n">
        <v>0</v>
      </c>
      <c r="O397" t="n">
        <v>0</v>
      </c>
      <c r="P397" t="n">
        <v>0</v>
      </c>
      <c r="Q397" t="n">
        <v>0</v>
      </c>
      <c r="R397" s="2" t="inlineStr"/>
    </row>
    <row r="398" ht="15" customHeight="1">
      <c r="A398" t="inlineStr">
        <is>
          <t>A 9607-2023</t>
        </is>
      </c>
      <c r="B398" s="1" t="n">
        <v>44983</v>
      </c>
      <c r="C398" s="1" t="n">
        <v>46083</v>
      </c>
      <c r="D398" t="inlineStr">
        <is>
          <t>VÄSTERBOTTENS LÄN</t>
        </is>
      </c>
      <c r="E398" t="inlineStr">
        <is>
          <t>UMEÅ</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29502-2025</t>
        </is>
      </c>
      <c r="B399" s="1" t="n">
        <v>45825.29293981481</v>
      </c>
      <c r="C399" s="1" t="n">
        <v>46083</v>
      </c>
      <c r="D399" t="inlineStr">
        <is>
          <t>VÄSTERBOTTENS LÄN</t>
        </is>
      </c>
      <c r="E399" t="inlineStr">
        <is>
          <t>UMEÅ</t>
        </is>
      </c>
      <c r="F399" t="inlineStr">
        <is>
          <t>Holmen skog AB</t>
        </is>
      </c>
      <c r="G399" t="n">
        <v>5.8</v>
      </c>
      <c r="H399" t="n">
        <v>0</v>
      </c>
      <c r="I399" t="n">
        <v>0</v>
      </c>
      <c r="J399" t="n">
        <v>0</v>
      </c>
      <c r="K399" t="n">
        <v>0</v>
      </c>
      <c r="L399" t="n">
        <v>0</v>
      </c>
      <c r="M399" t="n">
        <v>0</v>
      </c>
      <c r="N399" t="n">
        <v>0</v>
      </c>
      <c r="O399" t="n">
        <v>0</v>
      </c>
      <c r="P399" t="n">
        <v>0</v>
      </c>
      <c r="Q399" t="n">
        <v>0</v>
      </c>
      <c r="R399" s="2" t="inlineStr"/>
    </row>
    <row r="400" ht="15" customHeight="1">
      <c r="A400" t="inlineStr">
        <is>
          <t>A 56743-2023</t>
        </is>
      </c>
      <c r="B400" s="1" t="n">
        <v>45244</v>
      </c>
      <c r="C400" s="1" t="n">
        <v>46083</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40928-2025</t>
        </is>
      </c>
      <c r="B401" s="1" t="n">
        <v>45897.6433912037</v>
      </c>
      <c r="C401" s="1" t="n">
        <v>46083</v>
      </c>
      <c r="D401" t="inlineStr">
        <is>
          <t>VÄSTERBOTTENS LÄN</t>
        </is>
      </c>
      <c r="E401" t="inlineStr">
        <is>
          <t>UMEÅ</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40924-2025</t>
        </is>
      </c>
      <c r="B402" s="1" t="n">
        <v>45897.63927083334</v>
      </c>
      <c r="C402" s="1" t="n">
        <v>46083</v>
      </c>
      <c r="D402" t="inlineStr">
        <is>
          <t>VÄSTERBOTTENS LÄN</t>
        </is>
      </c>
      <c r="E402" t="inlineStr">
        <is>
          <t>UMEÅ</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30263-2025</t>
        </is>
      </c>
      <c r="B403" s="1" t="n">
        <v>45827.43445601852</v>
      </c>
      <c r="C403" s="1" t="n">
        <v>46083</v>
      </c>
      <c r="D403" t="inlineStr">
        <is>
          <t>VÄSTERBOTTENS LÄN</t>
        </is>
      </c>
      <c r="E403" t="inlineStr">
        <is>
          <t>UMEÅ</t>
        </is>
      </c>
      <c r="G403" t="n">
        <v>2.2</v>
      </c>
      <c r="H403" t="n">
        <v>0</v>
      </c>
      <c r="I403" t="n">
        <v>0</v>
      </c>
      <c r="J403" t="n">
        <v>0</v>
      </c>
      <c r="K403" t="n">
        <v>0</v>
      </c>
      <c r="L403" t="n">
        <v>0</v>
      </c>
      <c r="M403" t="n">
        <v>0</v>
      </c>
      <c r="N403" t="n">
        <v>0</v>
      </c>
      <c r="O403" t="n">
        <v>0</v>
      </c>
      <c r="P403" t="n">
        <v>0</v>
      </c>
      <c r="Q403" t="n">
        <v>0</v>
      </c>
      <c r="R403" s="2" t="inlineStr"/>
    </row>
    <row r="404" ht="15" customHeight="1">
      <c r="A404" t="inlineStr">
        <is>
          <t>A 17344-2025</t>
        </is>
      </c>
      <c r="B404" s="1" t="n">
        <v>45756.67138888889</v>
      </c>
      <c r="C404" s="1" t="n">
        <v>46083</v>
      </c>
      <c r="D404" t="inlineStr">
        <is>
          <t>VÄSTERBOTTENS LÄN</t>
        </is>
      </c>
      <c r="E404" t="inlineStr">
        <is>
          <t>UMEÅ</t>
        </is>
      </c>
      <c r="G404" t="n">
        <v>3.3</v>
      </c>
      <c r="H404" t="n">
        <v>0</v>
      </c>
      <c r="I404" t="n">
        <v>0</v>
      </c>
      <c r="J404" t="n">
        <v>0</v>
      </c>
      <c r="K404" t="n">
        <v>0</v>
      </c>
      <c r="L404" t="n">
        <v>0</v>
      </c>
      <c r="M404" t="n">
        <v>0</v>
      </c>
      <c r="N404" t="n">
        <v>0</v>
      </c>
      <c r="O404" t="n">
        <v>0</v>
      </c>
      <c r="P404" t="n">
        <v>0</v>
      </c>
      <c r="Q404" t="n">
        <v>0</v>
      </c>
      <c r="R404" s="2" t="inlineStr"/>
    </row>
    <row r="405" ht="15" customHeight="1">
      <c r="A405" t="inlineStr">
        <is>
          <t>A 41466-2025</t>
        </is>
      </c>
      <c r="B405" s="1" t="n">
        <v>45901</v>
      </c>
      <c r="C405" s="1" t="n">
        <v>46083</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41751-2025</t>
        </is>
      </c>
      <c r="B406" s="1" t="n">
        <v>45902</v>
      </c>
      <c r="C406" s="1" t="n">
        <v>46083</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46083</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43973-2024</t>
        </is>
      </c>
      <c r="B408" s="1" t="n">
        <v>45572.49059027778</v>
      </c>
      <c r="C408" s="1" t="n">
        <v>46083</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12141-2025</t>
        </is>
      </c>
      <c r="B409" s="1" t="n">
        <v>45729.40373842593</v>
      </c>
      <c r="C409" s="1" t="n">
        <v>46083</v>
      </c>
      <c r="D409" t="inlineStr">
        <is>
          <t>VÄSTERBOTTENS LÄN</t>
        </is>
      </c>
      <c r="E409" t="inlineStr">
        <is>
          <t>UMEÅ</t>
        </is>
      </c>
      <c r="G409" t="n">
        <v>6.6</v>
      </c>
      <c r="H409" t="n">
        <v>0</v>
      </c>
      <c r="I409" t="n">
        <v>0</v>
      </c>
      <c r="J409" t="n">
        <v>0</v>
      </c>
      <c r="K409" t="n">
        <v>0</v>
      </c>
      <c r="L409" t="n">
        <v>0</v>
      </c>
      <c r="M409" t="n">
        <v>0</v>
      </c>
      <c r="N409" t="n">
        <v>0</v>
      </c>
      <c r="O409" t="n">
        <v>0</v>
      </c>
      <c r="P409" t="n">
        <v>0</v>
      </c>
      <c r="Q409" t="n">
        <v>0</v>
      </c>
      <c r="R409" s="2" t="inlineStr"/>
    </row>
    <row r="410" ht="15" customHeight="1">
      <c r="A410" t="inlineStr">
        <is>
          <t>A 46122-2024</t>
        </is>
      </c>
      <c r="B410" s="1" t="n">
        <v>45581.41333333333</v>
      </c>
      <c r="C410" s="1" t="n">
        <v>46083</v>
      </c>
      <c r="D410" t="inlineStr">
        <is>
          <t>VÄSTERBOTTENS LÄN</t>
        </is>
      </c>
      <c r="E410" t="inlineStr">
        <is>
          <t>UMEÅ</t>
        </is>
      </c>
      <c r="G410" t="n">
        <v>3.2</v>
      </c>
      <c r="H410" t="n">
        <v>0</v>
      </c>
      <c r="I410" t="n">
        <v>0</v>
      </c>
      <c r="J410" t="n">
        <v>0</v>
      </c>
      <c r="K410" t="n">
        <v>0</v>
      </c>
      <c r="L410" t="n">
        <v>0</v>
      </c>
      <c r="M410" t="n">
        <v>0</v>
      </c>
      <c r="N410" t="n">
        <v>0</v>
      </c>
      <c r="O410" t="n">
        <v>0</v>
      </c>
      <c r="P410" t="n">
        <v>0</v>
      </c>
      <c r="Q410" t="n">
        <v>0</v>
      </c>
      <c r="R410" s="2" t="inlineStr"/>
    </row>
    <row r="411" ht="15" customHeight="1">
      <c r="A411" t="inlineStr">
        <is>
          <t>A 15105-2024</t>
        </is>
      </c>
      <c r="B411" s="1" t="n">
        <v>45399</v>
      </c>
      <c r="C411" s="1" t="n">
        <v>46083</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31928-2024</t>
        </is>
      </c>
      <c r="B412" s="1" t="n">
        <v>45510.40539351852</v>
      </c>
      <c r="C412" s="1" t="n">
        <v>46083</v>
      </c>
      <c r="D412" t="inlineStr">
        <is>
          <t>VÄSTERBOTTENS LÄN</t>
        </is>
      </c>
      <c r="E412" t="inlineStr">
        <is>
          <t>UMEÅ</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41732-2023</t>
        </is>
      </c>
      <c r="B413" s="1" t="n">
        <v>45176</v>
      </c>
      <c r="C413" s="1" t="n">
        <v>46083</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30803-2025</t>
        </is>
      </c>
      <c r="B414" s="1" t="n">
        <v>45831.65424768518</v>
      </c>
      <c r="C414" s="1" t="n">
        <v>46083</v>
      </c>
      <c r="D414" t="inlineStr">
        <is>
          <t>VÄSTERBOTTENS LÄN</t>
        </is>
      </c>
      <c r="E414" t="inlineStr">
        <is>
          <t>UMEÅ</t>
        </is>
      </c>
      <c r="G414" t="n">
        <v>6.3</v>
      </c>
      <c r="H414" t="n">
        <v>0</v>
      </c>
      <c r="I414" t="n">
        <v>0</v>
      </c>
      <c r="J414" t="n">
        <v>0</v>
      </c>
      <c r="K414" t="n">
        <v>0</v>
      </c>
      <c r="L414" t="n">
        <v>0</v>
      </c>
      <c r="M414" t="n">
        <v>0</v>
      </c>
      <c r="N414" t="n">
        <v>0</v>
      </c>
      <c r="O414" t="n">
        <v>0</v>
      </c>
      <c r="P414" t="n">
        <v>0</v>
      </c>
      <c r="Q414" t="n">
        <v>0</v>
      </c>
      <c r="R414" s="2" t="inlineStr"/>
    </row>
    <row r="415" ht="15" customHeight="1">
      <c r="A415" t="inlineStr">
        <is>
          <t>A 15376-2025</t>
        </is>
      </c>
      <c r="B415" s="1" t="n">
        <v>45747.40657407408</v>
      </c>
      <c r="C415" s="1" t="n">
        <v>46083</v>
      </c>
      <c r="D415" t="inlineStr">
        <is>
          <t>VÄSTERBOTTENS LÄN</t>
        </is>
      </c>
      <c r="E415" t="inlineStr">
        <is>
          <t>UMEÅ</t>
        </is>
      </c>
      <c r="G415" t="n">
        <v>4.1</v>
      </c>
      <c r="H415" t="n">
        <v>0</v>
      </c>
      <c r="I415" t="n">
        <v>0</v>
      </c>
      <c r="J415" t="n">
        <v>0</v>
      </c>
      <c r="K415" t="n">
        <v>0</v>
      </c>
      <c r="L415" t="n">
        <v>0</v>
      </c>
      <c r="M415" t="n">
        <v>0</v>
      </c>
      <c r="N415" t="n">
        <v>0</v>
      </c>
      <c r="O415" t="n">
        <v>0</v>
      </c>
      <c r="P415" t="n">
        <v>0</v>
      </c>
      <c r="Q415" t="n">
        <v>0</v>
      </c>
      <c r="R415" s="2" t="inlineStr"/>
    </row>
    <row r="416" ht="15" customHeight="1">
      <c r="A416" t="inlineStr">
        <is>
          <t>A 25689-2025</t>
        </is>
      </c>
      <c r="B416" s="1" t="n">
        <v>45803.66111111111</v>
      </c>
      <c r="C416" s="1" t="n">
        <v>46083</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29655-2024</t>
        </is>
      </c>
      <c r="B417" s="1" t="n">
        <v>45484</v>
      </c>
      <c r="C417" s="1" t="n">
        <v>46083</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42204-2025</t>
        </is>
      </c>
      <c r="B418" s="1" t="n">
        <v>45904.49043981481</v>
      </c>
      <c r="C418" s="1" t="n">
        <v>46083</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42198-2025</t>
        </is>
      </c>
      <c r="B419" s="1" t="n">
        <v>45904.48623842592</v>
      </c>
      <c r="C419" s="1" t="n">
        <v>46083</v>
      </c>
      <c r="D419" t="inlineStr">
        <is>
          <t>VÄSTERBOTTENS LÄN</t>
        </is>
      </c>
      <c r="E419" t="inlineStr">
        <is>
          <t>UMEÅ</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42476-2025</t>
        </is>
      </c>
      <c r="B420" s="1" t="n">
        <v>45904</v>
      </c>
      <c r="C420" s="1" t="n">
        <v>46083</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33049-2025</t>
        </is>
      </c>
      <c r="B421" s="1" t="n">
        <v>45840.42099537037</v>
      </c>
      <c r="C421" s="1" t="n">
        <v>46083</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50879-2023</t>
        </is>
      </c>
      <c r="B422" s="1" t="n">
        <v>45211</v>
      </c>
      <c r="C422" s="1" t="n">
        <v>46083</v>
      </c>
      <c r="D422" t="inlineStr">
        <is>
          <t>VÄSTERBOTTENS LÄN</t>
        </is>
      </c>
      <c r="E422" t="inlineStr">
        <is>
          <t>UMEÅ</t>
        </is>
      </c>
      <c r="G422" t="n">
        <v>2.7</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46083</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31037-2025</t>
        </is>
      </c>
      <c r="B424" s="1" t="n">
        <v>45832.54769675926</v>
      </c>
      <c r="C424" s="1" t="n">
        <v>46083</v>
      </c>
      <c r="D424" t="inlineStr">
        <is>
          <t>VÄSTERBOTTENS LÄN</t>
        </is>
      </c>
      <c r="E424" t="inlineStr">
        <is>
          <t>UMEÅ</t>
        </is>
      </c>
      <c r="G424" t="n">
        <v>5</v>
      </c>
      <c r="H424" t="n">
        <v>0</v>
      </c>
      <c r="I424" t="n">
        <v>0</v>
      </c>
      <c r="J424" t="n">
        <v>0</v>
      </c>
      <c r="K424" t="n">
        <v>0</v>
      </c>
      <c r="L424" t="n">
        <v>0</v>
      </c>
      <c r="M424" t="n">
        <v>0</v>
      </c>
      <c r="N424" t="n">
        <v>0</v>
      </c>
      <c r="O424" t="n">
        <v>0</v>
      </c>
      <c r="P424" t="n">
        <v>0</v>
      </c>
      <c r="Q424" t="n">
        <v>0</v>
      </c>
      <c r="R424" s="2" t="inlineStr"/>
    </row>
    <row r="425" ht="15" customHeight="1">
      <c r="A425" t="inlineStr">
        <is>
          <t>A 31154-2025</t>
        </is>
      </c>
      <c r="B425" s="1" t="n">
        <v>45832.64778935185</v>
      </c>
      <c r="C425" s="1" t="n">
        <v>46083</v>
      </c>
      <c r="D425" t="inlineStr">
        <is>
          <t>VÄSTERBOTTENS LÄN</t>
        </is>
      </c>
      <c r="E425" t="inlineStr">
        <is>
          <t>UMEÅ</t>
        </is>
      </c>
      <c r="F425" t="inlineStr">
        <is>
          <t>Holmen skog AB</t>
        </is>
      </c>
      <c r="G425" t="n">
        <v>28.5</v>
      </c>
      <c r="H425" t="n">
        <v>0</v>
      </c>
      <c r="I425" t="n">
        <v>0</v>
      </c>
      <c r="J425" t="n">
        <v>0</v>
      </c>
      <c r="K425" t="n">
        <v>0</v>
      </c>
      <c r="L425" t="n">
        <v>0</v>
      </c>
      <c r="M425" t="n">
        <v>0</v>
      </c>
      <c r="N425" t="n">
        <v>0</v>
      </c>
      <c r="O425" t="n">
        <v>0</v>
      </c>
      <c r="P425" t="n">
        <v>0</v>
      </c>
      <c r="Q425" t="n">
        <v>0</v>
      </c>
      <c r="R425" s="2" t="inlineStr"/>
    </row>
    <row r="426" ht="15" customHeight="1">
      <c r="A426" t="inlineStr">
        <is>
          <t>A 42176-2025</t>
        </is>
      </c>
      <c r="B426" s="1" t="n">
        <v>45904.44513888889</v>
      </c>
      <c r="C426" s="1" t="n">
        <v>46083</v>
      </c>
      <c r="D426" t="inlineStr">
        <is>
          <t>VÄSTERBOTTENS LÄN</t>
        </is>
      </c>
      <c r="E426" t="inlineStr">
        <is>
          <t>UMEÅ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30645-2025</t>
        </is>
      </c>
      <c r="B427" s="1" t="n">
        <v>45831.48987268518</v>
      </c>
      <c r="C427" s="1" t="n">
        <v>46083</v>
      </c>
      <c r="D427" t="inlineStr">
        <is>
          <t>VÄSTERBOTTENS LÄN</t>
        </is>
      </c>
      <c r="E427" t="inlineStr">
        <is>
          <t>UMEÅ</t>
        </is>
      </c>
      <c r="G427" t="n">
        <v>1.5</v>
      </c>
      <c r="H427" t="n">
        <v>0</v>
      </c>
      <c r="I427" t="n">
        <v>0</v>
      </c>
      <c r="J427" t="n">
        <v>0</v>
      </c>
      <c r="K427" t="n">
        <v>0</v>
      </c>
      <c r="L427" t="n">
        <v>0</v>
      </c>
      <c r="M427" t="n">
        <v>0</v>
      </c>
      <c r="N427" t="n">
        <v>0</v>
      </c>
      <c r="O427" t="n">
        <v>0</v>
      </c>
      <c r="P427" t="n">
        <v>0</v>
      </c>
      <c r="Q427" t="n">
        <v>0</v>
      </c>
      <c r="R427" s="2" t="inlineStr"/>
    </row>
    <row r="428" ht="15" customHeight="1">
      <c r="A428" t="inlineStr">
        <is>
          <t>A 30960-2025</t>
        </is>
      </c>
      <c r="B428" s="1" t="n">
        <v>45832.44204861111</v>
      </c>
      <c r="C428" s="1" t="n">
        <v>46083</v>
      </c>
      <c r="D428" t="inlineStr">
        <is>
          <t>VÄSTERBOTTENS LÄN</t>
        </is>
      </c>
      <c r="E428" t="inlineStr">
        <is>
          <t>UMEÅ</t>
        </is>
      </c>
      <c r="G428" t="n">
        <v>4</v>
      </c>
      <c r="H428" t="n">
        <v>0</v>
      </c>
      <c r="I428" t="n">
        <v>0</v>
      </c>
      <c r="J428" t="n">
        <v>0</v>
      </c>
      <c r="K428" t="n">
        <v>0</v>
      </c>
      <c r="L428" t="n">
        <v>0</v>
      </c>
      <c r="M428" t="n">
        <v>0</v>
      </c>
      <c r="N428" t="n">
        <v>0</v>
      </c>
      <c r="O428" t="n">
        <v>0</v>
      </c>
      <c r="P428" t="n">
        <v>0</v>
      </c>
      <c r="Q428" t="n">
        <v>0</v>
      </c>
      <c r="R428" s="2" t="inlineStr"/>
    </row>
    <row r="429" ht="15" customHeight="1">
      <c r="A429" t="inlineStr">
        <is>
          <t>A 11061-2025</t>
        </is>
      </c>
      <c r="B429" s="1" t="n">
        <v>45723.51538194445</v>
      </c>
      <c r="C429" s="1" t="n">
        <v>46083</v>
      </c>
      <c r="D429" t="inlineStr">
        <is>
          <t>VÄSTERBOTTENS LÄN</t>
        </is>
      </c>
      <c r="E429" t="inlineStr">
        <is>
          <t>UMEÅ</t>
        </is>
      </c>
      <c r="G429" t="n">
        <v>1.8</v>
      </c>
      <c r="H429" t="n">
        <v>0</v>
      </c>
      <c r="I429" t="n">
        <v>0</v>
      </c>
      <c r="J429" t="n">
        <v>0</v>
      </c>
      <c r="K429" t="n">
        <v>0</v>
      </c>
      <c r="L429" t="n">
        <v>0</v>
      </c>
      <c r="M429" t="n">
        <v>0</v>
      </c>
      <c r="N429" t="n">
        <v>0</v>
      </c>
      <c r="O429" t="n">
        <v>0</v>
      </c>
      <c r="P429" t="n">
        <v>0</v>
      </c>
      <c r="Q429" t="n">
        <v>0</v>
      </c>
      <c r="R429" s="2" t="inlineStr"/>
    </row>
    <row r="430" ht="15" customHeight="1">
      <c r="A430" t="inlineStr">
        <is>
          <t>A 31599-2025</t>
        </is>
      </c>
      <c r="B430" s="1" t="n">
        <v>45833.72009259259</v>
      </c>
      <c r="C430" s="1" t="n">
        <v>46083</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42649-2024</t>
        </is>
      </c>
      <c r="B431" s="1" t="n">
        <v>45566</v>
      </c>
      <c r="C431" s="1" t="n">
        <v>46083</v>
      </c>
      <c r="D431" t="inlineStr">
        <is>
          <t>VÄSTERBOTTENS LÄN</t>
        </is>
      </c>
      <c r="E431" t="inlineStr">
        <is>
          <t>UMEÅ</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42617-2025</t>
        </is>
      </c>
      <c r="B432" s="1" t="n">
        <v>45905.71921296296</v>
      </c>
      <c r="C432" s="1" t="n">
        <v>46083</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18889-2025</t>
        </is>
      </c>
      <c r="B433" s="1" t="n">
        <v>45764.44584490741</v>
      </c>
      <c r="C433" s="1" t="n">
        <v>46083</v>
      </c>
      <c r="D433" t="inlineStr">
        <is>
          <t>VÄSTERBOTTENS LÄN</t>
        </is>
      </c>
      <c r="E433" t="inlineStr">
        <is>
          <t>UMEÅ</t>
        </is>
      </c>
      <c r="F433" t="inlineStr">
        <is>
          <t>Holmen skog AB</t>
        </is>
      </c>
      <c r="G433" t="n">
        <v>8.1</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46083</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13821-2025</t>
        </is>
      </c>
      <c r="B435" s="1" t="n">
        <v>45737.53157407408</v>
      </c>
      <c r="C435" s="1" t="n">
        <v>46083</v>
      </c>
      <c r="D435" t="inlineStr">
        <is>
          <t>VÄSTERBOTTENS LÄN</t>
        </is>
      </c>
      <c r="E435" t="inlineStr">
        <is>
          <t>UMEÅ</t>
        </is>
      </c>
      <c r="G435" t="n">
        <v>7.1</v>
      </c>
      <c r="H435" t="n">
        <v>0</v>
      </c>
      <c r="I435" t="n">
        <v>0</v>
      </c>
      <c r="J435" t="n">
        <v>0</v>
      </c>
      <c r="K435" t="n">
        <v>0</v>
      </c>
      <c r="L435" t="n">
        <v>0</v>
      </c>
      <c r="M435" t="n">
        <v>0</v>
      </c>
      <c r="N435" t="n">
        <v>0</v>
      </c>
      <c r="O435" t="n">
        <v>0</v>
      </c>
      <c r="P435" t="n">
        <v>0</v>
      </c>
      <c r="Q435" t="n">
        <v>0</v>
      </c>
      <c r="R435" s="2" t="inlineStr"/>
    </row>
    <row r="436" ht="15" customHeight="1">
      <c r="A436" t="inlineStr">
        <is>
          <t>A 31859-2025</t>
        </is>
      </c>
      <c r="B436" s="1" t="n">
        <v>45834.6284375</v>
      </c>
      <c r="C436" s="1" t="n">
        <v>46083</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31241-2025</t>
        </is>
      </c>
      <c r="B437" s="1" t="n">
        <v>45832.86366898148</v>
      </c>
      <c r="C437" s="1" t="n">
        <v>46083</v>
      </c>
      <c r="D437" t="inlineStr">
        <is>
          <t>VÄSTERBOTTENS LÄN</t>
        </is>
      </c>
      <c r="E437" t="inlineStr">
        <is>
          <t>UMEÅ</t>
        </is>
      </c>
      <c r="F437" t="inlineStr">
        <is>
          <t>Holmen skog AB</t>
        </is>
      </c>
      <c r="G437" t="n">
        <v>3.4</v>
      </c>
      <c r="H437" t="n">
        <v>0</v>
      </c>
      <c r="I437" t="n">
        <v>0</v>
      </c>
      <c r="J437" t="n">
        <v>0</v>
      </c>
      <c r="K437" t="n">
        <v>0</v>
      </c>
      <c r="L437" t="n">
        <v>0</v>
      </c>
      <c r="M437" t="n">
        <v>0</v>
      </c>
      <c r="N437" t="n">
        <v>0</v>
      </c>
      <c r="O437" t="n">
        <v>0</v>
      </c>
      <c r="P437" t="n">
        <v>0</v>
      </c>
      <c r="Q437" t="n">
        <v>0</v>
      </c>
      <c r="R437" s="2" t="inlineStr"/>
    </row>
    <row r="438" ht="15" customHeight="1">
      <c r="A438" t="inlineStr">
        <is>
          <t>A 42854-2025</t>
        </is>
      </c>
      <c r="B438" s="1" t="n">
        <v>45908.60465277778</v>
      </c>
      <c r="C438" s="1" t="n">
        <v>46083</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32522-2025</t>
        </is>
      </c>
      <c r="B439" s="1" t="n">
        <v>45838.48564814815</v>
      </c>
      <c r="C439" s="1" t="n">
        <v>46083</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13745-2021</t>
        </is>
      </c>
      <c r="B440" s="1" t="n">
        <v>44274</v>
      </c>
      <c r="C440" s="1" t="n">
        <v>46083</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49055-2024</t>
        </is>
      </c>
      <c r="B441" s="1" t="n">
        <v>45594</v>
      </c>
      <c r="C441" s="1" t="n">
        <v>46083</v>
      </c>
      <c r="D441" t="inlineStr">
        <is>
          <t>VÄSTERBOTTENS LÄN</t>
        </is>
      </c>
      <c r="E441" t="inlineStr">
        <is>
          <t>UMEÅ</t>
        </is>
      </c>
      <c r="G441" t="n">
        <v>11.4</v>
      </c>
      <c r="H441" t="n">
        <v>0</v>
      </c>
      <c r="I441" t="n">
        <v>0</v>
      </c>
      <c r="J441" t="n">
        <v>0</v>
      </c>
      <c r="K441" t="n">
        <v>0</v>
      </c>
      <c r="L441" t="n">
        <v>0</v>
      </c>
      <c r="M441" t="n">
        <v>0</v>
      </c>
      <c r="N441" t="n">
        <v>0</v>
      </c>
      <c r="O441" t="n">
        <v>0</v>
      </c>
      <c r="P441" t="n">
        <v>0</v>
      </c>
      <c r="Q441" t="n">
        <v>0</v>
      </c>
      <c r="R441" s="2" t="inlineStr"/>
    </row>
    <row r="442" ht="15" customHeight="1">
      <c r="A442" t="inlineStr">
        <is>
          <t>A 32125-2025</t>
        </is>
      </c>
      <c r="B442" s="1" t="n">
        <v>45835.49601851852</v>
      </c>
      <c r="C442" s="1" t="n">
        <v>46083</v>
      </c>
      <c r="D442" t="inlineStr">
        <is>
          <t>VÄSTERBOTTENS LÄN</t>
        </is>
      </c>
      <c r="E442" t="inlineStr">
        <is>
          <t>UMEÅ</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62721-2023</t>
        </is>
      </c>
      <c r="B443" s="1" t="n">
        <v>45271</v>
      </c>
      <c r="C443" s="1" t="n">
        <v>46083</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57410-2024</t>
        </is>
      </c>
      <c r="B444" s="1" t="n">
        <v>45629</v>
      </c>
      <c r="C444" s="1" t="n">
        <v>46083</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43016-2025</t>
        </is>
      </c>
      <c r="B445" s="1" t="n">
        <v>45909.49864583334</v>
      </c>
      <c r="C445" s="1" t="n">
        <v>46083</v>
      </c>
      <c r="D445" t="inlineStr">
        <is>
          <t>VÄSTERBOTTENS LÄN</t>
        </is>
      </c>
      <c r="E445" t="inlineStr">
        <is>
          <t>UMEÅ</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46083</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16045-2021</t>
        </is>
      </c>
      <c r="B447" s="1" t="n">
        <v>44287.61318287037</v>
      </c>
      <c r="C447" s="1" t="n">
        <v>46083</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33198-2025</t>
        </is>
      </c>
      <c r="B448" s="1" t="n">
        <v>45840.6047800926</v>
      </c>
      <c r="C448" s="1" t="n">
        <v>46083</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33085-2025</t>
        </is>
      </c>
      <c r="B449" s="1" t="n">
        <v>45840.46704861111</v>
      </c>
      <c r="C449" s="1" t="n">
        <v>46083</v>
      </c>
      <c r="D449" t="inlineStr">
        <is>
          <t>VÄSTERBOTTENS LÄN</t>
        </is>
      </c>
      <c r="E449" t="inlineStr">
        <is>
          <t>UMEÅ</t>
        </is>
      </c>
      <c r="G449" t="n">
        <v>3.6</v>
      </c>
      <c r="H449" t="n">
        <v>0</v>
      </c>
      <c r="I449" t="n">
        <v>0</v>
      </c>
      <c r="J449" t="n">
        <v>0</v>
      </c>
      <c r="K449" t="n">
        <v>0</v>
      </c>
      <c r="L449" t="n">
        <v>0</v>
      </c>
      <c r="M449" t="n">
        <v>0</v>
      </c>
      <c r="N449" t="n">
        <v>0</v>
      </c>
      <c r="O449" t="n">
        <v>0</v>
      </c>
      <c r="P449" t="n">
        <v>0</v>
      </c>
      <c r="Q449" t="n">
        <v>0</v>
      </c>
      <c r="R449" s="2" t="inlineStr"/>
    </row>
    <row r="450" ht="15" customHeight="1">
      <c r="A450" t="inlineStr">
        <is>
          <t>A 33193-2025</t>
        </is>
      </c>
      <c r="B450" s="1" t="n">
        <v>45840.60122685185</v>
      </c>
      <c r="C450" s="1" t="n">
        <v>46083</v>
      </c>
      <c r="D450" t="inlineStr">
        <is>
          <t>VÄSTERBOTTENS LÄN</t>
        </is>
      </c>
      <c r="E450" t="inlineStr">
        <is>
          <t>UMEÅ</t>
        </is>
      </c>
      <c r="G450" t="n">
        <v>2.2</v>
      </c>
      <c r="H450" t="n">
        <v>0</v>
      </c>
      <c r="I450" t="n">
        <v>0</v>
      </c>
      <c r="J450" t="n">
        <v>0</v>
      </c>
      <c r="K450" t="n">
        <v>0</v>
      </c>
      <c r="L450" t="n">
        <v>0</v>
      </c>
      <c r="M450" t="n">
        <v>0</v>
      </c>
      <c r="N450" t="n">
        <v>0</v>
      </c>
      <c r="O450" t="n">
        <v>0</v>
      </c>
      <c r="P450" t="n">
        <v>0</v>
      </c>
      <c r="Q450" t="n">
        <v>0</v>
      </c>
      <c r="R450" s="2" t="inlineStr"/>
    </row>
    <row r="451" ht="15" customHeight="1">
      <c r="A451" t="inlineStr">
        <is>
          <t>A 33210-2025</t>
        </is>
      </c>
      <c r="B451" s="1" t="n">
        <v>45840.62734953704</v>
      </c>
      <c r="C451" s="1" t="n">
        <v>46083</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42939-2025</t>
        </is>
      </c>
      <c r="B452" s="1" t="n">
        <v>45909</v>
      </c>
      <c r="C452" s="1" t="n">
        <v>46083</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7635-2024</t>
        </is>
      </c>
      <c r="B453" s="1" t="n">
        <v>45348.62467592592</v>
      </c>
      <c r="C453" s="1" t="n">
        <v>46083</v>
      </c>
      <c r="D453" t="inlineStr">
        <is>
          <t>VÄSTERBOTTENS LÄN</t>
        </is>
      </c>
      <c r="E453" t="inlineStr">
        <is>
          <t>UMEÅ</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14734-2023</t>
        </is>
      </c>
      <c r="B454" s="1" t="n">
        <v>45013</v>
      </c>
      <c r="C454" s="1" t="n">
        <v>46083</v>
      </c>
      <c r="D454" t="inlineStr">
        <is>
          <t>VÄSTERBOTTENS LÄN</t>
        </is>
      </c>
      <c r="E454" t="inlineStr">
        <is>
          <t>UMEÅ</t>
        </is>
      </c>
      <c r="G454" t="n">
        <v>14.4</v>
      </c>
      <c r="H454" t="n">
        <v>0</v>
      </c>
      <c r="I454" t="n">
        <v>0</v>
      </c>
      <c r="J454" t="n">
        <v>0</v>
      </c>
      <c r="K454" t="n">
        <v>0</v>
      </c>
      <c r="L454" t="n">
        <v>0</v>
      </c>
      <c r="M454" t="n">
        <v>0</v>
      </c>
      <c r="N454" t="n">
        <v>0</v>
      </c>
      <c r="O454" t="n">
        <v>0</v>
      </c>
      <c r="P454" t="n">
        <v>0</v>
      </c>
      <c r="Q454" t="n">
        <v>0</v>
      </c>
      <c r="R454" s="2" t="inlineStr"/>
    </row>
    <row r="455" ht="15" customHeight="1">
      <c r="A455" t="inlineStr">
        <is>
          <t>A 30053-2025</t>
        </is>
      </c>
      <c r="B455" s="1" t="n">
        <v>45826.60013888889</v>
      </c>
      <c r="C455" s="1" t="n">
        <v>46083</v>
      </c>
      <c r="D455" t="inlineStr">
        <is>
          <t>VÄSTERBOTTENS LÄN</t>
        </is>
      </c>
      <c r="E455" t="inlineStr">
        <is>
          <t>UMEÅ</t>
        </is>
      </c>
      <c r="G455" t="n">
        <v>5.5</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46083</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56749-2023</t>
        </is>
      </c>
      <c r="B457" s="1" t="n">
        <v>45244</v>
      </c>
      <c r="C457" s="1" t="n">
        <v>46083</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46028-2024</t>
        </is>
      </c>
      <c r="B458" s="1" t="n">
        <v>45580.70097222222</v>
      </c>
      <c r="C458" s="1" t="n">
        <v>46083</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33795-2025</t>
        </is>
      </c>
      <c r="B459" s="1" t="n">
        <v>45842.43515046296</v>
      </c>
      <c r="C459" s="1" t="n">
        <v>46083</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14091-2023</t>
        </is>
      </c>
      <c r="B460" s="1" t="n">
        <v>45007</v>
      </c>
      <c r="C460" s="1" t="n">
        <v>46083</v>
      </c>
      <c r="D460" t="inlineStr">
        <is>
          <t>VÄSTERBOTTENS LÄN</t>
        </is>
      </c>
      <c r="E460" t="inlineStr">
        <is>
          <t>UMEÅ</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55856-2024</t>
        </is>
      </c>
      <c r="B461" s="1" t="n">
        <v>45623</v>
      </c>
      <c r="C461" s="1" t="n">
        <v>46083</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46083</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46083</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60323-2024</t>
        </is>
      </c>
      <c r="B464" s="1" t="n">
        <v>45641</v>
      </c>
      <c r="C464" s="1" t="n">
        <v>46083</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34290-2025</t>
        </is>
      </c>
      <c r="B465" s="1" t="n">
        <v>45846.33505787037</v>
      </c>
      <c r="C465" s="1" t="n">
        <v>46083</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46083</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58284-2021</t>
        </is>
      </c>
      <c r="B467" s="1" t="n">
        <v>44487.97035879629</v>
      </c>
      <c r="C467" s="1" t="n">
        <v>46083</v>
      </c>
      <c r="D467" t="inlineStr">
        <is>
          <t>VÄSTERBOTTENS LÄN</t>
        </is>
      </c>
      <c r="E467" t="inlineStr">
        <is>
          <t>UMEÅ</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18520-2023</t>
        </is>
      </c>
      <c r="B468" s="1" t="n">
        <v>45041</v>
      </c>
      <c r="C468" s="1" t="n">
        <v>46083</v>
      </c>
      <c r="D468" t="inlineStr">
        <is>
          <t>VÄSTERBOTTENS LÄN</t>
        </is>
      </c>
      <c r="E468" t="inlineStr">
        <is>
          <t>UMEÅ</t>
        </is>
      </c>
      <c r="F468" t="inlineStr">
        <is>
          <t>Kommuner</t>
        </is>
      </c>
      <c r="G468" t="n">
        <v>1.8</v>
      </c>
      <c r="H468" t="n">
        <v>0</v>
      </c>
      <c r="I468" t="n">
        <v>0</v>
      </c>
      <c r="J468" t="n">
        <v>0</v>
      </c>
      <c r="K468" t="n">
        <v>0</v>
      </c>
      <c r="L468" t="n">
        <v>0</v>
      </c>
      <c r="M468" t="n">
        <v>0</v>
      </c>
      <c r="N468" t="n">
        <v>0</v>
      </c>
      <c r="O468" t="n">
        <v>0</v>
      </c>
      <c r="P468" t="n">
        <v>0</v>
      </c>
      <c r="Q468" t="n">
        <v>0</v>
      </c>
      <c r="R468" s="2" t="inlineStr"/>
    </row>
    <row r="469" ht="15" customHeight="1">
      <c r="A469" t="inlineStr">
        <is>
          <t>A 18527-2023</t>
        </is>
      </c>
      <c r="B469" s="1" t="n">
        <v>45041</v>
      </c>
      <c r="C469" s="1" t="n">
        <v>46083</v>
      </c>
      <c r="D469" t="inlineStr">
        <is>
          <t>VÄSTERBOTTENS LÄN</t>
        </is>
      </c>
      <c r="E469" t="inlineStr">
        <is>
          <t>UMEÅ</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43840-2025</t>
        </is>
      </c>
      <c r="B470" s="1" t="n">
        <v>45912.63535879629</v>
      </c>
      <c r="C470" s="1" t="n">
        <v>46083</v>
      </c>
      <c r="D470" t="inlineStr">
        <is>
          <t>VÄSTERBOTTENS LÄN</t>
        </is>
      </c>
      <c r="E470" t="inlineStr">
        <is>
          <t>UMEÅ</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34039-2025</t>
        </is>
      </c>
      <c r="B471" s="1" t="n">
        <v>45845.37259259259</v>
      </c>
      <c r="C471" s="1" t="n">
        <v>46083</v>
      </c>
      <c r="D471" t="inlineStr">
        <is>
          <t>VÄSTERBOTTENS LÄN</t>
        </is>
      </c>
      <c r="E471" t="inlineStr">
        <is>
          <t>UMEÅ</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34061-2025</t>
        </is>
      </c>
      <c r="B472" s="1" t="n">
        <v>45845.42341435186</v>
      </c>
      <c r="C472" s="1" t="n">
        <v>46083</v>
      </c>
      <c r="D472" t="inlineStr">
        <is>
          <t>VÄSTERBOTTENS LÄN</t>
        </is>
      </c>
      <c r="E472" t="inlineStr">
        <is>
          <t>UMEÅ</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43889-2025</t>
        </is>
      </c>
      <c r="B473" s="1" t="n">
        <v>45912.6982175926</v>
      </c>
      <c r="C473" s="1" t="n">
        <v>46083</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34774-2025</t>
        </is>
      </c>
      <c r="B474" s="1" t="n">
        <v>45848.65680555555</v>
      </c>
      <c r="C474" s="1" t="n">
        <v>46083</v>
      </c>
      <c r="D474" t="inlineStr">
        <is>
          <t>VÄSTERBOTTENS LÄN</t>
        </is>
      </c>
      <c r="E474" t="inlineStr">
        <is>
          <t>UMEÅ</t>
        </is>
      </c>
      <c r="G474" t="n">
        <v>21.6</v>
      </c>
      <c r="H474" t="n">
        <v>0</v>
      </c>
      <c r="I474" t="n">
        <v>0</v>
      </c>
      <c r="J474" t="n">
        <v>0</v>
      </c>
      <c r="K474" t="n">
        <v>0</v>
      </c>
      <c r="L474" t="n">
        <v>0</v>
      </c>
      <c r="M474" t="n">
        <v>0</v>
      </c>
      <c r="N474" t="n">
        <v>0</v>
      </c>
      <c r="O474" t="n">
        <v>0</v>
      </c>
      <c r="P474" t="n">
        <v>0</v>
      </c>
      <c r="Q474" t="n">
        <v>0</v>
      </c>
      <c r="R474" s="2" t="inlineStr"/>
    </row>
    <row r="475" ht="15" customHeight="1">
      <c r="A475" t="inlineStr">
        <is>
          <t>A 34787-2025</t>
        </is>
      </c>
      <c r="B475" s="1" t="n">
        <v>45848.67791666667</v>
      </c>
      <c r="C475" s="1" t="n">
        <v>46083</v>
      </c>
      <c r="D475" t="inlineStr">
        <is>
          <t>VÄSTERBOTTENS LÄN</t>
        </is>
      </c>
      <c r="E475" t="inlineStr">
        <is>
          <t>UMEÅ</t>
        </is>
      </c>
      <c r="G475" t="n">
        <v>8.6</v>
      </c>
      <c r="H475" t="n">
        <v>0</v>
      </c>
      <c r="I475" t="n">
        <v>0</v>
      </c>
      <c r="J475" t="n">
        <v>0</v>
      </c>
      <c r="K475" t="n">
        <v>0</v>
      </c>
      <c r="L475" t="n">
        <v>0</v>
      </c>
      <c r="M475" t="n">
        <v>0</v>
      </c>
      <c r="N475" t="n">
        <v>0</v>
      </c>
      <c r="O475" t="n">
        <v>0</v>
      </c>
      <c r="P475" t="n">
        <v>0</v>
      </c>
      <c r="Q475" t="n">
        <v>0</v>
      </c>
      <c r="R475" s="2" t="inlineStr"/>
    </row>
    <row r="476" ht="15" customHeight="1">
      <c r="A476" t="inlineStr">
        <is>
          <t>A 7774-2025</t>
        </is>
      </c>
      <c r="B476" s="1" t="n">
        <v>45706.57314814815</v>
      </c>
      <c r="C476" s="1" t="n">
        <v>46083</v>
      </c>
      <c r="D476" t="inlineStr">
        <is>
          <t>VÄSTERBOTTENS LÄN</t>
        </is>
      </c>
      <c r="E476" t="inlineStr">
        <is>
          <t>UMEÅ</t>
        </is>
      </c>
      <c r="G476" t="n">
        <v>2.6</v>
      </c>
      <c r="H476" t="n">
        <v>0</v>
      </c>
      <c r="I476" t="n">
        <v>0</v>
      </c>
      <c r="J476" t="n">
        <v>0</v>
      </c>
      <c r="K476" t="n">
        <v>0</v>
      </c>
      <c r="L476" t="n">
        <v>0</v>
      </c>
      <c r="M476" t="n">
        <v>0</v>
      </c>
      <c r="N476" t="n">
        <v>0</v>
      </c>
      <c r="O476" t="n">
        <v>0</v>
      </c>
      <c r="P476" t="n">
        <v>0</v>
      </c>
      <c r="Q476" t="n">
        <v>0</v>
      </c>
      <c r="R476" s="2" t="inlineStr"/>
    </row>
    <row r="477" ht="15" customHeight="1">
      <c r="A477" t="inlineStr">
        <is>
          <t>A 59735-2024</t>
        </is>
      </c>
      <c r="B477" s="1" t="n">
        <v>45639</v>
      </c>
      <c r="C477" s="1" t="n">
        <v>46083</v>
      </c>
      <c r="D477" t="inlineStr">
        <is>
          <t>VÄSTERBOTTENS LÄN</t>
        </is>
      </c>
      <c r="E477" t="inlineStr">
        <is>
          <t>UMEÅ</t>
        </is>
      </c>
      <c r="G477" t="n">
        <v>10.7</v>
      </c>
      <c r="H477" t="n">
        <v>0</v>
      </c>
      <c r="I477" t="n">
        <v>0</v>
      </c>
      <c r="J477" t="n">
        <v>0</v>
      </c>
      <c r="K477" t="n">
        <v>0</v>
      </c>
      <c r="L477" t="n">
        <v>0</v>
      </c>
      <c r="M477" t="n">
        <v>0</v>
      </c>
      <c r="N477" t="n">
        <v>0</v>
      </c>
      <c r="O477" t="n">
        <v>0</v>
      </c>
      <c r="P477" t="n">
        <v>0</v>
      </c>
      <c r="Q477" t="n">
        <v>0</v>
      </c>
      <c r="R477" s="2" t="inlineStr"/>
    </row>
    <row r="478" ht="15" customHeight="1">
      <c r="A478" t="inlineStr">
        <is>
          <t>A 43789-2025</t>
        </is>
      </c>
      <c r="B478" s="1" t="n">
        <v>45912.53976851852</v>
      </c>
      <c r="C478" s="1" t="n">
        <v>46083</v>
      </c>
      <c r="D478" t="inlineStr">
        <is>
          <t>VÄSTERBOTTENS LÄN</t>
        </is>
      </c>
      <c r="E478" t="inlineStr">
        <is>
          <t>UMEÅ</t>
        </is>
      </c>
      <c r="F478" t="inlineStr">
        <is>
          <t>Holmen skog AB</t>
        </is>
      </c>
      <c r="G478" t="n">
        <v>21.1</v>
      </c>
      <c r="H478" t="n">
        <v>0</v>
      </c>
      <c r="I478" t="n">
        <v>0</v>
      </c>
      <c r="J478" t="n">
        <v>0</v>
      </c>
      <c r="K478" t="n">
        <v>0</v>
      </c>
      <c r="L478" t="n">
        <v>0</v>
      </c>
      <c r="M478" t="n">
        <v>0</v>
      </c>
      <c r="N478" t="n">
        <v>0</v>
      </c>
      <c r="O478" t="n">
        <v>0</v>
      </c>
      <c r="P478" t="n">
        <v>0</v>
      </c>
      <c r="Q478" t="n">
        <v>0</v>
      </c>
      <c r="R478" s="2" t="inlineStr"/>
    </row>
    <row r="479" ht="15" customHeight="1">
      <c r="A479" t="inlineStr">
        <is>
          <t>A 36854-2022</t>
        </is>
      </c>
      <c r="B479" s="1" t="n">
        <v>44805.60581018519</v>
      </c>
      <c r="C479" s="1" t="n">
        <v>46083</v>
      </c>
      <c r="D479" t="inlineStr">
        <is>
          <t>VÄSTERBOTTENS LÄN</t>
        </is>
      </c>
      <c r="E479" t="inlineStr">
        <is>
          <t>UMEÅ</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18322-2023</t>
        </is>
      </c>
      <c r="B480" s="1" t="n">
        <v>45041.61890046296</v>
      </c>
      <c r="C480" s="1" t="n">
        <v>46083</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30021-2024</t>
        </is>
      </c>
      <c r="B481" s="1" t="n">
        <v>45488</v>
      </c>
      <c r="C481" s="1" t="n">
        <v>46083</v>
      </c>
      <c r="D481" t="inlineStr">
        <is>
          <t>VÄSTERBOTTENS LÄN</t>
        </is>
      </c>
      <c r="E481" t="inlineStr">
        <is>
          <t>UMEÅ</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20749-2024</t>
        </is>
      </c>
      <c r="B482" s="1" t="n">
        <v>45436</v>
      </c>
      <c r="C482" s="1" t="n">
        <v>46083</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3165-2025</t>
        </is>
      </c>
      <c r="B483" s="1" t="n">
        <v>45679.35350694445</v>
      </c>
      <c r="C483" s="1" t="n">
        <v>46083</v>
      </c>
      <c r="D483" t="inlineStr">
        <is>
          <t>VÄSTERBOTTENS LÄN</t>
        </is>
      </c>
      <c r="E483" t="inlineStr">
        <is>
          <t>UMEÅ</t>
        </is>
      </c>
      <c r="G483" t="n">
        <v>8.1</v>
      </c>
      <c r="H483" t="n">
        <v>0</v>
      </c>
      <c r="I483" t="n">
        <v>0</v>
      </c>
      <c r="J483" t="n">
        <v>0</v>
      </c>
      <c r="K483" t="n">
        <v>0</v>
      </c>
      <c r="L483" t="n">
        <v>0</v>
      </c>
      <c r="M483" t="n">
        <v>0</v>
      </c>
      <c r="N483" t="n">
        <v>0</v>
      </c>
      <c r="O483" t="n">
        <v>0</v>
      </c>
      <c r="P483" t="n">
        <v>0</v>
      </c>
      <c r="Q483" t="n">
        <v>0</v>
      </c>
      <c r="R483" s="2" t="inlineStr"/>
    </row>
    <row r="484" ht="15" customHeight="1">
      <c r="A484" t="inlineStr">
        <is>
          <t>A 44494-2025</t>
        </is>
      </c>
      <c r="B484" s="1" t="n">
        <v>45916.66503472222</v>
      </c>
      <c r="C484" s="1" t="n">
        <v>46083</v>
      </c>
      <c r="D484" t="inlineStr">
        <is>
          <t>VÄSTERBOTTENS LÄN</t>
        </is>
      </c>
      <c r="E484" t="inlineStr">
        <is>
          <t>UMEÅ</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30020-2024</t>
        </is>
      </c>
      <c r="B485" s="1" t="n">
        <v>45488</v>
      </c>
      <c r="C485" s="1" t="n">
        <v>46083</v>
      </c>
      <c r="D485" t="inlineStr">
        <is>
          <t>VÄSTERBOTTENS LÄN</t>
        </is>
      </c>
      <c r="E485" t="inlineStr">
        <is>
          <t>UMEÅ</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44420-2025</t>
        </is>
      </c>
      <c r="B486" s="1" t="n">
        <v>45916.54780092592</v>
      </c>
      <c r="C486" s="1" t="n">
        <v>46083</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44064-2025</t>
        </is>
      </c>
      <c r="B487" s="1" t="n">
        <v>45915.54059027778</v>
      </c>
      <c r="C487" s="1" t="n">
        <v>46083</v>
      </c>
      <c r="D487" t="inlineStr">
        <is>
          <t>VÄSTERBOTTENS LÄN</t>
        </is>
      </c>
      <c r="E487" t="inlineStr">
        <is>
          <t>UMEÅ</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32662-2024</t>
        </is>
      </c>
      <c r="B488" s="1" t="n">
        <v>45514.37979166667</v>
      </c>
      <c r="C488" s="1" t="n">
        <v>46083</v>
      </c>
      <c r="D488" t="inlineStr">
        <is>
          <t>VÄSTERBOTTENS LÄN</t>
        </is>
      </c>
      <c r="E488" t="inlineStr">
        <is>
          <t>UMEÅ</t>
        </is>
      </c>
      <c r="F488" t="inlineStr">
        <is>
          <t>Holmen skog AB</t>
        </is>
      </c>
      <c r="G488" t="n">
        <v>5.3</v>
      </c>
      <c r="H488" t="n">
        <v>0</v>
      </c>
      <c r="I488" t="n">
        <v>0</v>
      </c>
      <c r="J488" t="n">
        <v>0</v>
      </c>
      <c r="K488" t="n">
        <v>0</v>
      </c>
      <c r="L488" t="n">
        <v>0</v>
      </c>
      <c r="M488" t="n">
        <v>0</v>
      </c>
      <c r="N488" t="n">
        <v>0</v>
      </c>
      <c r="O488" t="n">
        <v>0</v>
      </c>
      <c r="P488" t="n">
        <v>0</v>
      </c>
      <c r="Q488" t="n">
        <v>0</v>
      </c>
      <c r="R488" s="2" t="inlineStr"/>
    </row>
    <row r="489" ht="15" customHeight="1">
      <c r="A489" t="inlineStr">
        <is>
          <t>A 61532-2024</t>
        </is>
      </c>
      <c r="B489" s="1" t="n">
        <v>45646.58855324074</v>
      </c>
      <c r="C489" s="1" t="n">
        <v>46083</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44168-2025</t>
        </is>
      </c>
      <c r="B490" s="1" t="n">
        <v>45915.59853009259</v>
      </c>
      <c r="C490" s="1" t="n">
        <v>46083</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44081-2025</t>
        </is>
      </c>
      <c r="B491" s="1" t="n">
        <v>45915.55290509259</v>
      </c>
      <c r="C491" s="1" t="n">
        <v>46083</v>
      </c>
      <c r="D491" t="inlineStr">
        <is>
          <t>VÄSTERBOTTENS LÄN</t>
        </is>
      </c>
      <c r="E491" t="inlineStr">
        <is>
          <t>UMEÅ</t>
        </is>
      </c>
      <c r="G491" t="n">
        <v>1.2</v>
      </c>
      <c r="H491" t="n">
        <v>0</v>
      </c>
      <c r="I491" t="n">
        <v>0</v>
      </c>
      <c r="J491" t="n">
        <v>0</v>
      </c>
      <c r="K491" t="n">
        <v>0</v>
      </c>
      <c r="L491" t="n">
        <v>0</v>
      </c>
      <c r="M491" t="n">
        <v>0</v>
      </c>
      <c r="N491" t="n">
        <v>0</v>
      </c>
      <c r="O491" t="n">
        <v>0</v>
      </c>
      <c r="P491" t="n">
        <v>0</v>
      </c>
      <c r="Q491" t="n">
        <v>0</v>
      </c>
      <c r="R491" s="2" t="inlineStr"/>
    </row>
    <row r="492" ht="15" customHeight="1">
      <c r="A492" t="inlineStr">
        <is>
          <t>A 23285-2021</t>
        </is>
      </c>
      <c r="B492" s="1" t="n">
        <v>44330</v>
      </c>
      <c r="C492" s="1" t="n">
        <v>46083</v>
      </c>
      <c r="D492" t="inlineStr">
        <is>
          <t>VÄSTERBOTTENS LÄN</t>
        </is>
      </c>
      <c r="E492" t="inlineStr">
        <is>
          <t>UMEÅ</t>
        </is>
      </c>
      <c r="G492" t="n">
        <v>4.6</v>
      </c>
      <c r="H492" t="n">
        <v>0</v>
      </c>
      <c r="I492" t="n">
        <v>0</v>
      </c>
      <c r="J492" t="n">
        <v>0</v>
      </c>
      <c r="K492" t="n">
        <v>0</v>
      </c>
      <c r="L492" t="n">
        <v>0</v>
      </c>
      <c r="M492" t="n">
        <v>0</v>
      </c>
      <c r="N492" t="n">
        <v>0</v>
      </c>
      <c r="O492" t="n">
        <v>0</v>
      </c>
      <c r="P492" t="n">
        <v>0</v>
      </c>
      <c r="Q492" t="n">
        <v>0</v>
      </c>
      <c r="R492" s="2" t="inlineStr"/>
    </row>
    <row r="493" ht="15" customHeight="1">
      <c r="A493" t="inlineStr">
        <is>
          <t>A 22795-2022</t>
        </is>
      </c>
      <c r="B493" s="1" t="n">
        <v>44715.33833333333</v>
      </c>
      <c r="C493" s="1" t="n">
        <v>46083</v>
      </c>
      <c r="D493" t="inlineStr">
        <is>
          <t>VÄSTERBOTTENS LÄN</t>
        </is>
      </c>
      <c r="E493" t="inlineStr">
        <is>
          <t>UMEÅ</t>
        </is>
      </c>
      <c r="G493" t="n">
        <v>2.8</v>
      </c>
      <c r="H493" t="n">
        <v>0</v>
      </c>
      <c r="I493" t="n">
        <v>0</v>
      </c>
      <c r="J493" t="n">
        <v>0</v>
      </c>
      <c r="K493" t="n">
        <v>0</v>
      </c>
      <c r="L493" t="n">
        <v>0</v>
      </c>
      <c r="M493" t="n">
        <v>0</v>
      </c>
      <c r="N493" t="n">
        <v>0</v>
      </c>
      <c r="O493" t="n">
        <v>0</v>
      </c>
      <c r="P493" t="n">
        <v>0</v>
      </c>
      <c r="Q493" t="n">
        <v>0</v>
      </c>
      <c r="R493" s="2" t="inlineStr"/>
    </row>
    <row r="494" ht="15" customHeight="1">
      <c r="A494" t="inlineStr">
        <is>
          <t>A 44730-2025</t>
        </is>
      </c>
      <c r="B494" s="1" t="n">
        <v>45917.65262731481</v>
      </c>
      <c r="C494" s="1" t="n">
        <v>46083</v>
      </c>
      <c r="D494" t="inlineStr">
        <is>
          <t>VÄSTERBOTTENS LÄN</t>
        </is>
      </c>
      <c r="E494" t="inlineStr">
        <is>
          <t>UMEÅ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46083</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19025-2024</t>
        </is>
      </c>
      <c r="B496" s="1" t="n">
        <v>45427</v>
      </c>
      <c r="C496" s="1" t="n">
        <v>46083</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35625-2024</t>
        </is>
      </c>
      <c r="B497" s="1" t="n">
        <v>45531.73709490741</v>
      </c>
      <c r="C497" s="1" t="n">
        <v>46083</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44725-2025</t>
        </is>
      </c>
      <c r="B498" s="1" t="n">
        <v>45917.64240740741</v>
      </c>
      <c r="C498" s="1" t="n">
        <v>46083</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25690-2025</t>
        </is>
      </c>
      <c r="B499" s="1" t="n">
        <v>45803.66153935185</v>
      </c>
      <c r="C499" s="1" t="n">
        <v>46083</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44751-2025</t>
        </is>
      </c>
      <c r="B500" s="1" t="n">
        <v>45917.68104166666</v>
      </c>
      <c r="C500" s="1" t="n">
        <v>46083</v>
      </c>
      <c r="D500" t="inlineStr">
        <is>
          <t>VÄSTERBOTTENS LÄN</t>
        </is>
      </c>
      <c r="E500" t="inlineStr">
        <is>
          <t>UMEÅ</t>
        </is>
      </c>
      <c r="G500" t="n">
        <v>9.1</v>
      </c>
      <c r="H500" t="n">
        <v>0</v>
      </c>
      <c r="I500" t="n">
        <v>0</v>
      </c>
      <c r="J500" t="n">
        <v>0</v>
      </c>
      <c r="K500" t="n">
        <v>0</v>
      </c>
      <c r="L500" t="n">
        <v>0</v>
      </c>
      <c r="M500" t="n">
        <v>0</v>
      </c>
      <c r="N500" t="n">
        <v>0</v>
      </c>
      <c r="O500" t="n">
        <v>0</v>
      </c>
      <c r="P500" t="n">
        <v>0</v>
      </c>
      <c r="Q500" t="n">
        <v>0</v>
      </c>
      <c r="R500" s="2" t="inlineStr"/>
    </row>
    <row r="501" ht="15" customHeight="1">
      <c r="A501" t="inlineStr">
        <is>
          <t>A 39615-2024</t>
        </is>
      </c>
      <c r="B501" s="1" t="n">
        <v>45552</v>
      </c>
      <c r="C501" s="1" t="n">
        <v>46083</v>
      </c>
      <c r="D501" t="inlineStr">
        <is>
          <t>VÄSTERBOTTENS LÄN</t>
        </is>
      </c>
      <c r="E501" t="inlineStr">
        <is>
          <t>UMEÅ</t>
        </is>
      </c>
      <c r="F501" t="inlineStr">
        <is>
          <t>Holmen skog AB</t>
        </is>
      </c>
      <c r="G501" t="n">
        <v>9.4</v>
      </c>
      <c r="H501" t="n">
        <v>0</v>
      </c>
      <c r="I501" t="n">
        <v>0</v>
      </c>
      <c r="J501" t="n">
        <v>0</v>
      </c>
      <c r="K501" t="n">
        <v>0</v>
      </c>
      <c r="L501" t="n">
        <v>0</v>
      </c>
      <c r="M501" t="n">
        <v>0</v>
      </c>
      <c r="N501" t="n">
        <v>0</v>
      </c>
      <c r="O501" t="n">
        <v>0</v>
      </c>
      <c r="P501" t="n">
        <v>0</v>
      </c>
      <c r="Q501" t="n">
        <v>0</v>
      </c>
      <c r="R501" s="2" t="inlineStr"/>
    </row>
    <row r="502" ht="15" customHeight="1">
      <c r="A502" t="inlineStr">
        <is>
          <t>A 36056-2025</t>
        </is>
      </c>
      <c r="B502" s="1" t="n">
        <v>45866.39083333333</v>
      </c>
      <c r="C502" s="1" t="n">
        <v>46083</v>
      </c>
      <c r="D502" t="inlineStr">
        <is>
          <t>VÄSTERBOTTENS LÄN</t>
        </is>
      </c>
      <c r="E502" t="inlineStr">
        <is>
          <t>UMEÅ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36084-2025</t>
        </is>
      </c>
      <c r="B503" s="1" t="n">
        <v>45866.460625</v>
      </c>
      <c r="C503" s="1" t="n">
        <v>46083</v>
      </c>
      <c r="D503" t="inlineStr">
        <is>
          <t>VÄSTERBOTTENS LÄN</t>
        </is>
      </c>
      <c r="E503" t="inlineStr">
        <is>
          <t>UMEÅ</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36114-2025</t>
        </is>
      </c>
      <c r="B504" s="1" t="n">
        <v>45866.57740740741</v>
      </c>
      <c r="C504" s="1" t="n">
        <v>46083</v>
      </c>
      <c r="D504" t="inlineStr">
        <is>
          <t>VÄSTERBOTTENS LÄN</t>
        </is>
      </c>
      <c r="E504" t="inlineStr">
        <is>
          <t>UMEÅ</t>
        </is>
      </c>
      <c r="F504" t="inlineStr">
        <is>
          <t>Holmen skog AB</t>
        </is>
      </c>
      <c r="G504" t="n">
        <v>3</v>
      </c>
      <c r="H504" t="n">
        <v>0</v>
      </c>
      <c r="I504" t="n">
        <v>0</v>
      </c>
      <c r="J504" t="n">
        <v>0</v>
      </c>
      <c r="K504" t="n">
        <v>0</v>
      </c>
      <c r="L504" t="n">
        <v>0</v>
      </c>
      <c r="M504" t="n">
        <v>0</v>
      </c>
      <c r="N504" t="n">
        <v>0</v>
      </c>
      <c r="O504" t="n">
        <v>0</v>
      </c>
      <c r="P504" t="n">
        <v>0</v>
      </c>
      <c r="Q504" t="n">
        <v>0</v>
      </c>
      <c r="R504" s="2" t="inlineStr"/>
    </row>
    <row r="505" ht="15" customHeight="1">
      <c r="A505" t="inlineStr">
        <is>
          <t>A 58132-2022</t>
        </is>
      </c>
      <c r="B505" s="1" t="n">
        <v>44900.68913194445</v>
      </c>
      <c r="C505" s="1" t="n">
        <v>46083</v>
      </c>
      <c r="D505" t="inlineStr">
        <is>
          <t>VÄSTERBOTTENS LÄN</t>
        </is>
      </c>
      <c r="E505" t="inlineStr">
        <is>
          <t>UMEÅ</t>
        </is>
      </c>
      <c r="G505" t="n">
        <v>3.6</v>
      </c>
      <c r="H505" t="n">
        <v>0</v>
      </c>
      <c r="I505" t="n">
        <v>0</v>
      </c>
      <c r="J505" t="n">
        <v>0</v>
      </c>
      <c r="K505" t="n">
        <v>0</v>
      </c>
      <c r="L505" t="n">
        <v>0</v>
      </c>
      <c r="M505" t="n">
        <v>0</v>
      </c>
      <c r="N505" t="n">
        <v>0</v>
      </c>
      <c r="O505" t="n">
        <v>0</v>
      </c>
      <c r="P505" t="n">
        <v>0</v>
      </c>
      <c r="Q505" t="n">
        <v>0</v>
      </c>
      <c r="R505" s="2" t="inlineStr"/>
    </row>
    <row r="506" ht="15" customHeight="1">
      <c r="A506" t="inlineStr">
        <is>
          <t>A 22279-2021</t>
        </is>
      </c>
      <c r="B506" s="1" t="n">
        <v>44326</v>
      </c>
      <c r="C506" s="1" t="n">
        <v>46083</v>
      </c>
      <c r="D506" t="inlineStr">
        <is>
          <t>VÄSTERBOTTENS LÄN</t>
        </is>
      </c>
      <c r="E506" t="inlineStr">
        <is>
          <t>UMEÅ</t>
        </is>
      </c>
      <c r="G506" t="n">
        <v>3.2</v>
      </c>
      <c r="H506" t="n">
        <v>0</v>
      </c>
      <c r="I506" t="n">
        <v>0</v>
      </c>
      <c r="J506" t="n">
        <v>0</v>
      </c>
      <c r="K506" t="n">
        <v>0</v>
      </c>
      <c r="L506" t="n">
        <v>0</v>
      </c>
      <c r="M506" t="n">
        <v>0</v>
      </c>
      <c r="N506" t="n">
        <v>0</v>
      </c>
      <c r="O506" t="n">
        <v>0</v>
      </c>
      <c r="P506" t="n">
        <v>0</v>
      </c>
      <c r="Q506" t="n">
        <v>0</v>
      </c>
      <c r="R506" s="2" t="inlineStr"/>
    </row>
    <row r="507" ht="15" customHeight="1">
      <c r="A507" t="inlineStr">
        <is>
          <t>A 20498-2021</t>
        </is>
      </c>
      <c r="B507" s="1" t="n">
        <v>44313</v>
      </c>
      <c r="C507" s="1" t="n">
        <v>46083</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31337-2022</t>
        </is>
      </c>
      <c r="B508" s="1" t="n">
        <v>44774</v>
      </c>
      <c r="C508" s="1" t="n">
        <v>46083</v>
      </c>
      <c r="D508" t="inlineStr">
        <is>
          <t>VÄSTERBOTTENS LÄN</t>
        </is>
      </c>
      <c r="E508" t="inlineStr">
        <is>
          <t>UMEÅ</t>
        </is>
      </c>
      <c r="G508" t="n">
        <v>3.7</v>
      </c>
      <c r="H508" t="n">
        <v>0</v>
      </c>
      <c r="I508" t="n">
        <v>0</v>
      </c>
      <c r="J508" t="n">
        <v>0</v>
      </c>
      <c r="K508" t="n">
        <v>0</v>
      </c>
      <c r="L508" t="n">
        <v>0</v>
      </c>
      <c r="M508" t="n">
        <v>0</v>
      </c>
      <c r="N508" t="n">
        <v>0</v>
      </c>
      <c r="O508" t="n">
        <v>0</v>
      </c>
      <c r="P508" t="n">
        <v>0</v>
      </c>
      <c r="Q508" t="n">
        <v>0</v>
      </c>
      <c r="R508" s="2" t="inlineStr"/>
    </row>
    <row r="509" ht="15" customHeight="1">
      <c r="A509" t="inlineStr">
        <is>
          <t>A 28267-2021</t>
        </is>
      </c>
      <c r="B509" s="1" t="n">
        <v>44355</v>
      </c>
      <c r="C509" s="1" t="n">
        <v>46083</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46083</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45487-2025</t>
        </is>
      </c>
      <c r="B511" s="1" t="n">
        <v>45922.55172453704</v>
      </c>
      <c r="C511" s="1" t="n">
        <v>46083</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46062-2025</t>
        </is>
      </c>
      <c r="B512" s="1" t="n">
        <v>45924.4768287037</v>
      </c>
      <c r="C512" s="1" t="n">
        <v>46083</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45876-2025</t>
        </is>
      </c>
      <c r="B513" s="1" t="n">
        <v>45923.65701388889</v>
      </c>
      <c r="C513" s="1" t="n">
        <v>46083</v>
      </c>
      <c r="D513" t="inlineStr">
        <is>
          <t>VÄSTERBOTTENS LÄN</t>
        </is>
      </c>
      <c r="E513" t="inlineStr">
        <is>
          <t>UMEÅ</t>
        </is>
      </c>
      <c r="G513" t="n">
        <v>12.7</v>
      </c>
      <c r="H513" t="n">
        <v>0</v>
      </c>
      <c r="I513" t="n">
        <v>0</v>
      </c>
      <c r="J513" t="n">
        <v>0</v>
      </c>
      <c r="K513" t="n">
        <v>0</v>
      </c>
      <c r="L513" t="n">
        <v>0</v>
      </c>
      <c r="M513" t="n">
        <v>0</v>
      </c>
      <c r="N513" t="n">
        <v>0</v>
      </c>
      <c r="O513" t="n">
        <v>0</v>
      </c>
      <c r="P513" t="n">
        <v>0</v>
      </c>
      <c r="Q513" t="n">
        <v>0</v>
      </c>
      <c r="R513" s="2" t="inlineStr"/>
    </row>
    <row r="514" ht="15" customHeight="1">
      <c r="A514" t="inlineStr">
        <is>
          <t>A 36334-2025</t>
        </is>
      </c>
      <c r="B514" s="1" t="n">
        <v>45868.43071759259</v>
      </c>
      <c r="C514" s="1" t="n">
        <v>46083</v>
      </c>
      <c r="D514" t="inlineStr">
        <is>
          <t>VÄSTERBOTTENS LÄN</t>
        </is>
      </c>
      <c r="E514" t="inlineStr">
        <is>
          <t>UMEÅ</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36309-2025</t>
        </is>
      </c>
      <c r="B515" s="1" t="n">
        <v>45868.33694444445</v>
      </c>
      <c r="C515" s="1" t="n">
        <v>46083</v>
      </c>
      <c r="D515" t="inlineStr">
        <is>
          <t>VÄSTERBOTTENS LÄN</t>
        </is>
      </c>
      <c r="E515" t="inlineStr">
        <is>
          <t>UMEÅ</t>
        </is>
      </c>
      <c r="F515" t="inlineStr">
        <is>
          <t>Holmen skog AB</t>
        </is>
      </c>
      <c r="G515" t="n">
        <v>2.8</v>
      </c>
      <c r="H515" t="n">
        <v>0</v>
      </c>
      <c r="I515" t="n">
        <v>0</v>
      </c>
      <c r="J515" t="n">
        <v>0</v>
      </c>
      <c r="K515" t="n">
        <v>0</v>
      </c>
      <c r="L515" t="n">
        <v>0</v>
      </c>
      <c r="M515" t="n">
        <v>0</v>
      </c>
      <c r="N515" t="n">
        <v>0</v>
      </c>
      <c r="O515" t="n">
        <v>0</v>
      </c>
      <c r="P515" t="n">
        <v>0</v>
      </c>
      <c r="Q515" t="n">
        <v>0</v>
      </c>
      <c r="R515" s="2" t="inlineStr"/>
    </row>
    <row r="516" ht="15" customHeight="1">
      <c r="A516" t="inlineStr">
        <is>
          <t>A 36217-2025</t>
        </is>
      </c>
      <c r="B516" s="1" t="n">
        <v>45867.49550925926</v>
      </c>
      <c r="C516" s="1" t="n">
        <v>46083</v>
      </c>
      <c r="D516" t="inlineStr">
        <is>
          <t>VÄSTERBOTTENS LÄN</t>
        </is>
      </c>
      <c r="E516" t="inlineStr">
        <is>
          <t>UMEÅ</t>
        </is>
      </c>
      <c r="G516" t="n">
        <v>2.5</v>
      </c>
      <c r="H516" t="n">
        <v>0</v>
      </c>
      <c r="I516" t="n">
        <v>0</v>
      </c>
      <c r="J516" t="n">
        <v>0</v>
      </c>
      <c r="K516" t="n">
        <v>0</v>
      </c>
      <c r="L516" t="n">
        <v>0</v>
      </c>
      <c r="M516" t="n">
        <v>0</v>
      </c>
      <c r="N516" t="n">
        <v>0</v>
      </c>
      <c r="O516" t="n">
        <v>0</v>
      </c>
      <c r="P516" t="n">
        <v>0</v>
      </c>
      <c r="Q516" t="n">
        <v>0</v>
      </c>
      <c r="R516" s="2" t="inlineStr"/>
    </row>
    <row r="517" ht="15" customHeight="1">
      <c r="A517" t="inlineStr">
        <is>
          <t>A 36233-2025</t>
        </is>
      </c>
      <c r="B517" s="1" t="n">
        <v>45867.54707175926</v>
      </c>
      <c r="C517" s="1" t="n">
        <v>46083</v>
      </c>
      <c r="D517" t="inlineStr">
        <is>
          <t>VÄSTERBOTTENS LÄN</t>
        </is>
      </c>
      <c r="E517" t="inlineStr">
        <is>
          <t>UMEÅ</t>
        </is>
      </c>
      <c r="F517" t="inlineStr">
        <is>
          <t>Holmen skog AB</t>
        </is>
      </c>
      <c r="G517" t="n">
        <v>3.9</v>
      </c>
      <c r="H517" t="n">
        <v>0</v>
      </c>
      <c r="I517" t="n">
        <v>0</v>
      </c>
      <c r="J517" t="n">
        <v>0</v>
      </c>
      <c r="K517" t="n">
        <v>0</v>
      </c>
      <c r="L517" t="n">
        <v>0</v>
      </c>
      <c r="M517" t="n">
        <v>0</v>
      </c>
      <c r="N517" t="n">
        <v>0</v>
      </c>
      <c r="O517" t="n">
        <v>0</v>
      </c>
      <c r="P517" t="n">
        <v>0</v>
      </c>
      <c r="Q517" t="n">
        <v>0</v>
      </c>
      <c r="R517" s="2" t="inlineStr"/>
    </row>
    <row r="518" ht="15" customHeight="1">
      <c r="A518" t="inlineStr">
        <is>
          <t>A 27088-2024</t>
        </is>
      </c>
      <c r="B518" s="1" t="n">
        <v>45471.47892361111</v>
      </c>
      <c r="C518" s="1" t="n">
        <v>46083</v>
      </c>
      <c r="D518" t="inlineStr">
        <is>
          <t>VÄSTERBOTTENS LÄN</t>
        </is>
      </c>
      <c r="E518" t="inlineStr">
        <is>
          <t>UMEÅ</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46065-2025</t>
        </is>
      </c>
      <c r="B519" s="1" t="n">
        <v>45924.48327546296</v>
      </c>
      <c r="C519" s="1" t="n">
        <v>46083</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45769-2025</t>
        </is>
      </c>
      <c r="B520" s="1" t="n">
        <v>45923.53181712963</v>
      </c>
      <c r="C520" s="1" t="n">
        <v>46083</v>
      </c>
      <c r="D520" t="inlineStr">
        <is>
          <t>VÄSTERBOTTENS LÄN</t>
        </is>
      </c>
      <c r="E520" t="inlineStr">
        <is>
          <t>UMEÅ</t>
        </is>
      </c>
      <c r="G520" t="n">
        <v>11.3</v>
      </c>
      <c r="H520" t="n">
        <v>0</v>
      </c>
      <c r="I520" t="n">
        <v>0</v>
      </c>
      <c r="J520" t="n">
        <v>0</v>
      </c>
      <c r="K520" t="n">
        <v>0</v>
      </c>
      <c r="L520" t="n">
        <v>0</v>
      </c>
      <c r="M520" t="n">
        <v>0</v>
      </c>
      <c r="N520" t="n">
        <v>0</v>
      </c>
      <c r="O520" t="n">
        <v>0</v>
      </c>
      <c r="P520" t="n">
        <v>0</v>
      </c>
      <c r="Q520" t="n">
        <v>0</v>
      </c>
      <c r="R520" s="2" t="inlineStr"/>
    </row>
    <row r="521" ht="15" customHeight="1">
      <c r="A521" t="inlineStr">
        <is>
          <t>A 45672-2025</t>
        </is>
      </c>
      <c r="B521" s="1" t="n">
        <v>45923.35769675926</v>
      </c>
      <c r="C521" s="1" t="n">
        <v>46083</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45670-2025</t>
        </is>
      </c>
      <c r="B522" s="1" t="n">
        <v>45923.35368055556</v>
      </c>
      <c r="C522" s="1" t="n">
        <v>46083</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45759-2025</t>
        </is>
      </c>
      <c r="B523" s="1" t="n">
        <v>45923.5107175926</v>
      </c>
      <c r="C523" s="1" t="n">
        <v>46083</v>
      </c>
      <c r="D523" t="inlineStr">
        <is>
          <t>VÄSTERBOTTENS LÄN</t>
        </is>
      </c>
      <c r="E523" t="inlineStr">
        <is>
          <t>UMEÅ</t>
        </is>
      </c>
      <c r="G523" t="n">
        <v>7.2</v>
      </c>
      <c r="H523" t="n">
        <v>0</v>
      </c>
      <c r="I523" t="n">
        <v>0</v>
      </c>
      <c r="J523" t="n">
        <v>0</v>
      </c>
      <c r="K523" t="n">
        <v>0</v>
      </c>
      <c r="L523" t="n">
        <v>0</v>
      </c>
      <c r="M523" t="n">
        <v>0</v>
      </c>
      <c r="N523" t="n">
        <v>0</v>
      </c>
      <c r="O523" t="n">
        <v>0</v>
      </c>
      <c r="P523" t="n">
        <v>0</v>
      </c>
      <c r="Q523" t="n">
        <v>0</v>
      </c>
      <c r="R523" s="2" t="inlineStr"/>
    </row>
    <row r="524" ht="15" customHeight="1">
      <c r="A524" t="inlineStr">
        <is>
          <t>A 46413-2025</t>
        </is>
      </c>
      <c r="B524" s="1" t="n">
        <v>45925.57604166667</v>
      </c>
      <c r="C524" s="1" t="n">
        <v>46083</v>
      </c>
      <c r="D524" t="inlineStr">
        <is>
          <t>VÄSTERBOTTENS LÄN</t>
        </is>
      </c>
      <c r="E524" t="inlineStr">
        <is>
          <t>UMEÅ</t>
        </is>
      </c>
      <c r="F524" t="inlineStr">
        <is>
          <t>Holmen skog AB</t>
        </is>
      </c>
      <c r="G524" t="n">
        <v>14.3</v>
      </c>
      <c r="H524" t="n">
        <v>0</v>
      </c>
      <c r="I524" t="n">
        <v>0</v>
      </c>
      <c r="J524" t="n">
        <v>0</v>
      </c>
      <c r="K524" t="n">
        <v>0</v>
      </c>
      <c r="L524" t="n">
        <v>0</v>
      </c>
      <c r="M524" t="n">
        <v>0</v>
      </c>
      <c r="N524" t="n">
        <v>0</v>
      </c>
      <c r="O524" t="n">
        <v>0</v>
      </c>
      <c r="P524" t="n">
        <v>0</v>
      </c>
      <c r="Q524" t="n">
        <v>0</v>
      </c>
      <c r="R524" s="2" t="inlineStr"/>
    </row>
    <row r="525" ht="15" customHeight="1">
      <c r="A525" t="inlineStr">
        <is>
          <t>A 46682-2025</t>
        </is>
      </c>
      <c r="B525" s="1" t="n">
        <v>45926.54784722222</v>
      </c>
      <c r="C525" s="1" t="n">
        <v>46083</v>
      </c>
      <c r="D525" t="inlineStr">
        <is>
          <t>VÄSTERBOTTENS LÄN</t>
        </is>
      </c>
      <c r="E525" t="inlineStr">
        <is>
          <t>UMEÅ</t>
        </is>
      </c>
      <c r="F525" t="inlineStr">
        <is>
          <t>Holmen skog AB</t>
        </is>
      </c>
      <c r="G525" t="n">
        <v>5.7</v>
      </c>
      <c r="H525" t="n">
        <v>0</v>
      </c>
      <c r="I525" t="n">
        <v>0</v>
      </c>
      <c r="J525" t="n">
        <v>0</v>
      </c>
      <c r="K525" t="n">
        <v>0</v>
      </c>
      <c r="L525" t="n">
        <v>0</v>
      </c>
      <c r="M525" t="n">
        <v>0</v>
      </c>
      <c r="N525" t="n">
        <v>0</v>
      </c>
      <c r="O525" t="n">
        <v>0</v>
      </c>
      <c r="P525" t="n">
        <v>0</v>
      </c>
      <c r="Q525" t="n">
        <v>0</v>
      </c>
      <c r="R525" s="2" t="inlineStr"/>
    </row>
    <row r="526" ht="15" customHeight="1">
      <c r="A526" t="inlineStr">
        <is>
          <t>A 46592-2025</t>
        </is>
      </c>
      <c r="B526" s="1" t="n">
        <v>45926.39637731481</v>
      </c>
      <c r="C526" s="1" t="n">
        <v>46083</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26919-2022</t>
        </is>
      </c>
      <c r="B527" s="1" t="n">
        <v>44740</v>
      </c>
      <c r="C527" s="1" t="n">
        <v>46083</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36578-2025</t>
        </is>
      </c>
      <c r="B528" s="1" t="n">
        <v>45870.41876157407</v>
      </c>
      <c r="C528" s="1" t="n">
        <v>46083</v>
      </c>
      <c r="D528" t="inlineStr">
        <is>
          <t>VÄSTERBOTTENS LÄN</t>
        </is>
      </c>
      <c r="E528" t="inlineStr">
        <is>
          <t>UMEÅ</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32463-2023</t>
        </is>
      </c>
      <c r="B529" s="1" t="n">
        <v>45120.92644675926</v>
      </c>
      <c r="C529" s="1" t="n">
        <v>46083</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32467-2023</t>
        </is>
      </c>
      <c r="B530" s="1" t="n">
        <v>45120.92667824074</v>
      </c>
      <c r="C530" s="1" t="n">
        <v>46083</v>
      </c>
      <c r="D530" t="inlineStr">
        <is>
          <t>VÄSTERBOTTENS LÄN</t>
        </is>
      </c>
      <c r="E530" t="inlineStr">
        <is>
          <t>UMEÅ</t>
        </is>
      </c>
      <c r="G530" t="n">
        <v>3.1</v>
      </c>
      <c r="H530" t="n">
        <v>0</v>
      </c>
      <c r="I530" t="n">
        <v>0</v>
      </c>
      <c r="J530" t="n">
        <v>0</v>
      </c>
      <c r="K530" t="n">
        <v>0</v>
      </c>
      <c r="L530" t="n">
        <v>0</v>
      </c>
      <c r="M530" t="n">
        <v>0</v>
      </c>
      <c r="N530" t="n">
        <v>0</v>
      </c>
      <c r="O530" t="n">
        <v>0</v>
      </c>
      <c r="P530" t="n">
        <v>0</v>
      </c>
      <c r="Q530" t="n">
        <v>0</v>
      </c>
      <c r="R530" s="2" t="inlineStr"/>
    </row>
    <row r="531" ht="15" customHeight="1">
      <c r="A531" t="inlineStr">
        <is>
          <t>A 36905-2025</t>
        </is>
      </c>
      <c r="B531" s="1" t="n">
        <v>45874.49083333334</v>
      </c>
      <c r="C531" s="1" t="n">
        <v>46083</v>
      </c>
      <c r="D531" t="inlineStr">
        <is>
          <t>VÄSTERBOTTENS LÄN</t>
        </is>
      </c>
      <c r="E531" t="inlineStr">
        <is>
          <t>UMEÅ</t>
        </is>
      </c>
      <c r="G531" t="n">
        <v>8</v>
      </c>
      <c r="H531" t="n">
        <v>0</v>
      </c>
      <c r="I531" t="n">
        <v>0</v>
      </c>
      <c r="J531" t="n">
        <v>0</v>
      </c>
      <c r="K531" t="n">
        <v>0</v>
      </c>
      <c r="L531" t="n">
        <v>0</v>
      </c>
      <c r="M531" t="n">
        <v>0</v>
      </c>
      <c r="N531" t="n">
        <v>0</v>
      </c>
      <c r="O531" t="n">
        <v>0</v>
      </c>
      <c r="P531" t="n">
        <v>0</v>
      </c>
      <c r="Q531" t="n">
        <v>0</v>
      </c>
      <c r="R531" s="2" t="inlineStr"/>
    </row>
    <row r="532" ht="15" customHeight="1">
      <c r="A532" t="inlineStr">
        <is>
          <t>A 46591-2025</t>
        </is>
      </c>
      <c r="B532" s="1" t="n">
        <v>45926.39612268518</v>
      </c>
      <c r="C532" s="1" t="n">
        <v>46083</v>
      </c>
      <c r="D532" t="inlineStr">
        <is>
          <t>VÄSTERBOTTENS LÄN</t>
        </is>
      </c>
      <c r="E532" t="inlineStr">
        <is>
          <t>UMEÅ</t>
        </is>
      </c>
      <c r="G532" t="n">
        <v>2.1</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46083</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41218-2023</t>
        </is>
      </c>
      <c r="B534" s="1" t="n">
        <v>45174.45435185185</v>
      </c>
      <c r="C534" s="1" t="n">
        <v>46083</v>
      </c>
      <c r="D534" t="inlineStr">
        <is>
          <t>VÄSTERBOTTENS LÄN</t>
        </is>
      </c>
      <c r="E534" t="inlineStr">
        <is>
          <t>UMEÅ</t>
        </is>
      </c>
      <c r="F534" t="inlineStr">
        <is>
          <t>Holmen skog AB</t>
        </is>
      </c>
      <c r="G534" t="n">
        <v>3.1</v>
      </c>
      <c r="H534" t="n">
        <v>0</v>
      </c>
      <c r="I534" t="n">
        <v>0</v>
      </c>
      <c r="J534" t="n">
        <v>0</v>
      </c>
      <c r="K534" t="n">
        <v>0</v>
      </c>
      <c r="L534" t="n">
        <v>0</v>
      </c>
      <c r="M534" t="n">
        <v>0</v>
      </c>
      <c r="N534" t="n">
        <v>0</v>
      </c>
      <c r="O534" t="n">
        <v>0</v>
      </c>
      <c r="P534" t="n">
        <v>0</v>
      </c>
      <c r="Q534" t="n">
        <v>0</v>
      </c>
      <c r="R534" s="2" t="inlineStr"/>
    </row>
    <row r="535" ht="15" customHeight="1">
      <c r="A535" t="inlineStr">
        <is>
          <t>A 47188-2025</t>
        </is>
      </c>
      <c r="B535" s="1" t="n">
        <v>45930.32789351852</v>
      </c>
      <c r="C535" s="1" t="n">
        <v>46083</v>
      </c>
      <c r="D535" t="inlineStr">
        <is>
          <t>VÄSTERBOTTENS LÄN</t>
        </is>
      </c>
      <c r="E535" t="inlineStr">
        <is>
          <t>UMEÅ</t>
        </is>
      </c>
      <c r="G535" t="n">
        <v>2.9</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46083</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36739-2025</t>
        </is>
      </c>
      <c r="B537" s="1" t="n">
        <v>45873.53224537037</v>
      </c>
      <c r="C537" s="1" t="n">
        <v>46083</v>
      </c>
      <c r="D537" t="inlineStr">
        <is>
          <t>VÄSTERBOTTENS LÄN</t>
        </is>
      </c>
      <c r="E537" t="inlineStr">
        <is>
          <t>UMEÅ</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33753-2021</t>
        </is>
      </c>
      <c r="B538" s="1" t="n">
        <v>44378.49517361111</v>
      </c>
      <c r="C538" s="1" t="n">
        <v>46083</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47421-2025</t>
        </is>
      </c>
      <c r="B539" s="1" t="n">
        <v>45930.62444444445</v>
      </c>
      <c r="C539" s="1" t="n">
        <v>46083</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5678-2025</t>
        </is>
      </c>
      <c r="B540" s="1" t="n">
        <v>45694</v>
      </c>
      <c r="C540" s="1" t="n">
        <v>46083</v>
      </c>
      <c r="D540" t="inlineStr">
        <is>
          <t>VÄSTERBOTTENS LÄN</t>
        </is>
      </c>
      <c r="E540" t="inlineStr">
        <is>
          <t>UMEÅ</t>
        </is>
      </c>
      <c r="G540" t="n">
        <v>3</v>
      </c>
      <c r="H540" t="n">
        <v>0</v>
      </c>
      <c r="I540" t="n">
        <v>0</v>
      </c>
      <c r="J540" t="n">
        <v>0</v>
      </c>
      <c r="K540" t="n">
        <v>0</v>
      </c>
      <c r="L540" t="n">
        <v>0</v>
      </c>
      <c r="M540" t="n">
        <v>0</v>
      </c>
      <c r="N540" t="n">
        <v>0</v>
      </c>
      <c r="O540" t="n">
        <v>0</v>
      </c>
      <c r="P540" t="n">
        <v>0</v>
      </c>
      <c r="Q540" t="n">
        <v>0</v>
      </c>
      <c r="R540" s="2" t="inlineStr"/>
    </row>
    <row r="541" ht="15" customHeight="1">
      <c r="A541" t="inlineStr">
        <is>
          <t>A 36902-2025</t>
        </is>
      </c>
      <c r="B541" s="1" t="n">
        <v>45874.48899305556</v>
      </c>
      <c r="C541" s="1" t="n">
        <v>46083</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46864-2025</t>
        </is>
      </c>
      <c r="B542" s="1" t="n">
        <v>45929.32023148148</v>
      </c>
      <c r="C542" s="1" t="n">
        <v>46083</v>
      </c>
      <c r="D542" t="inlineStr">
        <is>
          <t>VÄSTERBOTTENS LÄN</t>
        </is>
      </c>
      <c r="E542" t="inlineStr">
        <is>
          <t>UMEÅ</t>
        </is>
      </c>
      <c r="G542" t="n">
        <v>9.5</v>
      </c>
      <c r="H542" t="n">
        <v>0</v>
      </c>
      <c r="I542" t="n">
        <v>0</v>
      </c>
      <c r="J542" t="n">
        <v>0</v>
      </c>
      <c r="K542" t="n">
        <v>0</v>
      </c>
      <c r="L542" t="n">
        <v>0</v>
      </c>
      <c r="M542" t="n">
        <v>0</v>
      </c>
      <c r="N542" t="n">
        <v>0</v>
      </c>
      <c r="O542" t="n">
        <v>0</v>
      </c>
      <c r="P542" t="n">
        <v>0</v>
      </c>
      <c r="Q542" t="n">
        <v>0</v>
      </c>
      <c r="R542" s="2" t="inlineStr"/>
    </row>
    <row r="543" ht="15" customHeight="1">
      <c r="A543" t="inlineStr">
        <is>
          <t>A 46990-2025</t>
        </is>
      </c>
      <c r="B543" s="1" t="n">
        <v>45929.54004629629</v>
      </c>
      <c r="C543" s="1" t="n">
        <v>46083</v>
      </c>
      <c r="D543" t="inlineStr">
        <is>
          <t>VÄSTERBOTTENS LÄN</t>
        </is>
      </c>
      <c r="E543" t="inlineStr">
        <is>
          <t>UMEÅ</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46962-2025</t>
        </is>
      </c>
      <c r="B544" s="1" t="n">
        <v>45929.48913194444</v>
      </c>
      <c r="C544" s="1" t="n">
        <v>46083</v>
      </c>
      <c r="D544" t="inlineStr">
        <is>
          <t>VÄSTERBOTTENS LÄN</t>
        </is>
      </c>
      <c r="E544" t="inlineStr">
        <is>
          <t>UMEÅ</t>
        </is>
      </c>
      <c r="G544" t="n">
        <v>5.2</v>
      </c>
      <c r="H544" t="n">
        <v>0</v>
      </c>
      <c r="I544" t="n">
        <v>0</v>
      </c>
      <c r="J544" t="n">
        <v>0</v>
      </c>
      <c r="K544" t="n">
        <v>0</v>
      </c>
      <c r="L544" t="n">
        <v>0</v>
      </c>
      <c r="M544" t="n">
        <v>0</v>
      </c>
      <c r="N544" t="n">
        <v>0</v>
      </c>
      <c r="O544" t="n">
        <v>0</v>
      </c>
      <c r="P544" t="n">
        <v>0</v>
      </c>
      <c r="Q544" t="n">
        <v>0</v>
      </c>
      <c r="R544" s="2" t="inlineStr"/>
    </row>
    <row r="545" ht="15" customHeight="1">
      <c r="A545" t="inlineStr">
        <is>
          <t>A 42352-2021</t>
        </is>
      </c>
      <c r="B545" s="1" t="n">
        <v>44427</v>
      </c>
      <c r="C545" s="1" t="n">
        <v>46083</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46950-2025</t>
        </is>
      </c>
      <c r="B546" s="1" t="n">
        <v>45929.46907407408</v>
      </c>
      <c r="C546" s="1" t="n">
        <v>46083</v>
      </c>
      <c r="D546" t="inlineStr">
        <is>
          <t>VÄSTERBOTTENS LÄN</t>
        </is>
      </c>
      <c r="E546" t="inlineStr">
        <is>
          <t>UMEÅ</t>
        </is>
      </c>
      <c r="G546" t="n">
        <v>2.2</v>
      </c>
      <c r="H546" t="n">
        <v>0</v>
      </c>
      <c r="I546" t="n">
        <v>0</v>
      </c>
      <c r="J546" t="n">
        <v>0</v>
      </c>
      <c r="K546" t="n">
        <v>0</v>
      </c>
      <c r="L546" t="n">
        <v>0</v>
      </c>
      <c r="M546" t="n">
        <v>0</v>
      </c>
      <c r="N546" t="n">
        <v>0</v>
      </c>
      <c r="O546" t="n">
        <v>0</v>
      </c>
      <c r="P546" t="n">
        <v>0</v>
      </c>
      <c r="Q546" t="n">
        <v>0</v>
      </c>
      <c r="R546" s="2" t="inlineStr"/>
    </row>
    <row r="547" ht="15" customHeight="1">
      <c r="A547" t="inlineStr">
        <is>
          <t>A 36746-2025</t>
        </is>
      </c>
      <c r="B547" s="1" t="n">
        <v>45873.54766203704</v>
      </c>
      <c r="C547" s="1" t="n">
        <v>46083</v>
      </c>
      <c r="D547" t="inlineStr">
        <is>
          <t>VÄSTERBOTTENS LÄN</t>
        </is>
      </c>
      <c r="E547" t="inlineStr">
        <is>
          <t>UMEÅ</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36747-2025</t>
        </is>
      </c>
      <c r="B548" s="1" t="n">
        <v>45873.54780092592</v>
      </c>
      <c r="C548" s="1" t="n">
        <v>46083</v>
      </c>
      <c r="D548" t="inlineStr">
        <is>
          <t>VÄSTERBOTTENS LÄN</t>
        </is>
      </c>
      <c r="E548" t="inlineStr">
        <is>
          <t>UMEÅ</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37309-2025</t>
        </is>
      </c>
      <c r="B549" s="1" t="n">
        <v>45876.595</v>
      </c>
      <c r="C549" s="1" t="n">
        <v>46083</v>
      </c>
      <c r="D549" t="inlineStr">
        <is>
          <t>VÄSTERBOTTENS LÄN</t>
        </is>
      </c>
      <c r="E549" t="inlineStr">
        <is>
          <t>UMEÅ</t>
        </is>
      </c>
      <c r="G549" t="n">
        <v>1.7</v>
      </c>
      <c r="H549" t="n">
        <v>0</v>
      </c>
      <c r="I549" t="n">
        <v>0</v>
      </c>
      <c r="J549" t="n">
        <v>0</v>
      </c>
      <c r="K549" t="n">
        <v>0</v>
      </c>
      <c r="L549" t="n">
        <v>0</v>
      </c>
      <c r="M549" t="n">
        <v>0</v>
      </c>
      <c r="N549" t="n">
        <v>0</v>
      </c>
      <c r="O549" t="n">
        <v>0</v>
      </c>
      <c r="P549" t="n">
        <v>0</v>
      </c>
      <c r="Q549" t="n">
        <v>0</v>
      </c>
      <c r="R549" s="2" t="inlineStr"/>
    </row>
    <row r="550" ht="15" customHeight="1">
      <c r="A550" t="inlineStr">
        <is>
          <t>A 37039-2025</t>
        </is>
      </c>
      <c r="B550" s="1" t="n">
        <v>45875.32471064815</v>
      </c>
      <c r="C550" s="1" t="n">
        <v>46083</v>
      </c>
      <c r="D550" t="inlineStr">
        <is>
          <t>VÄSTERBOTTENS LÄN</t>
        </is>
      </c>
      <c r="E550" t="inlineStr">
        <is>
          <t>UMEÅ</t>
        </is>
      </c>
      <c r="F550" t="inlineStr">
        <is>
          <t>Holmen skog AB</t>
        </is>
      </c>
      <c r="G550" t="n">
        <v>4.8</v>
      </c>
      <c r="H550" t="n">
        <v>0</v>
      </c>
      <c r="I550" t="n">
        <v>0</v>
      </c>
      <c r="J550" t="n">
        <v>0</v>
      </c>
      <c r="K550" t="n">
        <v>0</v>
      </c>
      <c r="L550" t="n">
        <v>0</v>
      </c>
      <c r="M550" t="n">
        <v>0</v>
      </c>
      <c r="N550" t="n">
        <v>0</v>
      </c>
      <c r="O550" t="n">
        <v>0</v>
      </c>
      <c r="P550" t="n">
        <v>0</v>
      </c>
      <c r="Q550" t="n">
        <v>0</v>
      </c>
      <c r="R550" s="2" t="inlineStr"/>
    </row>
    <row r="551" ht="15" customHeight="1">
      <c r="A551" t="inlineStr">
        <is>
          <t>A 36814-2025</t>
        </is>
      </c>
      <c r="B551" s="1" t="n">
        <v>45872</v>
      </c>
      <c r="C551" s="1" t="n">
        <v>46083</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39561-2022</t>
        </is>
      </c>
      <c r="B552" s="1" t="n">
        <v>44818.57295138889</v>
      </c>
      <c r="C552" s="1" t="n">
        <v>46083</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37038-2025</t>
        </is>
      </c>
      <c r="B553" s="1" t="n">
        <v>45875.31435185186</v>
      </c>
      <c r="C553" s="1" t="n">
        <v>46083</v>
      </c>
      <c r="D553" t="inlineStr">
        <is>
          <t>VÄSTERBOTTENS LÄN</t>
        </is>
      </c>
      <c r="E553" t="inlineStr">
        <is>
          <t>UMEÅ</t>
        </is>
      </c>
      <c r="F553" t="inlineStr">
        <is>
          <t>Holmen skog AB</t>
        </is>
      </c>
      <c r="G553" t="n">
        <v>3.4</v>
      </c>
      <c r="H553" t="n">
        <v>0</v>
      </c>
      <c r="I553" t="n">
        <v>0</v>
      </c>
      <c r="J553" t="n">
        <v>0</v>
      </c>
      <c r="K553" t="n">
        <v>0</v>
      </c>
      <c r="L553" t="n">
        <v>0</v>
      </c>
      <c r="M553" t="n">
        <v>0</v>
      </c>
      <c r="N553" t="n">
        <v>0</v>
      </c>
      <c r="O553" t="n">
        <v>0</v>
      </c>
      <c r="P553" t="n">
        <v>0</v>
      </c>
      <c r="Q553" t="n">
        <v>0</v>
      </c>
      <c r="R553" s="2" t="inlineStr"/>
    </row>
    <row r="554" ht="15" customHeight="1">
      <c r="A554" t="inlineStr">
        <is>
          <t>A 37308-2025</t>
        </is>
      </c>
      <c r="B554" s="1" t="n">
        <v>45876.59497685185</v>
      </c>
      <c r="C554" s="1" t="n">
        <v>46083</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62540-2022</t>
        </is>
      </c>
      <c r="B555" s="1" t="n">
        <v>44917</v>
      </c>
      <c r="C555" s="1" t="n">
        <v>46083</v>
      </c>
      <c r="D555" t="inlineStr">
        <is>
          <t>VÄSTERBOTTENS LÄN</t>
        </is>
      </c>
      <c r="E555" t="inlineStr">
        <is>
          <t>UMEÅ</t>
        </is>
      </c>
      <c r="G555" t="n">
        <v>6.8</v>
      </c>
      <c r="H555" t="n">
        <v>0</v>
      </c>
      <c r="I555" t="n">
        <v>0</v>
      </c>
      <c r="J555" t="n">
        <v>0</v>
      </c>
      <c r="K555" t="n">
        <v>0</v>
      </c>
      <c r="L555" t="n">
        <v>0</v>
      </c>
      <c r="M555" t="n">
        <v>0</v>
      </c>
      <c r="N555" t="n">
        <v>0</v>
      </c>
      <c r="O555" t="n">
        <v>0</v>
      </c>
      <c r="P555" t="n">
        <v>0</v>
      </c>
      <c r="Q555" t="n">
        <v>0</v>
      </c>
      <c r="R555" s="2" t="inlineStr"/>
    </row>
    <row r="556" ht="15" customHeight="1">
      <c r="A556" t="inlineStr">
        <is>
          <t>A 48028-2025</t>
        </is>
      </c>
      <c r="B556" s="1" t="n">
        <v>45932.6515625</v>
      </c>
      <c r="C556" s="1" t="n">
        <v>46083</v>
      </c>
      <c r="D556" t="inlineStr">
        <is>
          <t>VÄSTERBOTTENS LÄN</t>
        </is>
      </c>
      <c r="E556" t="inlineStr">
        <is>
          <t>UMEÅ</t>
        </is>
      </c>
      <c r="G556" t="n">
        <v>2</v>
      </c>
      <c r="H556" t="n">
        <v>0</v>
      </c>
      <c r="I556" t="n">
        <v>0</v>
      </c>
      <c r="J556" t="n">
        <v>0</v>
      </c>
      <c r="K556" t="n">
        <v>0</v>
      </c>
      <c r="L556" t="n">
        <v>0</v>
      </c>
      <c r="M556" t="n">
        <v>0</v>
      </c>
      <c r="N556" t="n">
        <v>0</v>
      </c>
      <c r="O556" t="n">
        <v>0</v>
      </c>
      <c r="P556" t="n">
        <v>0</v>
      </c>
      <c r="Q556" t="n">
        <v>0</v>
      </c>
      <c r="R556" s="2" t="inlineStr"/>
    </row>
    <row r="557" ht="15" customHeight="1">
      <c r="A557" t="inlineStr">
        <is>
          <t>A 5994-2025</t>
        </is>
      </c>
      <c r="B557" s="1" t="n">
        <v>45695</v>
      </c>
      <c r="C557" s="1" t="n">
        <v>46083</v>
      </c>
      <c r="D557" t="inlineStr">
        <is>
          <t>VÄSTERBOTTENS LÄN</t>
        </is>
      </c>
      <c r="E557" t="inlineStr">
        <is>
          <t>UMEÅ</t>
        </is>
      </c>
      <c r="G557" t="n">
        <v>4.5</v>
      </c>
      <c r="H557" t="n">
        <v>0</v>
      </c>
      <c r="I557" t="n">
        <v>0</v>
      </c>
      <c r="J557" t="n">
        <v>0</v>
      </c>
      <c r="K557" t="n">
        <v>0</v>
      </c>
      <c r="L557" t="n">
        <v>0</v>
      </c>
      <c r="M557" t="n">
        <v>0</v>
      </c>
      <c r="N557" t="n">
        <v>0</v>
      </c>
      <c r="O557" t="n">
        <v>0</v>
      </c>
      <c r="P557" t="n">
        <v>0</v>
      </c>
      <c r="Q557" t="n">
        <v>0</v>
      </c>
      <c r="R557" s="2" t="inlineStr"/>
    </row>
    <row r="558" ht="15" customHeight="1">
      <c r="A558" t="inlineStr">
        <is>
          <t>A 28436-2025</t>
        </is>
      </c>
      <c r="B558" s="1" t="n">
        <v>45819.38614583333</v>
      </c>
      <c r="C558" s="1" t="n">
        <v>46083</v>
      </c>
      <c r="D558" t="inlineStr">
        <is>
          <t>VÄSTERBOTTENS LÄN</t>
        </is>
      </c>
      <c r="E558" t="inlineStr">
        <is>
          <t>UMEÅ</t>
        </is>
      </c>
      <c r="G558" t="n">
        <v>5.2</v>
      </c>
      <c r="H558" t="n">
        <v>0</v>
      </c>
      <c r="I558" t="n">
        <v>0</v>
      </c>
      <c r="J558" t="n">
        <v>0</v>
      </c>
      <c r="K558" t="n">
        <v>0</v>
      </c>
      <c r="L558" t="n">
        <v>0</v>
      </c>
      <c r="M558" t="n">
        <v>0</v>
      </c>
      <c r="N558" t="n">
        <v>0</v>
      </c>
      <c r="O558" t="n">
        <v>0</v>
      </c>
      <c r="P558" t="n">
        <v>0</v>
      </c>
      <c r="Q558" t="n">
        <v>0</v>
      </c>
      <c r="R558" s="2" t="inlineStr"/>
    </row>
    <row r="559" ht="15" customHeight="1">
      <c r="A559" t="inlineStr">
        <is>
          <t>A 37482-2025</t>
        </is>
      </c>
      <c r="B559" s="1" t="n">
        <v>45877.61789351852</v>
      </c>
      <c r="C559" s="1" t="n">
        <v>46083</v>
      </c>
      <c r="D559" t="inlineStr">
        <is>
          <t>VÄSTERBOTTENS LÄN</t>
        </is>
      </c>
      <c r="E559" t="inlineStr">
        <is>
          <t>UMEÅ</t>
        </is>
      </c>
      <c r="G559" t="n">
        <v>3.2</v>
      </c>
      <c r="H559" t="n">
        <v>0</v>
      </c>
      <c r="I559" t="n">
        <v>0</v>
      </c>
      <c r="J559" t="n">
        <v>0</v>
      </c>
      <c r="K559" t="n">
        <v>0</v>
      </c>
      <c r="L559" t="n">
        <v>0</v>
      </c>
      <c r="M559" t="n">
        <v>0</v>
      </c>
      <c r="N559" t="n">
        <v>0</v>
      </c>
      <c r="O559" t="n">
        <v>0</v>
      </c>
      <c r="P559" t="n">
        <v>0</v>
      </c>
      <c r="Q559" t="n">
        <v>0</v>
      </c>
      <c r="R559" s="2" t="inlineStr"/>
    </row>
    <row r="560" ht="15" customHeight="1">
      <c r="A560" t="inlineStr">
        <is>
          <t>A 25699-2025</t>
        </is>
      </c>
      <c r="B560" s="1" t="n">
        <v>45803.66822916667</v>
      </c>
      <c r="C560" s="1" t="n">
        <v>46083</v>
      </c>
      <c r="D560" t="inlineStr">
        <is>
          <t>VÄSTERBOTTENS LÄN</t>
        </is>
      </c>
      <c r="E560" t="inlineStr">
        <is>
          <t>UMEÅ</t>
        </is>
      </c>
      <c r="G560" t="n">
        <v>1.8</v>
      </c>
      <c r="H560" t="n">
        <v>0</v>
      </c>
      <c r="I560" t="n">
        <v>0</v>
      </c>
      <c r="J560" t="n">
        <v>0</v>
      </c>
      <c r="K560" t="n">
        <v>0</v>
      </c>
      <c r="L560" t="n">
        <v>0</v>
      </c>
      <c r="M560" t="n">
        <v>0</v>
      </c>
      <c r="N560" t="n">
        <v>0</v>
      </c>
      <c r="O560" t="n">
        <v>0</v>
      </c>
      <c r="P560" t="n">
        <v>0</v>
      </c>
      <c r="Q560" t="n">
        <v>0</v>
      </c>
      <c r="R560" s="2" t="inlineStr"/>
    </row>
    <row r="561" ht="15" customHeight="1">
      <c r="A561" t="inlineStr">
        <is>
          <t>A 35226-2024</t>
        </is>
      </c>
      <c r="B561" s="1" t="n">
        <v>45530</v>
      </c>
      <c r="C561" s="1" t="n">
        <v>46083</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48011-2025</t>
        </is>
      </c>
      <c r="B562" s="1" t="n">
        <v>45932.64318287037</v>
      </c>
      <c r="C562" s="1" t="n">
        <v>46083</v>
      </c>
      <c r="D562" t="inlineStr">
        <is>
          <t>VÄSTERBOTTENS LÄN</t>
        </is>
      </c>
      <c r="E562" t="inlineStr">
        <is>
          <t>UMEÅ</t>
        </is>
      </c>
      <c r="G562" t="n">
        <v>5.1</v>
      </c>
      <c r="H562" t="n">
        <v>0</v>
      </c>
      <c r="I562" t="n">
        <v>0</v>
      </c>
      <c r="J562" t="n">
        <v>0</v>
      </c>
      <c r="K562" t="n">
        <v>0</v>
      </c>
      <c r="L562" t="n">
        <v>0</v>
      </c>
      <c r="M562" t="n">
        <v>0</v>
      </c>
      <c r="N562" t="n">
        <v>0</v>
      </c>
      <c r="O562" t="n">
        <v>0</v>
      </c>
      <c r="P562" t="n">
        <v>0</v>
      </c>
      <c r="Q562" t="n">
        <v>0</v>
      </c>
      <c r="R562" s="2" t="inlineStr"/>
    </row>
    <row r="563" ht="15" customHeight="1">
      <c r="A563" t="inlineStr">
        <is>
          <t>A 35738-2021</t>
        </is>
      </c>
      <c r="B563" s="1" t="n">
        <v>44386.55082175926</v>
      </c>
      <c r="C563" s="1" t="n">
        <v>46083</v>
      </c>
      <c r="D563" t="inlineStr">
        <is>
          <t>VÄSTERBOTTENS LÄN</t>
        </is>
      </c>
      <c r="E563" t="inlineStr">
        <is>
          <t>UMEÅ</t>
        </is>
      </c>
      <c r="G563" t="n">
        <v>3.1</v>
      </c>
      <c r="H563" t="n">
        <v>0</v>
      </c>
      <c r="I563" t="n">
        <v>0</v>
      </c>
      <c r="J563" t="n">
        <v>0</v>
      </c>
      <c r="K563" t="n">
        <v>0</v>
      </c>
      <c r="L563" t="n">
        <v>0</v>
      </c>
      <c r="M563" t="n">
        <v>0</v>
      </c>
      <c r="N563" t="n">
        <v>0</v>
      </c>
      <c r="O563" t="n">
        <v>0</v>
      </c>
      <c r="P563" t="n">
        <v>0</v>
      </c>
      <c r="Q563" t="n">
        <v>0</v>
      </c>
      <c r="R563" s="2" t="inlineStr"/>
    </row>
    <row r="564" ht="15" customHeight="1">
      <c r="A564" t="inlineStr">
        <is>
          <t>A 25691-2025</t>
        </is>
      </c>
      <c r="B564" s="1" t="n">
        <v>45803.66194444444</v>
      </c>
      <c r="C564" s="1" t="n">
        <v>46083</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37870-2024</t>
        </is>
      </c>
      <c r="B565" s="1" t="n">
        <v>45544</v>
      </c>
      <c r="C565" s="1" t="n">
        <v>46083</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61621-2024</t>
        </is>
      </c>
      <c r="B566" s="1" t="n">
        <v>45646.65800925926</v>
      </c>
      <c r="C566" s="1" t="n">
        <v>46083</v>
      </c>
      <c r="D566" t="inlineStr">
        <is>
          <t>VÄSTERBOTTENS LÄN</t>
        </is>
      </c>
      <c r="E566" t="inlineStr">
        <is>
          <t>UMEÅ</t>
        </is>
      </c>
      <c r="G566" t="n">
        <v>1.9</v>
      </c>
      <c r="H566" t="n">
        <v>0</v>
      </c>
      <c r="I566" t="n">
        <v>0</v>
      </c>
      <c r="J566" t="n">
        <v>0</v>
      </c>
      <c r="K566" t="n">
        <v>0</v>
      </c>
      <c r="L566" t="n">
        <v>0</v>
      </c>
      <c r="M566" t="n">
        <v>0</v>
      </c>
      <c r="N566" t="n">
        <v>0</v>
      </c>
      <c r="O566" t="n">
        <v>0</v>
      </c>
      <c r="P566" t="n">
        <v>0</v>
      </c>
      <c r="Q566" t="n">
        <v>0</v>
      </c>
      <c r="R566" s="2" t="inlineStr"/>
    </row>
    <row r="567" ht="15" customHeight="1">
      <c r="A567" t="inlineStr">
        <is>
          <t>A 38192-2025</t>
        </is>
      </c>
      <c r="B567" s="1" t="n">
        <v>45882.65709490741</v>
      </c>
      <c r="C567" s="1" t="n">
        <v>46083</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23372-2021</t>
        </is>
      </c>
      <c r="B568" s="1" t="n">
        <v>44333.58960648148</v>
      </c>
      <c r="C568" s="1" t="n">
        <v>46083</v>
      </c>
      <c r="D568" t="inlineStr">
        <is>
          <t>VÄSTERBOTTENS LÄN</t>
        </is>
      </c>
      <c r="E568" t="inlineStr">
        <is>
          <t>UMEÅ</t>
        </is>
      </c>
      <c r="G568" t="n">
        <v>4.5</v>
      </c>
      <c r="H568" t="n">
        <v>0</v>
      </c>
      <c r="I568" t="n">
        <v>0</v>
      </c>
      <c r="J568" t="n">
        <v>0</v>
      </c>
      <c r="K568" t="n">
        <v>0</v>
      </c>
      <c r="L568" t="n">
        <v>0</v>
      </c>
      <c r="M568" t="n">
        <v>0</v>
      </c>
      <c r="N568" t="n">
        <v>0</v>
      </c>
      <c r="O568" t="n">
        <v>0</v>
      </c>
      <c r="P568" t="n">
        <v>0</v>
      </c>
      <c r="Q568" t="n">
        <v>0</v>
      </c>
      <c r="R568" s="2" t="inlineStr"/>
    </row>
    <row r="569" ht="15" customHeight="1">
      <c r="A569" t="inlineStr">
        <is>
          <t>A 47863-2025</t>
        </is>
      </c>
      <c r="B569" s="1" t="n">
        <v>45932.4290625</v>
      </c>
      <c r="C569" s="1" t="n">
        <v>46083</v>
      </c>
      <c r="D569" t="inlineStr">
        <is>
          <t>VÄSTERBOTTENS LÄN</t>
        </is>
      </c>
      <c r="E569" t="inlineStr">
        <is>
          <t>UMEÅ</t>
        </is>
      </c>
      <c r="G569" t="n">
        <v>2.3</v>
      </c>
      <c r="H569" t="n">
        <v>0</v>
      </c>
      <c r="I569" t="n">
        <v>0</v>
      </c>
      <c r="J569" t="n">
        <v>0</v>
      </c>
      <c r="K569" t="n">
        <v>0</v>
      </c>
      <c r="L569" t="n">
        <v>0</v>
      </c>
      <c r="M569" t="n">
        <v>0</v>
      </c>
      <c r="N569" t="n">
        <v>0</v>
      </c>
      <c r="O569" t="n">
        <v>0</v>
      </c>
      <c r="P569" t="n">
        <v>0</v>
      </c>
      <c r="Q569" t="n">
        <v>0</v>
      </c>
      <c r="R569" s="2" t="inlineStr"/>
    </row>
    <row r="570" ht="15" customHeight="1">
      <c r="A570" t="inlineStr">
        <is>
          <t>A 37814-2025</t>
        </is>
      </c>
      <c r="B570" s="1" t="n">
        <v>45881.3749537037</v>
      </c>
      <c r="C570" s="1" t="n">
        <v>46083</v>
      </c>
      <c r="D570" t="inlineStr">
        <is>
          <t>VÄSTERBOTTENS LÄN</t>
        </is>
      </c>
      <c r="E570" t="inlineStr">
        <is>
          <t>UMEÅ</t>
        </is>
      </c>
      <c r="G570" t="n">
        <v>6</v>
      </c>
      <c r="H570" t="n">
        <v>0</v>
      </c>
      <c r="I570" t="n">
        <v>0</v>
      </c>
      <c r="J570" t="n">
        <v>0</v>
      </c>
      <c r="K570" t="n">
        <v>0</v>
      </c>
      <c r="L570" t="n">
        <v>0</v>
      </c>
      <c r="M570" t="n">
        <v>0</v>
      </c>
      <c r="N570" t="n">
        <v>0</v>
      </c>
      <c r="O570" t="n">
        <v>0</v>
      </c>
      <c r="P570" t="n">
        <v>0</v>
      </c>
      <c r="Q570" t="n">
        <v>0</v>
      </c>
      <c r="R570" s="2" t="inlineStr"/>
    </row>
    <row r="571" ht="15" customHeight="1">
      <c r="A571" t="inlineStr">
        <is>
          <t>A 48264-2025</t>
        </is>
      </c>
      <c r="B571" s="1" t="n">
        <v>45933.56834490741</v>
      </c>
      <c r="C571" s="1" t="n">
        <v>46083</v>
      </c>
      <c r="D571" t="inlineStr">
        <is>
          <t>VÄSTERBOTTENS LÄN</t>
        </is>
      </c>
      <c r="E571" t="inlineStr">
        <is>
          <t>UMEÅ</t>
        </is>
      </c>
      <c r="G571" t="n">
        <v>1.1</v>
      </c>
      <c r="H571" t="n">
        <v>0</v>
      </c>
      <c r="I571" t="n">
        <v>0</v>
      </c>
      <c r="J571" t="n">
        <v>0</v>
      </c>
      <c r="K571" t="n">
        <v>0</v>
      </c>
      <c r="L571" t="n">
        <v>0</v>
      </c>
      <c r="M571" t="n">
        <v>0</v>
      </c>
      <c r="N571" t="n">
        <v>0</v>
      </c>
      <c r="O571" t="n">
        <v>0</v>
      </c>
      <c r="P571" t="n">
        <v>0</v>
      </c>
      <c r="Q571" t="n">
        <v>0</v>
      </c>
      <c r="R571" s="2" t="inlineStr"/>
    </row>
    <row r="572" ht="15" customHeight="1">
      <c r="A572" t="inlineStr">
        <is>
          <t>A 44957-2022</t>
        </is>
      </c>
      <c r="B572" s="1" t="n">
        <v>44840</v>
      </c>
      <c r="C572" s="1" t="n">
        <v>46083</v>
      </c>
      <c r="D572" t="inlineStr">
        <is>
          <t>VÄSTERBOTTENS LÄN</t>
        </is>
      </c>
      <c r="E572" t="inlineStr">
        <is>
          <t>UMEÅ</t>
        </is>
      </c>
      <c r="G572" t="n">
        <v>5.6</v>
      </c>
      <c r="H572" t="n">
        <v>0</v>
      </c>
      <c r="I572" t="n">
        <v>0</v>
      </c>
      <c r="J572" t="n">
        <v>0</v>
      </c>
      <c r="K572" t="n">
        <v>0</v>
      </c>
      <c r="L572" t="n">
        <v>0</v>
      </c>
      <c r="M572" t="n">
        <v>0</v>
      </c>
      <c r="N572" t="n">
        <v>0</v>
      </c>
      <c r="O572" t="n">
        <v>0</v>
      </c>
      <c r="P572" t="n">
        <v>0</v>
      </c>
      <c r="Q572" t="n">
        <v>0</v>
      </c>
      <c r="R572" s="2" t="inlineStr"/>
    </row>
    <row r="573" ht="15" customHeight="1">
      <c r="A573" t="inlineStr">
        <is>
          <t>A 48267-2025</t>
        </is>
      </c>
      <c r="B573" s="1" t="n">
        <v>45933.57060185185</v>
      </c>
      <c r="C573" s="1" t="n">
        <v>46083</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38669-2025</t>
        </is>
      </c>
      <c r="B574" s="1" t="n">
        <v>45884.62400462963</v>
      </c>
      <c r="C574" s="1" t="n">
        <v>46083</v>
      </c>
      <c r="D574" t="inlineStr">
        <is>
          <t>VÄSTERBOTTENS LÄN</t>
        </is>
      </c>
      <c r="E574" t="inlineStr">
        <is>
          <t>UMEÅ</t>
        </is>
      </c>
      <c r="G574" t="n">
        <v>4.9</v>
      </c>
      <c r="H574" t="n">
        <v>0</v>
      </c>
      <c r="I574" t="n">
        <v>0</v>
      </c>
      <c r="J574" t="n">
        <v>0</v>
      </c>
      <c r="K574" t="n">
        <v>0</v>
      </c>
      <c r="L574" t="n">
        <v>0</v>
      </c>
      <c r="M574" t="n">
        <v>0</v>
      </c>
      <c r="N574" t="n">
        <v>0</v>
      </c>
      <c r="O574" t="n">
        <v>0</v>
      </c>
      <c r="P574" t="n">
        <v>0</v>
      </c>
      <c r="Q574" t="n">
        <v>0</v>
      </c>
      <c r="R574" s="2" t="inlineStr"/>
    </row>
    <row r="575" ht="15" customHeight="1">
      <c r="A575" t="inlineStr">
        <is>
          <t>A 15160-2025</t>
        </is>
      </c>
      <c r="B575" s="1" t="n">
        <v>45744</v>
      </c>
      <c r="C575" s="1" t="n">
        <v>46083</v>
      </c>
      <c r="D575" t="inlineStr">
        <is>
          <t>VÄSTERBOTTENS LÄN</t>
        </is>
      </c>
      <c r="E575" t="inlineStr">
        <is>
          <t>UMEÅ</t>
        </is>
      </c>
      <c r="F575" t="inlineStr">
        <is>
          <t>Kommuner</t>
        </is>
      </c>
      <c r="G575" t="n">
        <v>0.7</v>
      </c>
      <c r="H575" t="n">
        <v>0</v>
      </c>
      <c r="I575" t="n">
        <v>0</v>
      </c>
      <c r="J575" t="n">
        <v>0</v>
      </c>
      <c r="K575" t="n">
        <v>0</v>
      </c>
      <c r="L575" t="n">
        <v>0</v>
      </c>
      <c r="M575" t="n">
        <v>0</v>
      </c>
      <c r="N575" t="n">
        <v>0</v>
      </c>
      <c r="O575" t="n">
        <v>0</v>
      </c>
      <c r="P575" t="n">
        <v>0</v>
      </c>
      <c r="Q575" t="n">
        <v>0</v>
      </c>
      <c r="R575" s="2" t="inlineStr"/>
    </row>
    <row r="576" ht="15" customHeight="1">
      <c r="A576" t="inlineStr">
        <is>
          <t>A 15161-2025</t>
        </is>
      </c>
      <c r="B576" s="1" t="n">
        <v>45744</v>
      </c>
      <c r="C576" s="1" t="n">
        <v>46083</v>
      </c>
      <c r="D576" t="inlineStr">
        <is>
          <t>VÄSTERBOTTENS LÄN</t>
        </is>
      </c>
      <c r="E576" t="inlineStr">
        <is>
          <t>UMEÅ</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48900-2025</t>
        </is>
      </c>
      <c r="B577" s="1" t="n">
        <v>45937.48125</v>
      </c>
      <c r="C577" s="1" t="n">
        <v>46083</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49185-2025</t>
        </is>
      </c>
      <c r="B578" s="1" t="n">
        <v>45938.40478009259</v>
      </c>
      <c r="C578" s="1" t="n">
        <v>46083</v>
      </c>
      <c r="D578" t="inlineStr">
        <is>
          <t>VÄSTERBOTTENS LÄN</t>
        </is>
      </c>
      <c r="E578" t="inlineStr">
        <is>
          <t>UMEÅ</t>
        </is>
      </c>
      <c r="F578" t="inlineStr">
        <is>
          <t>Holmen skog AB</t>
        </is>
      </c>
      <c r="G578" t="n">
        <v>1.4</v>
      </c>
      <c r="H578" t="n">
        <v>0</v>
      </c>
      <c r="I578" t="n">
        <v>0</v>
      </c>
      <c r="J578" t="n">
        <v>0</v>
      </c>
      <c r="K578" t="n">
        <v>0</v>
      </c>
      <c r="L578" t="n">
        <v>0</v>
      </c>
      <c r="M578" t="n">
        <v>0</v>
      </c>
      <c r="N578" t="n">
        <v>0</v>
      </c>
      <c r="O578" t="n">
        <v>0</v>
      </c>
      <c r="P578" t="n">
        <v>0</v>
      </c>
      <c r="Q578" t="n">
        <v>0</v>
      </c>
      <c r="R578" s="2" t="inlineStr"/>
    </row>
    <row r="579" ht="15" customHeight="1">
      <c r="A579" t="inlineStr">
        <is>
          <t>A 19195-2025</t>
        </is>
      </c>
      <c r="B579" s="1" t="n">
        <v>45769.425625</v>
      </c>
      <c r="C579" s="1" t="n">
        <v>46083</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49030-2025</t>
        </is>
      </c>
      <c r="B580" s="1" t="n">
        <v>45937.62387731481</v>
      </c>
      <c r="C580" s="1" t="n">
        <v>46083</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49038-2025</t>
        </is>
      </c>
      <c r="B581" s="1" t="n">
        <v>45937.63146990741</v>
      </c>
      <c r="C581" s="1" t="n">
        <v>46083</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58538-2021</t>
        </is>
      </c>
      <c r="B582" s="1" t="n">
        <v>44488.6871875</v>
      </c>
      <c r="C582" s="1" t="n">
        <v>46083</v>
      </c>
      <c r="D582" t="inlineStr">
        <is>
          <t>VÄSTERBOTTENS LÄN</t>
        </is>
      </c>
      <c r="E582" t="inlineStr">
        <is>
          <t>UMEÅ</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17924-2023</t>
        </is>
      </c>
      <c r="B583" s="1" t="n">
        <v>45037</v>
      </c>
      <c r="C583" s="1" t="n">
        <v>46083</v>
      </c>
      <c r="D583" t="inlineStr">
        <is>
          <t>VÄSTERBOTTENS LÄN</t>
        </is>
      </c>
      <c r="E583" t="inlineStr">
        <is>
          <t>UMEÅ</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17949-2023</t>
        </is>
      </c>
      <c r="B584" s="1" t="n">
        <v>45037</v>
      </c>
      <c r="C584" s="1" t="n">
        <v>46083</v>
      </c>
      <c r="D584" t="inlineStr">
        <is>
          <t>VÄSTERBOTTENS LÄN</t>
        </is>
      </c>
      <c r="E584" t="inlineStr">
        <is>
          <t>UMEÅ</t>
        </is>
      </c>
      <c r="G584" t="n">
        <v>4.5</v>
      </c>
      <c r="H584" t="n">
        <v>0</v>
      </c>
      <c r="I584" t="n">
        <v>0</v>
      </c>
      <c r="J584" t="n">
        <v>0</v>
      </c>
      <c r="K584" t="n">
        <v>0</v>
      </c>
      <c r="L584" t="n">
        <v>0</v>
      </c>
      <c r="M584" t="n">
        <v>0</v>
      </c>
      <c r="N584" t="n">
        <v>0</v>
      </c>
      <c r="O584" t="n">
        <v>0</v>
      </c>
      <c r="P584" t="n">
        <v>0</v>
      </c>
      <c r="Q584" t="n">
        <v>0</v>
      </c>
      <c r="R584" s="2" t="inlineStr"/>
    </row>
    <row r="585" ht="15" customHeight="1">
      <c r="A585" t="inlineStr">
        <is>
          <t>A 49142-2025</t>
        </is>
      </c>
      <c r="B585" s="1" t="n">
        <v>45938.32196759259</v>
      </c>
      <c r="C585" s="1" t="n">
        <v>46083</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31442-2024</t>
        </is>
      </c>
      <c r="B586" s="1" t="n">
        <v>45505</v>
      </c>
      <c r="C586" s="1" t="n">
        <v>46083</v>
      </c>
      <c r="D586" t="inlineStr">
        <is>
          <t>VÄSTERBOTTENS LÄN</t>
        </is>
      </c>
      <c r="E586" t="inlineStr">
        <is>
          <t>UMEÅ</t>
        </is>
      </c>
      <c r="G586" t="n">
        <v>0.8</v>
      </c>
      <c r="H586" t="n">
        <v>0</v>
      </c>
      <c r="I586" t="n">
        <v>0</v>
      </c>
      <c r="J586" t="n">
        <v>0</v>
      </c>
      <c r="K586" t="n">
        <v>0</v>
      </c>
      <c r="L586" t="n">
        <v>0</v>
      </c>
      <c r="M586" t="n">
        <v>0</v>
      </c>
      <c r="N586" t="n">
        <v>0</v>
      </c>
      <c r="O586" t="n">
        <v>0</v>
      </c>
      <c r="P586" t="n">
        <v>0</v>
      </c>
      <c r="Q586" t="n">
        <v>0</v>
      </c>
      <c r="R586" s="2" t="inlineStr"/>
    </row>
    <row r="587" ht="15" customHeight="1">
      <c r="A587" t="inlineStr">
        <is>
          <t>A 49182-2025</t>
        </is>
      </c>
      <c r="B587" s="1" t="n">
        <v>45938.38820601852</v>
      </c>
      <c r="C587" s="1" t="n">
        <v>46083</v>
      </c>
      <c r="D587" t="inlineStr">
        <is>
          <t>VÄSTERBOTTENS LÄN</t>
        </is>
      </c>
      <c r="E587" t="inlineStr">
        <is>
          <t>UMEÅ</t>
        </is>
      </c>
      <c r="F587" t="inlineStr">
        <is>
          <t>Holmen skog AB</t>
        </is>
      </c>
      <c r="G587" t="n">
        <v>7.2</v>
      </c>
      <c r="H587" t="n">
        <v>0</v>
      </c>
      <c r="I587" t="n">
        <v>0</v>
      </c>
      <c r="J587" t="n">
        <v>0</v>
      </c>
      <c r="K587" t="n">
        <v>0</v>
      </c>
      <c r="L587" t="n">
        <v>0</v>
      </c>
      <c r="M587" t="n">
        <v>0</v>
      </c>
      <c r="N587" t="n">
        <v>0</v>
      </c>
      <c r="O587" t="n">
        <v>0</v>
      </c>
      <c r="P587" t="n">
        <v>0</v>
      </c>
      <c r="Q587" t="n">
        <v>0</v>
      </c>
      <c r="R587" s="2" t="inlineStr"/>
    </row>
    <row r="588" ht="15" customHeight="1">
      <c r="A588" t="inlineStr">
        <is>
          <t>A 6279-2025</t>
        </is>
      </c>
      <c r="B588" s="1" t="n">
        <v>45698.62097222222</v>
      </c>
      <c r="C588" s="1" t="n">
        <v>46083</v>
      </c>
      <c r="D588" t="inlineStr">
        <is>
          <t>VÄSTERBOTTENS LÄN</t>
        </is>
      </c>
      <c r="E588" t="inlineStr">
        <is>
          <t>UMEÅ</t>
        </is>
      </c>
      <c r="G588" t="n">
        <v>0.6</v>
      </c>
      <c r="H588" t="n">
        <v>0</v>
      </c>
      <c r="I588" t="n">
        <v>0</v>
      </c>
      <c r="J588" t="n">
        <v>0</v>
      </c>
      <c r="K588" t="n">
        <v>0</v>
      </c>
      <c r="L588" t="n">
        <v>0</v>
      </c>
      <c r="M588" t="n">
        <v>0</v>
      </c>
      <c r="N588" t="n">
        <v>0</v>
      </c>
      <c r="O588" t="n">
        <v>0</v>
      </c>
      <c r="P588" t="n">
        <v>0</v>
      </c>
      <c r="Q588" t="n">
        <v>0</v>
      </c>
      <c r="R588" s="2" t="inlineStr"/>
    </row>
    <row r="589" ht="15" customHeight="1">
      <c r="A589" t="inlineStr">
        <is>
          <t>A 49264-2025</t>
        </is>
      </c>
      <c r="B589" s="1" t="n">
        <v>45938.49991898148</v>
      </c>
      <c r="C589" s="1" t="n">
        <v>46083</v>
      </c>
      <c r="D589" t="inlineStr">
        <is>
          <t>VÄSTERBOTTENS LÄN</t>
        </is>
      </c>
      <c r="E589" t="inlineStr">
        <is>
          <t>UMEÅ</t>
        </is>
      </c>
      <c r="F589" t="inlineStr">
        <is>
          <t>Sveaskog</t>
        </is>
      </c>
      <c r="G589" t="n">
        <v>7.3</v>
      </c>
      <c r="H589" t="n">
        <v>0</v>
      </c>
      <c r="I589" t="n">
        <v>0</v>
      </c>
      <c r="J589" t="n">
        <v>0</v>
      </c>
      <c r="K589" t="n">
        <v>0</v>
      </c>
      <c r="L589" t="n">
        <v>0</v>
      </c>
      <c r="M589" t="n">
        <v>0</v>
      </c>
      <c r="N589" t="n">
        <v>0</v>
      </c>
      <c r="O589" t="n">
        <v>0</v>
      </c>
      <c r="P589" t="n">
        <v>0</v>
      </c>
      <c r="Q589" t="n">
        <v>0</v>
      </c>
      <c r="R589" s="2" t="inlineStr"/>
    </row>
    <row r="590" ht="15" customHeight="1">
      <c r="A590" t="inlineStr">
        <is>
          <t>A 49279-2025</t>
        </is>
      </c>
      <c r="B590" s="1" t="n">
        <v>45938.5106712963</v>
      </c>
      <c r="C590" s="1" t="n">
        <v>46083</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49312-2025</t>
        </is>
      </c>
      <c r="B591" s="1" t="n">
        <v>45938.56427083333</v>
      </c>
      <c r="C591" s="1" t="n">
        <v>46083</v>
      </c>
      <c r="D591" t="inlineStr">
        <is>
          <t>VÄSTERBOTTENS LÄN</t>
        </is>
      </c>
      <c r="E591" t="inlineStr">
        <is>
          <t>UMEÅ</t>
        </is>
      </c>
      <c r="F591" t="inlineStr">
        <is>
          <t>Sveaskog</t>
        </is>
      </c>
      <c r="G591" t="n">
        <v>30.6</v>
      </c>
      <c r="H591" t="n">
        <v>0</v>
      </c>
      <c r="I591" t="n">
        <v>0</v>
      </c>
      <c r="J591" t="n">
        <v>0</v>
      </c>
      <c r="K591" t="n">
        <v>0</v>
      </c>
      <c r="L591" t="n">
        <v>0</v>
      </c>
      <c r="M591" t="n">
        <v>0</v>
      </c>
      <c r="N591" t="n">
        <v>0</v>
      </c>
      <c r="O591" t="n">
        <v>0</v>
      </c>
      <c r="P591" t="n">
        <v>0</v>
      </c>
      <c r="Q591" t="n">
        <v>0</v>
      </c>
      <c r="R591" s="2" t="inlineStr"/>
    </row>
    <row r="592" ht="15" customHeight="1">
      <c r="A592" t="inlineStr">
        <is>
          <t>A 49120-2025</t>
        </is>
      </c>
      <c r="B592" s="1" t="n">
        <v>45937.8341087963</v>
      </c>
      <c r="C592" s="1" t="n">
        <v>46083</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13768-2023</t>
        </is>
      </c>
      <c r="B593" s="1" t="n">
        <v>45006</v>
      </c>
      <c r="C593" s="1" t="n">
        <v>46083</v>
      </c>
      <c r="D593" t="inlineStr">
        <is>
          <t>VÄSTERBOTTENS LÄN</t>
        </is>
      </c>
      <c r="E593" t="inlineStr">
        <is>
          <t>UMEÅ</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1508-2025</t>
        </is>
      </c>
      <c r="B594" s="1" t="n">
        <v>45670.4403587963</v>
      </c>
      <c r="C594" s="1" t="n">
        <v>46083</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7373-2024</t>
        </is>
      </c>
      <c r="B595" s="1" t="n">
        <v>45345</v>
      </c>
      <c r="C595" s="1" t="n">
        <v>46083</v>
      </c>
      <c r="D595" t="inlineStr">
        <is>
          <t>VÄSTERBOTTENS LÄN</t>
        </is>
      </c>
      <c r="E595" t="inlineStr">
        <is>
          <t>UMEÅ</t>
        </is>
      </c>
      <c r="G595" t="n">
        <v>4.1</v>
      </c>
      <c r="H595" t="n">
        <v>0</v>
      </c>
      <c r="I595" t="n">
        <v>0</v>
      </c>
      <c r="J595" t="n">
        <v>0</v>
      </c>
      <c r="K595" t="n">
        <v>0</v>
      </c>
      <c r="L595" t="n">
        <v>0</v>
      </c>
      <c r="M595" t="n">
        <v>0</v>
      </c>
      <c r="N595" t="n">
        <v>0</v>
      </c>
      <c r="O595" t="n">
        <v>0</v>
      </c>
      <c r="P595" t="n">
        <v>0</v>
      </c>
      <c r="Q595" t="n">
        <v>0</v>
      </c>
      <c r="R595" s="2" t="inlineStr"/>
    </row>
    <row r="596" ht="15" customHeight="1">
      <c r="A596" t="inlineStr">
        <is>
          <t>A 15375-2025</t>
        </is>
      </c>
      <c r="B596" s="1" t="n">
        <v>45747.40652777778</v>
      </c>
      <c r="C596" s="1" t="n">
        <v>46083</v>
      </c>
      <c r="D596" t="inlineStr">
        <is>
          <t>VÄSTERBOTTENS LÄN</t>
        </is>
      </c>
      <c r="E596" t="inlineStr">
        <is>
          <t>UMEÅ</t>
        </is>
      </c>
      <c r="G596" t="n">
        <v>1.1</v>
      </c>
      <c r="H596" t="n">
        <v>0</v>
      </c>
      <c r="I596" t="n">
        <v>0</v>
      </c>
      <c r="J596" t="n">
        <v>0</v>
      </c>
      <c r="K596" t="n">
        <v>0</v>
      </c>
      <c r="L596" t="n">
        <v>0</v>
      </c>
      <c r="M596" t="n">
        <v>0</v>
      </c>
      <c r="N596" t="n">
        <v>0</v>
      </c>
      <c r="O596" t="n">
        <v>0</v>
      </c>
      <c r="P596" t="n">
        <v>0</v>
      </c>
      <c r="Q596" t="n">
        <v>0</v>
      </c>
      <c r="R596" s="2" t="inlineStr"/>
    </row>
    <row r="597" ht="15" customHeight="1">
      <c r="A597" t="inlineStr">
        <is>
          <t>A 15886-2023</t>
        </is>
      </c>
      <c r="B597" s="1" t="n">
        <v>45022</v>
      </c>
      <c r="C597" s="1" t="n">
        <v>46083</v>
      </c>
      <c r="D597" t="inlineStr">
        <is>
          <t>VÄSTERBOTTENS LÄN</t>
        </is>
      </c>
      <c r="E597" t="inlineStr">
        <is>
          <t>UMEÅ</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38236-2025</t>
        </is>
      </c>
      <c r="B598" s="1" t="n">
        <v>45883.36202546296</v>
      </c>
      <c r="C598" s="1" t="n">
        <v>46083</v>
      </c>
      <c r="D598" t="inlineStr">
        <is>
          <t>VÄSTERBOTTENS LÄN</t>
        </is>
      </c>
      <c r="E598" t="inlineStr">
        <is>
          <t>UMEÅ</t>
        </is>
      </c>
      <c r="G598" t="n">
        <v>3.6</v>
      </c>
      <c r="H598" t="n">
        <v>0</v>
      </c>
      <c r="I598" t="n">
        <v>0</v>
      </c>
      <c r="J598" t="n">
        <v>0</v>
      </c>
      <c r="K598" t="n">
        <v>0</v>
      </c>
      <c r="L598" t="n">
        <v>0</v>
      </c>
      <c r="M598" t="n">
        <v>0</v>
      </c>
      <c r="N598" t="n">
        <v>0</v>
      </c>
      <c r="O598" t="n">
        <v>0</v>
      </c>
      <c r="P598" t="n">
        <v>0</v>
      </c>
      <c r="Q598" t="n">
        <v>0</v>
      </c>
      <c r="R598" s="2" t="inlineStr"/>
    </row>
    <row r="599" ht="15" customHeight="1">
      <c r="A599" t="inlineStr">
        <is>
          <t>A 62538-2023</t>
        </is>
      </c>
      <c r="B599" s="1" t="n">
        <v>45267</v>
      </c>
      <c r="C599" s="1" t="n">
        <v>46083</v>
      </c>
      <c r="D599" t="inlineStr">
        <is>
          <t>VÄSTERBOTTENS LÄN</t>
        </is>
      </c>
      <c r="E599" t="inlineStr">
        <is>
          <t>UMEÅ</t>
        </is>
      </c>
      <c r="G599" t="n">
        <v>2.7</v>
      </c>
      <c r="H599" t="n">
        <v>0</v>
      </c>
      <c r="I599" t="n">
        <v>0</v>
      </c>
      <c r="J599" t="n">
        <v>0</v>
      </c>
      <c r="K599" t="n">
        <v>0</v>
      </c>
      <c r="L599" t="n">
        <v>0</v>
      </c>
      <c r="M599" t="n">
        <v>0</v>
      </c>
      <c r="N599" t="n">
        <v>0</v>
      </c>
      <c r="O599" t="n">
        <v>0</v>
      </c>
      <c r="P599" t="n">
        <v>0</v>
      </c>
      <c r="Q599" t="n">
        <v>0</v>
      </c>
      <c r="R599" s="2" t="inlineStr"/>
    </row>
    <row r="600" ht="15" customHeight="1">
      <c r="A600" t="inlineStr">
        <is>
          <t>A 44481-2022</t>
        </is>
      </c>
      <c r="B600" s="1" t="n">
        <v>44840</v>
      </c>
      <c r="C600" s="1" t="n">
        <v>46083</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49860-2025</t>
        </is>
      </c>
      <c r="B601" s="1" t="n">
        <v>45940.51144675926</v>
      </c>
      <c r="C601" s="1" t="n">
        <v>46083</v>
      </c>
      <c r="D601" t="inlineStr">
        <is>
          <t>VÄSTERBOTTENS LÄN</t>
        </is>
      </c>
      <c r="E601" t="inlineStr">
        <is>
          <t>UMEÅ</t>
        </is>
      </c>
      <c r="G601" t="n">
        <v>6.9</v>
      </c>
      <c r="H601" t="n">
        <v>0</v>
      </c>
      <c r="I601" t="n">
        <v>0</v>
      </c>
      <c r="J601" t="n">
        <v>0</v>
      </c>
      <c r="K601" t="n">
        <v>0</v>
      </c>
      <c r="L601" t="n">
        <v>0</v>
      </c>
      <c r="M601" t="n">
        <v>0</v>
      </c>
      <c r="N601" t="n">
        <v>0</v>
      </c>
      <c r="O601" t="n">
        <v>0</v>
      </c>
      <c r="P601" t="n">
        <v>0</v>
      </c>
      <c r="Q601" t="n">
        <v>0</v>
      </c>
      <c r="R601" s="2" t="inlineStr"/>
    </row>
    <row r="602" ht="15" customHeight="1">
      <c r="A602" t="inlineStr">
        <is>
          <t>A 49519-2025</t>
        </is>
      </c>
      <c r="B602" s="1" t="n">
        <v>45939.39155092592</v>
      </c>
      <c r="C602" s="1" t="n">
        <v>46083</v>
      </c>
      <c r="D602" t="inlineStr">
        <is>
          <t>VÄSTERBOTTENS LÄN</t>
        </is>
      </c>
      <c r="E602" t="inlineStr">
        <is>
          <t>UMEÅ</t>
        </is>
      </c>
      <c r="G602" t="n">
        <v>2.9</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46083</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49898-2025</t>
        </is>
      </c>
      <c r="B604" s="1" t="n">
        <v>45940.58644675926</v>
      </c>
      <c r="C604" s="1" t="n">
        <v>46083</v>
      </c>
      <c r="D604" t="inlineStr">
        <is>
          <t>VÄSTERBOTTENS LÄN</t>
        </is>
      </c>
      <c r="E604" t="inlineStr">
        <is>
          <t>UMEÅ</t>
        </is>
      </c>
      <c r="G604" t="n">
        <v>5.8</v>
      </c>
      <c r="H604" t="n">
        <v>0</v>
      </c>
      <c r="I604" t="n">
        <v>0</v>
      </c>
      <c r="J604" t="n">
        <v>0</v>
      </c>
      <c r="K604" t="n">
        <v>0</v>
      </c>
      <c r="L604" t="n">
        <v>0</v>
      </c>
      <c r="M604" t="n">
        <v>0</v>
      </c>
      <c r="N604" t="n">
        <v>0</v>
      </c>
      <c r="O604" t="n">
        <v>0</v>
      </c>
      <c r="P604" t="n">
        <v>0</v>
      </c>
      <c r="Q604" t="n">
        <v>0</v>
      </c>
      <c r="R604" s="2" t="inlineStr"/>
    </row>
    <row r="605" ht="15" customHeight="1">
      <c r="A605" t="inlineStr">
        <is>
          <t>A 41594-2023</t>
        </is>
      </c>
      <c r="B605" s="1" t="n">
        <v>45175</v>
      </c>
      <c r="C605" s="1" t="n">
        <v>46083</v>
      </c>
      <c r="D605" t="inlineStr">
        <is>
          <t>VÄSTERBOTTENS LÄN</t>
        </is>
      </c>
      <c r="E605" t="inlineStr">
        <is>
          <t>UMEÅ</t>
        </is>
      </c>
      <c r="F605" t="inlineStr">
        <is>
          <t>Holmen skog AB</t>
        </is>
      </c>
      <c r="G605" t="n">
        <v>3.1</v>
      </c>
      <c r="H605" t="n">
        <v>0</v>
      </c>
      <c r="I605" t="n">
        <v>0</v>
      </c>
      <c r="J605" t="n">
        <v>0</v>
      </c>
      <c r="K605" t="n">
        <v>0</v>
      </c>
      <c r="L605" t="n">
        <v>0</v>
      </c>
      <c r="M605" t="n">
        <v>0</v>
      </c>
      <c r="N605" t="n">
        <v>0</v>
      </c>
      <c r="O605" t="n">
        <v>0</v>
      </c>
      <c r="P605" t="n">
        <v>0</v>
      </c>
      <c r="Q605" t="n">
        <v>0</v>
      </c>
      <c r="R605" s="2" t="inlineStr"/>
    </row>
    <row r="606" ht="15" customHeight="1">
      <c r="A606" t="inlineStr">
        <is>
          <t>A 49492-2025</t>
        </is>
      </c>
      <c r="B606" s="1" t="n">
        <v>45939.36616898148</v>
      </c>
      <c r="C606" s="1" t="n">
        <v>46083</v>
      </c>
      <c r="D606" t="inlineStr">
        <is>
          <t>VÄSTERBOTTENS LÄN</t>
        </is>
      </c>
      <c r="E606" t="inlineStr">
        <is>
          <t>UMEÅ</t>
        </is>
      </c>
      <c r="G606" t="n">
        <v>7.2</v>
      </c>
      <c r="H606" t="n">
        <v>0</v>
      </c>
      <c r="I606" t="n">
        <v>0</v>
      </c>
      <c r="J606" t="n">
        <v>0</v>
      </c>
      <c r="K606" t="n">
        <v>0</v>
      </c>
      <c r="L606" t="n">
        <v>0</v>
      </c>
      <c r="M606" t="n">
        <v>0</v>
      </c>
      <c r="N606" t="n">
        <v>0</v>
      </c>
      <c r="O606" t="n">
        <v>0</v>
      </c>
      <c r="P606" t="n">
        <v>0</v>
      </c>
      <c r="Q606" t="n">
        <v>0</v>
      </c>
      <c r="R606" s="2" t="inlineStr"/>
    </row>
    <row r="607" ht="15" customHeight="1">
      <c r="A607" t="inlineStr">
        <is>
          <t>A 49496-2025</t>
        </is>
      </c>
      <c r="B607" s="1" t="n">
        <v>45939.36644675926</v>
      </c>
      <c r="C607" s="1" t="n">
        <v>46083</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38237-2025</t>
        </is>
      </c>
      <c r="B608" s="1" t="n">
        <v>45883.36371527778</v>
      </c>
      <c r="C608" s="1" t="n">
        <v>46083</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10265-2025</t>
        </is>
      </c>
      <c r="B609" s="1" t="n">
        <v>45720.38559027778</v>
      </c>
      <c r="C609" s="1" t="n">
        <v>46083</v>
      </c>
      <c r="D609" t="inlineStr">
        <is>
          <t>VÄSTERBOTTENS LÄN</t>
        </is>
      </c>
      <c r="E609" t="inlineStr">
        <is>
          <t>UMEÅ</t>
        </is>
      </c>
      <c r="G609" t="n">
        <v>10.6</v>
      </c>
      <c r="H609" t="n">
        <v>0</v>
      </c>
      <c r="I609" t="n">
        <v>0</v>
      </c>
      <c r="J609" t="n">
        <v>0</v>
      </c>
      <c r="K609" t="n">
        <v>0</v>
      </c>
      <c r="L609" t="n">
        <v>0</v>
      </c>
      <c r="M609" t="n">
        <v>0</v>
      </c>
      <c r="N609" t="n">
        <v>0</v>
      </c>
      <c r="O609" t="n">
        <v>0</v>
      </c>
      <c r="P609" t="n">
        <v>0</v>
      </c>
      <c r="Q609" t="n">
        <v>0</v>
      </c>
      <c r="R609" s="2" t="inlineStr"/>
    </row>
    <row r="610" ht="15" customHeight="1">
      <c r="A610" t="inlineStr">
        <is>
          <t>A 15337-2025</t>
        </is>
      </c>
      <c r="B610" s="1" t="n">
        <v>45747.36483796296</v>
      </c>
      <c r="C610" s="1" t="n">
        <v>46083</v>
      </c>
      <c r="D610" t="inlineStr">
        <is>
          <t>VÄSTERBOTTENS LÄN</t>
        </is>
      </c>
      <c r="E610" t="inlineStr">
        <is>
          <t>UMEÅ</t>
        </is>
      </c>
      <c r="G610" t="n">
        <v>8.6</v>
      </c>
      <c r="H610" t="n">
        <v>0</v>
      </c>
      <c r="I610" t="n">
        <v>0</v>
      </c>
      <c r="J610" t="n">
        <v>0</v>
      </c>
      <c r="K610" t="n">
        <v>0</v>
      </c>
      <c r="L610" t="n">
        <v>0</v>
      </c>
      <c r="M610" t="n">
        <v>0</v>
      </c>
      <c r="N610" t="n">
        <v>0</v>
      </c>
      <c r="O610" t="n">
        <v>0</v>
      </c>
      <c r="P610" t="n">
        <v>0</v>
      </c>
      <c r="Q610" t="n">
        <v>0</v>
      </c>
      <c r="R610" s="2" t="inlineStr"/>
    </row>
    <row r="611" ht="15" customHeight="1">
      <c r="A611" t="inlineStr">
        <is>
          <t>A 50365-2025</t>
        </is>
      </c>
      <c r="B611" s="1" t="n">
        <v>45944.5691087963</v>
      </c>
      <c r="C611" s="1" t="n">
        <v>46083</v>
      </c>
      <c r="D611" t="inlineStr">
        <is>
          <t>VÄSTERBOTTENS LÄN</t>
        </is>
      </c>
      <c r="E611" t="inlineStr">
        <is>
          <t>UMEÅ</t>
        </is>
      </c>
      <c r="G611" t="n">
        <v>4.4</v>
      </c>
      <c r="H611" t="n">
        <v>0</v>
      </c>
      <c r="I611" t="n">
        <v>0</v>
      </c>
      <c r="J611" t="n">
        <v>0</v>
      </c>
      <c r="K611" t="n">
        <v>0</v>
      </c>
      <c r="L611" t="n">
        <v>0</v>
      </c>
      <c r="M611" t="n">
        <v>0</v>
      </c>
      <c r="N611" t="n">
        <v>0</v>
      </c>
      <c r="O611" t="n">
        <v>0</v>
      </c>
      <c r="P611" t="n">
        <v>0</v>
      </c>
      <c r="Q611" t="n">
        <v>0</v>
      </c>
      <c r="R611" s="2" t="inlineStr"/>
    </row>
    <row r="612" ht="15" customHeight="1">
      <c r="A612" t="inlineStr">
        <is>
          <t>A 57603-2021</t>
        </is>
      </c>
      <c r="B612" s="1" t="n">
        <v>44483</v>
      </c>
      <c r="C612" s="1" t="n">
        <v>46083</v>
      </c>
      <c r="D612" t="inlineStr">
        <is>
          <t>VÄSTERBOTTENS LÄN</t>
        </is>
      </c>
      <c r="E612" t="inlineStr">
        <is>
          <t>UMEÅ</t>
        </is>
      </c>
      <c r="G612" t="n">
        <v>2.8</v>
      </c>
      <c r="H612" t="n">
        <v>0</v>
      </c>
      <c r="I612" t="n">
        <v>0</v>
      </c>
      <c r="J612" t="n">
        <v>0</v>
      </c>
      <c r="K612" t="n">
        <v>0</v>
      </c>
      <c r="L612" t="n">
        <v>0</v>
      </c>
      <c r="M612" t="n">
        <v>0</v>
      </c>
      <c r="N612" t="n">
        <v>0</v>
      </c>
      <c r="O612" t="n">
        <v>0</v>
      </c>
      <c r="P612" t="n">
        <v>0</v>
      </c>
      <c r="Q612" t="n">
        <v>0</v>
      </c>
      <c r="R612" s="2" t="inlineStr"/>
    </row>
    <row r="613" ht="15" customHeight="1">
      <c r="A613" t="inlineStr">
        <is>
          <t>A 38424-2025</t>
        </is>
      </c>
      <c r="B613" s="1" t="n">
        <v>45883.63340277778</v>
      </c>
      <c r="C613" s="1" t="n">
        <v>46083</v>
      </c>
      <c r="D613" t="inlineStr">
        <is>
          <t>VÄSTERBOTTENS LÄN</t>
        </is>
      </c>
      <c r="E613" t="inlineStr">
        <is>
          <t>UMEÅ</t>
        </is>
      </c>
      <c r="G613" t="n">
        <v>11.9</v>
      </c>
      <c r="H613" t="n">
        <v>0</v>
      </c>
      <c r="I613" t="n">
        <v>0</v>
      </c>
      <c r="J613" t="n">
        <v>0</v>
      </c>
      <c r="K613" t="n">
        <v>0</v>
      </c>
      <c r="L613" t="n">
        <v>0</v>
      </c>
      <c r="M613" t="n">
        <v>0</v>
      </c>
      <c r="N613" t="n">
        <v>0</v>
      </c>
      <c r="O613" t="n">
        <v>0</v>
      </c>
      <c r="P613" t="n">
        <v>0</v>
      </c>
      <c r="Q613" t="n">
        <v>0</v>
      </c>
      <c r="R613" s="2" t="inlineStr"/>
    </row>
    <row r="614" ht="15" customHeight="1">
      <c r="A614" t="inlineStr">
        <is>
          <t>A 50250-2025</t>
        </is>
      </c>
      <c r="B614" s="1" t="n">
        <v>45944.31614583333</v>
      </c>
      <c r="C614" s="1" t="n">
        <v>46083</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30553-2023</t>
        </is>
      </c>
      <c r="B615" s="1" t="n">
        <v>45111</v>
      </c>
      <c r="C615" s="1" t="n">
        <v>46083</v>
      </c>
      <c r="D615" t="inlineStr">
        <is>
          <t>VÄSTERBOTTENS LÄN</t>
        </is>
      </c>
      <c r="E615" t="inlineStr">
        <is>
          <t>UMEÅ</t>
        </is>
      </c>
      <c r="G615" t="n">
        <v>5.1</v>
      </c>
      <c r="H615" t="n">
        <v>0</v>
      </c>
      <c r="I615" t="n">
        <v>0</v>
      </c>
      <c r="J615" t="n">
        <v>0</v>
      </c>
      <c r="K615" t="n">
        <v>0</v>
      </c>
      <c r="L615" t="n">
        <v>0</v>
      </c>
      <c r="M615" t="n">
        <v>0</v>
      </c>
      <c r="N615" t="n">
        <v>0</v>
      </c>
      <c r="O615" t="n">
        <v>0</v>
      </c>
      <c r="P615" t="n">
        <v>0</v>
      </c>
      <c r="Q615" t="n">
        <v>0</v>
      </c>
      <c r="R615" s="2" t="inlineStr"/>
    </row>
    <row r="616" ht="15" customHeight="1">
      <c r="A616" t="inlineStr">
        <is>
          <t>A 20425-2025</t>
        </is>
      </c>
      <c r="B616" s="1" t="n">
        <v>45775</v>
      </c>
      <c r="C616" s="1" t="n">
        <v>46083</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9272-2025</t>
        </is>
      </c>
      <c r="B617" s="1" t="n">
        <v>45714</v>
      </c>
      <c r="C617" s="1" t="n">
        <v>46083</v>
      </c>
      <c r="D617" t="inlineStr">
        <is>
          <t>VÄSTERBOTTENS LÄN</t>
        </is>
      </c>
      <c r="E617" t="inlineStr">
        <is>
          <t>UMEÅ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18026-2025</t>
        </is>
      </c>
      <c r="B618" s="1" t="n">
        <v>45761</v>
      </c>
      <c r="C618" s="1" t="n">
        <v>46083</v>
      </c>
      <c r="D618" t="inlineStr">
        <is>
          <t>VÄSTERBOTTENS LÄN</t>
        </is>
      </c>
      <c r="E618" t="inlineStr">
        <is>
          <t>UMEÅ</t>
        </is>
      </c>
      <c r="G618" t="n">
        <v>6.3</v>
      </c>
      <c r="H618" t="n">
        <v>0</v>
      </c>
      <c r="I618" t="n">
        <v>0</v>
      </c>
      <c r="J618" t="n">
        <v>0</v>
      </c>
      <c r="K618" t="n">
        <v>0</v>
      </c>
      <c r="L618" t="n">
        <v>0</v>
      </c>
      <c r="M618" t="n">
        <v>0</v>
      </c>
      <c r="N618" t="n">
        <v>0</v>
      </c>
      <c r="O618" t="n">
        <v>0</v>
      </c>
      <c r="P618" t="n">
        <v>0</v>
      </c>
      <c r="Q618" t="n">
        <v>0</v>
      </c>
      <c r="R618" s="2" t="inlineStr"/>
    </row>
    <row r="619" ht="15" customHeight="1">
      <c r="A619" t="inlineStr">
        <is>
          <t>A 50379-2025</t>
        </is>
      </c>
      <c r="B619" s="1" t="n">
        <v>45944.59688657407</v>
      </c>
      <c r="C619" s="1" t="n">
        <v>46083</v>
      </c>
      <c r="D619" t="inlineStr">
        <is>
          <t>VÄSTERBOTTENS LÄN</t>
        </is>
      </c>
      <c r="E619" t="inlineStr">
        <is>
          <t>UMEÅ</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45943.58391203704</v>
      </c>
      <c r="C620" s="1" t="n">
        <v>46083</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21917-2023</t>
        </is>
      </c>
      <c r="B621" s="1" t="n">
        <v>45065</v>
      </c>
      <c r="C621" s="1" t="n">
        <v>46083</v>
      </c>
      <c r="D621" t="inlineStr">
        <is>
          <t>VÄSTERBOTTENS LÄN</t>
        </is>
      </c>
      <c r="E621" t="inlineStr">
        <is>
          <t>UMEÅ</t>
        </is>
      </c>
      <c r="G621" t="n">
        <v>2.9</v>
      </c>
      <c r="H621" t="n">
        <v>0</v>
      </c>
      <c r="I621" t="n">
        <v>0</v>
      </c>
      <c r="J621" t="n">
        <v>0</v>
      </c>
      <c r="K621" t="n">
        <v>0</v>
      </c>
      <c r="L621" t="n">
        <v>0</v>
      </c>
      <c r="M621" t="n">
        <v>0</v>
      </c>
      <c r="N621" t="n">
        <v>0</v>
      </c>
      <c r="O621" t="n">
        <v>0</v>
      </c>
      <c r="P621" t="n">
        <v>0</v>
      </c>
      <c r="Q621" t="n">
        <v>0</v>
      </c>
      <c r="R621" s="2" t="inlineStr"/>
    </row>
    <row r="622" ht="15" customHeight="1">
      <c r="A622" t="inlineStr">
        <is>
          <t>A 44042-2024</t>
        </is>
      </c>
      <c r="B622" s="1" t="n">
        <v>45572</v>
      </c>
      <c r="C622" s="1" t="n">
        <v>46083</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49192-2023</t>
        </is>
      </c>
      <c r="B623" s="1" t="n">
        <v>45210.57967592592</v>
      </c>
      <c r="C623" s="1" t="n">
        <v>46083</v>
      </c>
      <c r="D623" t="inlineStr">
        <is>
          <t>VÄSTERBOTTENS LÄN</t>
        </is>
      </c>
      <c r="E623" t="inlineStr">
        <is>
          <t>UMEÅ</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50284-2025</t>
        </is>
      </c>
      <c r="B624" s="1" t="n">
        <v>45944.39328703703</v>
      </c>
      <c r="C624" s="1" t="n">
        <v>46083</v>
      </c>
      <c r="D624" t="inlineStr">
        <is>
          <t>VÄSTERBOTTENS LÄN</t>
        </is>
      </c>
      <c r="E624" t="inlineStr">
        <is>
          <t>UMEÅ</t>
        </is>
      </c>
      <c r="G624" t="n">
        <v>1.6</v>
      </c>
      <c r="H624" t="n">
        <v>0</v>
      </c>
      <c r="I624" t="n">
        <v>0</v>
      </c>
      <c r="J624" t="n">
        <v>0</v>
      </c>
      <c r="K624" t="n">
        <v>0</v>
      </c>
      <c r="L624" t="n">
        <v>0</v>
      </c>
      <c r="M624" t="n">
        <v>0</v>
      </c>
      <c r="N624" t="n">
        <v>0</v>
      </c>
      <c r="O624" t="n">
        <v>0</v>
      </c>
      <c r="P624" t="n">
        <v>0</v>
      </c>
      <c r="Q624" t="n">
        <v>0</v>
      </c>
      <c r="R624" s="2" t="inlineStr"/>
    </row>
    <row r="625" ht="15" customHeight="1">
      <c r="A625" t="inlineStr">
        <is>
          <t>A 50646-2025</t>
        </is>
      </c>
      <c r="B625" s="1" t="n">
        <v>45945.65694444445</v>
      </c>
      <c r="C625" s="1" t="n">
        <v>46083</v>
      </c>
      <c r="D625" t="inlineStr">
        <is>
          <t>VÄSTERBOTTENS LÄN</t>
        </is>
      </c>
      <c r="E625" t="inlineStr">
        <is>
          <t>UMEÅ</t>
        </is>
      </c>
      <c r="G625" t="n">
        <v>0.7</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46083</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50442-2025</t>
        </is>
      </c>
      <c r="B627" s="1" t="n">
        <v>45944.86627314815</v>
      </c>
      <c r="C627" s="1" t="n">
        <v>46083</v>
      </c>
      <c r="D627" t="inlineStr">
        <is>
          <t>VÄSTERBOTTENS LÄN</t>
        </is>
      </c>
      <c r="E627" t="inlineStr">
        <is>
          <t>UMEÅ</t>
        </is>
      </c>
      <c r="G627" t="n">
        <v>3.5</v>
      </c>
      <c r="H627" t="n">
        <v>0</v>
      </c>
      <c r="I627" t="n">
        <v>0</v>
      </c>
      <c r="J627" t="n">
        <v>0</v>
      </c>
      <c r="K627" t="n">
        <v>0</v>
      </c>
      <c r="L627" t="n">
        <v>0</v>
      </c>
      <c r="M627" t="n">
        <v>0</v>
      </c>
      <c r="N627" t="n">
        <v>0</v>
      </c>
      <c r="O627" t="n">
        <v>0</v>
      </c>
      <c r="P627" t="n">
        <v>0</v>
      </c>
      <c r="Q627" t="n">
        <v>0</v>
      </c>
      <c r="R627" s="2" t="inlineStr"/>
    </row>
    <row r="628" ht="15" customHeight="1">
      <c r="A628" t="inlineStr">
        <is>
          <t>A 50923-2025</t>
        </is>
      </c>
      <c r="B628" s="1" t="n">
        <v>45946.67513888889</v>
      </c>
      <c r="C628" s="1" t="n">
        <v>46083</v>
      </c>
      <c r="D628" t="inlineStr">
        <is>
          <t>VÄSTERBOTTENS LÄN</t>
        </is>
      </c>
      <c r="E628" t="inlineStr">
        <is>
          <t>UMEÅ</t>
        </is>
      </c>
      <c r="G628" t="n">
        <v>5.6</v>
      </c>
      <c r="H628" t="n">
        <v>0</v>
      </c>
      <c r="I628" t="n">
        <v>0</v>
      </c>
      <c r="J628" t="n">
        <v>0</v>
      </c>
      <c r="K628" t="n">
        <v>0</v>
      </c>
      <c r="L628" t="n">
        <v>0</v>
      </c>
      <c r="M628" t="n">
        <v>0</v>
      </c>
      <c r="N628" t="n">
        <v>0</v>
      </c>
      <c r="O628" t="n">
        <v>0</v>
      </c>
      <c r="P628" t="n">
        <v>0</v>
      </c>
      <c r="Q628" t="n">
        <v>0</v>
      </c>
      <c r="R628" s="2" t="inlineStr"/>
    </row>
    <row r="629" ht="15" customHeight="1">
      <c r="A629" t="inlineStr">
        <is>
          <t>A 6120-2025</t>
        </is>
      </c>
      <c r="B629" s="1" t="n">
        <v>45698.34443287037</v>
      </c>
      <c r="C629" s="1" t="n">
        <v>46083</v>
      </c>
      <c r="D629" t="inlineStr">
        <is>
          <t>VÄSTERBOTTENS LÄN</t>
        </is>
      </c>
      <c r="E629" t="inlineStr">
        <is>
          <t>UMEÅ</t>
        </is>
      </c>
      <c r="G629" t="n">
        <v>5.8</v>
      </c>
      <c r="H629" t="n">
        <v>0</v>
      </c>
      <c r="I629" t="n">
        <v>0</v>
      </c>
      <c r="J629" t="n">
        <v>0</v>
      </c>
      <c r="K629" t="n">
        <v>0</v>
      </c>
      <c r="L629" t="n">
        <v>0</v>
      </c>
      <c r="M629" t="n">
        <v>0</v>
      </c>
      <c r="N629" t="n">
        <v>0</v>
      </c>
      <c r="O629" t="n">
        <v>0</v>
      </c>
      <c r="P629" t="n">
        <v>0</v>
      </c>
      <c r="Q629" t="n">
        <v>0</v>
      </c>
      <c r="R629" s="2" t="inlineStr"/>
    </row>
    <row r="630" ht="15" customHeight="1">
      <c r="A630" t="inlineStr">
        <is>
          <t>A 60811-2022</t>
        </is>
      </c>
      <c r="B630" s="1" t="n">
        <v>44914.46180555555</v>
      </c>
      <c r="C630" s="1" t="n">
        <v>46083</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50939-2025</t>
        </is>
      </c>
      <c r="B631" s="1" t="n">
        <v>45946.71021990741</v>
      </c>
      <c r="C631" s="1" t="n">
        <v>46083</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50443-2025</t>
        </is>
      </c>
      <c r="B632" s="1" t="n">
        <v>45944.86888888889</v>
      </c>
      <c r="C632" s="1" t="n">
        <v>46083</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16907-2025</t>
        </is>
      </c>
      <c r="B633" s="1" t="n">
        <v>45755.35048611111</v>
      </c>
      <c r="C633" s="1" t="n">
        <v>46083</v>
      </c>
      <c r="D633" t="inlineStr">
        <is>
          <t>VÄSTERBOTTENS LÄN</t>
        </is>
      </c>
      <c r="E633" t="inlineStr">
        <is>
          <t>UMEÅ</t>
        </is>
      </c>
      <c r="G633" t="n">
        <v>6.4</v>
      </c>
      <c r="H633" t="n">
        <v>0</v>
      </c>
      <c r="I633" t="n">
        <v>0</v>
      </c>
      <c r="J633" t="n">
        <v>0</v>
      </c>
      <c r="K633" t="n">
        <v>0</v>
      </c>
      <c r="L633" t="n">
        <v>0</v>
      </c>
      <c r="M633" t="n">
        <v>0</v>
      </c>
      <c r="N633" t="n">
        <v>0</v>
      </c>
      <c r="O633" t="n">
        <v>0</v>
      </c>
      <c r="P633" t="n">
        <v>0</v>
      </c>
      <c r="Q633" t="n">
        <v>0</v>
      </c>
      <c r="R633" s="2" t="inlineStr"/>
    </row>
    <row r="634" ht="15" customHeight="1">
      <c r="A634" t="inlineStr">
        <is>
          <t>A 16945-2025</t>
        </is>
      </c>
      <c r="B634" s="1" t="n">
        <v>45755.42978009259</v>
      </c>
      <c r="C634" s="1" t="n">
        <v>46083</v>
      </c>
      <c r="D634" t="inlineStr">
        <is>
          <t>VÄSTERBOTTENS LÄN</t>
        </is>
      </c>
      <c r="E634" t="inlineStr">
        <is>
          <t>UMEÅ</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51339-2025</t>
        </is>
      </c>
      <c r="B635" s="1" t="n">
        <v>45950.42702546297</v>
      </c>
      <c r="C635" s="1" t="n">
        <v>46083</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26351-2024</t>
        </is>
      </c>
      <c r="B636" s="1" t="n">
        <v>45469.36478009259</v>
      </c>
      <c r="C636" s="1" t="n">
        <v>46083</v>
      </c>
      <c r="D636" t="inlineStr">
        <is>
          <t>VÄSTERBOTTENS LÄN</t>
        </is>
      </c>
      <c r="E636" t="inlineStr">
        <is>
          <t>UMEÅ</t>
        </is>
      </c>
      <c r="G636" t="n">
        <v>3.8</v>
      </c>
      <c r="H636" t="n">
        <v>0</v>
      </c>
      <c r="I636" t="n">
        <v>0</v>
      </c>
      <c r="J636" t="n">
        <v>0</v>
      </c>
      <c r="K636" t="n">
        <v>0</v>
      </c>
      <c r="L636" t="n">
        <v>0</v>
      </c>
      <c r="M636" t="n">
        <v>0</v>
      </c>
      <c r="N636" t="n">
        <v>0</v>
      </c>
      <c r="O636" t="n">
        <v>0</v>
      </c>
      <c r="P636" t="n">
        <v>0</v>
      </c>
      <c r="Q636" t="n">
        <v>0</v>
      </c>
      <c r="R636" s="2" t="inlineStr"/>
    </row>
    <row r="637" ht="15" customHeight="1">
      <c r="A637" t="inlineStr">
        <is>
          <t>A 29827-2023</t>
        </is>
      </c>
      <c r="B637" s="1" t="n">
        <v>45107</v>
      </c>
      <c r="C637" s="1" t="n">
        <v>46083</v>
      </c>
      <c r="D637" t="inlineStr">
        <is>
          <t>VÄSTERBOTTENS LÄN</t>
        </is>
      </c>
      <c r="E637" t="inlineStr">
        <is>
          <t>UMEÅ</t>
        </is>
      </c>
      <c r="G637" t="n">
        <v>11.9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46083</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46083</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24532-2023</t>
        </is>
      </c>
      <c r="B640" s="1" t="n">
        <v>45082.75269675926</v>
      </c>
      <c r="C640" s="1" t="n">
        <v>46083</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59860-2022</t>
        </is>
      </c>
      <c r="B641" s="1" t="n">
        <v>44908.65792824074</v>
      </c>
      <c r="C641" s="1" t="n">
        <v>46083</v>
      </c>
      <c r="D641" t="inlineStr">
        <is>
          <t>VÄSTERBOTTENS LÄN</t>
        </is>
      </c>
      <c r="E641" t="inlineStr">
        <is>
          <t>UMEÅ</t>
        </is>
      </c>
      <c r="G641" t="n">
        <v>8.1</v>
      </c>
      <c r="H641" t="n">
        <v>0</v>
      </c>
      <c r="I641" t="n">
        <v>0</v>
      </c>
      <c r="J641" t="n">
        <v>0</v>
      </c>
      <c r="K641" t="n">
        <v>0</v>
      </c>
      <c r="L641" t="n">
        <v>0</v>
      </c>
      <c r="M641" t="n">
        <v>0</v>
      </c>
      <c r="N641" t="n">
        <v>0</v>
      </c>
      <c r="O641" t="n">
        <v>0</v>
      </c>
      <c r="P641" t="n">
        <v>0</v>
      </c>
      <c r="Q641" t="n">
        <v>0</v>
      </c>
      <c r="R641" s="2" t="inlineStr"/>
    </row>
    <row r="642" ht="15" customHeight="1">
      <c r="A642" t="inlineStr">
        <is>
          <t>A 51327-2025</t>
        </is>
      </c>
      <c r="B642" s="1" t="n">
        <v>45950.40690972222</v>
      </c>
      <c r="C642" s="1" t="n">
        <v>46083</v>
      </c>
      <c r="D642" t="inlineStr">
        <is>
          <t>VÄSTERBOTTENS LÄN</t>
        </is>
      </c>
      <c r="E642" t="inlineStr">
        <is>
          <t>UMEÅ</t>
        </is>
      </c>
      <c r="G642" t="n">
        <v>4.8</v>
      </c>
      <c r="H642" t="n">
        <v>0</v>
      </c>
      <c r="I642" t="n">
        <v>0</v>
      </c>
      <c r="J642" t="n">
        <v>0</v>
      </c>
      <c r="K642" t="n">
        <v>0</v>
      </c>
      <c r="L642" t="n">
        <v>0</v>
      </c>
      <c r="M642" t="n">
        <v>0</v>
      </c>
      <c r="N642" t="n">
        <v>0</v>
      </c>
      <c r="O642" t="n">
        <v>0</v>
      </c>
      <c r="P642" t="n">
        <v>0</v>
      </c>
      <c r="Q642" t="n">
        <v>0</v>
      </c>
      <c r="R642" s="2" t="inlineStr"/>
    </row>
    <row r="643" ht="15" customHeight="1">
      <c r="A643" t="inlineStr">
        <is>
          <t>A 51455-2025</t>
        </is>
      </c>
      <c r="B643" s="1" t="n">
        <v>45950.59583333333</v>
      </c>
      <c r="C643" s="1" t="n">
        <v>46083</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51352-2025</t>
        </is>
      </c>
      <c r="B644" s="1" t="n">
        <v>45950.43679398148</v>
      </c>
      <c r="C644" s="1" t="n">
        <v>46083</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20795-2023</t>
        </is>
      </c>
      <c r="B645" s="1" t="n">
        <v>45055</v>
      </c>
      <c r="C645" s="1" t="n">
        <v>46083</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51930-2025</t>
        </is>
      </c>
      <c r="B646" s="1" t="n">
        <v>45952.49821759259</v>
      </c>
      <c r="C646" s="1" t="n">
        <v>46083</v>
      </c>
      <c r="D646" t="inlineStr">
        <is>
          <t>VÄSTERBOTTENS LÄN</t>
        </is>
      </c>
      <c r="E646" t="inlineStr">
        <is>
          <t>UMEÅ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46083</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51547-2025</t>
        </is>
      </c>
      <c r="B648" s="1" t="n">
        <v>45950.78769675926</v>
      </c>
      <c r="C648" s="1" t="n">
        <v>46083</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52076-2025</t>
        </is>
      </c>
      <c r="B649" s="1" t="n">
        <v>45952.65568287037</v>
      </c>
      <c r="C649" s="1" t="n">
        <v>46083</v>
      </c>
      <c r="D649" t="inlineStr">
        <is>
          <t>VÄSTERBOTTENS LÄN</t>
        </is>
      </c>
      <c r="E649" t="inlineStr">
        <is>
          <t>UMEÅ</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46083</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51629-2025</t>
        </is>
      </c>
      <c r="B651" s="1" t="n">
        <v>45951.42306712963</v>
      </c>
      <c r="C651" s="1" t="n">
        <v>46083</v>
      </c>
      <c r="D651" t="inlineStr">
        <is>
          <t>VÄSTERBOTTENS LÄN</t>
        </is>
      </c>
      <c r="E651" t="inlineStr">
        <is>
          <t>UMEÅ</t>
        </is>
      </c>
      <c r="G651" t="n">
        <v>4.2</v>
      </c>
      <c r="H651" t="n">
        <v>0</v>
      </c>
      <c r="I651" t="n">
        <v>0</v>
      </c>
      <c r="J651" t="n">
        <v>0</v>
      </c>
      <c r="K651" t="n">
        <v>0</v>
      </c>
      <c r="L651" t="n">
        <v>0</v>
      </c>
      <c r="M651" t="n">
        <v>0</v>
      </c>
      <c r="N651" t="n">
        <v>0</v>
      </c>
      <c r="O651" t="n">
        <v>0</v>
      </c>
      <c r="P651" t="n">
        <v>0</v>
      </c>
      <c r="Q651" t="n">
        <v>0</v>
      </c>
      <c r="R651" s="2" t="inlineStr"/>
    </row>
    <row r="652" ht="15" customHeight="1">
      <c r="A652" t="inlineStr">
        <is>
          <t>A 51971-2025</t>
        </is>
      </c>
      <c r="B652" s="1" t="n">
        <v>45952.55809027778</v>
      </c>
      <c r="C652" s="1" t="n">
        <v>46083</v>
      </c>
      <c r="D652" t="inlineStr">
        <is>
          <t>VÄSTERBOTTENS LÄN</t>
        </is>
      </c>
      <c r="E652" t="inlineStr">
        <is>
          <t>UMEÅ</t>
        </is>
      </c>
      <c r="G652" t="n">
        <v>3.4</v>
      </c>
      <c r="H652" t="n">
        <v>0</v>
      </c>
      <c r="I652" t="n">
        <v>0</v>
      </c>
      <c r="J652" t="n">
        <v>0</v>
      </c>
      <c r="K652" t="n">
        <v>0</v>
      </c>
      <c r="L652" t="n">
        <v>0</v>
      </c>
      <c r="M652" t="n">
        <v>0</v>
      </c>
      <c r="N652" t="n">
        <v>0</v>
      </c>
      <c r="O652" t="n">
        <v>0</v>
      </c>
      <c r="P652" t="n">
        <v>0</v>
      </c>
      <c r="Q652" t="n">
        <v>0</v>
      </c>
      <c r="R652" s="2" t="inlineStr"/>
    </row>
    <row r="653" ht="15" customHeight="1">
      <c r="A653" t="inlineStr">
        <is>
          <t>A 51621-2025</t>
        </is>
      </c>
      <c r="B653" s="1" t="n">
        <v>45951.41319444445</v>
      </c>
      <c r="C653" s="1" t="n">
        <v>46083</v>
      </c>
      <c r="D653" t="inlineStr">
        <is>
          <t>VÄSTERBOTTENS LÄN</t>
        </is>
      </c>
      <c r="E653" t="inlineStr">
        <is>
          <t>UMEÅ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51970-2025</t>
        </is>
      </c>
      <c r="B654" s="1" t="n">
        <v>45952.5571875</v>
      </c>
      <c r="C654" s="1" t="n">
        <v>46083</v>
      </c>
      <c r="D654" t="inlineStr">
        <is>
          <t>VÄSTERBOTTENS LÄN</t>
        </is>
      </c>
      <c r="E654" t="inlineStr">
        <is>
          <t>UMEÅ</t>
        </is>
      </c>
      <c r="F654" t="inlineStr">
        <is>
          <t>Holmen skog AB</t>
        </is>
      </c>
      <c r="G654" t="n">
        <v>1.7</v>
      </c>
      <c r="H654" t="n">
        <v>0</v>
      </c>
      <c r="I654" t="n">
        <v>0</v>
      </c>
      <c r="J654" t="n">
        <v>0</v>
      </c>
      <c r="K654" t="n">
        <v>0</v>
      </c>
      <c r="L654" t="n">
        <v>0</v>
      </c>
      <c r="M654" t="n">
        <v>0</v>
      </c>
      <c r="N654" t="n">
        <v>0</v>
      </c>
      <c r="O654" t="n">
        <v>0</v>
      </c>
      <c r="P654" t="n">
        <v>0</v>
      </c>
      <c r="Q654" t="n">
        <v>0</v>
      </c>
      <c r="R654" s="2" t="inlineStr"/>
    </row>
    <row r="655" ht="15" customHeight="1">
      <c r="A655" t="inlineStr">
        <is>
          <t>A 52082-2025</t>
        </is>
      </c>
      <c r="B655" s="1" t="n">
        <v>45952.66583333333</v>
      </c>
      <c r="C655" s="1" t="n">
        <v>46083</v>
      </c>
      <c r="D655" t="inlineStr">
        <is>
          <t>VÄSTERBOTTENS LÄN</t>
        </is>
      </c>
      <c r="E655" t="inlineStr">
        <is>
          <t>UMEÅ</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489-2024</t>
        </is>
      </c>
      <c r="B656" s="1" t="n">
        <v>45298</v>
      </c>
      <c r="C656" s="1" t="n">
        <v>46083</v>
      </c>
      <c r="D656" t="inlineStr">
        <is>
          <t>VÄSTERBOTTENS LÄN</t>
        </is>
      </c>
      <c r="E656" t="inlineStr">
        <is>
          <t>UMEÅ</t>
        </is>
      </c>
      <c r="G656" t="n">
        <v>8.1</v>
      </c>
      <c r="H656" t="n">
        <v>0</v>
      </c>
      <c r="I656" t="n">
        <v>0</v>
      </c>
      <c r="J656" t="n">
        <v>0</v>
      </c>
      <c r="K656" t="n">
        <v>0</v>
      </c>
      <c r="L656" t="n">
        <v>0</v>
      </c>
      <c r="M656" t="n">
        <v>0</v>
      </c>
      <c r="N656" t="n">
        <v>0</v>
      </c>
      <c r="O656" t="n">
        <v>0</v>
      </c>
      <c r="P656" t="n">
        <v>0</v>
      </c>
      <c r="Q656" t="n">
        <v>0</v>
      </c>
      <c r="R656" s="2" t="inlineStr"/>
    </row>
    <row r="657" ht="15" customHeight="1">
      <c r="A657" t="inlineStr">
        <is>
          <t>A 51961-2025</t>
        </is>
      </c>
      <c r="B657" s="1" t="n">
        <v>45952.54824074074</v>
      </c>
      <c r="C657" s="1" t="n">
        <v>46083</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52056-2025</t>
        </is>
      </c>
      <c r="B658" s="1" t="n">
        <v>45952.63239583333</v>
      </c>
      <c r="C658" s="1" t="n">
        <v>46083</v>
      </c>
      <c r="D658" t="inlineStr">
        <is>
          <t>VÄSTERBOTTENS LÄN</t>
        </is>
      </c>
      <c r="E658" t="inlineStr">
        <is>
          <t>UMEÅ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51889-2025</t>
        </is>
      </c>
      <c r="B659" s="1" t="n">
        <v>45952.41400462963</v>
      </c>
      <c r="C659" s="1" t="n">
        <v>46083</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51958-2025</t>
        </is>
      </c>
      <c r="B660" s="1" t="n">
        <v>45952.54373842593</v>
      </c>
      <c r="C660" s="1" t="n">
        <v>46083</v>
      </c>
      <c r="D660" t="inlineStr">
        <is>
          <t>VÄSTERBOTTENS LÄN</t>
        </is>
      </c>
      <c r="E660" t="inlineStr">
        <is>
          <t>UMEÅ</t>
        </is>
      </c>
      <c r="G660" t="n">
        <v>4.3</v>
      </c>
      <c r="H660" t="n">
        <v>0</v>
      </c>
      <c r="I660" t="n">
        <v>0</v>
      </c>
      <c r="J660" t="n">
        <v>0</v>
      </c>
      <c r="K660" t="n">
        <v>0</v>
      </c>
      <c r="L660" t="n">
        <v>0</v>
      </c>
      <c r="M660" t="n">
        <v>0</v>
      </c>
      <c r="N660" t="n">
        <v>0</v>
      </c>
      <c r="O660" t="n">
        <v>0</v>
      </c>
      <c r="P660" t="n">
        <v>0</v>
      </c>
      <c r="Q660" t="n">
        <v>0</v>
      </c>
      <c r="R660" s="2" t="inlineStr"/>
    </row>
    <row r="661" ht="15" customHeight="1">
      <c r="A661" t="inlineStr">
        <is>
          <t>A 51716-2025</t>
        </is>
      </c>
      <c r="B661" s="1" t="n">
        <v>45951.5771875</v>
      </c>
      <c r="C661" s="1" t="n">
        <v>46083</v>
      </c>
      <c r="D661" t="inlineStr">
        <is>
          <t>VÄSTERBOTTENS LÄN</t>
        </is>
      </c>
      <c r="E661" t="inlineStr">
        <is>
          <t>UMEÅ</t>
        </is>
      </c>
      <c r="G661" t="n">
        <v>1.7</v>
      </c>
      <c r="H661" t="n">
        <v>0</v>
      </c>
      <c r="I661" t="n">
        <v>0</v>
      </c>
      <c r="J661" t="n">
        <v>0</v>
      </c>
      <c r="K661" t="n">
        <v>0</v>
      </c>
      <c r="L661" t="n">
        <v>0</v>
      </c>
      <c r="M661" t="n">
        <v>0</v>
      </c>
      <c r="N661" t="n">
        <v>0</v>
      </c>
      <c r="O661" t="n">
        <v>0</v>
      </c>
      <c r="P661" t="n">
        <v>0</v>
      </c>
      <c r="Q661" t="n">
        <v>0</v>
      </c>
      <c r="R661" s="2" t="inlineStr"/>
    </row>
    <row r="662" ht="15" customHeight="1">
      <c r="A662" t="inlineStr">
        <is>
          <t>A 51901-2025</t>
        </is>
      </c>
      <c r="B662" s="1" t="n">
        <v>45952.44668981482</v>
      </c>
      <c r="C662" s="1" t="n">
        <v>46083</v>
      </c>
      <c r="D662" t="inlineStr">
        <is>
          <t>VÄSTERBOTTENS LÄN</t>
        </is>
      </c>
      <c r="E662" t="inlineStr">
        <is>
          <t>UMEÅ</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41267-2022</t>
        </is>
      </c>
      <c r="B663" s="1" t="n">
        <v>44825</v>
      </c>
      <c r="C663" s="1" t="n">
        <v>46083</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52210-2025</t>
        </is>
      </c>
      <c r="B664" s="1" t="n">
        <v>45953.42037037037</v>
      </c>
      <c r="C664" s="1" t="n">
        <v>46083</v>
      </c>
      <c r="D664" t="inlineStr">
        <is>
          <t>VÄSTERBOTTENS LÄN</t>
        </is>
      </c>
      <c r="E664" t="inlineStr">
        <is>
          <t>UMEÅ</t>
        </is>
      </c>
      <c r="F664" t="inlineStr">
        <is>
          <t>Holmen skog AB</t>
        </is>
      </c>
      <c r="G664" t="n">
        <v>8.1</v>
      </c>
      <c r="H664" t="n">
        <v>0</v>
      </c>
      <c r="I664" t="n">
        <v>0</v>
      </c>
      <c r="J664" t="n">
        <v>0</v>
      </c>
      <c r="K664" t="n">
        <v>0</v>
      </c>
      <c r="L664" t="n">
        <v>0</v>
      </c>
      <c r="M664" t="n">
        <v>0</v>
      </c>
      <c r="N664" t="n">
        <v>0</v>
      </c>
      <c r="O664" t="n">
        <v>0</v>
      </c>
      <c r="P664" t="n">
        <v>0</v>
      </c>
      <c r="Q664" t="n">
        <v>0</v>
      </c>
      <c r="R664" s="2" t="inlineStr"/>
    </row>
    <row r="665" ht="15" customHeight="1">
      <c r="A665" t="inlineStr">
        <is>
          <t>A 44817-2021</t>
        </is>
      </c>
      <c r="B665" s="1" t="n">
        <v>44438</v>
      </c>
      <c r="C665" s="1" t="n">
        <v>46083</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46083</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11954-2024</t>
        </is>
      </c>
      <c r="B667" s="1" t="n">
        <v>45376</v>
      </c>
      <c r="C667" s="1" t="n">
        <v>46083</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52155-2025</t>
        </is>
      </c>
      <c r="B668" s="1" t="n">
        <v>45953.3543287037</v>
      </c>
      <c r="C668" s="1" t="n">
        <v>46083</v>
      </c>
      <c r="D668" t="inlineStr">
        <is>
          <t>VÄSTERBOTTENS LÄN</t>
        </is>
      </c>
      <c r="E668" t="inlineStr">
        <is>
          <t>UMEÅ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46083</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52126-2022</t>
        </is>
      </c>
      <c r="B670" s="1" t="n">
        <v>44873.43465277777</v>
      </c>
      <c r="C670" s="1" t="n">
        <v>46083</v>
      </c>
      <c r="D670" t="inlineStr">
        <is>
          <t>VÄSTERBOTTENS LÄN</t>
        </is>
      </c>
      <c r="E670" t="inlineStr">
        <is>
          <t>UMEÅ</t>
        </is>
      </c>
      <c r="G670" t="n">
        <v>3.3</v>
      </c>
      <c r="H670" t="n">
        <v>0</v>
      </c>
      <c r="I670" t="n">
        <v>0</v>
      </c>
      <c r="J670" t="n">
        <v>0</v>
      </c>
      <c r="K670" t="n">
        <v>0</v>
      </c>
      <c r="L670" t="n">
        <v>0</v>
      </c>
      <c r="M670" t="n">
        <v>0</v>
      </c>
      <c r="N670" t="n">
        <v>0</v>
      </c>
      <c r="O670" t="n">
        <v>0</v>
      </c>
      <c r="P670" t="n">
        <v>0</v>
      </c>
      <c r="Q670" t="n">
        <v>0</v>
      </c>
      <c r="R670" s="2" t="inlineStr"/>
    </row>
    <row r="671" ht="15" customHeight="1">
      <c r="A671" t="inlineStr">
        <is>
          <t>A 28628-2023</t>
        </is>
      </c>
      <c r="B671" s="1" t="n">
        <v>45103</v>
      </c>
      <c r="C671" s="1" t="n">
        <v>46083</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25505-2023</t>
        </is>
      </c>
      <c r="B672" s="1" t="n">
        <v>45089.49538194444</v>
      </c>
      <c r="C672" s="1" t="n">
        <v>46083</v>
      </c>
      <c r="D672" t="inlineStr">
        <is>
          <t>VÄSTERBOTTENS LÄN</t>
        </is>
      </c>
      <c r="E672" t="inlineStr">
        <is>
          <t>UMEÅ</t>
        </is>
      </c>
      <c r="G672" t="n">
        <v>0.5</v>
      </c>
      <c r="H672" t="n">
        <v>0</v>
      </c>
      <c r="I672" t="n">
        <v>0</v>
      </c>
      <c r="J672" t="n">
        <v>0</v>
      </c>
      <c r="K672" t="n">
        <v>0</v>
      </c>
      <c r="L672" t="n">
        <v>0</v>
      </c>
      <c r="M672" t="n">
        <v>0</v>
      </c>
      <c r="N672" t="n">
        <v>0</v>
      </c>
      <c r="O672" t="n">
        <v>0</v>
      </c>
      <c r="P672" t="n">
        <v>0</v>
      </c>
      <c r="Q672" t="n">
        <v>0</v>
      </c>
      <c r="R672" s="2" t="inlineStr"/>
    </row>
    <row r="673" ht="15" customHeight="1">
      <c r="A673" t="inlineStr">
        <is>
          <t>A 52232-2025</t>
        </is>
      </c>
      <c r="B673" s="1" t="n">
        <v>45953.45091435185</v>
      </c>
      <c r="C673" s="1" t="n">
        <v>46083</v>
      </c>
      <c r="D673" t="inlineStr">
        <is>
          <t>VÄSTERBOTTENS LÄN</t>
        </is>
      </c>
      <c r="E673" t="inlineStr">
        <is>
          <t>UMEÅ</t>
        </is>
      </c>
      <c r="F673" t="inlineStr">
        <is>
          <t>Holmen skog AB</t>
        </is>
      </c>
      <c r="G673" t="n">
        <v>7.7</v>
      </c>
      <c r="H673" t="n">
        <v>0</v>
      </c>
      <c r="I673" t="n">
        <v>0</v>
      </c>
      <c r="J673" t="n">
        <v>0</v>
      </c>
      <c r="K673" t="n">
        <v>0</v>
      </c>
      <c r="L673" t="n">
        <v>0</v>
      </c>
      <c r="M673" t="n">
        <v>0</v>
      </c>
      <c r="N673" t="n">
        <v>0</v>
      </c>
      <c r="O673" t="n">
        <v>0</v>
      </c>
      <c r="P673" t="n">
        <v>0</v>
      </c>
      <c r="Q673" t="n">
        <v>0</v>
      </c>
      <c r="R673" s="2" t="inlineStr"/>
    </row>
    <row r="674" ht="15" customHeight="1">
      <c r="A674" t="inlineStr">
        <is>
          <t>A 29640-2023</t>
        </is>
      </c>
      <c r="B674" s="1" t="n">
        <v>45106</v>
      </c>
      <c r="C674" s="1" t="n">
        <v>46083</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52238-2025</t>
        </is>
      </c>
      <c r="B675" s="1" t="n">
        <v>45953.46032407408</v>
      </c>
      <c r="C675" s="1" t="n">
        <v>46083</v>
      </c>
      <c r="D675" t="inlineStr">
        <is>
          <t>VÄSTERBOTTENS LÄN</t>
        </is>
      </c>
      <c r="E675" t="inlineStr">
        <is>
          <t>UMEÅ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52710-2025</t>
        </is>
      </c>
      <c r="B676" s="1" t="n">
        <v>45957.29408564815</v>
      </c>
      <c r="C676" s="1" t="n">
        <v>46083</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52919-2025</t>
        </is>
      </c>
      <c r="B677" s="1" t="n">
        <v>45957.61322916667</v>
      </c>
      <c r="C677" s="1" t="n">
        <v>46083</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52926-2025</t>
        </is>
      </c>
      <c r="B678" s="1" t="n">
        <v>45957.6184375</v>
      </c>
      <c r="C678" s="1" t="n">
        <v>46083</v>
      </c>
      <c r="D678" t="inlineStr">
        <is>
          <t>VÄSTERBOTTENS LÄN</t>
        </is>
      </c>
      <c r="E678" t="inlineStr">
        <is>
          <t>UMEÅ</t>
        </is>
      </c>
      <c r="G678" t="n">
        <v>7.1</v>
      </c>
      <c r="H678" t="n">
        <v>0</v>
      </c>
      <c r="I678" t="n">
        <v>0</v>
      </c>
      <c r="J678" t="n">
        <v>0</v>
      </c>
      <c r="K678" t="n">
        <v>0</v>
      </c>
      <c r="L678" t="n">
        <v>0</v>
      </c>
      <c r="M678" t="n">
        <v>0</v>
      </c>
      <c r="N678" t="n">
        <v>0</v>
      </c>
      <c r="O678" t="n">
        <v>0</v>
      </c>
      <c r="P678" t="n">
        <v>0</v>
      </c>
      <c r="Q678" t="n">
        <v>0</v>
      </c>
      <c r="R678" s="2" t="inlineStr"/>
    </row>
    <row r="679" ht="15" customHeight="1">
      <c r="A679" t="inlineStr">
        <is>
          <t>A 52882-2025</t>
        </is>
      </c>
      <c r="B679" s="1" t="n">
        <v>45957.55465277778</v>
      </c>
      <c r="C679" s="1" t="n">
        <v>46083</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52925-2025</t>
        </is>
      </c>
      <c r="B680" s="1" t="n">
        <v>45957.6162962963</v>
      </c>
      <c r="C680" s="1" t="n">
        <v>46083</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46083</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52990-2025</t>
        </is>
      </c>
      <c r="B682" s="1" t="n">
        <v>45957.71711805555</v>
      </c>
      <c r="C682" s="1" t="n">
        <v>46083</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52706-2025</t>
        </is>
      </c>
      <c r="B683" s="1" t="n">
        <v>45957.28523148148</v>
      </c>
      <c r="C683" s="1" t="n">
        <v>46083</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53271-2025</t>
        </is>
      </c>
      <c r="B684" s="1" t="n">
        <v>45958.70387731482</v>
      </c>
      <c r="C684" s="1" t="n">
        <v>46083</v>
      </c>
      <c r="D684" t="inlineStr">
        <is>
          <t>VÄSTERBOTTENS LÄN</t>
        </is>
      </c>
      <c r="E684" t="inlineStr">
        <is>
          <t>UMEÅ</t>
        </is>
      </c>
      <c r="G684" t="n">
        <v>8.9</v>
      </c>
      <c r="H684" t="n">
        <v>0</v>
      </c>
      <c r="I684" t="n">
        <v>0</v>
      </c>
      <c r="J684" t="n">
        <v>0</v>
      </c>
      <c r="K684" t="n">
        <v>0</v>
      </c>
      <c r="L684" t="n">
        <v>0</v>
      </c>
      <c r="M684" t="n">
        <v>0</v>
      </c>
      <c r="N684" t="n">
        <v>0</v>
      </c>
      <c r="O684" t="n">
        <v>0</v>
      </c>
      <c r="P684" t="n">
        <v>0</v>
      </c>
      <c r="Q684" t="n">
        <v>0</v>
      </c>
      <c r="R684" s="2" t="inlineStr"/>
    </row>
    <row r="685" ht="15" customHeight="1">
      <c r="A685" t="inlineStr">
        <is>
          <t>A 52992-2025</t>
        </is>
      </c>
      <c r="B685" s="1" t="n">
        <v>45957.72361111111</v>
      </c>
      <c r="C685" s="1" t="n">
        <v>46083</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32628-2023</t>
        </is>
      </c>
      <c r="B686" s="1" t="n">
        <v>45112</v>
      </c>
      <c r="C686" s="1" t="n">
        <v>46083</v>
      </c>
      <c r="D686" t="inlineStr">
        <is>
          <t>VÄSTERBOTTENS LÄN</t>
        </is>
      </c>
      <c r="E686" t="inlineStr">
        <is>
          <t>UMEÅ</t>
        </is>
      </c>
      <c r="G686" t="n">
        <v>2.5</v>
      </c>
      <c r="H686" t="n">
        <v>0</v>
      </c>
      <c r="I686" t="n">
        <v>0</v>
      </c>
      <c r="J686" t="n">
        <v>0</v>
      </c>
      <c r="K686" t="n">
        <v>0</v>
      </c>
      <c r="L686" t="n">
        <v>0</v>
      </c>
      <c r="M686" t="n">
        <v>0</v>
      </c>
      <c r="N686" t="n">
        <v>0</v>
      </c>
      <c r="O686" t="n">
        <v>0</v>
      </c>
      <c r="P686" t="n">
        <v>0</v>
      </c>
      <c r="Q686" t="n">
        <v>0</v>
      </c>
      <c r="R686" s="2" t="inlineStr"/>
    </row>
    <row r="687" ht="15" customHeight="1">
      <c r="A687" t="inlineStr">
        <is>
          <t>A 53247-2025</t>
        </is>
      </c>
      <c r="B687" s="1" t="n">
        <v>45958.6490625</v>
      </c>
      <c r="C687" s="1" t="n">
        <v>46083</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52966-2025</t>
        </is>
      </c>
      <c r="B688" s="1" t="n">
        <v>45957.66818287037</v>
      </c>
      <c r="C688" s="1" t="n">
        <v>46083</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52996-2025</t>
        </is>
      </c>
      <c r="B689" s="1" t="n">
        <v>45957.73085648148</v>
      </c>
      <c r="C689" s="1" t="n">
        <v>46083</v>
      </c>
      <c r="D689" t="inlineStr">
        <is>
          <t>VÄSTERBOTTENS LÄN</t>
        </is>
      </c>
      <c r="E689" t="inlineStr">
        <is>
          <t>UMEÅ</t>
        </is>
      </c>
      <c r="G689" t="n">
        <v>1</v>
      </c>
      <c r="H689" t="n">
        <v>0</v>
      </c>
      <c r="I689" t="n">
        <v>0</v>
      </c>
      <c r="J689" t="n">
        <v>0</v>
      </c>
      <c r="K689" t="n">
        <v>0</v>
      </c>
      <c r="L689" t="n">
        <v>0</v>
      </c>
      <c r="M689" t="n">
        <v>0</v>
      </c>
      <c r="N689" t="n">
        <v>0</v>
      </c>
      <c r="O689" t="n">
        <v>0</v>
      </c>
      <c r="P689" t="n">
        <v>0</v>
      </c>
      <c r="Q689" t="n">
        <v>0</v>
      </c>
      <c r="R689" s="2" t="inlineStr"/>
    </row>
    <row r="690" ht="15" customHeight="1">
      <c r="A690" t="inlineStr">
        <is>
          <t>A 7910-2024</t>
        </is>
      </c>
      <c r="B690" s="1" t="n">
        <v>45349</v>
      </c>
      <c r="C690" s="1" t="n">
        <v>46083</v>
      </c>
      <c r="D690" t="inlineStr">
        <is>
          <t>VÄSTERBOTTENS LÄN</t>
        </is>
      </c>
      <c r="E690" t="inlineStr">
        <is>
          <t>UMEÅ</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53370-2025</t>
        </is>
      </c>
      <c r="B691" s="1" t="n">
        <v>45959.4962962963</v>
      </c>
      <c r="C691" s="1" t="n">
        <v>46083</v>
      </c>
      <c r="D691" t="inlineStr">
        <is>
          <t>VÄSTERBOTTENS LÄN</t>
        </is>
      </c>
      <c r="E691" t="inlineStr">
        <is>
          <t>UMEÅ</t>
        </is>
      </c>
      <c r="G691" t="n">
        <v>0.6</v>
      </c>
      <c r="H691" t="n">
        <v>0</v>
      </c>
      <c r="I691" t="n">
        <v>0</v>
      </c>
      <c r="J691" t="n">
        <v>0</v>
      </c>
      <c r="K691" t="n">
        <v>0</v>
      </c>
      <c r="L691" t="n">
        <v>0</v>
      </c>
      <c r="M691" t="n">
        <v>0</v>
      </c>
      <c r="N691" t="n">
        <v>0</v>
      </c>
      <c r="O691" t="n">
        <v>0</v>
      </c>
      <c r="P691" t="n">
        <v>0</v>
      </c>
      <c r="Q691" t="n">
        <v>0</v>
      </c>
      <c r="R691" s="2" t="inlineStr"/>
    </row>
    <row r="692" ht="15" customHeight="1">
      <c r="A692" t="inlineStr">
        <is>
          <t>A 53336-2025</t>
        </is>
      </c>
      <c r="B692" s="1" t="n">
        <v>45959.39545138889</v>
      </c>
      <c r="C692" s="1" t="n">
        <v>46083</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61225-2024</t>
        </is>
      </c>
      <c r="B693" s="1" t="n">
        <v>45645.66707175926</v>
      </c>
      <c r="C693" s="1" t="n">
        <v>46083</v>
      </c>
      <c r="D693" t="inlineStr">
        <is>
          <t>VÄSTERBOTTENS LÄN</t>
        </is>
      </c>
      <c r="E693" t="inlineStr">
        <is>
          <t>UMEÅ</t>
        </is>
      </c>
      <c r="F693" t="inlineStr">
        <is>
          <t>Holmen skog AB</t>
        </is>
      </c>
      <c r="G693" t="n">
        <v>4.1</v>
      </c>
      <c r="H693" t="n">
        <v>0</v>
      </c>
      <c r="I693" t="n">
        <v>0</v>
      </c>
      <c r="J693" t="n">
        <v>0</v>
      </c>
      <c r="K693" t="n">
        <v>0</v>
      </c>
      <c r="L693" t="n">
        <v>0</v>
      </c>
      <c r="M693" t="n">
        <v>0</v>
      </c>
      <c r="N693" t="n">
        <v>0</v>
      </c>
      <c r="O693" t="n">
        <v>0</v>
      </c>
      <c r="P693" t="n">
        <v>0</v>
      </c>
      <c r="Q693" t="n">
        <v>0</v>
      </c>
      <c r="R693" s="2" t="inlineStr"/>
    </row>
    <row r="694" ht="15" customHeight="1">
      <c r="A694" t="inlineStr">
        <is>
          <t>A 30258-2023</t>
        </is>
      </c>
      <c r="B694" s="1" t="n">
        <v>45110.70980324074</v>
      </c>
      <c r="C694" s="1" t="n">
        <v>46083</v>
      </c>
      <c r="D694" t="inlineStr">
        <is>
          <t>VÄSTERBOTTENS LÄN</t>
        </is>
      </c>
      <c r="E694" t="inlineStr">
        <is>
          <t>UMEÅ</t>
        </is>
      </c>
      <c r="F694" t="inlineStr">
        <is>
          <t>Holmen skog AB</t>
        </is>
      </c>
      <c r="G694" t="n">
        <v>3</v>
      </c>
      <c r="H694" t="n">
        <v>0</v>
      </c>
      <c r="I694" t="n">
        <v>0</v>
      </c>
      <c r="J694" t="n">
        <v>0</v>
      </c>
      <c r="K694" t="n">
        <v>0</v>
      </c>
      <c r="L694" t="n">
        <v>0</v>
      </c>
      <c r="M694" t="n">
        <v>0</v>
      </c>
      <c r="N694" t="n">
        <v>0</v>
      </c>
      <c r="O694" t="n">
        <v>0</v>
      </c>
      <c r="P694" t="n">
        <v>0</v>
      </c>
      <c r="Q694" t="n">
        <v>0</v>
      </c>
      <c r="R694" s="2" t="inlineStr"/>
    </row>
    <row r="695" ht="15" customHeight="1">
      <c r="A695" t="inlineStr">
        <is>
          <t>A 32464-2023</t>
        </is>
      </c>
      <c r="B695" s="1" t="n">
        <v>45120.92650462963</v>
      </c>
      <c r="C695" s="1" t="n">
        <v>46083</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44836-2024</t>
        </is>
      </c>
      <c r="B696" s="1" t="n">
        <v>45574.70622685185</v>
      </c>
      <c r="C696" s="1" t="n">
        <v>46083</v>
      </c>
      <c r="D696" t="inlineStr">
        <is>
          <t>VÄSTERBOTTENS LÄN</t>
        </is>
      </c>
      <c r="E696" t="inlineStr">
        <is>
          <t>UMEÅ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46287-2022</t>
        </is>
      </c>
      <c r="B697" s="1" t="n">
        <v>44847</v>
      </c>
      <c r="C697" s="1" t="n">
        <v>46083</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13090-2024</t>
        </is>
      </c>
      <c r="B698" s="1" t="n">
        <v>45385</v>
      </c>
      <c r="C698" s="1" t="n">
        <v>46083</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14928-2023</t>
        </is>
      </c>
      <c r="B699" s="1" t="n">
        <v>45014</v>
      </c>
      <c r="C699" s="1" t="n">
        <v>46083</v>
      </c>
      <c r="D699" t="inlineStr">
        <is>
          <t>VÄSTERBOTTENS LÄN</t>
        </is>
      </c>
      <c r="E699" t="inlineStr">
        <is>
          <t>UMEÅ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54693-2025</t>
        </is>
      </c>
      <c r="B700" s="1" t="n">
        <v>45966.46192129629</v>
      </c>
      <c r="C700" s="1" t="n">
        <v>46083</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11184-2024</t>
        </is>
      </c>
      <c r="B701" s="1" t="n">
        <v>45371</v>
      </c>
      <c r="C701" s="1" t="n">
        <v>46083</v>
      </c>
      <c r="D701" t="inlineStr">
        <is>
          <t>VÄSTERBOTTENS LÄN</t>
        </is>
      </c>
      <c r="E701" t="inlineStr">
        <is>
          <t>UMEÅ</t>
        </is>
      </c>
      <c r="F701" t="inlineStr">
        <is>
          <t>Övriga statliga verk och myndigheter</t>
        </is>
      </c>
      <c r="G701" t="n">
        <v>4.5</v>
      </c>
      <c r="H701" t="n">
        <v>0</v>
      </c>
      <c r="I701" t="n">
        <v>0</v>
      </c>
      <c r="J701" t="n">
        <v>0</v>
      </c>
      <c r="K701" t="n">
        <v>0</v>
      </c>
      <c r="L701" t="n">
        <v>0</v>
      </c>
      <c r="M701" t="n">
        <v>0</v>
      </c>
      <c r="N701" t="n">
        <v>0</v>
      </c>
      <c r="O701" t="n">
        <v>0</v>
      </c>
      <c r="P701" t="n">
        <v>0</v>
      </c>
      <c r="Q701" t="n">
        <v>0</v>
      </c>
      <c r="R701" s="2" t="inlineStr"/>
    </row>
    <row r="702" ht="15" customHeight="1">
      <c r="A702" t="inlineStr">
        <is>
          <t>A 49875-2025</t>
        </is>
      </c>
      <c r="B702" s="1" t="n">
        <v>45940.55391203704</v>
      </c>
      <c r="C702" s="1" t="n">
        <v>46083</v>
      </c>
      <c r="D702" t="inlineStr">
        <is>
          <t>VÄSTERBOTTENS LÄN</t>
        </is>
      </c>
      <c r="E702" t="inlineStr">
        <is>
          <t>UMEÅ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31068-2023</t>
        </is>
      </c>
      <c r="B703" s="1" t="n">
        <v>45113</v>
      </c>
      <c r="C703" s="1" t="n">
        <v>46083</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46083</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14043-2024</t>
        </is>
      </c>
      <c r="B705" s="1" t="n">
        <v>45392</v>
      </c>
      <c r="C705" s="1" t="n">
        <v>46083</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54321-2025</t>
        </is>
      </c>
      <c r="B706" s="1" t="n">
        <v>45965.34315972222</v>
      </c>
      <c r="C706" s="1" t="n">
        <v>46083</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54796-2025</t>
        </is>
      </c>
      <c r="B707" s="1" t="n">
        <v>45966.63635416667</v>
      </c>
      <c r="C707" s="1" t="n">
        <v>46083</v>
      </c>
      <c r="D707" t="inlineStr">
        <is>
          <t>VÄSTERBOTTENS LÄN</t>
        </is>
      </c>
      <c r="E707" t="inlineStr">
        <is>
          <t>UMEÅ</t>
        </is>
      </c>
      <c r="G707" t="n">
        <v>7.2</v>
      </c>
      <c r="H707" t="n">
        <v>0</v>
      </c>
      <c r="I707" t="n">
        <v>0</v>
      </c>
      <c r="J707" t="n">
        <v>0</v>
      </c>
      <c r="K707" t="n">
        <v>0</v>
      </c>
      <c r="L707" t="n">
        <v>0</v>
      </c>
      <c r="M707" t="n">
        <v>0</v>
      </c>
      <c r="N707" t="n">
        <v>0</v>
      </c>
      <c r="O707" t="n">
        <v>0</v>
      </c>
      <c r="P707" t="n">
        <v>0</v>
      </c>
      <c r="Q707" t="n">
        <v>0</v>
      </c>
      <c r="R707" s="2" t="inlineStr"/>
    </row>
    <row r="708" ht="15" customHeight="1">
      <c r="A708" t="inlineStr">
        <is>
          <t>A 54797-2025</t>
        </is>
      </c>
      <c r="B708" s="1" t="n">
        <v>45966.63638888889</v>
      </c>
      <c r="C708" s="1" t="n">
        <v>46083</v>
      </c>
      <c r="D708" t="inlineStr">
        <is>
          <t>VÄSTERBOTTENS LÄN</t>
        </is>
      </c>
      <c r="E708" t="inlineStr">
        <is>
          <t>UMEÅ</t>
        </is>
      </c>
      <c r="G708" t="n">
        <v>7</v>
      </c>
      <c r="H708" t="n">
        <v>0</v>
      </c>
      <c r="I708" t="n">
        <v>0</v>
      </c>
      <c r="J708" t="n">
        <v>0</v>
      </c>
      <c r="K708" t="n">
        <v>0</v>
      </c>
      <c r="L708" t="n">
        <v>0</v>
      </c>
      <c r="M708" t="n">
        <v>0</v>
      </c>
      <c r="N708" t="n">
        <v>0</v>
      </c>
      <c r="O708" t="n">
        <v>0</v>
      </c>
      <c r="P708" t="n">
        <v>0</v>
      </c>
      <c r="Q708" t="n">
        <v>0</v>
      </c>
      <c r="R708" s="2" t="inlineStr"/>
    </row>
    <row r="709" ht="15" customHeight="1">
      <c r="A709" t="inlineStr">
        <is>
          <t>A 751-2023</t>
        </is>
      </c>
      <c r="B709" s="1" t="n">
        <v>44931.3587962963</v>
      </c>
      <c r="C709" s="1" t="n">
        <v>46083</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23842-2024</t>
        </is>
      </c>
      <c r="B710" s="1" t="n">
        <v>45455.52168981481</v>
      </c>
      <c r="C710" s="1" t="n">
        <v>46083</v>
      </c>
      <c r="D710" t="inlineStr">
        <is>
          <t>VÄSTERBOTTENS LÄN</t>
        </is>
      </c>
      <c r="E710" t="inlineStr">
        <is>
          <t>UMEÅ</t>
        </is>
      </c>
      <c r="G710" t="n">
        <v>2.1</v>
      </c>
      <c r="H710" t="n">
        <v>0</v>
      </c>
      <c r="I710" t="n">
        <v>0</v>
      </c>
      <c r="J710" t="n">
        <v>0</v>
      </c>
      <c r="K710" t="n">
        <v>0</v>
      </c>
      <c r="L710" t="n">
        <v>0</v>
      </c>
      <c r="M710" t="n">
        <v>0</v>
      </c>
      <c r="N710" t="n">
        <v>0</v>
      </c>
      <c r="O710" t="n">
        <v>0</v>
      </c>
      <c r="P710" t="n">
        <v>0</v>
      </c>
      <c r="Q710" t="n">
        <v>0</v>
      </c>
      <c r="R710" s="2" t="inlineStr"/>
    </row>
    <row r="711" ht="15" customHeight="1">
      <c r="A711" t="inlineStr">
        <is>
          <t>A 65242-2021</t>
        </is>
      </c>
      <c r="B711" s="1" t="n">
        <v>44515.55709490741</v>
      </c>
      <c r="C711" s="1" t="n">
        <v>46083</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43945-2024</t>
        </is>
      </c>
      <c r="B712" s="1" t="n">
        <v>45572.47104166666</v>
      </c>
      <c r="C712" s="1" t="n">
        <v>46083</v>
      </c>
      <c r="D712" t="inlineStr">
        <is>
          <t>VÄSTERBOTTENS LÄN</t>
        </is>
      </c>
      <c r="E712" t="inlineStr">
        <is>
          <t>UMEÅ</t>
        </is>
      </c>
      <c r="G712" t="n">
        <v>2.1</v>
      </c>
      <c r="H712" t="n">
        <v>0</v>
      </c>
      <c r="I712" t="n">
        <v>0</v>
      </c>
      <c r="J712" t="n">
        <v>0</v>
      </c>
      <c r="K712" t="n">
        <v>0</v>
      </c>
      <c r="L712" t="n">
        <v>0</v>
      </c>
      <c r="M712" t="n">
        <v>0</v>
      </c>
      <c r="N712" t="n">
        <v>0</v>
      </c>
      <c r="O712" t="n">
        <v>0</v>
      </c>
      <c r="P712" t="n">
        <v>0</v>
      </c>
      <c r="Q712" t="n">
        <v>0</v>
      </c>
      <c r="R712" s="2" t="inlineStr"/>
    </row>
    <row r="713" ht="15" customHeight="1">
      <c r="A713" t="inlineStr">
        <is>
          <t>A 55658-2025</t>
        </is>
      </c>
      <c r="B713" s="1" t="n">
        <v>45972.3912037037</v>
      </c>
      <c r="C713" s="1" t="n">
        <v>46083</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61034-2022</t>
        </is>
      </c>
      <c r="B714" s="1" t="n">
        <v>44914</v>
      </c>
      <c r="C714" s="1" t="n">
        <v>46083</v>
      </c>
      <c r="D714" t="inlineStr">
        <is>
          <t>VÄSTERBOTTENS LÄN</t>
        </is>
      </c>
      <c r="E714" t="inlineStr">
        <is>
          <t>UMEÅ</t>
        </is>
      </c>
      <c r="G714" t="n">
        <v>16.7</v>
      </c>
      <c r="H714" t="n">
        <v>0</v>
      </c>
      <c r="I714" t="n">
        <v>0</v>
      </c>
      <c r="J714" t="n">
        <v>0</v>
      </c>
      <c r="K714" t="n">
        <v>0</v>
      </c>
      <c r="L714" t="n">
        <v>0</v>
      </c>
      <c r="M714" t="n">
        <v>0</v>
      </c>
      <c r="N714" t="n">
        <v>0</v>
      </c>
      <c r="O714" t="n">
        <v>0</v>
      </c>
      <c r="P714" t="n">
        <v>0</v>
      </c>
      <c r="Q714" t="n">
        <v>0</v>
      </c>
      <c r="R714" s="2" t="inlineStr"/>
    </row>
    <row r="715" ht="15" customHeight="1">
      <c r="A715" t="inlineStr">
        <is>
          <t>A 55752-2025</t>
        </is>
      </c>
      <c r="B715" s="1" t="n">
        <v>45972.58538194445</v>
      </c>
      <c r="C715" s="1" t="n">
        <v>46083</v>
      </c>
      <c r="D715" t="inlineStr">
        <is>
          <t>VÄSTERBOTTENS LÄN</t>
        </is>
      </c>
      <c r="E715" t="inlineStr">
        <is>
          <t>UMEÅ</t>
        </is>
      </c>
      <c r="G715" t="n">
        <v>1.9</v>
      </c>
      <c r="H715" t="n">
        <v>0</v>
      </c>
      <c r="I715" t="n">
        <v>0</v>
      </c>
      <c r="J715" t="n">
        <v>0</v>
      </c>
      <c r="K715" t="n">
        <v>0</v>
      </c>
      <c r="L715" t="n">
        <v>0</v>
      </c>
      <c r="M715" t="n">
        <v>0</v>
      </c>
      <c r="N715" t="n">
        <v>0</v>
      </c>
      <c r="O715" t="n">
        <v>0</v>
      </c>
      <c r="P715" t="n">
        <v>0</v>
      </c>
      <c r="Q715" t="n">
        <v>0</v>
      </c>
      <c r="R715" s="2" t="inlineStr"/>
    </row>
    <row r="716" ht="15" customHeight="1">
      <c r="A716" t="inlineStr">
        <is>
          <t>A 55844-2025</t>
        </is>
      </c>
      <c r="B716" s="1" t="n">
        <v>45973.29459490741</v>
      </c>
      <c r="C716" s="1" t="n">
        <v>46083</v>
      </c>
      <c r="D716" t="inlineStr">
        <is>
          <t>VÄSTERBOTTENS LÄN</t>
        </is>
      </c>
      <c r="E716" t="inlineStr">
        <is>
          <t>UMEÅ</t>
        </is>
      </c>
      <c r="G716" t="n">
        <v>3.8</v>
      </c>
      <c r="H716" t="n">
        <v>0</v>
      </c>
      <c r="I716" t="n">
        <v>0</v>
      </c>
      <c r="J716" t="n">
        <v>0</v>
      </c>
      <c r="K716" t="n">
        <v>0</v>
      </c>
      <c r="L716" t="n">
        <v>0</v>
      </c>
      <c r="M716" t="n">
        <v>0</v>
      </c>
      <c r="N716" t="n">
        <v>0</v>
      </c>
      <c r="O716" t="n">
        <v>0</v>
      </c>
      <c r="P716" t="n">
        <v>0</v>
      </c>
      <c r="Q716" t="n">
        <v>0</v>
      </c>
      <c r="R716" s="2" t="inlineStr"/>
    </row>
    <row r="717" ht="15" customHeight="1">
      <c r="A717" t="inlineStr">
        <is>
          <t>A 72125-2021</t>
        </is>
      </c>
      <c r="B717" s="1" t="n">
        <v>44543</v>
      </c>
      <c r="C717" s="1" t="n">
        <v>46083</v>
      </c>
      <c r="D717" t="inlineStr">
        <is>
          <t>VÄSTERBOTTENS LÄN</t>
        </is>
      </c>
      <c r="E717" t="inlineStr">
        <is>
          <t>UMEÅ</t>
        </is>
      </c>
      <c r="G717" t="n">
        <v>4.4</v>
      </c>
      <c r="H717" t="n">
        <v>0</v>
      </c>
      <c r="I717" t="n">
        <v>0</v>
      </c>
      <c r="J717" t="n">
        <v>0</v>
      </c>
      <c r="K717" t="n">
        <v>0</v>
      </c>
      <c r="L717" t="n">
        <v>0</v>
      </c>
      <c r="M717" t="n">
        <v>0</v>
      </c>
      <c r="N717" t="n">
        <v>0</v>
      </c>
      <c r="O717" t="n">
        <v>0</v>
      </c>
      <c r="P717" t="n">
        <v>0</v>
      </c>
      <c r="Q717" t="n">
        <v>0</v>
      </c>
      <c r="R717" s="2" t="inlineStr"/>
    </row>
    <row r="718" ht="15" customHeight="1">
      <c r="A718" t="inlineStr">
        <is>
          <t>A 35630-2024</t>
        </is>
      </c>
      <c r="B718" s="1" t="n">
        <v>45531</v>
      </c>
      <c r="C718" s="1" t="n">
        <v>46083</v>
      </c>
      <c r="D718" t="inlineStr">
        <is>
          <t>VÄSTERBOTTENS LÄN</t>
        </is>
      </c>
      <c r="E718" t="inlineStr">
        <is>
          <t>UMEÅ</t>
        </is>
      </c>
      <c r="G718" t="n">
        <v>4.7</v>
      </c>
      <c r="H718" t="n">
        <v>0</v>
      </c>
      <c r="I718" t="n">
        <v>0</v>
      </c>
      <c r="J718" t="n">
        <v>0</v>
      </c>
      <c r="K718" t="n">
        <v>0</v>
      </c>
      <c r="L718" t="n">
        <v>0</v>
      </c>
      <c r="M718" t="n">
        <v>0</v>
      </c>
      <c r="N718" t="n">
        <v>0</v>
      </c>
      <c r="O718" t="n">
        <v>0</v>
      </c>
      <c r="P718" t="n">
        <v>0</v>
      </c>
      <c r="Q718" t="n">
        <v>0</v>
      </c>
      <c r="R718" s="2" t="inlineStr"/>
    </row>
    <row r="719" ht="15" customHeight="1">
      <c r="A719" t="inlineStr">
        <is>
          <t>A 45259-2024</t>
        </is>
      </c>
      <c r="B719" s="1" t="n">
        <v>45576</v>
      </c>
      <c r="C719" s="1" t="n">
        <v>46083</v>
      </c>
      <c r="D719" t="inlineStr">
        <is>
          <t>VÄSTERBOTTENS LÄN</t>
        </is>
      </c>
      <c r="E719" t="inlineStr">
        <is>
          <t>UMEÅ</t>
        </is>
      </c>
      <c r="G719" t="n">
        <v>5.1</v>
      </c>
      <c r="H719" t="n">
        <v>0</v>
      </c>
      <c r="I719" t="n">
        <v>0</v>
      </c>
      <c r="J719" t="n">
        <v>0</v>
      </c>
      <c r="K719" t="n">
        <v>0</v>
      </c>
      <c r="L719" t="n">
        <v>0</v>
      </c>
      <c r="M719" t="n">
        <v>0</v>
      </c>
      <c r="N719" t="n">
        <v>0</v>
      </c>
      <c r="O719" t="n">
        <v>0</v>
      </c>
      <c r="P719" t="n">
        <v>0</v>
      </c>
      <c r="Q719" t="n">
        <v>0</v>
      </c>
      <c r="R719" s="2" t="inlineStr"/>
    </row>
    <row r="720" ht="15" customHeight="1">
      <c r="A720" t="inlineStr">
        <is>
          <t>A 45770-2024</t>
        </is>
      </c>
      <c r="B720" s="1" t="n">
        <v>45579.64884259259</v>
      </c>
      <c r="C720" s="1" t="n">
        <v>46083</v>
      </c>
      <c r="D720" t="inlineStr">
        <is>
          <t>VÄSTERBOTTENS LÄN</t>
        </is>
      </c>
      <c r="E720" t="inlineStr">
        <is>
          <t>UMEÅ</t>
        </is>
      </c>
      <c r="G720" t="n">
        <v>1.2</v>
      </c>
      <c r="H720" t="n">
        <v>0</v>
      </c>
      <c r="I720" t="n">
        <v>0</v>
      </c>
      <c r="J720" t="n">
        <v>0</v>
      </c>
      <c r="K720" t="n">
        <v>0</v>
      </c>
      <c r="L720" t="n">
        <v>0</v>
      </c>
      <c r="M720" t="n">
        <v>0</v>
      </c>
      <c r="N720" t="n">
        <v>0</v>
      </c>
      <c r="O720" t="n">
        <v>0</v>
      </c>
      <c r="P720" t="n">
        <v>0</v>
      </c>
      <c r="Q720" t="n">
        <v>0</v>
      </c>
      <c r="R720" s="2" t="inlineStr"/>
    </row>
    <row r="721" ht="15" customHeight="1">
      <c r="A721" t="inlineStr">
        <is>
          <t>A 32462-2023</t>
        </is>
      </c>
      <c r="B721" s="1" t="n">
        <v>45120.92637731481</v>
      </c>
      <c r="C721" s="1" t="n">
        <v>46083</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56617-2025</t>
        </is>
      </c>
      <c r="B722" s="1" t="n">
        <v>45975.59364583333</v>
      </c>
      <c r="C722" s="1" t="n">
        <v>46083</v>
      </c>
      <c r="D722" t="inlineStr">
        <is>
          <t>VÄSTERBOTTENS LÄN</t>
        </is>
      </c>
      <c r="E722" t="inlineStr">
        <is>
          <t>UMEÅ</t>
        </is>
      </c>
      <c r="G722" t="n">
        <v>1.7</v>
      </c>
      <c r="H722" t="n">
        <v>0</v>
      </c>
      <c r="I722" t="n">
        <v>0</v>
      </c>
      <c r="J722" t="n">
        <v>0</v>
      </c>
      <c r="K722" t="n">
        <v>0</v>
      </c>
      <c r="L722" t="n">
        <v>0</v>
      </c>
      <c r="M722" t="n">
        <v>0</v>
      </c>
      <c r="N722" t="n">
        <v>0</v>
      </c>
      <c r="O722" t="n">
        <v>0</v>
      </c>
      <c r="P722" t="n">
        <v>0</v>
      </c>
      <c r="Q722" t="n">
        <v>0</v>
      </c>
      <c r="R722" s="2" t="inlineStr"/>
    </row>
    <row r="723" ht="15" customHeight="1">
      <c r="A723" t="inlineStr">
        <is>
          <t>A 54150-2024</t>
        </is>
      </c>
      <c r="B723" s="1" t="n">
        <v>45616</v>
      </c>
      <c r="C723" s="1" t="n">
        <v>46083</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56555-2025</t>
        </is>
      </c>
      <c r="B724" s="1" t="n">
        <v>45975.48876157407</v>
      </c>
      <c r="C724" s="1" t="n">
        <v>46083</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14407-2023</t>
        </is>
      </c>
      <c r="B725" s="1" t="n">
        <v>45012.50180555556</v>
      </c>
      <c r="C725" s="1" t="n">
        <v>46083</v>
      </c>
      <c r="D725" t="inlineStr">
        <is>
          <t>VÄSTERBOTTENS LÄN</t>
        </is>
      </c>
      <c r="E725" t="inlineStr">
        <is>
          <t>UMEÅ</t>
        </is>
      </c>
      <c r="G725" t="n">
        <v>2</v>
      </c>
      <c r="H725" t="n">
        <v>0</v>
      </c>
      <c r="I725" t="n">
        <v>0</v>
      </c>
      <c r="J725" t="n">
        <v>0</v>
      </c>
      <c r="K725" t="n">
        <v>0</v>
      </c>
      <c r="L725" t="n">
        <v>0</v>
      </c>
      <c r="M725" t="n">
        <v>0</v>
      </c>
      <c r="N725" t="n">
        <v>0</v>
      </c>
      <c r="O725" t="n">
        <v>0</v>
      </c>
      <c r="P725" t="n">
        <v>0</v>
      </c>
      <c r="Q725" t="n">
        <v>0</v>
      </c>
      <c r="R725" s="2" t="inlineStr"/>
    </row>
    <row r="726" ht="15" customHeight="1">
      <c r="A726" t="inlineStr">
        <is>
          <t>A 56542-2025</t>
        </is>
      </c>
      <c r="B726" s="1" t="n">
        <v>45975.47570601852</v>
      </c>
      <c r="C726" s="1" t="n">
        <v>46083</v>
      </c>
      <c r="D726" t="inlineStr">
        <is>
          <t>VÄSTERBOTTENS LÄN</t>
        </is>
      </c>
      <c r="E726" t="inlineStr">
        <is>
          <t>UMEÅ</t>
        </is>
      </c>
      <c r="G726" t="n">
        <v>4</v>
      </c>
      <c r="H726" t="n">
        <v>0</v>
      </c>
      <c r="I726" t="n">
        <v>0</v>
      </c>
      <c r="J726" t="n">
        <v>0</v>
      </c>
      <c r="K726" t="n">
        <v>0</v>
      </c>
      <c r="L726" t="n">
        <v>0</v>
      </c>
      <c r="M726" t="n">
        <v>0</v>
      </c>
      <c r="N726" t="n">
        <v>0</v>
      </c>
      <c r="O726" t="n">
        <v>0</v>
      </c>
      <c r="P726" t="n">
        <v>0</v>
      </c>
      <c r="Q726" t="n">
        <v>0</v>
      </c>
      <c r="R726" s="2" t="inlineStr"/>
    </row>
    <row r="727" ht="15" customHeight="1">
      <c r="A727" t="inlineStr">
        <is>
          <t>A 19831-2025</t>
        </is>
      </c>
      <c r="B727" s="1" t="n">
        <v>45771.46961805555</v>
      </c>
      <c r="C727" s="1" t="n">
        <v>46083</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56816-2025</t>
        </is>
      </c>
      <c r="B728" s="1" t="n">
        <v>45978.46039351852</v>
      </c>
      <c r="C728" s="1" t="n">
        <v>46083</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5280-2025</t>
        </is>
      </c>
      <c r="B729" s="1" t="n">
        <v>45692.43077546296</v>
      </c>
      <c r="C729" s="1" t="n">
        <v>46083</v>
      </c>
      <c r="D729" t="inlineStr">
        <is>
          <t>VÄSTERBOTTENS LÄN</t>
        </is>
      </c>
      <c r="E729" t="inlineStr">
        <is>
          <t>UMEÅ</t>
        </is>
      </c>
      <c r="G729" t="n">
        <v>2.5</v>
      </c>
      <c r="H729" t="n">
        <v>0</v>
      </c>
      <c r="I729" t="n">
        <v>0</v>
      </c>
      <c r="J729" t="n">
        <v>0</v>
      </c>
      <c r="K729" t="n">
        <v>0</v>
      </c>
      <c r="L729" t="n">
        <v>0</v>
      </c>
      <c r="M729" t="n">
        <v>0</v>
      </c>
      <c r="N729" t="n">
        <v>0</v>
      </c>
      <c r="O729" t="n">
        <v>0</v>
      </c>
      <c r="P729" t="n">
        <v>0</v>
      </c>
      <c r="Q729" t="n">
        <v>0</v>
      </c>
      <c r="R729" s="2" t="inlineStr"/>
    </row>
    <row r="730" ht="15" customHeight="1">
      <c r="A730" t="inlineStr">
        <is>
          <t>A 56515-2025</t>
        </is>
      </c>
      <c r="B730" s="1" t="n">
        <v>45975.45572916666</v>
      </c>
      <c r="C730" s="1" t="n">
        <v>46083</v>
      </c>
      <c r="D730" t="inlineStr">
        <is>
          <t>VÄSTERBOTTENS LÄN</t>
        </is>
      </c>
      <c r="E730" t="inlineStr">
        <is>
          <t>UMEÅ</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10587-2023</t>
        </is>
      </c>
      <c r="B731" s="1" t="n">
        <v>44984</v>
      </c>
      <c r="C731" s="1" t="n">
        <v>46083</v>
      </c>
      <c r="D731" t="inlineStr">
        <is>
          <t>VÄSTERBOTTENS LÄN</t>
        </is>
      </c>
      <c r="E731" t="inlineStr">
        <is>
          <t>UMEÅ</t>
        </is>
      </c>
      <c r="G731" t="n">
        <v>2</v>
      </c>
      <c r="H731" t="n">
        <v>0</v>
      </c>
      <c r="I731" t="n">
        <v>0</v>
      </c>
      <c r="J731" t="n">
        <v>0</v>
      </c>
      <c r="K731" t="n">
        <v>0</v>
      </c>
      <c r="L731" t="n">
        <v>0</v>
      </c>
      <c r="M731" t="n">
        <v>0</v>
      </c>
      <c r="N731" t="n">
        <v>0</v>
      </c>
      <c r="O731" t="n">
        <v>0</v>
      </c>
      <c r="P731" t="n">
        <v>0</v>
      </c>
      <c r="Q731" t="n">
        <v>0</v>
      </c>
      <c r="R731" s="2" t="inlineStr"/>
    </row>
    <row r="732" ht="15" customHeight="1">
      <c r="A732" t="inlineStr">
        <is>
          <t>A 18108-2025</t>
        </is>
      </c>
      <c r="B732" s="1" t="n">
        <v>45761.56107638889</v>
      </c>
      <c r="C732" s="1" t="n">
        <v>46083</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56547-2025</t>
        </is>
      </c>
      <c r="B733" s="1" t="n">
        <v>45975.48043981481</v>
      </c>
      <c r="C733" s="1" t="n">
        <v>46083</v>
      </c>
      <c r="D733" t="inlineStr">
        <is>
          <t>VÄSTERBOTTENS LÄN</t>
        </is>
      </c>
      <c r="E733" t="inlineStr">
        <is>
          <t>UMEÅ</t>
        </is>
      </c>
      <c r="G733" t="n">
        <v>6.1</v>
      </c>
      <c r="H733" t="n">
        <v>0</v>
      </c>
      <c r="I733" t="n">
        <v>0</v>
      </c>
      <c r="J733" t="n">
        <v>0</v>
      </c>
      <c r="K733" t="n">
        <v>0</v>
      </c>
      <c r="L733" t="n">
        <v>0</v>
      </c>
      <c r="M733" t="n">
        <v>0</v>
      </c>
      <c r="N733" t="n">
        <v>0</v>
      </c>
      <c r="O733" t="n">
        <v>0</v>
      </c>
      <c r="P733" t="n">
        <v>0</v>
      </c>
      <c r="Q733" t="n">
        <v>0</v>
      </c>
      <c r="R733" s="2" t="inlineStr"/>
    </row>
    <row r="734" ht="15" customHeight="1">
      <c r="A734" t="inlineStr">
        <is>
          <t>A 16903-2025</t>
        </is>
      </c>
      <c r="B734" s="1" t="n">
        <v>45755.34568287037</v>
      </c>
      <c r="C734" s="1" t="n">
        <v>46083</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56642-2025</t>
        </is>
      </c>
      <c r="B735" s="1" t="n">
        <v>45975.62614583333</v>
      </c>
      <c r="C735" s="1" t="n">
        <v>46083</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17945-2023</t>
        </is>
      </c>
      <c r="B736" s="1" t="n">
        <v>45037</v>
      </c>
      <c r="C736" s="1" t="n">
        <v>46083</v>
      </c>
      <c r="D736" t="inlineStr">
        <is>
          <t>VÄSTERBOTTENS LÄN</t>
        </is>
      </c>
      <c r="E736" t="inlineStr">
        <is>
          <t>UMEÅ</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18861-2024</t>
        </is>
      </c>
      <c r="B737" s="1" t="n">
        <v>45426</v>
      </c>
      <c r="C737" s="1" t="n">
        <v>46083</v>
      </c>
      <c r="D737" t="inlineStr">
        <is>
          <t>VÄSTERBOTTENS LÄN</t>
        </is>
      </c>
      <c r="E737" t="inlineStr">
        <is>
          <t>UMEÅ</t>
        </is>
      </c>
      <c r="G737" t="n">
        <v>7.4</v>
      </c>
      <c r="H737" t="n">
        <v>0</v>
      </c>
      <c r="I737" t="n">
        <v>0</v>
      </c>
      <c r="J737" t="n">
        <v>0</v>
      </c>
      <c r="K737" t="n">
        <v>0</v>
      </c>
      <c r="L737" t="n">
        <v>0</v>
      </c>
      <c r="M737" t="n">
        <v>0</v>
      </c>
      <c r="N737" t="n">
        <v>0</v>
      </c>
      <c r="O737" t="n">
        <v>0</v>
      </c>
      <c r="P737" t="n">
        <v>0</v>
      </c>
      <c r="Q737" t="n">
        <v>0</v>
      </c>
      <c r="R737" s="2" t="inlineStr"/>
    </row>
    <row r="738" ht="15" customHeight="1">
      <c r="A738" t="inlineStr">
        <is>
          <t>A 32221-2024</t>
        </is>
      </c>
      <c r="B738" s="1" t="n">
        <v>45511</v>
      </c>
      <c r="C738" s="1" t="n">
        <v>46083</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57105-2025</t>
        </is>
      </c>
      <c r="B739" s="1" t="n">
        <v>45979.44579861111</v>
      </c>
      <c r="C739" s="1" t="n">
        <v>46083</v>
      </c>
      <c r="D739" t="inlineStr">
        <is>
          <t>VÄSTERBOTTENS LÄN</t>
        </is>
      </c>
      <c r="E739" t="inlineStr">
        <is>
          <t>UMEÅ</t>
        </is>
      </c>
      <c r="G739" t="n">
        <v>1.3</v>
      </c>
      <c r="H739" t="n">
        <v>0</v>
      </c>
      <c r="I739" t="n">
        <v>0</v>
      </c>
      <c r="J739" t="n">
        <v>0</v>
      </c>
      <c r="K739" t="n">
        <v>0</v>
      </c>
      <c r="L739" t="n">
        <v>0</v>
      </c>
      <c r="M739" t="n">
        <v>0</v>
      </c>
      <c r="N739" t="n">
        <v>0</v>
      </c>
      <c r="O739" t="n">
        <v>0</v>
      </c>
      <c r="P739" t="n">
        <v>0</v>
      </c>
      <c r="Q739" t="n">
        <v>0</v>
      </c>
      <c r="R739" s="2" t="inlineStr"/>
    </row>
    <row r="740" ht="15" customHeight="1">
      <c r="A740" t="inlineStr">
        <is>
          <t>A 57018-2025</t>
        </is>
      </c>
      <c r="B740" s="1" t="n">
        <v>45978.84679398148</v>
      </c>
      <c r="C740" s="1" t="n">
        <v>46083</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56083-2024</t>
        </is>
      </c>
      <c r="B741" s="1" t="n">
        <v>45623</v>
      </c>
      <c r="C741" s="1" t="n">
        <v>46083</v>
      </c>
      <c r="D741" t="inlineStr">
        <is>
          <t>VÄSTERBOTTENS LÄN</t>
        </is>
      </c>
      <c r="E741" t="inlineStr">
        <is>
          <t>UMEÅ</t>
        </is>
      </c>
      <c r="G741" t="n">
        <v>1.9</v>
      </c>
      <c r="H741" t="n">
        <v>0</v>
      </c>
      <c r="I741" t="n">
        <v>0</v>
      </c>
      <c r="J741" t="n">
        <v>0</v>
      </c>
      <c r="K741" t="n">
        <v>0</v>
      </c>
      <c r="L741" t="n">
        <v>0</v>
      </c>
      <c r="M741" t="n">
        <v>0</v>
      </c>
      <c r="N741" t="n">
        <v>0</v>
      </c>
      <c r="O741" t="n">
        <v>0</v>
      </c>
      <c r="P741" t="n">
        <v>0</v>
      </c>
      <c r="Q741" t="n">
        <v>0</v>
      </c>
      <c r="R741" s="2" t="inlineStr"/>
    </row>
    <row r="742" ht="15" customHeight="1">
      <c r="A742" t="inlineStr">
        <is>
          <t>A 57551-2025</t>
        </is>
      </c>
      <c r="B742" s="1" t="n">
        <v>45980.65818287037</v>
      </c>
      <c r="C742" s="1" t="n">
        <v>46083</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34991-2023</t>
        </is>
      </c>
      <c r="B743" s="1" t="n">
        <v>45142.80528935185</v>
      </c>
      <c r="C743" s="1" t="n">
        <v>46083</v>
      </c>
      <c r="D743" t="inlineStr">
        <is>
          <t>VÄSTERBOTTENS LÄN</t>
        </is>
      </c>
      <c r="E743" t="inlineStr">
        <is>
          <t>UMEÅ</t>
        </is>
      </c>
      <c r="G743" t="n">
        <v>6.9</v>
      </c>
      <c r="H743" t="n">
        <v>0</v>
      </c>
      <c r="I743" t="n">
        <v>0</v>
      </c>
      <c r="J743" t="n">
        <v>0</v>
      </c>
      <c r="K743" t="n">
        <v>0</v>
      </c>
      <c r="L743" t="n">
        <v>0</v>
      </c>
      <c r="M743" t="n">
        <v>0</v>
      </c>
      <c r="N743" t="n">
        <v>0</v>
      </c>
      <c r="O743" t="n">
        <v>0</v>
      </c>
      <c r="P743" t="n">
        <v>0</v>
      </c>
      <c r="Q743" t="n">
        <v>0</v>
      </c>
      <c r="R743" s="2" t="inlineStr"/>
    </row>
    <row r="744" ht="15" customHeight="1">
      <c r="A744" t="inlineStr">
        <is>
          <t>A 28860-2024</t>
        </is>
      </c>
      <c r="B744" s="1" t="n">
        <v>45478.92875</v>
      </c>
      <c r="C744" s="1" t="n">
        <v>46083</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57366-2025</t>
        </is>
      </c>
      <c r="B745" s="1" t="n">
        <v>45980.37606481482</v>
      </c>
      <c r="C745" s="1" t="n">
        <v>46083</v>
      </c>
      <c r="D745" t="inlineStr">
        <is>
          <t>VÄSTERBOTTENS LÄN</t>
        </is>
      </c>
      <c r="E745" t="inlineStr">
        <is>
          <t>UMEÅ</t>
        </is>
      </c>
      <c r="G745" t="n">
        <v>5.3</v>
      </c>
      <c r="H745" t="n">
        <v>0</v>
      </c>
      <c r="I745" t="n">
        <v>0</v>
      </c>
      <c r="J745" t="n">
        <v>0</v>
      </c>
      <c r="K745" t="n">
        <v>0</v>
      </c>
      <c r="L745" t="n">
        <v>0</v>
      </c>
      <c r="M745" t="n">
        <v>0</v>
      </c>
      <c r="N745" t="n">
        <v>0</v>
      </c>
      <c r="O745" t="n">
        <v>0</v>
      </c>
      <c r="P745" t="n">
        <v>0</v>
      </c>
      <c r="Q745" t="n">
        <v>0</v>
      </c>
      <c r="R745" s="2" t="inlineStr"/>
    </row>
    <row r="746" ht="15" customHeight="1">
      <c r="A746" t="inlineStr">
        <is>
          <t>A 57374-2025</t>
        </is>
      </c>
      <c r="B746" s="1" t="n">
        <v>45980.38856481481</v>
      </c>
      <c r="C746" s="1" t="n">
        <v>46083</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29000-2024</t>
        </is>
      </c>
      <c r="B747" s="1" t="n">
        <v>45481.50622685185</v>
      </c>
      <c r="C747" s="1" t="n">
        <v>46083</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58044-2025</t>
        </is>
      </c>
      <c r="B748" s="1" t="n">
        <v>45982.5025</v>
      </c>
      <c r="C748" s="1" t="n">
        <v>46083</v>
      </c>
      <c r="D748" t="inlineStr">
        <is>
          <t>VÄSTERBOTTENS LÄN</t>
        </is>
      </c>
      <c r="E748" t="inlineStr">
        <is>
          <t>UMEÅ</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58080-2025</t>
        </is>
      </c>
      <c r="B749" s="1" t="n">
        <v>45982.55920138889</v>
      </c>
      <c r="C749" s="1" t="n">
        <v>46083</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23718-2024</t>
        </is>
      </c>
      <c r="B750" s="1" t="n">
        <v>45454.81177083333</v>
      </c>
      <c r="C750" s="1" t="n">
        <v>46083</v>
      </c>
      <c r="D750" t="inlineStr">
        <is>
          <t>VÄSTERBOTTENS LÄN</t>
        </is>
      </c>
      <c r="E750" t="inlineStr">
        <is>
          <t>UMEÅ</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58028-2025</t>
        </is>
      </c>
      <c r="B751" s="1" t="n">
        <v>45982.48462962963</v>
      </c>
      <c r="C751" s="1" t="n">
        <v>46083</v>
      </c>
      <c r="D751" t="inlineStr">
        <is>
          <t>VÄSTERBOTTENS LÄN</t>
        </is>
      </c>
      <c r="E751" t="inlineStr">
        <is>
          <t>UMEÅ</t>
        </is>
      </c>
      <c r="G751" t="n">
        <v>3.4</v>
      </c>
      <c r="H751" t="n">
        <v>0</v>
      </c>
      <c r="I751" t="n">
        <v>0</v>
      </c>
      <c r="J751" t="n">
        <v>0</v>
      </c>
      <c r="K751" t="n">
        <v>0</v>
      </c>
      <c r="L751" t="n">
        <v>0</v>
      </c>
      <c r="M751" t="n">
        <v>0</v>
      </c>
      <c r="N751" t="n">
        <v>0</v>
      </c>
      <c r="O751" t="n">
        <v>0</v>
      </c>
      <c r="P751" t="n">
        <v>0</v>
      </c>
      <c r="Q751" t="n">
        <v>0</v>
      </c>
      <c r="R751" s="2" t="inlineStr"/>
    </row>
    <row r="752" ht="15" customHeight="1">
      <c r="A752" t="inlineStr">
        <is>
          <t>A 43976-2024</t>
        </is>
      </c>
      <c r="B752" s="1" t="n">
        <v>45572</v>
      </c>
      <c r="C752" s="1" t="n">
        <v>46083</v>
      </c>
      <c r="D752" t="inlineStr">
        <is>
          <t>VÄSTERBOTTENS LÄN</t>
        </is>
      </c>
      <c r="E752" t="inlineStr">
        <is>
          <t>UMEÅ</t>
        </is>
      </c>
      <c r="G752" t="n">
        <v>0.5</v>
      </c>
      <c r="H752" t="n">
        <v>0</v>
      </c>
      <c r="I752" t="n">
        <v>0</v>
      </c>
      <c r="J752" t="n">
        <v>0</v>
      </c>
      <c r="K752" t="n">
        <v>0</v>
      </c>
      <c r="L752" t="n">
        <v>0</v>
      </c>
      <c r="M752" t="n">
        <v>0</v>
      </c>
      <c r="N752" t="n">
        <v>0</v>
      </c>
      <c r="O752" t="n">
        <v>0</v>
      </c>
      <c r="P752" t="n">
        <v>0</v>
      </c>
      <c r="Q752" t="n">
        <v>0</v>
      </c>
      <c r="R752" s="2" t="inlineStr"/>
    </row>
    <row r="753" ht="15" customHeight="1">
      <c r="A753" t="inlineStr">
        <is>
          <t>A 43977-2024</t>
        </is>
      </c>
      <c r="B753" s="1" t="n">
        <v>45572.49082175926</v>
      </c>
      <c r="C753" s="1" t="n">
        <v>46083</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17989-2023</t>
        </is>
      </c>
      <c r="B754" s="1" t="n">
        <v>45040</v>
      </c>
      <c r="C754" s="1" t="n">
        <v>46083</v>
      </c>
      <c r="D754" t="inlineStr">
        <is>
          <t>VÄSTERBOTTENS LÄN</t>
        </is>
      </c>
      <c r="E754" t="inlineStr">
        <is>
          <t>UMEÅ</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57779-2025</t>
        </is>
      </c>
      <c r="B755" s="1" t="n">
        <v>45981.56964120371</v>
      </c>
      <c r="C755" s="1" t="n">
        <v>46083</v>
      </c>
      <c r="D755" t="inlineStr">
        <is>
          <t>VÄSTERBOTTENS LÄN</t>
        </is>
      </c>
      <c r="E755" t="inlineStr">
        <is>
          <t>UMEÅ</t>
        </is>
      </c>
      <c r="F755" t="inlineStr">
        <is>
          <t>Holmen skog AB</t>
        </is>
      </c>
      <c r="G755" t="n">
        <v>4.1</v>
      </c>
      <c r="H755" t="n">
        <v>0</v>
      </c>
      <c r="I755" t="n">
        <v>0</v>
      </c>
      <c r="J755" t="n">
        <v>0</v>
      </c>
      <c r="K755" t="n">
        <v>0</v>
      </c>
      <c r="L755" t="n">
        <v>0</v>
      </c>
      <c r="M755" t="n">
        <v>0</v>
      </c>
      <c r="N755" t="n">
        <v>0</v>
      </c>
      <c r="O755" t="n">
        <v>0</v>
      </c>
      <c r="P755" t="n">
        <v>0</v>
      </c>
      <c r="Q755" t="n">
        <v>0</v>
      </c>
      <c r="R755" s="2" t="inlineStr"/>
    </row>
    <row r="756" ht="15" customHeight="1">
      <c r="A756" t="inlineStr">
        <is>
          <t>A 57998-2025</t>
        </is>
      </c>
      <c r="B756" s="1" t="n">
        <v>45982.43335648148</v>
      </c>
      <c r="C756" s="1" t="n">
        <v>46083</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46083</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64355-2021</t>
        </is>
      </c>
      <c r="B758" s="1" t="n">
        <v>44511</v>
      </c>
      <c r="C758" s="1" t="n">
        <v>46083</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58102-2025</t>
        </is>
      </c>
      <c r="B759" s="1" t="n">
        <v>45982.589375</v>
      </c>
      <c r="C759" s="1" t="n">
        <v>46083</v>
      </c>
      <c r="D759" t="inlineStr">
        <is>
          <t>VÄSTERBOTTENS LÄN</t>
        </is>
      </c>
      <c r="E759" t="inlineStr">
        <is>
          <t>UMEÅ</t>
        </is>
      </c>
      <c r="F759" t="inlineStr">
        <is>
          <t>Holmen skog AB</t>
        </is>
      </c>
      <c r="G759" t="n">
        <v>20.8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46083</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58088-2025</t>
        </is>
      </c>
      <c r="B761" s="1" t="n">
        <v>45982.57263888889</v>
      </c>
      <c r="C761" s="1" t="n">
        <v>46083</v>
      </c>
      <c r="D761" t="inlineStr">
        <is>
          <t>VÄSTERBOTTENS LÄN</t>
        </is>
      </c>
      <c r="E761" t="inlineStr">
        <is>
          <t>UMEÅ</t>
        </is>
      </c>
      <c r="G761" t="n">
        <v>2.2</v>
      </c>
      <c r="H761" t="n">
        <v>0</v>
      </c>
      <c r="I761" t="n">
        <v>0</v>
      </c>
      <c r="J761" t="n">
        <v>0</v>
      </c>
      <c r="K761" t="n">
        <v>0</v>
      </c>
      <c r="L761" t="n">
        <v>0</v>
      </c>
      <c r="M761" t="n">
        <v>0</v>
      </c>
      <c r="N761" t="n">
        <v>0</v>
      </c>
      <c r="O761" t="n">
        <v>0</v>
      </c>
      <c r="P761" t="n">
        <v>0</v>
      </c>
      <c r="Q761" t="n">
        <v>0</v>
      </c>
      <c r="R761" s="2" t="inlineStr"/>
    </row>
    <row r="762" ht="15" customHeight="1">
      <c r="A762" t="inlineStr">
        <is>
          <t>A 54152-2024</t>
        </is>
      </c>
      <c r="B762" s="1" t="n">
        <v>45616</v>
      </c>
      <c r="C762" s="1" t="n">
        <v>46083</v>
      </c>
      <c r="D762" t="inlineStr">
        <is>
          <t>VÄSTERBOTTENS LÄN</t>
        </is>
      </c>
      <c r="E762" t="inlineStr">
        <is>
          <t>UMEÅ</t>
        </is>
      </c>
      <c r="G762" t="n">
        <v>0.4</v>
      </c>
      <c r="H762" t="n">
        <v>0</v>
      </c>
      <c r="I762" t="n">
        <v>0</v>
      </c>
      <c r="J762" t="n">
        <v>0</v>
      </c>
      <c r="K762" t="n">
        <v>0</v>
      </c>
      <c r="L762" t="n">
        <v>0</v>
      </c>
      <c r="M762" t="n">
        <v>0</v>
      </c>
      <c r="N762" t="n">
        <v>0</v>
      </c>
      <c r="O762" t="n">
        <v>0</v>
      </c>
      <c r="P762" t="n">
        <v>0</v>
      </c>
      <c r="Q762" t="n">
        <v>0</v>
      </c>
      <c r="R762" s="2" t="inlineStr"/>
    </row>
    <row r="763" ht="15" customHeight="1">
      <c r="A763" t="inlineStr">
        <is>
          <t>A 48448-2024</t>
        </is>
      </c>
      <c r="B763" s="1" t="n">
        <v>45590.70138888889</v>
      </c>
      <c r="C763" s="1" t="n">
        <v>46083</v>
      </c>
      <c r="D763" t="inlineStr">
        <is>
          <t>VÄSTERBOTTENS LÄN</t>
        </is>
      </c>
      <c r="E763" t="inlineStr">
        <is>
          <t>UMEÅ</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41177-2024</t>
        </is>
      </c>
      <c r="B764" s="1" t="n">
        <v>45559.49118055555</v>
      </c>
      <c r="C764" s="1" t="n">
        <v>46083</v>
      </c>
      <c r="D764" t="inlineStr">
        <is>
          <t>VÄSTERBOTTENS LÄN</t>
        </is>
      </c>
      <c r="E764" t="inlineStr">
        <is>
          <t>UMEÅ</t>
        </is>
      </c>
      <c r="G764" t="n">
        <v>9.6</v>
      </c>
      <c r="H764" t="n">
        <v>0</v>
      </c>
      <c r="I764" t="n">
        <v>0</v>
      </c>
      <c r="J764" t="n">
        <v>0</v>
      </c>
      <c r="K764" t="n">
        <v>0</v>
      </c>
      <c r="L764" t="n">
        <v>0</v>
      </c>
      <c r="M764" t="n">
        <v>0</v>
      </c>
      <c r="N764" t="n">
        <v>0</v>
      </c>
      <c r="O764" t="n">
        <v>0</v>
      </c>
      <c r="P764" t="n">
        <v>0</v>
      </c>
      <c r="Q764" t="n">
        <v>0</v>
      </c>
      <c r="R764" s="2" t="inlineStr"/>
    </row>
    <row r="765" ht="15" customHeight="1">
      <c r="A765" t="inlineStr">
        <is>
          <t>A 1502-2025</t>
        </is>
      </c>
      <c r="B765" s="1" t="n">
        <v>45670.42223379629</v>
      </c>
      <c r="C765" s="1" t="n">
        <v>46083</v>
      </c>
      <c r="D765" t="inlineStr">
        <is>
          <t>VÄSTERBOTTENS LÄN</t>
        </is>
      </c>
      <c r="E765" t="inlineStr">
        <is>
          <t>UMEÅ</t>
        </is>
      </c>
      <c r="G765" t="n">
        <v>8.9</v>
      </c>
      <c r="H765" t="n">
        <v>0</v>
      </c>
      <c r="I765" t="n">
        <v>0</v>
      </c>
      <c r="J765" t="n">
        <v>0</v>
      </c>
      <c r="K765" t="n">
        <v>0</v>
      </c>
      <c r="L765" t="n">
        <v>0</v>
      </c>
      <c r="M765" t="n">
        <v>0</v>
      </c>
      <c r="N765" t="n">
        <v>0</v>
      </c>
      <c r="O765" t="n">
        <v>0</v>
      </c>
      <c r="P765" t="n">
        <v>0</v>
      </c>
      <c r="Q765" t="n">
        <v>0</v>
      </c>
      <c r="R765" s="2" t="inlineStr"/>
    </row>
    <row r="766" ht="15" customHeight="1">
      <c r="A766" t="inlineStr">
        <is>
          <t>A 58699-2025</t>
        </is>
      </c>
      <c r="B766" s="1" t="n">
        <v>45986.58903935185</v>
      </c>
      <c r="C766" s="1" t="n">
        <v>46083</v>
      </c>
      <c r="D766" t="inlineStr">
        <is>
          <t>VÄSTERBOTTENS LÄN</t>
        </is>
      </c>
      <c r="E766" t="inlineStr">
        <is>
          <t>UMEÅ</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58608-2025</t>
        </is>
      </c>
      <c r="B767" s="1" t="n">
        <v>45986.44831018519</v>
      </c>
      <c r="C767" s="1" t="n">
        <v>46083</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58256-2023</t>
        </is>
      </c>
      <c r="B768" s="1" t="n">
        <v>45250.48440972222</v>
      </c>
      <c r="C768" s="1" t="n">
        <v>46083</v>
      </c>
      <c r="D768" t="inlineStr">
        <is>
          <t>VÄSTERBOTTENS LÄN</t>
        </is>
      </c>
      <c r="E768" t="inlineStr">
        <is>
          <t>UMEÅ</t>
        </is>
      </c>
      <c r="G768" t="n">
        <v>0.3</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46083</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48714-2024</t>
        </is>
      </c>
      <c r="B770" s="1" t="n">
        <v>45593.54328703704</v>
      </c>
      <c r="C770" s="1" t="n">
        <v>46083</v>
      </c>
      <c r="D770" t="inlineStr">
        <is>
          <t>VÄSTERBOTTENS LÄN</t>
        </is>
      </c>
      <c r="E770" t="inlineStr">
        <is>
          <t>UMEÅ</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18010-2025</t>
        </is>
      </c>
      <c r="B771" s="1" t="n">
        <v>45761.43072916667</v>
      </c>
      <c r="C771" s="1" t="n">
        <v>46083</v>
      </c>
      <c r="D771" t="inlineStr">
        <is>
          <t>VÄSTERBOTTENS LÄN</t>
        </is>
      </c>
      <c r="E771" t="inlineStr">
        <is>
          <t>UMEÅ</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8575-2025</t>
        </is>
      </c>
      <c r="B772" s="1" t="n">
        <v>45709.66362268518</v>
      </c>
      <c r="C772" s="1" t="n">
        <v>46083</v>
      </c>
      <c r="D772" t="inlineStr">
        <is>
          <t>VÄSTERBOTTENS LÄN</t>
        </is>
      </c>
      <c r="E772" t="inlineStr">
        <is>
          <t>UMEÅ</t>
        </is>
      </c>
      <c r="G772" t="n">
        <v>2.4</v>
      </c>
      <c r="H772" t="n">
        <v>0</v>
      </c>
      <c r="I772" t="n">
        <v>0</v>
      </c>
      <c r="J772" t="n">
        <v>0</v>
      </c>
      <c r="K772" t="n">
        <v>0</v>
      </c>
      <c r="L772" t="n">
        <v>0</v>
      </c>
      <c r="M772" t="n">
        <v>0</v>
      </c>
      <c r="N772" t="n">
        <v>0</v>
      </c>
      <c r="O772" t="n">
        <v>0</v>
      </c>
      <c r="P772" t="n">
        <v>0</v>
      </c>
      <c r="Q772" t="n">
        <v>0</v>
      </c>
      <c r="R772" s="2" t="inlineStr"/>
    </row>
    <row r="773" ht="15" customHeight="1">
      <c r="A773" t="inlineStr">
        <is>
          <t>A 59113-2025</t>
        </is>
      </c>
      <c r="B773" s="1" t="n">
        <v>45988.48623842592</v>
      </c>
      <c r="C773" s="1" t="n">
        <v>46083</v>
      </c>
      <c r="D773" t="inlineStr">
        <is>
          <t>VÄSTERBOTTENS LÄN</t>
        </is>
      </c>
      <c r="E773" t="inlineStr">
        <is>
          <t>UMEÅ</t>
        </is>
      </c>
      <c r="G773" t="n">
        <v>11.6</v>
      </c>
      <c r="H773" t="n">
        <v>0</v>
      </c>
      <c r="I773" t="n">
        <v>0</v>
      </c>
      <c r="J773" t="n">
        <v>0</v>
      </c>
      <c r="K773" t="n">
        <v>0</v>
      </c>
      <c r="L773" t="n">
        <v>0</v>
      </c>
      <c r="M773" t="n">
        <v>0</v>
      </c>
      <c r="N773" t="n">
        <v>0</v>
      </c>
      <c r="O773" t="n">
        <v>0</v>
      </c>
      <c r="P773" t="n">
        <v>0</v>
      </c>
      <c r="Q773" t="n">
        <v>0</v>
      </c>
      <c r="R773" s="2" t="inlineStr"/>
    </row>
    <row r="774" ht="15" customHeight="1">
      <c r="A774" t="inlineStr">
        <is>
          <t>A 5374-2022</t>
        </is>
      </c>
      <c r="B774" s="1" t="n">
        <v>44594.92151620371</v>
      </c>
      <c r="C774" s="1" t="n">
        <v>46083</v>
      </c>
      <c r="D774" t="inlineStr">
        <is>
          <t>VÄSTERBOTTENS LÄN</t>
        </is>
      </c>
      <c r="E774" t="inlineStr">
        <is>
          <t>UMEÅ</t>
        </is>
      </c>
      <c r="G774" t="n">
        <v>4.6</v>
      </c>
      <c r="H774" t="n">
        <v>0</v>
      </c>
      <c r="I774" t="n">
        <v>0</v>
      </c>
      <c r="J774" t="n">
        <v>0</v>
      </c>
      <c r="K774" t="n">
        <v>0</v>
      </c>
      <c r="L774" t="n">
        <v>0</v>
      </c>
      <c r="M774" t="n">
        <v>0</v>
      </c>
      <c r="N774" t="n">
        <v>0</v>
      </c>
      <c r="O774" t="n">
        <v>0</v>
      </c>
      <c r="P774" t="n">
        <v>0</v>
      </c>
      <c r="Q774" t="n">
        <v>0</v>
      </c>
      <c r="R774" s="2" t="inlineStr"/>
    </row>
    <row r="775" ht="15" customHeight="1">
      <c r="A775" t="inlineStr">
        <is>
          <t>A 47171-2024</t>
        </is>
      </c>
      <c r="B775" s="1" t="n">
        <v>45586</v>
      </c>
      <c r="C775" s="1" t="n">
        <v>46083</v>
      </c>
      <c r="D775" t="inlineStr">
        <is>
          <t>VÄSTERBOTTENS LÄN</t>
        </is>
      </c>
      <c r="E775" t="inlineStr">
        <is>
          <t>UMEÅ</t>
        </is>
      </c>
      <c r="F775" t="inlineStr">
        <is>
          <t>Holmen skog AB</t>
        </is>
      </c>
      <c r="G775" t="n">
        <v>5.2</v>
      </c>
      <c r="H775" t="n">
        <v>0</v>
      </c>
      <c r="I775" t="n">
        <v>0</v>
      </c>
      <c r="J775" t="n">
        <v>0</v>
      </c>
      <c r="K775" t="n">
        <v>0</v>
      </c>
      <c r="L775" t="n">
        <v>0</v>
      </c>
      <c r="M775" t="n">
        <v>0</v>
      </c>
      <c r="N775" t="n">
        <v>0</v>
      </c>
      <c r="O775" t="n">
        <v>0</v>
      </c>
      <c r="P775" t="n">
        <v>0</v>
      </c>
      <c r="Q775" t="n">
        <v>0</v>
      </c>
      <c r="R775" s="2" t="inlineStr"/>
    </row>
    <row r="776" ht="15" customHeight="1">
      <c r="A776" t="inlineStr">
        <is>
          <t>A 11109-2022</t>
        </is>
      </c>
      <c r="B776" s="1" t="n">
        <v>44628.92515046296</v>
      </c>
      <c r="C776" s="1" t="n">
        <v>46083</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59115-2025</t>
        </is>
      </c>
      <c r="B777" s="1" t="n">
        <v>45988.48995370371</v>
      </c>
      <c r="C777" s="1" t="n">
        <v>46083</v>
      </c>
      <c r="D777" t="inlineStr">
        <is>
          <t>VÄSTERBOTTENS LÄN</t>
        </is>
      </c>
      <c r="E777" t="inlineStr">
        <is>
          <t>UMEÅ</t>
        </is>
      </c>
      <c r="G777" t="n">
        <v>2.4</v>
      </c>
      <c r="H777" t="n">
        <v>0</v>
      </c>
      <c r="I777" t="n">
        <v>0</v>
      </c>
      <c r="J777" t="n">
        <v>0</v>
      </c>
      <c r="K777" t="n">
        <v>0</v>
      </c>
      <c r="L777" t="n">
        <v>0</v>
      </c>
      <c r="M777" t="n">
        <v>0</v>
      </c>
      <c r="N777" t="n">
        <v>0</v>
      </c>
      <c r="O777" t="n">
        <v>0</v>
      </c>
      <c r="P777" t="n">
        <v>0</v>
      </c>
      <c r="Q777" t="n">
        <v>0</v>
      </c>
      <c r="R777" s="2" t="inlineStr"/>
    </row>
    <row r="778" ht="15" customHeight="1">
      <c r="A778" t="inlineStr">
        <is>
          <t>A 59168-2025</t>
        </is>
      </c>
      <c r="B778" s="1" t="n">
        <v>45988</v>
      </c>
      <c r="C778" s="1" t="n">
        <v>46083</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60179-2024</t>
        </is>
      </c>
      <c r="B779" s="1" t="n">
        <v>45642.63862268518</v>
      </c>
      <c r="C779" s="1" t="n">
        <v>46083</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16330-2023</t>
        </is>
      </c>
      <c r="B780" s="1" t="n">
        <v>45028</v>
      </c>
      <c r="C780" s="1" t="n">
        <v>46083</v>
      </c>
      <c r="D780" t="inlineStr">
        <is>
          <t>VÄSTERBOTTENS LÄN</t>
        </is>
      </c>
      <c r="E780" t="inlineStr">
        <is>
          <t>UMEÅ</t>
        </is>
      </c>
      <c r="F780" t="inlineStr">
        <is>
          <t>Holmen skog AB</t>
        </is>
      </c>
      <c r="G780" t="n">
        <v>3.7</v>
      </c>
      <c r="H780" t="n">
        <v>0</v>
      </c>
      <c r="I780" t="n">
        <v>0</v>
      </c>
      <c r="J780" t="n">
        <v>0</v>
      </c>
      <c r="K780" t="n">
        <v>0</v>
      </c>
      <c r="L780" t="n">
        <v>0</v>
      </c>
      <c r="M780" t="n">
        <v>0</v>
      </c>
      <c r="N780" t="n">
        <v>0</v>
      </c>
      <c r="O780" t="n">
        <v>0</v>
      </c>
      <c r="P780" t="n">
        <v>0</v>
      </c>
      <c r="Q780" t="n">
        <v>0</v>
      </c>
      <c r="R780" s="2" t="inlineStr"/>
    </row>
    <row r="781" ht="15" customHeight="1">
      <c r="A781" t="inlineStr">
        <is>
          <t>A 46849-2023</t>
        </is>
      </c>
      <c r="B781" s="1" t="n">
        <v>45199.87405092592</v>
      </c>
      <c r="C781" s="1" t="n">
        <v>46083</v>
      </c>
      <c r="D781" t="inlineStr">
        <is>
          <t>VÄSTERBOTTENS LÄN</t>
        </is>
      </c>
      <c r="E781" t="inlineStr">
        <is>
          <t>UMEÅ</t>
        </is>
      </c>
      <c r="G781" t="n">
        <v>1.6</v>
      </c>
      <c r="H781" t="n">
        <v>0</v>
      </c>
      <c r="I781" t="n">
        <v>0</v>
      </c>
      <c r="J781" t="n">
        <v>0</v>
      </c>
      <c r="K781" t="n">
        <v>0</v>
      </c>
      <c r="L781" t="n">
        <v>0</v>
      </c>
      <c r="M781" t="n">
        <v>0</v>
      </c>
      <c r="N781" t="n">
        <v>0</v>
      </c>
      <c r="O781" t="n">
        <v>0</v>
      </c>
      <c r="P781" t="n">
        <v>0</v>
      </c>
      <c r="Q781" t="n">
        <v>0</v>
      </c>
      <c r="R781" s="2" t="inlineStr"/>
    </row>
    <row r="782" ht="15" customHeight="1">
      <c r="A782" t="inlineStr">
        <is>
          <t>A 59344-2025</t>
        </is>
      </c>
      <c r="B782" s="1" t="n">
        <v>45989.39167824074</v>
      </c>
      <c r="C782" s="1" t="n">
        <v>46083</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59734-2025</t>
        </is>
      </c>
      <c r="B783" s="1" t="n">
        <v>45992.57311342593</v>
      </c>
      <c r="C783" s="1" t="n">
        <v>46083</v>
      </c>
      <c r="D783" t="inlineStr">
        <is>
          <t>VÄSTERBOTTENS LÄN</t>
        </is>
      </c>
      <c r="E783" t="inlineStr">
        <is>
          <t>UMEÅ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46083</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59753-2025</t>
        </is>
      </c>
      <c r="B785" s="1" t="n">
        <v>45992.58590277778</v>
      </c>
      <c r="C785" s="1" t="n">
        <v>46083</v>
      </c>
      <c r="D785" t="inlineStr">
        <is>
          <t>VÄSTERBOTTENS LÄN</t>
        </is>
      </c>
      <c r="E785" t="inlineStr">
        <is>
          <t>UMEÅ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59760-2025</t>
        </is>
      </c>
      <c r="B786" s="1" t="n">
        <v>45992.59212962963</v>
      </c>
      <c r="C786" s="1" t="n">
        <v>46083</v>
      </c>
      <c r="D786" t="inlineStr">
        <is>
          <t>VÄSTERBOTTENS LÄN</t>
        </is>
      </c>
      <c r="E786" t="inlineStr">
        <is>
          <t>UMEÅ</t>
        </is>
      </c>
      <c r="G786" t="n">
        <v>2.6</v>
      </c>
      <c r="H786" t="n">
        <v>0</v>
      </c>
      <c r="I786" t="n">
        <v>0</v>
      </c>
      <c r="J786" t="n">
        <v>0</v>
      </c>
      <c r="K786" t="n">
        <v>0</v>
      </c>
      <c r="L786" t="n">
        <v>0</v>
      </c>
      <c r="M786" t="n">
        <v>0</v>
      </c>
      <c r="N786" t="n">
        <v>0</v>
      </c>
      <c r="O786" t="n">
        <v>0</v>
      </c>
      <c r="P786" t="n">
        <v>0</v>
      </c>
      <c r="Q786" t="n">
        <v>0</v>
      </c>
      <c r="R786" s="2" t="inlineStr"/>
    </row>
    <row r="787" ht="15" customHeight="1">
      <c r="A787" t="inlineStr">
        <is>
          <t>A 22000-2023</t>
        </is>
      </c>
      <c r="B787" s="1" t="n">
        <v>45068.92700231481</v>
      </c>
      <c r="C787" s="1" t="n">
        <v>46083</v>
      </c>
      <c r="D787" t="inlineStr">
        <is>
          <t>VÄSTERBOTTENS LÄN</t>
        </is>
      </c>
      <c r="E787" t="inlineStr">
        <is>
          <t>UMEÅ</t>
        </is>
      </c>
      <c r="G787" t="n">
        <v>4.4</v>
      </c>
      <c r="H787" t="n">
        <v>0</v>
      </c>
      <c r="I787" t="n">
        <v>0</v>
      </c>
      <c r="J787" t="n">
        <v>0</v>
      </c>
      <c r="K787" t="n">
        <v>0</v>
      </c>
      <c r="L787" t="n">
        <v>0</v>
      </c>
      <c r="M787" t="n">
        <v>0</v>
      </c>
      <c r="N787" t="n">
        <v>0</v>
      </c>
      <c r="O787" t="n">
        <v>0</v>
      </c>
      <c r="P787" t="n">
        <v>0</v>
      </c>
      <c r="Q787" t="n">
        <v>0</v>
      </c>
      <c r="R787" s="2" t="inlineStr"/>
    </row>
    <row r="788" ht="15" customHeight="1">
      <c r="A788" t="inlineStr">
        <is>
          <t>A 2148-2024</t>
        </is>
      </c>
      <c r="B788" s="1" t="n">
        <v>45309</v>
      </c>
      <c r="C788" s="1" t="n">
        <v>46083</v>
      </c>
      <c r="D788" t="inlineStr">
        <is>
          <t>VÄSTERBOTTENS LÄN</t>
        </is>
      </c>
      <c r="E788" t="inlineStr">
        <is>
          <t>UMEÅ</t>
        </is>
      </c>
      <c r="G788" t="n">
        <v>2.9</v>
      </c>
      <c r="H788" t="n">
        <v>0</v>
      </c>
      <c r="I788" t="n">
        <v>0</v>
      </c>
      <c r="J788" t="n">
        <v>0</v>
      </c>
      <c r="K788" t="n">
        <v>0</v>
      </c>
      <c r="L788" t="n">
        <v>0</v>
      </c>
      <c r="M788" t="n">
        <v>0</v>
      </c>
      <c r="N788" t="n">
        <v>0</v>
      </c>
      <c r="O788" t="n">
        <v>0</v>
      </c>
      <c r="P788" t="n">
        <v>0</v>
      </c>
      <c r="Q788" t="n">
        <v>0</v>
      </c>
      <c r="R788" s="2" t="inlineStr"/>
    </row>
    <row r="789" ht="15" customHeight="1">
      <c r="A789" t="inlineStr">
        <is>
          <t>A 60039-2025</t>
        </is>
      </c>
      <c r="B789" s="1" t="n">
        <v>45993.62074074074</v>
      </c>
      <c r="C789" s="1" t="n">
        <v>46083</v>
      </c>
      <c r="D789" t="inlineStr">
        <is>
          <t>VÄSTERBOTTENS LÄN</t>
        </is>
      </c>
      <c r="E789" t="inlineStr">
        <is>
          <t>UMEÅ</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59982-2025</t>
        </is>
      </c>
      <c r="B790" s="1" t="n">
        <v>45993.53934027778</v>
      </c>
      <c r="C790" s="1" t="n">
        <v>46083</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60074-2025</t>
        </is>
      </c>
      <c r="B791" s="1" t="n">
        <v>45993.67747685185</v>
      </c>
      <c r="C791" s="1" t="n">
        <v>46083</v>
      </c>
      <c r="D791" t="inlineStr">
        <is>
          <t>VÄSTERBOTTENS LÄN</t>
        </is>
      </c>
      <c r="E791" t="inlineStr">
        <is>
          <t>UMEÅ</t>
        </is>
      </c>
      <c r="G791" t="n">
        <v>9.9</v>
      </c>
      <c r="H791" t="n">
        <v>0</v>
      </c>
      <c r="I791" t="n">
        <v>0</v>
      </c>
      <c r="J791" t="n">
        <v>0</v>
      </c>
      <c r="K791" t="n">
        <v>0</v>
      </c>
      <c r="L791" t="n">
        <v>0</v>
      </c>
      <c r="M791" t="n">
        <v>0</v>
      </c>
      <c r="N791" t="n">
        <v>0</v>
      </c>
      <c r="O791" t="n">
        <v>0</v>
      </c>
      <c r="P791" t="n">
        <v>0</v>
      </c>
      <c r="Q791" t="n">
        <v>0</v>
      </c>
      <c r="R791" s="2" t="inlineStr"/>
    </row>
    <row r="792" ht="15" customHeight="1">
      <c r="A792" t="inlineStr">
        <is>
          <t>A 73537-2021</t>
        </is>
      </c>
      <c r="B792" s="1" t="n">
        <v>44550</v>
      </c>
      <c r="C792" s="1" t="n">
        <v>46083</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19200-2023</t>
        </is>
      </c>
      <c r="B793" s="1" t="n">
        <v>45048</v>
      </c>
      <c r="C793" s="1" t="n">
        <v>46083</v>
      </c>
      <c r="D793" t="inlineStr">
        <is>
          <t>VÄSTERBOTTENS LÄN</t>
        </is>
      </c>
      <c r="E793" t="inlineStr">
        <is>
          <t>UMEÅ</t>
        </is>
      </c>
      <c r="G793" t="n">
        <v>0.2</v>
      </c>
      <c r="H793" t="n">
        <v>0</v>
      </c>
      <c r="I793" t="n">
        <v>0</v>
      </c>
      <c r="J793" t="n">
        <v>0</v>
      </c>
      <c r="K793" t="n">
        <v>0</v>
      </c>
      <c r="L793" t="n">
        <v>0</v>
      </c>
      <c r="M793" t="n">
        <v>0</v>
      </c>
      <c r="N793" t="n">
        <v>0</v>
      </c>
      <c r="O793" t="n">
        <v>0</v>
      </c>
      <c r="P793" t="n">
        <v>0</v>
      </c>
      <c r="Q793" t="n">
        <v>0</v>
      </c>
      <c r="R793" s="2" t="inlineStr"/>
    </row>
    <row r="794" ht="15" customHeight="1">
      <c r="A794" t="inlineStr">
        <is>
          <t>A 60088-2025</t>
        </is>
      </c>
      <c r="B794" s="1" t="n">
        <v>45993.71936342592</v>
      </c>
      <c r="C794" s="1" t="n">
        <v>46083</v>
      </c>
      <c r="D794" t="inlineStr">
        <is>
          <t>VÄSTERBOTTENS LÄN</t>
        </is>
      </c>
      <c r="E794" t="inlineStr">
        <is>
          <t>UMEÅ</t>
        </is>
      </c>
      <c r="G794" t="n">
        <v>1.5</v>
      </c>
      <c r="H794" t="n">
        <v>0</v>
      </c>
      <c r="I794" t="n">
        <v>0</v>
      </c>
      <c r="J794" t="n">
        <v>0</v>
      </c>
      <c r="K794" t="n">
        <v>0</v>
      </c>
      <c r="L794" t="n">
        <v>0</v>
      </c>
      <c r="M794" t="n">
        <v>0</v>
      </c>
      <c r="N794" t="n">
        <v>0</v>
      </c>
      <c r="O794" t="n">
        <v>0</v>
      </c>
      <c r="P794" t="n">
        <v>0</v>
      </c>
      <c r="Q794" t="n">
        <v>0</v>
      </c>
      <c r="R794" s="2" t="inlineStr"/>
    </row>
    <row r="795" ht="15" customHeight="1">
      <c r="A795" t="inlineStr">
        <is>
          <t>A 26617-2024</t>
        </is>
      </c>
      <c r="B795" s="1" t="n">
        <v>45469.73981481481</v>
      </c>
      <c r="C795" s="1" t="n">
        <v>46083</v>
      </c>
      <c r="D795" t="inlineStr">
        <is>
          <t>VÄSTERBOTTENS LÄN</t>
        </is>
      </c>
      <c r="E795" t="inlineStr">
        <is>
          <t>UMEÅ</t>
        </is>
      </c>
      <c r="F795" t="inlineStr">
        <is>
          <t>Holmen skog AB</t>
        </is>
      </c>
      <c r="G795" t="n">
        <v>6.2</v>
      </c>
      <c r="H795" t="n">
        <v>0</v>
      </c>
      <c r="I795" t="n">
        <v>0</v>
      </c>
      <c r="J795" t="n">
        <v>0</v>
      </c>
      <c r="K795" t="n">
        <v>0</v>
      </c>
      <c r="L795" t="n">
        <v>0</v>
      </c>
      <c r="M795" t="n">
        <v>0</v>
      </c>
      <c r="N795" t="n">
        <v>0</v>
      </c>
      <c r="O795" t="n">
        <v>0</v>
      </c>
      <c r="P795" t="n">
        <v>0</v>
      </c>
      <c r="Q795" t="n">
        <v>0</v>
      </c>
      <c r="R795" s="2" t="inlineStr"/>
    </row>
    <row r="796" ht="15" customHeight="1">
      <c r="A796" t="inlineStr">
        <is>
          <t>A 3371-2026</t>
        </is>
      </c>
      <c r="B796" s="1" t="n">
        <v>46042.34534722222</v>
      </c>
      <c r="C796" s="1" t="n">
        <v>46083</v>
      </c>
      <c r="D796" t="inlineStr">
        <is>
          <t>VÄSTERBOTTENS LÄN</t>
        </is>
      </c>
      <c r="E796" t="inlineStr">
        <is>
          <t>UMEÅ</t>
        </is>
      </c>
      <c r="F796" t="inlineStr">
        <is>
          <t>Holmen skog AB</t>
        </is>
      </c>
      <c r="G796" t="n">
        <v>3.9</v>
      </c>
      <c r="H796" t="n">
        <v>0</v>
      </c>
      <c r="I796" t="n">
        <v>0</v>
      </c>
      <c r="J796" t="n">
        <v>0</v>
      </c>
      <c r="K796" t="n">
        <v>0</v>
      </c>
      <c r="L796" t="n">
        <v>0</v>
      </c>
      <c r="M796" t="n">
        <v>0</v>
      </c>
      <c r="N796" t="n">
        <v>0</v>
      </c>
      <c r="O796" t="n">
        <v>0</v>
      </c>
      <c r="P796" t="n">
        <v>0</v>
      </c>
      <c r="Q796" t="n">
        <v>0</v>
      </c>
      <c r="R796" s="2" t="inlineStr"/>
    </row>
    <row r="797" ht="15" customHeight="1">
      <c r="A797" t="inlineStr">
        <is>
          <t>A 61218-2025</t>
        </is>
      </c>
      <c r="B797" s="1" t="n">
        <v>46000.6234837963</v>
      </c>
      <c r="C797" s="1" t="n">
        <v>46083</v>
      </c>
      <c r="D797" t="inlineStr">
        <is>
          <t>VÄSTERBOTTENS LÄN</t>
        </is>
      </c>
      <c r="E797" t="inlineStr">
        <is>
          <t>UMEÅ</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61604-2024</t>
        </is>
      </c>
      <c r="B798" s="1" t="n">
        <v>45646.64148148148</v>
      </c>
      <c r="C798" s="1" t="n">
        <v>46083</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60808-2025</t>
        </is>
      </c>
      <c r="B799" s="1" t="n">
        <v>45999.43951388889</v>
      </c>
      <c r="C799" s="1" t="n">
        <v>46083</v>
      </c>
      <c r="D799" t="inlineStr">
        <is>
          <t>VÄSTERBOTTENS LÄN</t>
        </is>
      </c>
      <c r="E799" t="inlineStr">
        <is>
          <t>UMEÅ</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60798-2025</t>
        </is>
      </c>
      <c r="B800" s="1" t="n">
        <v>45999.42503472222</v>
      </c>
      <c r="C800" s="1" t="n">
        <v>46083</v>
      </c>
      <c r="D800" t="inlineStr">
        <is>
          <t>VÄSTERBOTTENS LÄN</t>
        </is>
      </c>
      <c r="E800" t="inlineStr">
        <is>
          <t>UMEÅ</t>
        </is>
      </c>
      <c r="G800" t="n">
        <v>4</v>
      </c>
      <c r="H800" t="n">
        <v>0</v>
      </c>
      <c r="I800" t="n">
        <v>0</v>
      </c>
      <c r="J800" t="n">
        <v>0</v>
      </c>
      <c r="K800" t="n">
        <v>0</v>
      </c>
      <c r="L800" t="n">
        <v>0</v>
      </c>
      <c r="M800" t="n">
        <v>0</v>
      </c>
      <c r="N800" t="n">
        <v>0</v>
      </c>
      <c r="O800" t="n">
        <v>0</v>
      </c>
      <c r="P800" t="n">
        <v>0</v>
      </c>
      <c r="Q800" t="n">
        <v>0</v>
      </c>
      <c r="R800" s="2" t="inlineStr"/>
    </row>
    <row r="801" ht="15" customHeight="1">
      <c r="A801" t="inlineStr">
        <is>
          <t>A 8716-2024</t>
        </is>
      </c>
      <c r="B801" s="1" t="n">
        <v>45356</v>
      </c>
      <c r="C801" s="1" t="n">
        <v>46083</v>
      </c>
      <c r="D801" t="inlineStr">
        <is>
          <t>VÄSTERBOTTENS LÄN</t>
        </is>
      </c>
      <c r="E801" t="inlineStr">
        <is>
          <t>UMEÅ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8717-2024</t>
        </is>
      </c>
      <c r="B802" s="1" t="n">
        <v>45356.4062962963</v>
      </c>
      <c r="C802" s="1" t="n">
        <v>46083</v>
      </c>
      <c r="D802" t="inlineStr">
        <is>
          <t>VÄSTERBOTTENS LÄN</t>
        </is>
      </c>
      <c r="E802" t="inlineStr">
        <is>
          <t>UMEÅ</t>
        </is>
      </c>
      <c r="G802" t="n">
        <v>2.8</v>
      </c>
      <c r="H802" t="n">
        <v>0</v>
      </c>
      <c r="I802" t="n">
        <v>0</v>
      </c>
      <c r="J802" t="n">
        <v>0</v>
      </c>
      <c r="K802" t="n">
        <v>0</v>
      </c>
      <c r="L802" t="n">
        <v>0</v>
      </c>
      <c r="M802" t="n">
        <v>0</v>
      </c>
      <c r="N802" t="n">
        <v>0</v>
      </c>
      <c r="O802" t="n">
        <v>0</v>
      </c>
      <c r="P802" t="n">
        <v>0</v>
      </c>
      <c r="Q802" t="n">
        <v>0</v>
      </c>
      <c r="R802" s="2" t="inlineStr"/>
    </row>
    <row r="803" ht="15" customHeight="1">
      <c r="A803" t="inlineStr">
        <is>
          <t>A 2767-2025</t>
        </is>
      </c>
      <c r="B803" s="1" t="n">
        <v>45677</v>
      </c>
      <c r="C803" s="1" t="n">
        <v>46083</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61214-2025</t>
        </is>
      </c>
      <c r="B804" s="1" t="n">
        <v>46000.61884259259</v>
      </c>
      <c r="C804" s="1" t="n">
        <v>46083</v>
      </c>
      <c r="D804" t="inlineStr">
        <is>
          <t>VÄSTERBOTTENS LÄN</t>
        </is>
      </c>
      <c r="E804" t="inlineStr">
        <is>
          <t>UMEÅ</t>
        </is>
      </c>
      <c r="G804" t="n">
        <v>5.9</v>
      </c>
      <c r="H804" t="n">
        <v>0</v>
      </c>
      <c r="I804" t="n">
        <v>0</v>
      </c>
      <c r="J804" t="n">
        <v>0</v>
      </c>
      <c r="K804" t="n">
        <v>0</v>
      </c>
      <c r="L804" t="n">
        <v>0</v>
      </c>
      <c r="M804" t="n">
        <v>0</v>
      </c>
      <c r="N804" t="n">
        <v>0</v>
      </c>
      <c r="O804" t="n">
        <v>0</v>
      </c>
      <c r="P804" t="n">
        <v>0</v>
      </c>
      <c r="Q804" t="n">
        <v>0</v>
      </c>
      <c r="R804" s="2" t="inlineStr"/>
    </row>
    <row r="805" ht="15" customHeight="1">
      <c r="A805" t="inlineStr">
        <is>
          <t>A 43649-2024</t>
        </is>
      </c>
      <c r="B805" s="1" t="n">
        <v>45569.53054398148</v>
      </c>
      <c r="C805" s="1" t="n">
        <v>46083</v>
      </c>
      <c r="D805" t="inlineStr">
        <is>
          <t>VÄSTERBOTTENS LÄN</t>
        </is>
      </c>
      <c r="E805" t="inlineStr">
        <is>
          <t>UMEÅ</t>
        </is>
      </c>
      <c r="F805" t="inlineStr">
        <is>
          <t>Kommuner</t>
        </is>
      </c>
      <c r="G805" t="n">
        <v>4.3</v>
      </c>
      <c r="H805" t="n">
        <v>0</v>
      </c>
      <c r="I805" t="n">
        <v>0</v>
      </c>
      <c r="J805" t="n">
        <v>0</v>
      </c>
      <c r="K805" t="n">
        <v>0</v>
      </c>
      <c r="L805" t="n">
        <v>0</v>
      </c>
      <c r="M805" t="n">
        <v>0</v>
      </c>
      <c r="N805" t="n">
        <v>0</v>
      </c>
      <c r="O805" t="n">
        <v>0</v>
      </c>
      <c r="P805" t="n">
        <v>0</v>
      </c>
      <c r="Q805" t="n">
        <v>0</v>
      </c>
      <c r="R805" s="2" t="inlineStr"/>
    </row>
    <row r="806" ht="15" customHeight="1">
      <c r="A806" t="inlineStr">
        <is>
          <t>A 3215-2026</t>
        </is>
      </c>
      <c r="B806" s="1" t="n">
        <v>46041.50340277778</v>
      </c>
      <c r="C806" s="1" t="n">
        <v>46083</v>
      </c>
      <c r="D806" t="inlineStr">
        <is>
          <t>VÄSTERBOTTENS LÄN</t>
        </is>
      </c>
      <c r="E806" t="inlineStr">
        <is>
          <t>UMEÅ</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44166-2024</t>
        </is>
      </c>
      <c r="B807" s="1" t="n">
        <v>45572.73465277778</v>
      </c>
      <c r="C807" s="1" t="n">
        <v>46083</v>
      </c>
      <c r="D807" t="inlineStr">
        <is>
          <t>VÄSTERBOTTENS LÄN</t>
        </is>
      </c>
      <c r="E807" t="inlineStr">
        <is>
          <t>UMEÅ</t>
        </is>
      </c>
      <c r="G807" t="n">
        <v>3.2</v>
      </c>
      <c r="H807" t="n">
        <v>0</v>
      </c>
      <c r="I807" t="n">
        <v>0</v>
      </c>
      <c r="J807" t="n">
        <v>0</v>
      </c>
      <c r="K807" t="n">
        <v>0</v>
      </c>
      <c r="L807" t="n">
        <v>0</v>
      </c>
      <c r="M807" t="n">
        <v>0</v>
      </c>
      <c r="N807" t="n">
        <v>0</v>
      </c>
      <c r="O807" t="n">
        <v>0</v>
      </c>
      <c r="P807" t="n">
        <v>0</v>
      </c>
      <c r="Q807" t="n">
        <v>0</v>
      </c>
      <c r="R807" s="2" t="inlineStr"/>
    </row>
    <row r="808" ht="15" customHeight="1">
      <c r="A808" t="inlineStr">
        <is>
          <t>A 32282-2024</t>
        </is>
      </c>
      <c r="B808" s="1" t="n">
        <v>45512</v>
      </c>
      <c r="C808" s="1" t="n">
        <v>46083</v>
      </c>
      <c r="D808" t="inlineStr">
        <is>
          <t>VÄSTERBOTTENS LÄN</t>
        </is>
      </c>
      <c r="E808" t="inlineStr">
        <is>
          <t>UMEÅ</t>
        </is>
      </c>
      <c r="G808" t="n">
        <v>9.5</v>
      </c>
      <c r="H808" t="n">
        <v>0</v>
      </c>
      <c r="I808" t="n">
        <v>0</v>
      </c>
      <c r="J808" t="n">
        <v>0</v>
      </c>
      <c r="K808" t="n">
        <v>0</v>
      </c>
      <c r="L808" t="n">
        <v>0</v>
      </c>
      <c r="M808" t="n">
        <v>0</v>
      </c>
      <c r="N808" t="n">
        <v>0</v>
      </c>
      <c r="O808" t="n">
        <v>0</v>
      </c>
      <c r="P808" t="n">
        <v>0</v>
      </c>
      <c r="Q808" t="n">
        <v>0</v>
      </c>
      <c r="R808" s="2" t="inlineStr"/>
    </row>
    <row r="809" ht="15" customHeight="1">
      <c r="A809" t="inlineStr">
        <is>
          <t>A 13822-2025</t>
        </is>
      </c>
      <c r="B809" s="1" t="n">
        <v>45737.53160879629</v>
      </c>
      <c r="C809" s="1" t="n">
        <v>46083</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61241-2025</t>
        </is>
      </c>
      <c r="B810" s="1" t="n">
        <v>46000.65633101852</v>
      </c>
      <c r="C810" s="1" t="n">
        <v>46083</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61243-2025</t>
        </is>
      </c>
      <c r="B811" s="1" t="n">
        <v>46000.65924768519</v>
      </c>
      <c r="C811" s="1" t="n">
        <v>46083</v>
      </c>
      <c r="D811" t="inlineStr">
        <is>
          <t>VÄSTERBOTTENS LÄN</t>
        </is>
      </c>
      <c r="E811" t="inlineStr">
        <is>
          <t>UMEÅ</t>
        </is>
      </c>
      <c r="G811" t="n">
        <v>2.6</v>
      </c>
      <c r="H811" t="n">
        <v>0</v>
      </c>
      <c r="I811" t="n">
        <v>0</v>
      </c>
      <c r="J811" t="n">
        <v>0</v>
      </c>
      <c r="K811" t="n">
        <v>0</v>
      </c>
      <c r="L811" t="n">
        <v>0</v>
      </c>
      <c r="M811" t="n">
        <v>0</v>
      </c>
      <c r="N811" t="n">
        <v>0</v>
      </c>
      <c r="O811" t="n">
        <v>0</v>
      </c>
      <c r="P811" t="n">
        <v>0</v>
      </c>
      <c r="Q811" t="n">
        <v>0</v>
      </c>
      <c r="R811" s="2" t="inlineStr"/>
    </row>
    <row r="812" ht="15" customHeight="1">
      <c r="A812" t="inlineStr">
        <is>
          <t>A 26967-2023</t>
        </is>
      </c>
      <c r="B812" s="1" t="n">
        <v>45091</v>
      </c>
      <c r="C812" s="1" t="n">
        <v>46083</v>
      </c>
      <c r="D812" t="inlineStr">
        <is>
          <t>VÄSTERBOTTENS LÄN</t>
        </is>
      </c>
      <c r="E812" t="inlineStr">
        <is>
          <t>UMEÅ</t>
        </is>
      </c>
      <c r="G812" t="n">
        <v>1.6</v>
      </c>
      <c r="H812" t="n">
        <v>0</v>
      </c>
      <c r="I812" t="n">
        <v>0</v>
      </c>
      <c r="J812" t="n">
        <v>0</v>
      </c>
      <c r="K812" t="n">
        <v>0</v>
      </c>
      <c r="L812" t="n">
        <v>0</v>
      </c>
      <c r="M812" t="n">
        <v>0</v>
      </c>
      <c r="N812" t="n">
        <v>0</v>
      </c>
      <c r="O812" t="n">
        <v>0</v>
      </c>
      <c r="P812" t="n">
        <v>0</v>
      </c>
      <c r="Q812" t="n">
        <v>0</v>
      </c>
      <c r="R812" s="2" t="inlineStr"/>
    </row>
    <row r="813" ht="15" customHeight="1">
      <c r="A813" t="inlineStr">
        <is>
          <t>A 13190-2025</t>
        </is>
      </c>
      <c r="B813" s="1" t="n">
        <v>45735.39761574074</v>
      </c>
      <c r="C813" s="1" t="n">
        <v>46083</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13197-2025</t>
        </is>
      </c>
      <c r="B814" s="1" t="n">
        <v>45735</v>
      </c>
      <c r="C814" s="1" t="n">
        <v>46083</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61448-2025</t>
        </is>
      </c>
      <c r="B815" s="1" t="n">
        <v>46001.57563657407</v>
      </c>
      <c r="C815" s="1" t="n">
        <v>46083</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3969-2026</t>
        </is>
      </c>
      <c r="B816" s="1" t="n">
        <v>46044.35217592592</v>
      </c>
      <c r="C816" s="1" t="n">
        <v>46083</v>
      </c>
      <c r="D816" t="inlineStr">
        <is>
          <t>VÄSTERBOTTENS LÄN</t>
        </is>
      </c>
      <c r="E816" t="inlineStr">
        <is>
          <t>UMEÅ</t>
        </is>
      </c>
      <c r="G816" t="n">
        <v>2.8</v>
      </c>
      <c r="H816" t="n">
        <v>0</v>
      </c>
      <c r="I816" t="n">
        <v>0</v>
      </c>
      <c r="J816" t="n">
        <v>0</v>
      </c>
      <c r="K816" t="n">
        <v>0</v>
      </c>
      <c r="L816" t="n">
        <v>0</v>
      </c>
      <c r="M816" t="n">
        <v>0</v>
      </c>
      <c r="N816" t="n">
        <v>0</v>
      </c>
      <c r="O816" t="n">
        <v>0</v>
      </c>
      <c r="P816" t="n">
        <v>0</v>
      </c>
      <c r="Q816" t="n">
        <v>0</v>
      </c>
      <c r="R816" s="2" t="inlineStr"/>
    </row>
    <row r="817" ht="15" customHeight="1">
      <c r="A817" t="inlineStr">
        <is>
          <t>A 3957-2026</t>
        </is>
      </c>
      <c r="B817" s="1" t="n">
        <v>46044.33671296296</v>
      </c>
      <c r="C817" s="1" t="n">
        <v>46083</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3964-2026</t>
        </is>
      </c>
      <c r="B818" s="1" t="n">
        <v>46044.34483796296</v>
      </c>
      <c r="C818" s="1" t="n">
        <v>46083</v>
      </c>
      <c r="D818" t="inlineStr">
        <is>
          <t>VÄSTERBOTTENS LÄN</t>
        </is>
      </c>
      <c r="E818" t="inlineStr">
        <is>
          <t>UMEÅ</t>
        </is>
      </c>
      <c r="G818" t="n">
        <v>2.6</v>
      </c>
      <c r="H818" t="n">
        <v>0</v>
      </c>
      <c r="I818" t="n">
        <v>0</v>
      </c>
      <c r="J818" t="n">
        <v>0</v>
      </c>
      <c r="K818" t="n">
        <v>0</v>
      </c>
      <c r="L818" t="n">
        <v>0</v>
      </c>
      <c r="M818" t="n">
        <v>0</v>
      </c>
      <c r="N818" t="n">
        <v>0</v>
      </c>
      <c r="O818" t="n">
        <v>0</v>
      </c>
      <c r="P818" t="n">
        <v>0</v>
      </c>
      <c r="Q818" t="n">
        <v>0</v>
      </c>
      <c r="R818" s="2" t="inlineStr"/>
    </row>
    <row r="819" ht="15" customHeight="1">
      <c r="A819" t="inlineStr">
        <is>
          <t>A 45603-2023</t>
        </is>
      </c>
      <c r="B819" s="1" t="n">
        <v>45194.64578703704</v>
      </c>
      <c r="C819" s="1" t="n">
        <v>46083</v>
      </c>
      <c r="D819" t="inlineStr">
        <is>
          <t>VÄSTERBOTTENS LÄN</t>
        </is>
      </c>
      <c r="E819" t="inlineStr">
        <is>
          <t>UMEÅ</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54439-2021</t>
        </is>
      </c>
      <c r="B820" s="1" t="n">
        <v>44473</v>
      </c>
      <c r="C820" s="1" t="n">
        <v>46083</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5078-2025</t>
        </is>
      </c>
      <c r="B821" s="1" t="n">
        <v>45691.50020833333</v>
      </c>
      <c r="C821" s="1" t="n">
        <v>46083</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54354-2021</t>
        </is>
      </c>
      <c r="B822" s="1" t="n">
        <v>44473</v>
      </c>
      <c r="C822" s="1" t="n">
        <v>46083</v>
      </c>
      <c r="D822" t="inlineStr">
        <is>
          <t>VÄSTERBOTTENS LÄN</t>
        </is>
      </c>
      <c r="E822" t="inlineStr">
        <is>
          <t>UMEÅ</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3726-2026</t>
        </is>
      </c>
      <c r="B823" s="1" t="n">
        <v>46043.50471064815</v>
      </c>
      <c r="C823" s="1" t="n">
        <v>46083</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3972-2026</t>
        </is>
      </c>
      <c r="B824" s="1" t="n">
        <v>46044.3530787037</v>
      </c>
      <c r="C824" s="1" t="n">
        <v>46083</v>
      </c>
      <c r="D824" t="inlineStr">
        <is>
          <t>VÄSTERBOTTENS LÄN</t>
        </is>
      </c>
      <c r="E824" t="inlineStr">
        <is>
          <t>UMEÅ</t>
        </is>
      </c>
      <c r="G824" t="n">
        <v>1.7</v>
      </c>
      <c r="H824" t="n">
        <v>0</v>
      </c>
      <c r="I824" t="n">
        <v>0</v>
      </c>
      <c r="J824" t="n">
        <v>0</v>
      </c>
      <c r="K824" t="n">
        <v>0</v>
      </c>
      <c r="L824" t="n">
        <v>0</v>
      </c>
      <c r="M824" t="n">
        <v>0</v>
      </c>
      <c r="N824" t="n">
        <v>0</v>
      </c>
      <c r="O824" t="n">
        <v>0</v>
      </c>
      <c r="P824" t="n">
        <v>0</v>
      </c>
      <c r="Q824" t="n">
        <v>0</v>
      </c>
      <c r="R824" s="2" t="inlineStr"/>
    </row>
    <row r="825" ht="15" customHeight="1">
      <c r="A825" t="inlineStr">
        <is>
          <t>A 61223-2025</t>
        </is>
      </c>
      <c r="B825" s="1" t="n">
        <v>46000.62924768519</v>
      </c>
      <c r="C825" s="1" t="n">
        <v>46083</v>
      </c>
      <c r="D825" t="inlineStr">
        <is>
          <t>VÄSTERBOTTENS LÄN</t>
        </is>
      </c>
      <c r="E825" t="inlineStr">
        <is>
          <t>UMEÅ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8317-2025</t>
        </is>
      </c>
      <c r="B826" s="1" t="n">
        <v>45708</v>
      </c>
      <c r="C826" s="1" t="n">
        <v>46083</v>
      </c>
      <c r="D826" t="inlineStr">
        <is>
          <t>VÄSTERBOTTENS LÄN</t>
        </is>
      </c>
      <c r="E826" t="inlineStr">
        <is>
          <t>UMEÅ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16453-2024</t>
        </is>
      </c>
      <c r="B827" s="1" t="n">
        <v>45407</v>
      </c>
      <c r="C827" s="1" t="n">
        <v>46083</v>
      </c>
      <c r="D827" t="inlineStr">
        <is>
          <t>VÄSTERBOTTENS LÄN</t>
        </is>
      </c>
      <c r="E827" t="inlineStr">
        <is>
          <t>UMEÅ</t>
        </is>
      </c>
      <c r="G827" t="n">
        <v>2.8</v>
      </c>
      <c r="H827" t="n">
        <v>0</v>
      </c>
      <c r="I827" t="n">
        <v>0</v>
      </c>
      <c r="J827" t="n">
        <v>0</v>
      </c>
      <c r="K827" t="n">
        <v>0</v>
      </c>
      <c r="L827" t="n">
        <v>0</v>
      </c>
      <c r="M827" t="n">
        <v>0</v>
      </c>
      <c r="N827" t="n">
        <v>0</v>
      </c>
      <c r="O827" t="n">
        <v>0</v>
      </c>
      <c r="P827" t="n">
        <v>0</v>
      </c>
      <c r="Q827" t="n">
        <v>0</v>
      </c>
      <c r="R827" s="2" t="inlineStr"/>
    </row>
    <row r="828" ht="15" customHeight="1">
      <c r="A828" t="inlineStr">
        <is>
          <t>A 3966-2026</t>
        </is>
      </c>
      <c r="B828" s="1" t="n">
        <v>46044.34902777777</v>
      </c>
      <c r="C828" s="1" t="n">
        <v>46083</v>
      </c>
      <c r="D828" t="inlineStr">
        <is>
          <t>VÄSTERBOTTENS LÄN</t>
        </is>
      </c>
      <c r="E828" t="inlineStr">
        <is>
          <t>UMEÅ</t>
        </is>
      </c>
      <c r="G828" t="n">
        <v>1.4</v>
      </c>
      <c r="H828" t="n">
        <v>0</v>
      </c>
      <c r="I828" t="n">
        <v>0</v>
      </c>
      <c r="J828" t="n">
        <v>0</v>
      </c>
      <c r="K828" t="n">
        <v>0</v>
      </c>
      <c r="L828" t="n">
        <v>0</v>
      </c>
      <c r="M828" t="n">
        <v>0</v>
      </c>
      <c r="N828" t="n">
        <v>0</v>
      </c>
      <c r="O828" t="n">
        <v>0</v>
      </c>
      <c r="P828" t="n">
        <v>0</v>
      </c>
      <c r="Q828" t="n">
        <v>0</v>
      </c>
      <c r="R828" s="2" t="inlineStr"/>
    </row>
    <row r="829" ht="15" customHeight="1">
      <c r="A829" t="inlineStr">
        <is>
          <t>A 61458-2025</t>
        </is>
      </c>
      <c r="B829" s="1" t="n">
        <v>46001.59408564815</v>
      </c>
      <c r="C829" s="1" t="n">
        <v>46083</v>
      </c>
      <c r="D829" t="inlineStr">
        <is>
          <t>VÄSTERBOTTENS LÄN</t>
        </is>
      </c>
      <c r="E829" t="inlineStr">
        <is>
          <t>UMEÅ</t>
        </is>
      </c>
      <c r="G829" t="n">
        <v>1.9</v>
      </c>
      <c r="H829" t="n">
        <v>0</v>
      </c>
      <c r="I829" t="n">
        <v>0</v>
      </c>
      <c r="J829" t="n">
        <v>0</v>
      </c>
      <c r="K829" t="n">
        <v>0</v>
      </c>
      <c r="L829" t="n">
        <v>0</v>
      </c>
      <c r="M829" t="n">
        <v>0</v>
      </c>
      <c r="N829" t="n">
        <v>0</v>
      </c>
      <c r="O829" t="n">
        <v>0</v>
      </c>
      <c r="P829" t="n">
        <v>0</v>
      </c>
      <c r="Q829" t="n">
        <v>0</v>
      </c>
      <c r="R829" s="2" t="inlineStr"/>
    </row>
    <row r="830" ht="15" customHeight="1">
      <c r="A830" t="inlineStr">
        <is>
          <t>A 3829-2026</t>
        </is>
      </c>
      <c r="B830" s="1" t="n">
        <v>46043.58797453704</v>
      </c>
      <c r="C830" s="1" t="n">
        <v>46083</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46083</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34331-2024</t>
        </is>
      </c>
      <c r="B832" s="1" t="n">
        <v>45524</v>
      </c>
      <c r="C832" s="1" t="n">
        <v>46083</v>
      </c>
      <c r="D832" t="inlineStr">
        <is>
          <t>VÄSTERBOTTENS LÄN</t>
        </is>
      </c>
      <c r="E832" t="inlineStr">
        <is>
          <t>UMEÅ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62232-2025</t>
        </is>
      </c>
      <c r="B833" s="1" t="n">
        <v>46006.59313657408</v>
      </c>
      <c r="C833" s="1" t="n">
        <v>46083</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53731-2024</t>
        </is>
      </c>
      <c r="B834" s="1" t="n">
        <v>45615</v>
      </c>
      <c r="C834" s="1" t="n">
        <v>46083</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61872-2025</t>
        </is>
      </c>
      <c r="B835" s="1" t="n">
        <v>46003.40660879629</v>
      </c>
      <c r="C835" s="1" t="n">
        <v>46083</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39445-2023</t>
        </is>
      </c>
      <c r="B836" s="1" t="n">
        <v>45166</v>
      </c>
      <c r="C836" s="1" t="n">
        <v>46083</v>
      </c>
      <c r="D836" t="inlineStr">
        <is>
          <t>VÄSTERBOTTENS LÄN</t>
        </is>
      </c>
      <c r="E836" t="inlineStr">
        <is>
          <t>UMEÅ</t>
        </is>
      </c>
      <c r="G836" t="n">
        <v>33.4</v>
      </c>
      <c r="H836" t="n">
        <v>0</v>
      </c>
      <c r="I836" t="n">
        <v>0</v>
      </c>
      <c r="J836" t="n">
        <v>0</v>
      </c>
      <c r="K836" t="n">
        <v>0</v>
      </c>
      <c r="L836" t="n">
        <v>0</v>
      </c>
      <c r="M836" t="n">
        <v>0</v>
      </c>
      <c r="N836" t="n">
        <v>0</v>
      </c>
      <c r="O836" t="n">
        <v>0</v>
      </c>
      <c r="P836" t="n">
        <v>0</v>
      </c>
      <c r="Q836" t="n">
        <v>0</v>
      </c>
      <c r="R836" s="2" t="inlineStr"/>
    </row>
    <row r="837" ht="15" customHeight="1">
      <c r="A837" t="inlineStr">
        <is>
          <t>A 4362-2026</t>
        </is>
      </c>
      <c r="B837" s="1" t="n">
        <v>46045.54386574074</v>
      </c>
      <c r="C837" s="1" t="n">
        <v>46083</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62089-2025</t>
        </is>
      </c>
      <c r="B838" s="1" t="n">
        <v>46006.37834490741</v>
      </c>
      <c r="C838" s="1" t="n">
        <v>46083</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8184-2025</t>
        </is>
      </c>
      <c r="B839" s="1" t="n">
        <v>45708</v>
      </c>
      <c r="C839" s="1" t="n">
        <v>46083</v>
      </c>
      <c r="D839" t="inlineStr">
        <is>
          <t>VÄSTERBOTTENS LÄN</t>
        </is>
      </c>
      <c r="E839" t="inlineStr">
        <is>
          <t>UMEÅ</t>
        </is>
      </c>
      <c r="F839" t="inlineStr">
        <is>
          <t>Holmen skog AB</t>
        </is>
      </c>
      <c r="G839" t="n">
        <v>3</v>
      </c>
      <c r="H839" t="n">
        <v>0</v>
      </c>
      <c r="I839" t="n">
        <v>0</v>
      </c>
      <c r="J839" t="n">
        <v>0</v>
      </c>
      <c r="K839" t="n">
        <v>0</v>
      </c>
      <c r="L839" t="n">
        <v>0</v>
      </c>
      <c r="M839" t="n">
        <v>0</v>
      </c>
      <c r="N839" t="n">
        <v>0</v>
      </c>
      <c r="O839" t="n">
        <v>0</v>
      </c>
      <c r="P839" t="n">
        <v>0</v>
      </c>
      <c r="Q839" t="n">
        <v>0</v>
      </c>
      <c r="R839" s="2" t="inlineStr"/>
    </row>
    <row r="840" ht="15" customHeight="1">
      <c r="A840" t="inlineStr">
        <is>
          <t>A 8581-2025</t>
        </is>
      </c>
      <c r="B840" s="1" t="n">
        <v>45709.67219907408</v>
      </c>
      <c r="C840" s="1" t="n">
        <v>46083</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8584-2025</t>
        </is>
      </c>
      <c r="B841" s="1" t="n">
        <v>45709.67657407407</v>
      </c>
      <c r="C841" s="1" t="n">
        <v>46083</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8586-2025</t>
        </is>
      </c>
      <c r="B842" s="1" t="n">
        <v>45709.67998842592</v>
      </c>
      <c r="C842" s="1" t="n">
        <v>46083</v>
      </c>
      <c r="D842" t="inlineStr">
        <is>
          <t>VÄSTERBOTTENS LÄN</t>
        </is>
      </c>
      <c r="E842" t="inlineStr">
        <is>
          <t>UMEÅ</t>
        </is>
      </c>
      <c r="G842" t="n">
        <v>0.3</v>
      </c>
      <c r="H842" t="n">
        <v>0</v>
      </c>
      <c r="I842" t="n">
        <v>0</v>
      </c>
      <c r="J842" t="n">
        <v>0</v>
      </c>
      <c r="K842" t="n">
        <v>0</v>
      </c>
      <c r="L842" t="n">
        <v>0</v>
      </c>
      <c r="M842" t="n">
        <v>0</v>
      </c>
      <c r="N842" t="n">
        <v>0</v>
      </c>
      <c r="O842" t="n">
        <v>0</v>
      </c>
      <c r="P842" t="n">
        <v>0</v>
      </c>
      <c r="Q842" t="n">
        <v>0</v>
      </c>
      <c r="R842" s="2" t="inlineStr"/>
    </row>
    <row r="843" ht="15" customHeight="1">
      <c r="A843" t="inlineStr">
        <is>
          <t>A 8618-2025</t>
        </is>
      </c>
      <c r="B843" s="1" t="n">
        <v>45711</v>
      </c>
      <c r="C843" s="1" t="n">
        <v>46083</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46083</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14039-2024</t>
        </is>
      </c>
      <c r="B845" s="1" t="n">
        <v>45392</v>
      </c>
      <c r="C845" s="1" t="n">
        <v>46083</v>
      </c>
      <c r="D845" t="inlineStr">
        <is>
          <t>VÄSTERBOTTENS LÄN</t>
        </is>
      </c>
      <c r="E845" t="inlineStr">
        <is>
          <t>UMEÅ</t>
        </is>
      </c>
      <c r="G845" t="n">
        <v>6.1</v>
      </c>
      <c r="H845" t="n">
        <v>0</v>
      </c>
      <c r="I845" t="n">
        <v>0</v>
      </c>
      <c r="J845" t="n">
        <v>0</v>
      </c>
      <c r="K845" t="n">
        <v>0</v>
      </c>
      <c r="L845" t="n">
        <v>0</v>
      </c>
      <c r="M845" t="n">
        <v>0</v>
      </c>
      <c r="N845" t="n">
        <v>0</v>
      </c>
      <c r="O845" t="n">
        <v>0</v>
      </c>
      <c r="P845" t="n">
        <v>0</v>
      </c>
      <c r="Q845" t="n">
        <v>0</v>
      </c>
      <c r="R845" s="2" t="inlineStr"/>
    </row>
    <row r="846" ht="15" customHeight="1">
      <c r="A846" t="inlineStr">
        <is>
          <t>A 62130-2025</t>
        </is>
      </c>
      <c r="B846" s="1" t="n">
        <v>46006.45099537037</v>
      </c>
      <c r="C846" s="1" t="n">
        <v>46083</v>
      </c>
      <c r="D846" t="inlineStr">
        <is>
          <t>VÄSTERBOTTENS LÄN</t>
        </is>
      </c>
      <c r="E846" t="inlineStr">
        <is>
          <t>UMEÅ</t>
        </is>
      </c>
      <c r="F846" t="inlineStr">
        <is>
          <t>Holmen skog AB</t>
        </is>
      </c>
      <c r="G846" t="n">
        <v>6.1</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46083</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28099-2023</t>
        </is>
      </c>
      <c r="B848" s="1" t="n">
        <v>45099</v>
      </c>
      <c r="C848" s="1" t="n">
        <v>46083</v>
      </c>
      <c r="D848" t="inlineStr">
        <is>
          <t>VÄSTERBOTTENS LÄN</t>
        </is>
      </c>
      <c r="E848" t="inlineStr">
        <is>
          <t>UMEÅ</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7438-2022</t>
        </is>
      </c>
      <c r="B849" s="1" t="n">
        <v>44606.93429398148</v>
      </c>
      <c r="C849" s="1" t="n">
        <v>46083</v>
      </c>
      <c r="D849" t="inlineStr">
        <is>
          <t>VÄSTERBOTTENS LÄN</t>
        </is>
      </c>
      <c r="E849" t="inlineStr">
        <is>
          <t>UMEÅ</t>
        </is>
      </c>
      <c r="G849" t="n">
        <v>3.1</v>
      </c>
      <c r="H849" t="n">
        <v>0</v>
      </c>
      <c r="I849" t="n">
        <v>0</v>
      </c>
      <c r="J849" t="n">
        <v>0</v>
      </c>
      <c r="K849" t="n">
        <v>0</v>
      </c>
      <c r="L849" t="n">
        <v>0</v>
      </c>
      <c r="M849" t="n">
        <v>0</v>
      </c>
      <c r="N849" t="n">
        <v>0</v>
      </c>
      <c r="O849" t="n">
        <v>0</v>
      </c>
      <c r="P849" t="n">
        <v>0</v>
      </c>
      <c r="Q849" t="n">
        <v>0</v>
      </c>
      <c r="R849" s="2" t="inlineStr"/>
    </row>
    <row r="850" ht="15" customHeight="1">
      <c r="A850" t="inlineStr">
        <is>
          <t>A 62104-2025</t>
        </is>
      </c>
      <c r="B850" s="1" t="n">
        <v>46006.41694444444</v>
      </c>
      <c r="C850" s="1" t="n">
        <v>46083</v>
      </c>
      <c r="D850" t="inlineStr">
        <is>
          <t>VÄSTERBOTTENS LÄN</t>
        </is>
      </c>
      <c r="E850" t="inlineStr">
        <is>
          <t>UMEÅ</t>
        </is>
      </c>
      <c r="G850" t="n">
        <v>2.9</v>
      </c>
      <c r="H850" t="n">
        <v>0</v>
      </c>
      <c r="I850" t="n">
        <v>0</v>
      </c>
      <c r="J850" t="n">
        <v>0</v>
      </c>
      <c r="K850" t="n">
        <v>0</v>
      </c>
      <c r="L850" t="n">
        <v>0</v>
      </c>
      <c r="M850" t="n">
        <v>0</v>
      </c>
      <c r="N850" t="n">
        <v>0</v>
      </c>
      <c r="O850" t="n">
        <v>0</v>
      </c>
      <c r="P850" t="n">
        <v>0</v>
      </c>
      <c r="Q850" t="n">
        <v>0</v>
      </c>
      <c r="R850" s="2" t="inlineStr"/>
    </row>
    <row r="851" ht="15" customHeight="1">
      <c r="A851" t="inlineStr">
        <is>
          <t>A 62208-2025</t>
        </is>
      </c>
      <c r="B851" s="1" t="n">
        <v>46006.56528935185</v>
      </c>
      <c r="C851" s="1" t="n">
        <v>46083</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62231-2025</t>
        </is>
      </c>
      <c r="B852" s="1" t="n">
        <v>46006.59229166667</v>
      </c>
      <c r="C852" s="1" t="n">
        <v>46083</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62269-2025</t>
        </is>
      </c>
      <c r="B853" s="1" t="n">
        <v>46006.6196412037</v>
      </c>
      <c r="C853" s="1" t="n">
        <v>46083</v>
      </c>
      <c r="D853" t="inlineStr">
        <is>
          <t>VÄSTERBOTTENS LÄN</t>
        </is>
      </c>
      <c r="E853" t="inlineStr">
        <is>
          <t>UMEÅ</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46372-2023</t>
        </is>
      </c>
      <c r="B854" s="1" t="n">
        <v>45197</v>
      </c>
      <c r="C854" s="1" t="n">
        <v>46083</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4650-2025</t>
        </is>
      </c>
      <c r="B855" s="1" t="n">
        <v>45687.66449074074</v>
      </c>
      <c r="C855" s="1" t="n">
        <v>46083</v>
      </c>
      <c r="D855" t="inlineStr">
        <is>
          <t>VÄSTERBOTTENS LÄN</t>
        </is>
      </c>
      <c r="E855" t="inlineStr">
        <is>
          <t>UMEÅ</t>
        </is>
      </c>
      <c r="F855" t="inlineStr">
        <is>
          <t>Holmen skog AB</t>
        </is>
      </c>
      <c r="G855" t="n">
        <v>20.8</v>
      </c>
      <c r="H855" t="n">
        <v>0</v>
      </c>
      <c r="I855" t="n">
        <v>0</v>
      </c>
      <c r="J855" t="n">
        <v>0</v>
      </c>
      <c r="K855" t="n">
        <v>0</v>
      </c>
      <c r="L855" t="n">
        <v>0</v>
      </c>
      <c r="M855" t="n">
        <v>0</v>
      </c>
      <c r="N855" t="n">
        <v>0</v>
      </c>
      <c r="O855" t="n">
        <v>0</v>
      </c>
      <c r="P855" t="n">
        <v>0</v>
      </c>
      <c r="Q855" t="n">
        <v>0</v>
      </c>
      <c r="R855" s="2" t="inlineStr"/>
    </row>
    <row r="856" ht="15" customHeight="1">
      <c r="A856" t="inlineStr">
        <is>
          <t>A 21440-2024</t>
        </is>
      </c>
      <c r="B856" s="1" t="n">
        <v>45441</v>
      </c>
      <c r="C856" s="1" t="n">
        <v>46083</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5454-2026</t>
        </is>
      </c>
      <c r="B857" s="1" t="n">
        <v>46048</v>
      </c>
      <c r="C857" s="1" t="n">
        <v>46083</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46083</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62516-2025</t>
        </is>
      </c>
      <c r="B859" s="1" t="n">
        <v>46007.60645833334</v>
      </c>
      <c r="C859" s="1" t="n">
        <v>46083</v>
      </c>
      <c r="D859" t="inlineStr">
        <is>
          <t>VÄSTERBOTTENS LÄN</t>
        </is>
      </c>
      <c r="E859" t="inlineStr">
        <is>
          <t>UMEÅ</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62663-2025</t>
        </is>
      </c>
      <c r="B860" s="1" t="n">
        <v>46008.43460648148</v>
      </c>
      <c r="C860" s="1" t="n">
        <v>46083</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3828-2025</t>
        </is>
      </c>
      <c r="B861" s="1" t="n">
        <v>45681.82818287037</v>
      </c>
      <c r="C861" s="1" t="n">
        <v>46083</v>
      </c>
      <c r="D861" t="inlineStr">
        <is>
          <t>VÄSTERBOTTENS LÄN</t>
        </is>
      </c>
      <c r="E861" t="inlineStr">
        <is>
          <t>UMEÅ</t>
        </is>
      </c>
      <c r="G861" t="n">
        <v>1.2</v>
      </c>
      <c r="H861" t="n">
        <v>0</v>
      </c>
      <c r="I861" t="n">
        <v>0</v>
      </c>
      <c r="J861" t="n">
        <v>0</v>
      </c>
      <c r="K861" t="n">
        <v>0</v>
      </c>
      <c r="L861" t="n">
        <v>0</v>
      </c>
      <c r="M861" t="n">
        <v>0</v>
      </c>
      <c r="N861" t="n">
        <v>0</v>
      </c>
      <c r="O861" t="n">
        <v>0</v>
      </c>
      <c r="P861" t="n">
        <v>0</v>
      </c>
      <c r="Q861" t="n">
        <v>0</v>
      </c>
      <c r="R861" s="2" t="inlineStr"/>
    </row>
    <row r="862" ht="15" customHeight="1">
      <c r="A862" t="inlineStr">
        <is>
          <t>A 3829-2025</t>
        </is>
      </c>
      <c r="B862" s="1" t="n">
        <v>45681.83350694444</v>
      </c>
      <c r="C862" s="1" t="n">
        <v>46083</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46083</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46083</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9769-2022</t>
        </is>
      </c>
      <c r="B865" s="1" t="n">
        <v>44619.71880787037</v>
      </c>
      <c r="C865" s="1" t="n">
        <v>46083</v>
      </c>
      <c r="D865" t="inlineStr">
        <is>
          <t>VÄSTERBOTTENS LÄN</t>
        </is>
      </c>
      <c r="E865" t="inlineStr">
        <is>
          <t>UMEÅ</t>
        </is>
      </c>
      <c r="G865" t="n">
        <v>12.6</v>
      </c>
      <c r="H865" t="n">
        <v>0</v>
      </c>
      <c r="I865" t="n">
        <v>0</v>
      </c>
      <c r="J865" t="n">
        <v>0</v>
      </c>
      <c r="K865" t="n">
        <v>0</v>
      </c>
      <c r="L865" t="n">
        <v>0</v>
      </c>
      <c r="M865" t="n">
        <v>0</v>
      </c>
      <c r="N865" t="n">
        <v>0</v>
      </c>
      <c r="O865" t="n">
        <v>0</v>
      </c>
      <c r="P865" t="n">
        <v>0</v>
      </c>
      <c r="Q865" t="n">
        <v>0</v>
      </c>
      <c r="R865" s="2" t="inlineStr"/>
    </row>
    <row r="866" ht="15" customHeight="1">
      <c r="A866" t="inlineStr">
        <is>
          <t>A 62767-2025</t>
        </is>
      </c>
      <c r="B866" s="1" t="n">
        <v>46008.5975925926</v>
      </c>
      <c r="C866" s="1" t="n">
        <v>46083</v>
      </c>
      <c r="D866" t="inlineStr">
        <is>
          <t>VÄSTERBOTTENS LÄN</t>
        </is>
      </c>
      <c r="E866" t="inlineStr">
        <is>
          <t>UMEÅ</t>
        </is>
      </c>
      <c r="G866" t="n">
        <v>4.3</v>
      </c>
      <c r="H866" t="n">
        <v>0</v>
      </c>
      <c r="I866" t="n">
        <v>0</v>
      </c>
      <c r="J866" t="n">
        <v>0</v>
      </c>
      <c r="K866" t="n">
        <v>0</v>
      </c>
      <c r="L866" t="n">
        <v>0</v>
      </c>
      <c r="M866" t="n">
        <v>0</v>
      </c>
      <c r="N866" t="n">
        <v>0</v>
      </c>
      <c r="O866" t="n">
        <v>0</v>
      </c>
      <c r="P866" t="n">
        <v>0</v>
      </c>
      <c r="Q866" t="n">
        <v>0</v>
      </c>
      <c r="R866" s="2" t="inlineStr"/>
    </row>
    <row r="867" ht="15" customHeight="1">
      <c r="A867" t="inlineStr">
        <is>
          <t>A 39594-2023</t>
        </is>
      </c>
      <c r="B867" s="1" t="n">
        <v>45167</v>
      </c>
      <c r="C867" s="1" t="n">
        <v>46083</v>
      </c>
      <c r="D867" t="inlineStr">
        <is>
          <t>VÄSTERBOTTENS LÄN</t>
        </is>
      </c>
      <c r="E867" t="inlineStr">
        <is>
          <t>UMEÅ</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5013-2026</t>
        </is>
      </c>
      <c r="B868" s="1" t="n">
        <v>46049.43133101852</v>
      </c>
      <c r="C868" s="1" t="n">
        <v>46083</v>
      </c>
      <c r="D868" t="inlineStr">
        <is>
          <t>VÄSTERBOTTENS LÄN</t>
        </is>
      </c>
      <c r="E868" t="inlineStr">
        <is>
          <t>UMEÅ</t>
        </is>
      </c>
      <c r="G868" t="n">
        <v>3.8</v>
      </c>
      <c r="H868" t="n">
        <v>0</v>
      </c>
      <c r="I868" t="n">
        <v>0</v>
      </c>
      <c r="J868" t="n">
        <v>0</v>
      </c>
      <c r="K868" t="n">
        <v>0</v>
      </c>
      <c r="L868" t="n">
        <v>0</v>
      </c>
      <c r="M868" t="n">
        <v>0</v>
      </c>
      <c r="N868" t="n">
        <v>0</v>
      </c>
      <c r="O868" t="n">
        <v>0</v>
      </c>
      <c r="P868" t="n">
        <v>0</v>
      </c>
      <c r="Q868" t="n">
        <v>0</v>
      </c>
      <c r="R868" s="2" t="inlineStr"/>
    </row>
    <row r="869" ht="15" customHeight="1">
      <c r="A869" t="inlineStr">
        <is>
          <t>A 44121-2022</t>
        </is>
      </c>
      <c r="B869" s="1" t="n">
        <v>44839</v>
      </c>
      <c r="C869" s="1" t="n">
        <v>46083</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62813-2025</t>
        </is>
      </c>
      <c r="B870" s="1" t="n">
        <v>46008.64984953704</v>
      </c>
      <c r="C870" s="1" t="n">
        <v>46083</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5011-2026</t>
        </is>
      </c>
      <c r="B871" s="1" t="n">
        <v>46049.43063657408</v>
      </c>
      <c r="C871" s="1" t="n">
        <v>46083</v>
      </c>
      <c r="D871" t="inlineStr">
        <is>
          <t>VÄSTERBOTTENS LÄN</t>
        </is>
      </c>
      <c r="E871" t="inlineStr">
        <is>
          <t>UMEÅ</t>
        </is>
      </c>
      <c r="G871" t="n">
        <v>2.3</v>
      </c>
      <c r="H871" t="n">
        <v>0</v>
      </c>
      <c r="I871" t="n">
        <v>0</v>
      </c>
      <c r="J871" t="n">
        <v>0</v>
      </c>
      <c r="K871" t="n">
        <v>0</v>
      </c>
      <c r="L871" t="n">
        <v>0</v>
      </c>
      <c r="M871" t="n">
        <v>0</v>
      </c>
      <c r="N871" t="n">
        <v>0</v>
      </c>
      <c r="O871" t="n">
        <v>0</v>
      </c>
      <c r="P871" t="n">
        <v>0</v>
      </c>
      <c r="Q871" t="n">
        <v>0</v>
      </c>
      <c r="R871" s="2" t="inlineStr"/>
    </row>
    <row r="872" ht="15" customHeight="1">
      <c r="A872" t="inlineStr">
        <is>
          <t>A 55082-2023</t>
        </is>
      </c>
      <c r="B872" s="1" t="n">
        <v>45230</v>
      </c>
      <c r="C872" s="1" t="n">
        <v>46083</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5467-2026</t>
        </is>
      </c>
      <c r="B873" s="1" t="n">
        <v>46048</v>
      </c>
      <c r="C873" s="1" t="n">
        <v>46083</v>
      </c>
      <c r="D873" t="inlineStr">
        <is>
          <t>VÄSTERBOTTENS LÄN</t>
        </is>
      </c>
      <c r="E873" t="inlineStr">
        <is>
          <t>UMEÅ</t>
        </is>
      </c>
      <c r="G873" t="n">
        <v>2.6</v>
      </c>
      <c r="H873" t="n">
        <v>0</v>
      </c>
      <c r="I873" t="n">
        <v>0</v>
      </c>
      <c r="J873" t="n">
        <v>0</v>
      </c>
      <c r="K873" t="n">
        <v>0</v>
      </c>
      <c r="L873" t="n">
        <v>0</v>
      </c>
      <c r="M873" t="n">
        <v>0</v>
      </c>
      <c r="N873" t="n">
        <v>0</v>
      </c>
      <c r="O873" t="n">
        <v>0</v>
      </c>
      <c r="P873" t="n">
        <v>0</v>
      </c>
      <c r="Q873" t="n">
        <v>0</v>
      </c>
      <c r="R873" s="2" t="inlineStr"/>
    </row>
    <row r="874" ht="15" customHeight="1">
      <c r="A874" t="inlineStr">
        <is>
          <t>A 63131-2025</t>
        </is>
      </c>
      <c r="B874" s="1" t="n">
        <v>46010.24019675926</v>
      </c>
      <c r="C874" s="1" t="n">
        <v>46083</v>
      </c>
      <c r="D874" t="inlineStr">
        <is>
          <t>VÄSTERBOTTENS LÄN</t>
        </is>
      </c>
      <c r="E874" t="inlineStr">
        <is>
          <t>UMEÅ</t>
        </is>
      </c>
      <c r="G874" t="n">
        <v>0.6</v>
      </c>
      <c r="H874" t="n">
        <v>0</v>
      </c>
      <c r="I874" t="n">
        <v>0</v>
      </c>
      <c r="J874" t="n">
        <v>0</v>
      </c>
      <c r="K874" t="n">
        <v>0</v>
      </c>
      <c r="L874" t="n">
        <v>0</v>
      </c>
      <c r="M874" t="n">
        <v>0</v>
      </c>
      <c r="N874" t="n">
        <v>0</v>
      </c>
      <c r="O874" t="n">
        <v>0</v>
      </c>
      <c r="P874" t="n">
        <v>0</v>
      </c>
      <c r="Q874" t="n">
        <v>0</v>
      </c>
      <c r="R874" s="2" t="inlineStr"/>
    </row>
    <row r="875" ht="15" customHeight="1">
      <c r="A875" t="inlineStr">
        <is>
          <t>A 63132-2025</t>
        </is>
      </c>
      <c r="B875" s="1" t="n">
        <v>46010.27672453703</v>
      </c>
      <c r="C875" s="1" t="n">
        <v>46083</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7853-2025</t>
        </is>
      </c>
      <c r="B876" s="1" t="n">
        <v>45706.67732638889</v>
      </c>
      <c r="C876" s="1" t="n">
        <v>46083</v>
      </c>
      <c r="D876" t="inlineStr">
        <is>
          <t>VÄSTERBOTTENS LÄN</t>
        </is>
      </c>
      <c r="E876" t="inlineStr">
        <is>
          <t>UMEÅ</t>
        </is>
      </c>
      <c r="G876" t="n">
        <v>1.6</v>
      </c>
      <c r="H876" t="n">
        <v>0</v>
      </c>
      <c r="I876" t="n">
        <v>0</v>
      </c>
      <c r="J876" t="n">
        <v>0</v>
      </c>
      <c r="K876" t="n">
        <v>0</v>
      </c>
      <c r="L876" t="n">
        <v>0</v>
      </c>
      <c r="M876" t="n">
        <v>0</v>
      </c>
      <c r="N876" t="n">
        <v>0</v>
      </c>
      <c r="O876" t="n">
        <v>0</v>
      </c>
      <c r="P876" t="n">
        <v>0</v>
      </c>
      <c r="Q876" t="n">
        <v>0</v>
      </c>
      <c r="R876" s="2" t="inlineStr"/>
    </row>
    <row r="877" ht="15" customHeight="1">
      <c r="A877" t="inlineStr">
        <is>
          <t>A 14380-2025</t>
        </is>
      </c>
      <c r="B877" s="1" t="n">
        <v>45741.41429398148</v>
      </c>
      <c r="C877" s="1" t="n">
        <v>46083</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46727-2023</t>
        </is>
      </c>
      <c r="B878" s="1" t="n">
        <v>45198</v>
      </c>
      <c r="C878" s="1" t="n">
        <v>46083</v>
      </c>
      <c r="D878" t="inlineStr">
        <is>
          <t>VÄSTERBOTTENS LÄN</t>
        </is>
      </c>
      <c r="E878" t="inlineStr">
        <is>
          <t>UMEÅ</t>
        </is>
      </c>
      <c r="G878" t="n">
        <v>4.3</v>
      </c>
      <c r="H878" t="n">
        <v>0</v>
      </c>
      <c r="I878" t="n">
        <v>0</v>
      </c>
      <c r="J878" t="n">
        <v>0</v>
      </c>
      <c r="K878" t="n">
        <v>0</v>
      </c>
      <c r="L878" t="n">
        <v>0</v>
      </c>
      <c r="M878" t="n">
        <v>0</v>
      </c>
      <c r="N878" t="n">
        <v>0</v>
      </c>
      <c r="O878" t="n">
        <v>0</v>
      </c>
      <c r="P878" t="n">
        <v>0</v>
      </c>
      <c r="Q878" t="n">
        <v>0</v>
      </c>
      <c r="R878" s="2" t="inlineStr"/>
    </row>
    <row r="879" ht="15" customHeight="1">
      <c r="A879" t="inlineStr">
        <is>
          <t>A 16606-2022</t>
        </is>
      </c>
      <c r="B879" s="1" t="n">
        <v>44672</v>
      </c>
      <c r="C879" s="1" t="n">
        <v>46083</v>
      </c>
      <c r="D879" t="inlineStr">
        <is>
          <t>VÄSTERBOTTENS LÄN</t>
        </is>
      </c>
      <c r="E879" t="inlineStr">
        <is>
          <t>UMEÅ</t>
        </is>
      </c>
      <c r="G879" t="n">
        <v>1.8</v>
      </c>
      <c r="H879" t="n">
        <v>0</v>
      </c>
      <c r="I879" t="n">
        <v>0</v>
      </c>
      <c r="J879" t="n">
        <v>0</v>
      </c>
      <c r="K879" t="n">
        <v>0</v>
      </c>
      <c r="L879" t="n">
        <v>0</v>
      </c>
      <c r="M879" t="n">
        <v>0</v>
      </c>
      <c r="N879" t="n">
        <v>0</v>
      </c>
      <c r="O879" t="n">
        <v>0</v>
      </c>
      <c r="P879" t="n">
        <v>0</v>
      </c>
      <c r="Q879" t="n">
        <v>0</v>
      </c>
      <c r="R879" s="2" t="inlineStr"/>
    </row>
    <row r="880" ht="15" customHeight="1">
      <c r="A880" t="inlineStr">
        <is>
          <t>A 59289-2023</t>
        </is>
      </c>
      <c r="B880" s="1" t="n">
        <v>45252</v>
      </c>
      <c r="C880" s="1" t="n">
        <v>46083</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42463-2023</t>
        </is>
      </c>
      <c r="B881" s="1" t="n">
        <v>45180.67883101852</v>
      </c>
      <c r="C881" s="1" t="n">
        <v>46083</v>
      </c>
      <c r="D881" t="inlineStr">
        <is>
          <t>VÄSTERBOTTENS LÄN</t>
        </is>
      </c>
      <c r="E881" t="inlineStr">
        <is>
          <t>UMEÅ</t>
        </is>
      </c>
      <c r="G881" t="n">
        <v>3.5</v>
      </c>
      <c r="H881" t="n">
        <v>0</v>
      </c>
      <c r="I881" t="n">
        <v>0</v>
      </c>
      <c r="J881" t="n">
        <v>0</v>
      </c>
      <c r="K881" t="n">
        <v>0</v>
      </c>
      <c r="L881" t="n">
        <v>0</v>
      </c>
      <c r="M881" t="n">
        <v>0</v>
      </c>
      <c r="N881" t="n">
        <v>0</v>
      </c>
      <c r="O881" t="n">
        <v>0</v>
      </c>
      <c r="P881" t="n">
        <v>0</v>
      </c>
      <c r="Q881" t="n">
        <v>0</v>
      </c>
      <c r="R881" s="2" t="inlineStr"/>
    </row>
    <row r="882" ht="15" customHeight="1">
      <c r="A882" t="inlineStr">
        <is>
          <t>A 6130-2025</t>
        </is>
      </c>
      <c r="B882" s="1" t="n">
        <v>45698.36478009259</v>
      </c>
      <c r="C882" s="1" t="n">
        <v>46083</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63218-2025</t>
        </is>
      </c>
      <c r="B883" s="1" t="n">
        <v>46010.48998842593</v>
      </c>
      <c r="C883" s="1" t="n">
        <v>46083</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63219-2025</t>
        </is>
      </c>
      <c r="B884" s="1" t="n">
        <v>46010.49005787037</v>
      </c>
      <c r="C884" s="1" t="n">
        <v>46083</v>
      </c>
      <c r="D884" t="inlineStr">
        <is>
          <t>VÄSTERBOTTENS LÄN</t>
        </is>
      </c>
      <c r="E884" t="inlineStr">
        <is>
          <t>UMEÅ</t>
        </is>
      </c>
      <c r="G884" t="n">
        <v>4.2</v>
      </c>
      <c r="H884" t="n">
        <v>0</v>
      </c>
      <c r="I884" t="n">
        <v>0</v>
      </c>
      <c r="J884" t="n">
        <v>0</v>
      </c>
      <c r="K884" t="n">
        <v>0</v>
      </c>
      <c r="L884" t="n">
        <v>0</v>
      </c>
      <c r="M884" t="n">
        <v>0</v>
      </c>
      <c r="N884" t="n">
        <v>0</v>
      </c>
      <c r="O884" t="n">
        <v>0</v>
      </c>
      <c r="P884" t="n">
        <v>0</v>
      </c>
      <c r="Q884" t="n">
        <v>0</v>
      </c>
      <c r="R884" s="2" t="inlineStr"/>
    </row>
    <row r="885" ht="15" customHeight="1">
      <c r="A885" t="inlineStr">
        <is>
          <t>A 39945-2023</t>
        </is>
      </c>
      <c r="B885" s="1" t="n">
        <v>45168</v>
      </c>
      <c r="C885" s="1" t="n">
        <v>46083</v>
      </c>
      <c r="D885" t="inlineStr">
        <is>
          <t>VÄSTERBOTTENS LÄN</t>
        </is>
      </c>
      <c r="E885" t="inlineStr">
        <is>
          <t>UMEÅ</t>
        </is>
      </c>
      <c r="G885" t="n">
        <v>4.9</v>
      </c>
      <c r="H885" t="n">
        <v>0</v>
      </c>
      <c r="I885" t="n">
        <v>0</v>
      </c>
      <c r="J885" t="n">
        <v>0</v>
      </c>
      <c r="K885" t="n">
        <v>0</v>
      </c>
      <c r="L885" t="n">
        <v>0</v>
      </c>
      <c r="M885" t="n">
        <v>0</v>
      </c>
      <c r="N885" t="n">
        <v>0</v>
      </c>
      <c r="O885" t="n">
        <v>0</v>
      </c>
      <c r="P885" t="n">
        <v>0</v>
      </c>
      <c r="Q885" t="n">
        <v>0</v>
      </c>
      <c r="R885" s="2" t="inlineStr"/>
    </row>
    <row r="886" ht="15" customHeight="1">
      <c r="A886" t="inlineStr">
        <is>
          <t>A 5912-2026</t>
        </is>
      </c>
      <c r="B886" s="1" t="n">
        <v>46052.4488425926</v>
      </c>
      <c r="C886" s="1" t="n">
        <v>46083</v>
      </c>
      <c r="D886" t="inlineStr">
        <is>
          <t>VÄSTERBOTTENS LÄN</t>
        </is>
      </c>
      <c r="E886" t="inlineStr">
        <is>
          <t>UMEÅ</t>
        </is>
      </c>
      <c r="G886" t="n">
        <v>1.3</v>
      </c>
      <c r="H886" t="n">
        <v>0</v>
      </c>
      <c r="I886" t="n">
        <v>0</v>
      </c>
      <c r="J886" t="n">
        <v>0</v>
      </c>
      <c r="K886" t="n">
        <v>0</v>
      </c>
      <c r="L886" t="n">
        <v>0</v>
      </c>
      <c r="M886" t="n">
        <v>0</v>
      </c>
      <c r="N886" t="n">
        <v>0</v>
      </c>
      <c r="O886" t="n">
        <v>0</v>
      </c>
      <c r="P886" t="n">
        <v>0</v>
      </c>
      <c r="Q886" t="n">
        <v>0</v>
      </c>
      <c r="R886" s="2" t="inlineStr"/>
    </row>
    <row r="887" ht="15" customHeight="1">
      <c r="A887" t="inlineStr">
        <is>
          <t>A 63130-2025</t>
        </is>
      </c>
      <c r="B887" s="1" t="n">
        <v>46010.23451388889</v>
      </c>
      <c r="C887" s="1" t="n">
        <v>46083</v>
      </c>
      <c r="D887" t="inlineStr">
        <is>
          <t>VÄSTERBOTTENS LÄN</t>
        </is>
      </c>
      <c r="E887" t="inlineStr">
        <is>
          <t>UMEÅ</t>
        </is>
      </c>
      <c r="G887" t="n">
        <v>7.2</v>
      </c>
      <c r="H887" t="n">
        <v>0</v>
      </c>
      <c r="I887" t="n">
        <v>0</v>
      </c>
      <c r="J887" t="n">
        <v>0</v>
      </c>
      <c r="K887" t="n">
        <v>0</v>
      </c>
      <c r="L887" t="n">
        <v>0</v>
      </c>
      <c r="M887" t="n">
        <v>0</v>
      </c>
      <c r="N887" t="n">
        <v>0</v>
      </c>
      <c r="O887" t="n">
        <v>0</v>
      </c>
      <c r="P887" t="n">
        <v>0</v>
      </c>
      <c r="Q887" t="n">
        <v>0</v>
      </c>
      <c r="R887" s="2" t="inlineStr"/>
    </row>
    <row r="888" ht="15" customHeight="1">
      <c r="A888" t="inlineStr">
        <is>
          <t>A 63155-2025</t>
        </is>
      </c>
      <c r="B888" s="1" t="n">
        <v>46010.3641087963</v>
      </c>
      <c r="C888" s="1" t="n">
        <v>46083</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63244-2025</t>
        </is>
      </c>
      <c r="B889" s="1" t="n">
        <v>46010.5324537037</v>
      </c>
      <c r="C889" s="1" t="n">
        <v>46083</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6519-2026</t>
        </is>
      </c>
      <c r="B890" s="1" t="n">
        <v>46056.40042824074</v>
      </c>
      <c r="C890" s="1" t="n">
        <v>46083</v>
      </c>
      <c r="D890" t="inlineStr">
        <is>
          <t>VÄSTERBOTTENS LÄN</t>
        </is>
      </c>
      <c r="E890" t="inlineStr">
        <is>
          <t>UMEÅ</t>
        </is>
      </c>
      <c r="G890" t="n">
        <v>2.1</v>
      </c>
      <c r="H890" t="n">
        <v>0</v>
      </c>
      <c r="I890" t="n">
        <v>0</v>
      </c>
      <c r="J890" t="n">
        <v>0</v>
      </c>
      <c r="K890" t="n">
        <v>0</v>
      </c>
      <c r="L890" t="n">
        <v>0</v>
      </c>
      <c r="M890" t="n">
        <v>0</v>
      </c>
      <c r="N890" t="n">
        <v>0</v>
      </c>
      <c r="O890" t="n">
        <v>0</v>
      </c>
      <c r="P890" t="n">
        <v>0</v>
      </c>
      <c r="Q890" t="n">
        <v>0</v>
      </c>
      <c r="R890" s="2" t="inlineStr"/>
    </row>
    <row r="891" ht="15" customHeight="1">
      <c r="A891" t="inlineStr">
        <is>
          <t>A 64157-2025</t>
        </is>
      </c>
      <c r="B891" s="1" t="n">
        <v>46013</v>
      </c>
      <c r="C891" s="1" t="n">
        <v>46083</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6070-2026</t>
        </is>
      </c>
      <c r="B892" s="1" t="n">
        <v>46052</v>
      </c>
      <c r="C892" s="1" t="n">
        <v>46083</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6178-2026</t>
        </is>
      </c>
      <c r="B893" s="1" t="n">
        <v>46055</v>
      </c>
      <c r="C893" s="1" t="n">
        <v>46083</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6563-2026</t>
        </is>
      </c>
      <c r="B894" s="1" t="n">
        <v>46056.43702546296</v>
      </c>
      <c r="C894" s="1" t="n">
        <v>46083</v>
      </c>
      <c r="D894" t="inlineStr">
        <is>
          <t>VÄSTERBOTTENS LÄN</t>
        </is>
      </c>
      <c r="E894" t="inlineStr">
        <is>
          <t>UMEÅ</t>
        </is>
      </c>
      <c r="G894" t="n">
        <v>2.7</v>
      </c>
      <c r="H894" t="n">
        <v>0</v>
      </c>
      <c r="I894" t="n">
        <v>0</v>
      </c>
      <c r="J894" t="n">
        <v>0</v>
      </c>
      <c r="K894" t="n">
        <v>0</v>
      </c>
      <c r="L894" t="n">
        <v>0</v>
      </c>
      <c r="M894" t="n">
        <v>0</v>
      </c>
      <c r="N894" t="n">
        <v>0</v>
      </c>
      <c r="O894" t="n">
        <v>0</v>
      </c>
      <c r="P894" t="n">
        <v>0</v>
      </c>
      <c r="Q894" t="n">
        <v>0</v>
      </c>
      <c r="R894" s="2" t="inlineStr"/>
    </row>
    <row r="895" ht="15" customHeight="1">
      <c r="A895" t="inlineStr">
        <is>
          <t>A 29027-2022</t>
        </is>
      </c>
      <c r="B895" s="1" t="n">
        <v>44749.9266087963</v>
      </c>
      <c r="C895" s="1" t="n">
        <v>46083</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52529-2023</t>
        </is>
      </c>
      <c r="B896" s="1" t="n">
        <v>45225.53422453703</v>
      </c>
      <c r="C896" s="1" t="n">
        <v>46083</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26352-2024</t>
        </is>
      </c>
      <c r="B897" s="1" t="n">
        <v>45469.36628472222</v>
      </c>
      <c r="C897" s="1" t="n">
        <v>46083</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25346-2024</t>
        </is>
      </c>
      <c r="B898" s="1" t="n">
        <v>45462</v>
      </c>
      <c r="C898" s="1" t="n">
        <v>46083</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25683-2025</t>
        </is>
      </c>
      <c r="B899" s="1" t="n">
        <v>45803</v>
      </c>
      <c r="C899" s="1" t="n">
        <v>46083</v>
      </c>
      <c r="D899" t="inlineStr">
        <is>
          <t>VÄSTERBOTTENS LÄN</t>
        </is>
      </c>
      <c r="E899" t="inlineStr">
        <is>
          <t>UMEÅ</t>
        </is>
      </c>
      <c r="G899" t="n">
        <v>4.9</v>
      </c>
      <c r="H899" t="n">
        <v>0</v>
      </c>
      <c r="I899" t="n">
        <v>0</v>
      </c>
      <c r="J899" t="n">
        <v>0</v>
      </c>
      <c r="K899" t="n">
        <v>0</v>
      </c>
      <c r="L899" t="n">
        <v>0</v>
      </c>
      <c r="M899" t="n">
        <v>0</v>
      </c>
      <c r="N899" t="n">
        <v>0</v>
      </c>
      <c r="O899" t="n">
        <v>0</v>
      </c>
      <c r="P899" t="n">
        <v>0</v>
      </c>
      <c r="Q899" t="n">
        <v>0</v>
      </c>
      <c r="R899" s="2" t="inlineStr"/>
    </row>
    <row r="900" ht="15" customHeight="1">
      <c r="A900" t="inlineStr">
        <is>
          <t>A 5016-2026</t>
        </is>
      </c>
      <c r="B900" s="1" t="n">
        <v>46049</v>
      </c>
      <c r="C900" s="1" t="n">
        <v>46083</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10422-2025</t>
        </is>
      </c>
      <c r="B901" s="1" t="n">
        <v>45720.64917824074</v>
      </c>
      <c r="C901" s="1" t="n">
        <v>46083</v>
      </c>
      <c r="D901" t="inlineStr">
        <is>
          <t>VÄSTERBOTTENS LÄN</t>
        </is>
      </c>
      <c r="E901" t="inlineStr">
        <is>
          <t>UMEÅ</t>
        </is>
      </c>
      <c r="G901" t="n">
        <v>1.7</v>
      </c>
      <c r="H901" t="n">
        <v>0</v>
      </c>
      <c r="I901" t="n">
        <v>0</v>
      </c>
      <c r="J901" t="n">
        <v>0</v>
      </c>
      <c r="K901" t="n">
        <v>0</v>
      </c>
      <c r="L901" t="n">
        <v>0</v>
      </c>
      <c r="M901" t="n">
        <v>0</v>
      </c>
      <c r="N901" t="n">
        <v>0</v>
      </c>
      <c r="O901" t="n">
        <v>0</v>
      </c>
      <c r="P901" t="n">
        <v>0</v>
      </c>
      <c r="Q901" t="n">
        <v>0</v>
      </c>
      <c r="R901" s="2" t="inlineStr"/>
    </row>
    <row r="902" ht="15" customHeight="1">
      <c r="A902" t="inlineStr">
        <is>
          <t>A 9159-2025</t>
        </is>
      </c>
      <c r="B902" s="1" t="n">
        <v>45714.35774305555</v>
      </c>
      <c r="C902" s="1" t="n">
        <v>46083</v>
      </c>
      <c r="D902" t="inlineStr">
        <is>
          <t>VÄSTERBOTTENS LÄN</t>
        </is>
      </c>
      <c r="E902" t="inlineStr">
        <is>
          <t>UMEÅ</t>
        </is>
      </c>
      <c r="G902" t="n">
        <v>3.2</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46083</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7285-2026</t>
        </is>
      </c>
      <c r="B904" s="1" t="n">
        <v>46058.6363425926</v>
      </c>
      <c r="C904" s="1" t="n">
        <v>46083</v>
      </c>
      <c r="D904" t="inlineStr">
        <is>
          <t>VÄSTERBOTTENS LÄN</t>
        </is>
      </c>
      <c r="E904" t="inlineStr">
        <is>
          <t>UMEÅ</t>
        </is>
      </c>
      <c r="G904" t="n">
        <v>7.7</v>
      </c>
      <c r="H904" t="n">
        <v>0</v>
      </c>
      <c r="I904" t="n">
        <v>0</v>
      </c>
      <c r="J904" t="n">
        <v>0</v>
      </c>
      <c r="K904" t="n">
        <v>0</v>
      </c>
      <c r="L904" t="n">
        <v>0</v>
      </c>
      <c r="M904" t="n">
        <v>0</v>
      </c>
      <c r="N904" t="n">
        <v>0</v>
      </c>
      <c r="O904" t="n">
        <v>0</v>
      </c>
      <c r="P904" t="n">
        <v>0</v>
      </c>
      <c r="Q904" t="n">
        <v>0</v>
      </c>
      <c r="R904" s="2" t="inlineStr"/>
    </row>
    <row r="905" ht="15" customHeight="1">
      <c r="A905" t="inlineStr">
        <is>
          <t>A 51709-2023</t>
        </is>
      </c>
      <c r="B905" s="1" t="n">
        <v>45215</v>
      </c>
      <c r="C905" s="1" t="n">
        <v>46083</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63600-2025</t>
        </is>
      </c>
      <c r="B906" s="1" t="n">
        <v>46014.31091435185</v>
      </c>
      <c r="C906" s="1" t="n">
        <v>46083</v>
      </c>
      <c r="D906" t="inlineStr">
        <is>
          <t>VÄSTERBOTTENS LÄN</t>
        </is>
      </c>
      <c r="E906" t="inlineStr">
        <is>
          <t>UMEÅ</t>
        </is>
      </c>
      <c r="G906" t="n">
        <v>2.1</v>
      </c>
      <c r="H906" t="n">
        <v>0</v>
      </c>
      <c r="I906" t="n">
        <v>0</v>
      </c>
      <c r="J906" t="n">
        <v>0</v>
      </c>
      <c r="K906" t="n">
        <v>0</v>
      </c>
      <c r="L906" t="n">
        <v>0</v>
      </c>
      <c r="M906" t="n">
        <v>0</v>
      </c>
      <c r="N906" t="n">
        <v>0</v>
      </c>
      <c r="O906" t="n">
        <v>0</v>
      </c>
      <c r="P906" t="n">
        <v>0</v>
      </c>
      <c r="Q906" t="n">
        <v>0</v>
      </c>
      <c r="R906" s="2" t="inlineStr"/>
    </row>
    <row r="907" ht="15" customHeight="1">
      <c r="A907" t="inlineStr">
        <is>
          <t>A 6919-2026</t>
        </is>
      </c>
      <c r="B907" s="1" t="n">
        <v>46057.53539351852</v>
      </c>
      <c r="C907" s="1" t="n">
        <v>46083</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61749-2023</t>
        </is>
      </c>
      <c r="B908" s="1" t="n">
        <v>45264</v>
      </c>
      <c r="C908" s="1" t="n">
        <v>46083</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44459-2023</t>
        </is>
      </c>
      <c r="B909" s="1" t="n">
        <v>45189</v>
      </c>
      <c r="C909" s="1" t="n">
        <v>46083</v>
      </c>
      <c r="D909" t="inlineStr">
        <is>
          <t>VÄSTERBOTTENS LÄN</t>
        </is>
      </c>
      <c r="E909" t="inlineStr">
        <is>
          <t>UMEÅ</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63810-2025</t>
        </is>
      </c>
      <c r="B910" s="1" t="n">
        <v>46020.32105324074</v>
      </c>
      <c r="C910" s="1" t="n">
        <v>46083</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7389-2026</t>
        </is>
      </c>
      <c r="B911" s="1" t="n">
        <v>46059.36795138889</v>
      </c>
      <c r="C911" s="1" t="n">
        <v>46083</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59080-2022</t>
        </is>
      </c>
      <c r="B912" s="1" t="n">
        <v>44904</v>
      </c>
      <c r="C912" s="1" t="n">
        <v>46083</v>
      </c>
      <c r="D912" t="inlineStr">
        <is>
          <t>VÄSTERBOTTENS LÄN</t>
        </is>
      </c>
      <c r="E912" t="inlineStr">
        <is>
          <t>UMEÅ</t>
        </is>
      </c>
      <c r="G912" t="n">
        <v>1</v>
      </c>
      <c r="H912" t="n">
        <v>0</v>
      </c>
      <c r="I912" t="n">
        <v>0</v>
      </c>
      <c r="J912" t="n">
        <v>0</v>
      </c>
      <c r="K912" t="n">
        <v>0</v>
      </c>
      <c r="L912" t="n">
        <v>0</v>
      </c>
      <c r="M912" t="n">
        <v>0</v>
      </c>
      <c r="N912" t="n">
        <v>0</v>
      </c>
      <c r="O912" t="n">
        <v>0</v>
      </c>
      <c r="P912" t="n">
        <v>0</v>
      </c>
      <c r="Q912" t="n">
        <v>0</v>
      </c>
      <c r="R912" s="2" t="inlineStr"/>
    </row>
    <row r="913" ht="15" customHeight="1">
      <c r="A913" t="inlineStr">
        <is>
          <t>A 7371-2026</t>
        </is>
      </c>
      <c r="B913" s="1" t="n">
        <v>46059.34295138889</v>
      </c>
      <c r="C913" s="1" t="n">
        <v>46083</v>
      </c>
      <c r="D913" t="inlineStr">
        <is>
          <t>VÄSTERBOTTENS LÄN</t>
        </is>
      </c>
      <c r="E913" t="inlineStr">
        <is>
          <t>UMEÅ</t>
        </is>
      </c>
      <c r="G913" t="n">
        <v>3</v>
      </c>
      <c r="H913" t="n">
        <v>0</v>
      </c>
      <c r="I913" t="n">
        <v>0</v>
      </c>
      <c r="J913" t="n">
        <v>0</v>
      </c>
      <c r="K913" t="n">
        <v>0</v>
      </c>
      <c r="L913" t="n">
        <v>0</v>
      </c>
      <c r="M913" t="n">
        <v>0</v>
      </c>
      <c r="N913" t="n">
        <v>0</v>
      </c>
      <c r="O913" t="n">
        <v>0</v>
      </c>
      <c r="P913" t="n">
        <v>0</v>
      </c>
      <c r="Q913" t="n">
        <v>0</v>
      </c>
      <c r="R913" s="2" t="inlineStr"/>
    </row>
    <row r="914" ht="15" customHeight="1">
      <c r="A914" t="inlineStr">
        <is>
          <t>A 8193-2026</t>
        </is>
      </c>
      <c r="B914" s="1" t="n">
        <v>46064.42752314815</v>
      </c>
      <c r="C914" s="1" t="n">
        <v>46083</v>
      </c>
      <c r="D914" t="inlineStr">
        <is>
          <t>VÄSTERBOTTENS LÄN</t>
        </is>
      </c>
      <c r="E914" t="inlineStr">
        <is>
          <t>UMEÅ</t>
        </is>
      </c>
      <c r="G914" t="n">
        <v>10.5</v>
      </c>
      <c r="H914" t="n">
        <v>0</v>
      </c>
      <c r="I914" t="n">
        <v>0</v>
      </c>
      <c r="J914" t="n">
        <v>0</v>
      </c>
      <c r="K914" t="n">
        <v>0</v>
      </c>
      <c r="L914" t="n">
        <v>0</v>
      </c>
      <c r="M914" t="n">
        <v>0</v>
      </c>
      <c r="N914" t="n">
        <v>0</v>
      </c>
      <c r="O914" t="n">
        <v>0</v>
      </c>
      <c r="P914" t="n">
        <v>0</v>
      </c>
      <c r="Q914" t="n">
        <v>0</v>
      </c>
      <c r="R914" s="2" t="inlineStr"/>
    </row>
    <row r="915" ht="15" customHeight="1">
      <c r="A915" t="inlineStr">
        <is>
          <t>A 8208-2026</t>
        </is>
      </c>
      <c r="B915" s="1" t="n">
        <v>46064.4488425926</v>
      </c>
      <c r="C915" s="1" t="n">
        <v>46083</v>
      </c>
      <c r="D915" t="inlineStr">
        <is>
          <t>VÄSTERBOTTENS LÄN</t>
        </is>
      </c>
      <c r="E915" t="inlineStr">
        <is>
          <t>UMEÅ</t>
        </is>
      </c>
      <c r="G915" t="n">
        <v>19.9</v>
      </c>
      <c r="H915" t="n">
        <v>0</v>
      </c>
      <c r="I915" t="n">
        <v>0</v>
      </c>
      <c r="J915" t="n">
        <v>0</v>
      </c>
      <c r="K915" t="n">
        <v>0</v>
      </c>
      <c r="L915" t="n">
        <v>0</v>
      </c>
      <c r="M915" t="n">
        <v>0</v>
      </c>
      <c r="N915" t="n">
        <v>0</v>
      </c>
      <c r="O915" t="n">
        <v>0</v>
      </c>
      <c r="P915" t="n">
        <v>0</v>
      </c>
      <c r="Q915" t="n">
        <v>0</v>
      </c>
      <c r="R915" s="2" t="inlineStr"/>
    </row>
    <row r="916" ht="15" customHeight="1">
      <c r="A916" t="inlineStr">
        <is>
          <t>A 7975-2026</t>
        </is>
      </c>
      <c r="B916" s="1" t="n">
        <v>46063.46784722222</v>
      </c>
      <c r="C916" s="1" t="n">
        <v>46083</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50725-2023</t>
        </is>
      </c>
      <c r="B917" s="1" t="n">
        <v>45217</v>
      </c>
      <c r="C917" s="1" t="n">
        <v>46083</v>
      </c>
      <c r="D917" t="inlineStr">
        <is>
          <t>VÄSTERBOTTENS LÄN</t>
        </is>
      </c>
      <c r="E917" t="inlineStr">
        <is>
          <t>UMEÅ</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50726-2023</t>
        </is>
      </c>
      <c r="B918" s="1" t="n">
        <v>45217</v>
      </c>
      <c r="C918" s="1" t="n">
        <v>46083</v>
      </c>
      <c r="D918" t="inlineStr">
        <is>
          <t>VÄSTERBOTTENS LÄN</t>
        </is>
      </c>
      <c r="E918" t="inlineStr">
        <is>
          <t>UMEÅ</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36816-2022</t>
        </is>
      </c>
      <c r="B919" s="1" t="n">
        <v>44805.5507175926</v>
      </c>
      <c r="C919" s="1" t="n">
        <v>46083</v>
      </c>
      <c r="D919" t="inlineStr">
        <is>
          <t>VÄSTERBOTTENS LÄN</t>
        </is>
      </c>
      <c r="E919" t="inlineStr">
        <is>
          <t>UMEÅ</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7437-2024</t>
        </is>
      </c>
      <c r="B920" s="1" t="n">
        <v>45345</v>
      </c>
      <c r="C920" s="1" t="n">
        <v>46083</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46083</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46083</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46083</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64088-2025</t>
        </is>
      </c>
      <c r="B924" s="1" t="n">
        <v>46021.72010416666</v>
      </c>
      <c r="C924" s="1" t="n">
        <v>46083</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8192-2026</t>
        </is>
      </c>
      <c r="B925" s="1" t="n">
        <v>46064.4275</v>
      </c>
      <c r="C925" s="1" t="n">
        <v>46083</v>
      </c>
      <c r="D925" t="inlineStr">
        <is>
          <t>VÄSTERBOTTENS LÄN</t>
        </is>
      </c>
      <c r="E925" t="inlineStr">
        <is>
          <t>UMEÅ</t>
        </is>
      </c>
      <c r="G925" t="n">
        <v>12.9</v>
      </c>
      <c r="H925" t="n">
        <v>0</v>
      </c>
      <c r="I925" t="n">
        <v>0</v>
      </c>
      <c r="J925" t="n">
        <v>0</v>
      </c>
      <c r="K925" t="n">
        <v>0</v>
      </c>
      <c r="L925" t="n">
        <v>0</v>
      </c>
      <c r="M925" t="n">
        <v>0</v>
      </c>
      <c r="N925" t="n">
        <v>0</v>
      </c>
      <c r="O925" t="n">
        <v>0</v>
      </c>
      <c r="P925" t="n">
        <v>0</v>
      </c>
      <c r="Q925" t="n">
        <v>0</v>
      </c>
      <c r="R925" s="2" t="inlineStr"/>
    </row>
    <row r="926" ht="15" customHeight="1">
      <c r="A926" t="inlineStr">
        <is>
          <t>A 64053-2025</t>
        </is>
      </c>
      <c r="B926" s="1" t="n">
        <v>46021.59449074074</v>
      </c>
      <c r="C926" s="1" t="n">
        <v>46083</v>
      </c>
      <c r="D926" t="inlineStr">
        <is>
          <t>VÄSTERBOTTENS LÄN</t>
        </is>
      </c>
      <c r="E926" t="inlineStr">
        <is>
          <t>UMEÅ</t>
        </is>
      </c>
      <c r="G926" t="n">
        <v>5.1</v>
      </c>
      <c r="H926" t="n">
        <v>0</v>
      </c>
      <c r="I926" t="n">
        <v>0</v>
      </c>
      <c r="J926" t="n">
        <v>0</v>
      </c>
      <c r="K926" t="n">
        <v>0</v>
      </c>
      <c r="L926" t="n">
        <v>0</v>
      </c>
      <c r="M926" t="n">
        <v>0</v>
      </c>
      <c r="N926" t="n">
        <v>0</v>
      </c>
      <c r="O926" t="n">
        <v>0</v>
      </c>
      <c r="P926" t="n">
        <v>0</v>
      </c>
      <c r="Q926" t="n">
        <v>0</v>
      </c>
      <c r="R926" s="2" t="inlineStr"/>
    </row>
    <row r="927" ht="15" customHeight="1">
      <c r="A927" t="inlineStr">
        <is>
          <t>A 7381-2026</t>
        </is>
      </c>
      <c r="B927" s="1" t="n">
        <v>46059</v>
      </c>
      <c r="C927" s="1" t="n">
        <v>46083</v>
      </c>
      <c r="D927" t="inlineStr">
        <is>
          <t>VÄSTERBOTTENS LÄN</t>
        </is>
      </c>
      <c r="E927" t="inlineStr">
        <is>
          <t>UMEÅ</t>
        </is>
      </c>
      <c r="G927" t="n">
        <v>1.3</v>
      </c>
      <c r="H927" t="n">
        <v>0</v>
      </c>
      <c r="I927" t="n">
        <v>0</v>
      </c>
      <c r="J927" t="n">
        <v>0</v>
      </c>
      <c r="K927" t="n">
        <v>0</v>
      </c>
      <c r="L927" t="n">
        <v>0</v>
      </c>
      <c r="M927" t="n">
        <v>0</v>
      </c>
      <c r="N927" t="n">
        <v>0</v>
      </c>
      <c r="O927" t="n">
        <v>0</v>
      </c>
      <c r="P927" t="n">
        <v>0</v>
      </c>
      <c r="Q927" t="n">
        <v>0</v>
      </c>
      <c r="R927" s="2" t="inlineStr"/>
    </row>
    <row r="928" ht="15" customHeight="1">
      <c r="A928" t="inlineStr">
        <is>
          <t>A 62648-2021</t>
        </is>
      </c>
      <c r="B928" s="1" t="n">
        <v>44503</v>
      </c>
      <c r="C928" s="1" t="n">
        <v>46083</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64089-2025</t>
        </is>
      </c>
      <c r="B929" s="1" t="n">
        <v>46021.72287037037</v>
      </c>
      <c r="C929" s="1" t="n">
        <v>46083</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7929-2026</t>
        </is>
      </c>
      <c r="B930" s="1" t="n">
        <v>46063</v>
      </c>
      <c r="C930" s="1" t="n">
        <v>46083</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50084-2021</t>
        </is>
      </c>
      <c r="B931" s="1" t="n">
        <v>44456.59263888889</v>
      </c>
      <c r="C931" s="1" t="n">
        <v>46083</v>
      </c>
      <c r="D931" t="inlineStr">
        <is>
          <t>VÄSTERBOTTENS LÄN</t>
        </is>
      </c>
      <c r="E931" t="inlineStr">
        <is>
          <t>UMEÅ</t>
        </is>
      </c>
      <c r="G931" t="n">
        <v>10.7</v>
      </c>
      <c r="H931" t="n">
        <v>0</v>
      </c>
      <c r="I931" t="n">
        <v>0</v>
      </c>
      <c r="J931" t="n">
        <v>0</v>
      </c>
      <c r="K931" t="n">
        <v>0</v>
      </c>
      <c r="L931" t="n">
        <v>0</v>
      </c>
      <c r="M931" t="n">
        <v>0</v>
      </c>
      <c r="N931" t="n">
        <v>0</v>
      </c>
      <c r="O931" t="n">
        <v>0</v>
      </c>
      <c r="P931" t="n">
        <v>0</v>
      </c>
      <c r="Q931" t="n">
        <v>0</v>
      </c>
      <c r="R931" s="2" t="inlineStr"/>
    </row>
    <row r="932" ht="15" customHeight="1">
      <c r="A932" t="inlineStr">
        <is>
          <t>A 3366-2024</t>
        </is>
      </c>
      <c r="B932" s="1" t="n">
        <v>45317</v>
      </c>
      <c r="C932" s="1" t="n">
        <v>46083</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8194-2026</t>
        </is>
      </c>
      <c r="B933" s="1" t="n">
        <v>46064</v>
      </c>
      <c r="C933" s="1" t="n">
        <v>46083</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8668-2026</t>
        </is>
      </c>
      <c r="B934" s="1" t="n">
        <v>46066.38614583333</v>
      </c>
      <c r="C934" s="1" t="n">
        <v>46083</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3150-2026</t>
        </is>
      </c>
      <c r="B935" s="1" t="n">
        <v>46041.42417824074</v>
      </c>
      <c r="C935" s="1" t="n">
        <v>46083</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3154-2026</t>
        </is>
      </c>
      <c r="B936" s="1" t="n">
        <v>46041.42799768518</v>
      </c>
      <c r="C936" s="1" t="n">
        <v>46083</v>
      </c>
      <c r="D936" t="inlineStr">
        <is>
          <t>VÄSTERBOTTENS LÄN</t>
        </is>
      </c>
      <c r="E936" t="inlineStr">
        <is>
          <t>UMEÅ</t>
        </is>
      </c>
      <c r="G936" t="n">
        <v>0.6</v>
      </c>
      <c r="H936" t="n">
        <v>0</v>
      </c>
      <c r="I936" t="n">
        <v>0</v>
      </c>
      <c r="J936" t="n">
        <v>0</v>
      </c>
      <c r="K936" t="n">
        <v>0</v>
      </c>
      <c r="L936" t="n">
        <v>0</v>
      </c>
      <c r="M936" t="n">
        <v>0</v>
      </c>
      <c r="N936" t="n">
        <v>0</v>
      </c>
      <c r="O936" t="n">
        <v>0</v>
      </c>
      <c r="P936" t="n">
        <v>0</v>
      </c>
      <c r="Q936" t="n">
        <v>0</v>
      </c>
      <c r="R936" s="2" t="inlineStr"/>
    </row>
    <row r="937" ht="15" customHeight="1">
      <c r="A937" t="inlineStr">
        <is>
          <t>A 9123-2026</t>
        </is>
      </c>
      <c r="B937" s="1" t="n">
        <v>46069.68662037037</v>
      </c>
      <c r="C937" s="1" t="n">
        <v>46083</v>
      </c>
      <c r="D937" t="inlineStr">
        <is>
          <t>VÄSTERBOTTENS LÄN</t>
        </is>
      </c>
      <c r="E937" t="inlineStr">
        <is>
          <t>UMEÅ</t>
        </is>
      </c>
      <c r="G937" t="n">
        <v>1.8</v>
      </c>
      <c r="H937" t="n">
        <v>0</v>
      </c>
      <c r="I937" t="n">
        <v>0</v>
      </c>
      <c r="J937" t="n">
        <v>0</v>
      </c>
      <c r="K937" t="n">
        <v>0</v>
      </c>
      <c r="L937" t="n">
        <v>0</v>
      </c>
      <c r="M937" t="n">
        <v>0</v>
      </c>
      <c r="N937" t="n">
        <v>0</v>
      </c>
      <c r="O937" t="n">
        <v>0</v>
      </c>
      <c r="P937" t="n">
        <v>0</v>
      </c>
      <c r="Q937" t="n">
        <v>0</v>
      </c>
      <c r="R937" s="2" t="inlineStr"/>
    </row>
    <row r="938" ht="15" customHeight="1">
      <c r="A938" t="inlineStr">
        <is>
          <t>A 4633-2026</t>
        </is>
      </c>
      <c r="B938" s="1" t="n">
        <v>46048.3909375</v>
      </c>
      <c r="C938" s="1" t="n">
        <v>46083</v>
      </c>
      <c r="D938" t="inlineStr">
        <is>
          <t>VÄSTERBOTTENS LÄN</t>
        </is>
      </c>
      <c r="E938" t="inlineStr">
        <is>
          <t>UMEÅ</t>
        </is>
      </c>
      <c r="G938" t="n">
        <v>3.3</v>
      </c>
      <c r="H938" t="n">
        <v>0</v>
      </c>
      <c r="I938" t="n">
        <v>0</v>
      </c>
      <c r="J938" t="n">
        <v>0</v>
      </c>
      <c r="K938" t="n">
        <v>0</v>
      </c>
      <c r="L938" t="n">
        <v>0</v>
      </c>
      <c r="M938" t="n">
        <v>0</v>
      </c>
      <c r="N938" t="n">
        <v>0</v>
      </c>
      <c r="O938" t="n">
        <v>0</v>
      </c>
      <c r="P938" t="n">
        <v>0</v>
      </c>
      <c r="Q938" t="n">
        <v>0</v>
      </c>
      <c r="R938" s="2" t="inlineStr"/>
    </row>
    <row r="939" ht="15" customHeight="1">
      <c r="A939" t="inlineStr">
        <is>
          <t>A 14286-2025</t>
        </is>
      </c>
      <c r="B939" s="1" t="n">
        <v>45740.66287037037</v>
      </c>
      <c r="C939" s="1" t="n">
        <v>46083</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3234-2026</t>
        </is>
      </c>
      <c r="B940" s="1" t="n">
        <v>46041.56347222222</v>
      </c>
      <c r="C940" s="1" t="n">
        <v>46083</v>
      </c>
      <c r="D940" t="inlineStr">
        <is>
          <t>VÄSTERBOTTENS LÄN</t>
        </is>
      </c>
      <c r="E940" t="inlineStr">
        <is>
          <t>UMEÅ</t>
        </is>
      </c>
      <c r="G940" t="n">
        <v>8.1</v>
      </c>
      <c r="H940" t="n">
        <v>0</v>
      </c>
      <c r="I940" t="n">
        <v>0</v>
      </c>
      <c r="J940" t="n">
        <v>0</v>
      </c>
      <c r="K940" t="n">
        <v>0</v>
      </c>
      <c r="L940" t="n">
        <v>0</v>
      </c>
      <c r="M940" t="n">
        <v>0</v>
      </c>
      <c r="N940" t="n">
        <v>0</v>
      </c>
      <c r="O940" t="n">
        <v>0</v>
      </c>
      <c r="P940" t="n">
        <v>0</v>
      </c>
      <c r="Q940" t="n">
        <v>0</v>
      </c>
      <c r="R940" s="2" t="inlineStr"/>
    </row>
    <row r="941" ht="15" customHeight="1">
      <c r="A941" t="inlineStr">
        <is>
          <t>A 256-2026</t>
        </is>
      </c>
      <c r="B941" s="1" t="n">
        <v>46027.43188657407</v>
      </c>
      <c r="C941" s="1" t="n">
        <v>46083</v>
      </c>
      <c r="D941" t="inlineStr">
        <is>
          <t>VÄSTERBOTTENS LÄN</t>
        </is>
      </c>
      <c r="E941" t="inlineStr">
        <is>
          <t>UMEÅ</t>
        </is>
      </c>
      <c r="G941" t="n">
        <v>1</v>
      </c>
      <c r="H941" t="n">
        <v>0</v>
      </c>
      <c r="I941" t="n">
        <v>0</v>
      </c>
      <c r="J941" t="n">
        <v>0</v>
      </c>
      <c r="K941" t="n">
        <v>0</v>
      </c>
      <c r="L941" t="n">
        <v>0</v>
      </c>
      <c r="M941" t="n">
        <v>0</v>
      </c>
      <c r="N941" t="n">
        <v>0</v>
      </c>
      <c r="O941" t="n">
        <v>0</v>
      </c>
      <c r="P941" t="n">
        <v>0</v>
      </c>
      <c r="Q941" t="n">
        <v>0</v>
      </c>
      <c r="R941" s="2" t="inlineStr"/>
    </row>
    <row r="942" ht="15" customHeight="1">
      <c r="A942" t="inlineStr">
        <is>
          <t>A 40024-2022</t>
        </is>
      </c>
      <c r="B942" s="1" t="n">
        <v>44820.41207175926</v>
      </c>
      <c r="C942" s="1" t="n">
        <v>46083</v>
      </c>
      <c r="D942" t="inlineStr">
        <is>
          <t>VÄSTERBOTTENS LÄN</t>
        </is>
      </c>
      <c r="E942" t="inlineStr">
        <is>
          <t>UMEÅ</t>
        </is>
      </c>
      <c r="G942" t="n">
        <v>3</v>
      </c>
      <c r="H942" t="n">
        <v>0</v>
      </c>
      <c r="I942" t="n">
        <v>0</v>
      </c>
      <c r="J942" t="n">
        <v>0</v>
      </c>
      <c r="K942" t="n">
        <v>0</v>
      </c>
      <c r="L942" t="n">
        <v>0</v>
      </c>
      <c r="M942" t="n">
        <v>0</v>
      </c>
      <c r="N942" t="n">
        <v>0</v>
      </c>
      <c r="O942" t="n">
        <v>0</v>
      </c>
      <c r="P942" t="n">
        <v>0</v>
      </c>
      <c r="Q942" t="n">
        <v>0</v>
      </c>
      <c r="R942" s="2" t="inlineStr"/>
    </row>
    <row r="943" ht="15" customHeight="1">
      <c r="A943" t="inlineStr">
        <is>
          <t>A 9030-2026</t>
        </is>
      </c>
      <c r="B943" s="1" t="n">
        <v>46069.5141087963</v>
      </c>
      <c r="C943" s="1" t="n">
        <v>46083</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8921-2026</t>
        </is>
      </c>
      <c r="B944" s="1" t="n">
        <v>46069.33297453704</v>
      </c>
      <c r="C944" s="1" t="n">
        <v>46083</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9218-2026</t>
        </is>
      </c>
      <c r="B945" s="1" t="n">
        <v>46070.44359953704</v>
      </c>
      <c r="C945" s="1" t="n">
        <v>46083</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281-2026</t>
        </is>
      </c>
      <c r="B946" s="1" t="n">
        <v>46027</v>
      </c>
      <c r="C946" s="1" t="n">
        <v>46083</v>
      </c>
      <c r="D946" t="inlineStr">
        <is>
          <t>VÄSTERBOTTENS LÄN</t>
        </is>
      </c>
      <c r="E946" t="inlineStr">
        <is>
          <t>UMEÅ</t>
        </is>
      </c>
      <c r="G946" t="n">
        <v>1.7</v>
      </c>
      <c r="H946" t="n">
        <v>0</v>
      </c>
      <c r="I946" t="n">
        <v>0</v>
      </c>
      <c r="J946" t="n">
        <v>0</v>
      </c>
      <c r="K946" t="n">
        <v>0</v>
      </c>
      <c r="L946" t="n">
        <v>0</v>
      </c>
      <c r="M946" t="n">
        <v>0</v>
      </c>
      <c r="N946" t="n">
        <v>0</v>
      </c>
      <c r="O946" t="n">
        <v>0</v>
      </c>
      <c r="P946" t="n">
        <v>0</v>
      </c>
      <c r="Q946" t="n">
        <v>0</v>
      </c>
      <c r="R946" s="2" t="inlineStr"/>
    </row>
    <row r="947" ht="15" customHeight="1">
      <c r="A947" t="inlineStr">
        <is>
          <t>A 9454-2026</t>
        </is>
      </c>
      <c r="B947" s="1" t="n">
        <v>46071.48370370371</v>
      </c>
      <c r="C947" s="1" t="n">
        <v>46083</v>
      </c>
      <c r="D947" t="inlineStr">
        <is>
          <t>VÄSTERBOTTENS LÄN</t>
        </is>
      </c>
      <c r="E947" t="inlineStr">
        <is>
          <t>UMEÅ</t>
        </is>
      </c>
      <c r="G947" t="n">
        <v>0.4</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46083</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9457-2026</t>
        </is>
      </c>
      <c r="B949" s="1" t="n">
        <v>46071.48806712963</v>
      </c>
      <c r="C949" s="1" t="n">
        <v>46083</v>
      </c>
      <c r="D949" t="inlineStr">
        <is>
          <t>VÄSTERBOTTENS LÄN</t>
        </is>
      </c>
      <c r="E949" t="inlineStr">
        <is>
          <t>UMEÅ</t>
        </is>
      </c>
      <c r="G949" t="n">
        <v>0.3</v>
      </c>
      <c r="H949" t="n">
        <v>0</v>
      </c>
      <c r="I949" t="n">
        <v>0</v>
      </c>
      <c r="J949" t="n">
        <v>0</v>
      </c>
      <c r="K949" t="n">
        <v>0</v>
      </c>
      <c r="L949" t="n">
        <v>0</v>
      </c>
      <c r="M949" t="n">
        <v>0</v>
      </c>
      <c r="N949" t="n">
        <v>0</v>
      </c>
      <c r="O949" t="n">
        <v>0</v>
      </c>
      <c r="P949" t="n">
        <v>0</v>
      </c>
      <c r="Q949" t="n">
        <v>0</v>
      </c>
      <c r="R949" s="2" t="inlineStr"/>
    </row>
    <row r="950" ht="15" customHeight="1">
      <c r="A950" t="inlineStr">
        <is>
          <t>A 1143-2026</t>
        </is>
      </c>
      <c r="B950" s="1" t="n">
        <v>46030</v>
      </c>
      <c r="C950" s="1" t="n">
        <v>46083</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7440-2024</t>
        </is>
      </c>
      <c r="B951" s="1" t="n">
        <v>45345</v>
      </c>
      <c r="C951" s="1" t="n">
        <v>46083</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9377-2026</t>
        </is>
      </c>
      <c r="B952" s="1" t="n">
        <v>46070.91310185185</v>
      </c>
      <c r="C952" s="1" t="n">
        <v>46083</v>
      </c>
      <c r="D952" t="inlineStr">
        <is>
          <t>VÄSTERBOTTENS LÄN</t>
        </is>
      </c>
      <c r="E952" t="inlineStr">
        <is>
          <t>UMEÅ</t>
        </is>
      </c>
      <c r="G952" t="n">
        <v>9.1</v>
      </c>
      <c r="H952" t="n">
        <v>0</v>
      </c>
      <c r="I952" t="n">
        <v>0</v>
      </c>
      <c r="J952" t="n">
        <v>0</v>
      </c>
      <c r="K952" t="n">
        <v>0</v>
      </c>
      <c r="L952" t="n">
        <v>0</v>
      </c>
      <c r="M952" t="n">
        <v>0</v>
      </c>
      <c r="N952" t="n">
        <v>0</v>
      </c>
      <c r="O952" t="n">
        <v>0</v>
      </c>
      <c r="P952" t="n">
        <v>0</v>
      </c>
      <c r="Q952" t="n">
        <v>0</v>
      </c>
      <c r="R952" s="2" t="inlineStr"/>
    </row>
    <row r="953" ht="15" customHeight="1">
      <c r="A953" t="inlineStr">
        <is>
          <t>A 527-2026</t>
        </is>
      </c>
      <c r="B953" s="1" t="n">
        <v>46029.44916666667</v>
      </c>
      <c r="C953" s="1" t="n">
        <v>46083</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841-2026</t>
        </is>
      </c>
      <c r="B954" s="1" t="n">
        <v>46030</v>
      </c>
      <c r="C954" s="1" t="n">
        <v>46083</v>
      </c>
      <c r="D954" t="inlineStr">
        <is>
          <t>VÄSTERBOTTENS LÄN</t>
        </is>
      </c>
      <c r="E954" t="inlineStr">
        <is>
          <t>UMEÅ</t>
        </is>
      </c>
      <c r="G954" t="n">
        <v>2.2</v>
      </c>
      <c r="H954" t="n">
        <v>0</v>
      </c>
      <c r="I954" t="n">
        <v>0</v>
      </c>
      <c r="J954" t="n">
        <v>0</v>
      </c>
      <c r="K954" t="n">
        <v>0</v>
      </c>
      <c r="L954" t="n">
        <v>0</v>
      </c>
      <c r="M954" t="n">
        <v>0</v>
      </c>
      <c r="N954" t="n">
        <v>0</v>
      </c>
      <c r="O954" t="n">
        <v>0</v>
      </c>
      <c r="P954" t="n">
        <v>0</v>
      </c>
      <c r="Q954" t="n">
        <v>0</v>
      </c>
      <c r="R954" s="2" t="inlineStr"/>
    </row>
    <row r="955" ht="15" customHeight="1">
      <c r="A955" t="inlineStr">
        <is>
          <t>A 37023-2024</t>
        </is>
      </c>
      <c r="B955" s="1" t="n">
        <v>45539</v>
      </c>
      <c r="C955" s="1" t="n">
        <v>46083</v>
      </c>
      <c r="D955" t="inlineStr">
        <is>
          <t>VÄSTERBOTTENS LÄN</t>
        </is>
      </c>
      <c r="E955" t="inlineStr">
        <is>
          <t>UMEÅ</t>
        </is>
      </c>
      <c r="G955" t="n">
        <v>1.2</v>
      </c>
      <c r="H955" t="n">
        <v>0</v>
      </c>
      <c r="I955" t="n">
        <v>0</v>
      </c>
      <c r="J955" t="n">
        <v>0</v>
      </c>
      <c r="K955" t="n">
        <v>0</v>
      </c>
      <c r="L955" t="n">
        <v>0</v>
      </c>
      <c r="M955" t="n">
        <v>0</v>
      </c>
      <c r="N955" t="n">
        <v>0</v>
      </c>
      <c r="O955" t="n">
        <v>0</v>
      </c>
      <c r="P955" t="n">
        <v>0</v>
      </c>
      <c r="Q955" t="n">
        <v>0</v>
      </c>
      <c r="R955" s="2" t="inlineStr"/>
    </row>
    <row r="956" ht="15" customHeight="1">
      <c r="A956" t="inlineStr">
        <is>
          <t>A 526-2026</t>
        </is>
      </c>
      <c r="B956" s="1" t="n">
        <v>46029.44914351852</v>
      </c>
      <c r="C956" s="1" t="n">
        <v>46083</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667-2026</t>
        </is>
      </c>
      <c r="B957" s="1" t="n">
        <v>46029.58945601852</v>
      </c>
      <c r="C957" s="1" t="n">
        <v>46083</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524-2026</t>
        </is>
      </c>
      <c r="B958" s="1" t="n">
        <v>46029.44908564815</v>
      </c>
      <c r="C958" s="1" t="n">
        <v>46083</v>
      </c>
      <c r="D958" t="inlineStr">
        <is>
          <t>VÄSTERBOTTENS LÄN</t>
        </is>
      </c>
      <c r="E958" t="inlineStr">
        <is>
          <t>UMEÅ</t>
        </is>
      </c>
      <c r="G958" t="n">
        <v>1.1</v>
      </c>
      <c r="H958" t="n">
        <v>0</v>
      </c>
      <c r="I958" t="n">
        <v>0</v>
      </c>
      <c r="J958" t="n">
        <v>0</v>
      </c>
      <c r="K958" t="n">
        <v>0</v>
      </c>
      <c r="L958" t="n">
        <v>0</v>
      </c>
      <c r="M958" t="n">
        <v>0</v>
      </c>
      <c r="N958" t="n">
        <v>0</v>
      </c>
      <c r="O958" t="n">
        <v>0</v>
      </c>
      <c r="P958" t="n">
        <v>0</v>
      </c>
      <c r="Q958" t="n">
        <v>0</v>
      </c>
      <c r="R958" s="2" t="inlineStr"/>
    </row>
    <row r="959" ht="15" customHeight="1">
      <c r="A959" t="inlineStr">
        <is>
          <t>A 23840-2024</t>
        </is>
      </c>
      <c r="B959" s="1" t="n">
        <v>45455</v>
      </c>
      <c r="C959" s="1" t="n">
        <v>46083</v>
      </c>
      <c r="D959" t="inlineStr">
        <is>
          <t>VÄSTERBOTTENS LÄN</t>
        </is>
      </c>
      <c r="E959" t="inlineStr">
        <is>
          <t>UMEÅ</t>
        </is>
      </c>
      <c r="G959" t="n">
        <v>10.8</v>
      </c>
      <c r="H959" t="n">
        <v>0</v>
      </c>
      <c r="I959" t="n">
        <v>0</v>
      </c>
      <c r="J959" t="n">
        <v>0</v>
      </c>
      <c r="K959" t="n">
        <v>0</v>
      </c>
      <c r="L959" t="n">
        <v>0</v>
      </c>
      <c r="M959" t="n">
        <v>0</v>
      </c>
      <c r="N959" t="n">
        <v>0</v>
      </c>
      <c r="O959" t="n">
        <v>0</v>
      </c>
      <c r="P959" t="n">
        <v>0</v>
      </c>
      <c r="Q959" t="n">
        <v>0</v>
      </c>
      <c r="R959" s="2" t="inlineStr"/>
    </row>
    <row r="960" ht="15" customHeight="1">
      <c r="A960" t="inlineStr">
        <is>
          <t>A 41525-2023</t>
        </is>
      </c>
      <c r="B960" s="1" t="n">
        <v>45173</v>
      </c>
      <c r="C960" s="1" t="n">
        <v>46083</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40032-2023</t>
        </is>
      </c>
      <c r="B961" s="1" t="n">
        <v>45167</v>
      </c>
      <c r="C961" s="1" t="n">
        <v>46083</v>
      </c>
      <c r="D961" t="inlineStr">
        <is>
          <t>VÄSTERBOTTENS LÄN</t>
        </is>
      </c>
      <c r="E961" t="inlineStr">
        <is>
          <t>UMEÅ</t>
        </is>
      </c>
      <c r="G961" t="n">
        <v>5.5</v>
      </c>
      <c r="H961" t="n">
        <v>0</v>
      </c>
      <c r="I961" t="n">
        <v>0</v>
      </c>
      <c r="J961" t="n">
        <v>0</v>
      </c>
      <c r="K961" t="n">
        <v>0</v>
      </c>
      <c r="L961" t="n">
        <v>0</v>
      </c>
      <c r="M961" t="n">
        <v>0</v>
      </c>
      <c r="N961" t="n">
        <v>0</v>
      </c>
      <c r="O961" t="n">
        <v>0</v>
      </c>
      <c r="P961" t="n">
        <v>0</v>
      </c>
      <c r="Q961" t="n">
        <v>0</v>
      </c>
      <c r="R961" s="2" t="inlineStr"/>
    </row>
    <row r="962" ht="15" customHeight="1">
      <c r="A962" t="inlineStr">
        <is>
          <t>A 50287-2023</t>
        </is>
      </c>
      <c r="B962" s="1" t="n">
        <v>45216</v>
      </c>
      <c r="C962" s="1" t="n">
        <v>46083</v>
      </c>
      <c r="D962" t="inlineStr">
        <is>
          <t>VÄSTERBOTTENS LÄN</t>
        </is>
      </c>
      <c r="E962" t="inlineStr">
        <is>
          <t>UMEÅ</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1142-2026</t>
        </is>
      </c>
      <c r="B963" s="1" t="n">
        <v>46030.84501157407</v>
      </c>
      <c r="C963" s="1" t="n">
        <v>46083</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14403-2025</t>
        </is>
      </c>
      <c r="B964" s="1" t="n">
        <v>45741.46083333333</v>
      </c>
      <c r="C964" s="1" t="n">
        <v>46083</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12723-2025</t>
        </is>
      </c>
      <c r="B965" s="1" t="n">
        <v>45733.49011574074</v>
      </c>
      <c r="C965" s="1" t="n">
        <v>46083</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49525-2023</t>
        </is>
      </c>
      <c r="B966" s="1" t="n">
        <v>45205</v>
      </c>
      <c r="C966" s="1" t="n">
        <v>46083</v>
      </c>
      <c r="D966" t="inlineStr">
        <is>
          <t>VÄSTERBOTTENS LÄN</t>
        </is>
      </c>
      <c r="E966" t="inlineStr">
        <is>
          <t>UMEÅ</t>
        </is>
      </c>
      <c r="G966" t="n">
        <v>2</v>
      </c>
      <c r="H966" t="n">
        <v>0</v>
      </c>
      <c r="I966" t="n">
        <v>0</v>
      </c>
      <c r="J966" t="n">
        <v>0</v>
      </c>
      <c r="K966" t="n">
        <v>0</v>
      </c>
      <c r="L966" t="n">
        <v>0</v>
      </c>
      <c r="M966" t="n">
        <v>0</v>
      </c>
      <c r="N966" t="n">
        <v>0</v>
      </c>
      <c r="O966" t="n">
        <v>0</v>
      </c>
      <c r="P966" t="n">
        <v>0</v>
      </c>
      <c r="Q966" t="n">
        <v>0</v>
      </c>
      <c r="R966" s="2" t="inlineStr"/>
    </row>
    <row r="967" ht="15" customHeight="1">
      <c r="A967" t="inlineStr">
        <is>
          <t>A 9961-2026</t>
        </is>
      </c>
      <c r="B967" s="1" t="n">
        <v>46073.49317129629</v>
      </c>
      <c r="C967" s="1" t="n">
        <v>46083</v>
      </c>
      <c r="D967" t="inlineStr">
        <is>
          <t>VÄSTERBOTTENS LÄN</t>
        </is>
      </c>
      <c r="E967" t="inlineStr">
        <is>
          <t>UMEÅ</t>
        </is>
      </c>
      <c r="G967" t="n">
        <v>4.1</v>
      </c>
      <c r="H967" t="n">
        <v>0</v>
      </c>
      <c r="I967" t="n">
        <v>0</v>
      </c>
      <c r="J967" t="n">
        <v>0</v>
      </c>
      <c r="K967" t="n">
        <v>0</v>
      </c>
      <c r="L967" t="n">
        <v>0</v>
      </c>
      <c r="M967" t="n">
        <v>0</v>
      </c>
      <c r="N967" t="n">
        <v>0</v>
      </c>
      <c r="O967" t="n">
        <v>0</v>
      </c>
      <c r="P967" t="n">
        <v>0</v>
      </c>
      <c r="Q967" t="n">
        <v>0</v>
      </c>
      <c r="R967" s="2" t="inlineStr"/>
    </row>
    <row r="968" ht="15" customHeight="1">
      <c r="A968" t="inlineStr">
        <is>
          <t>A 2252-2026</t>
        </is>
      </c>
      <c r="B968" s="1" t="n">
        <v>46034</v>
      </c>
      <c r="C968" s="1" t="n">
        <v>46083</v>
      </c>
      <c r="D968" t="inlineStr">
        <is>
          <t>VÄSTERBOTTENS LÄN</t>
        </is>
      </c>
      <c r="E968" t="inlineStr">
        <is>
          <t>UMEÅ</t>
        </is>
      </c>
      <c r="G968" t="n">
        <v>10.7</v>
      </c>
      <c r="H968" t="n">
        <v>0</v>
      </c>
      <c r="I968" t="n">
        <v>0</v>
      </c>
      <c r="J968" t="n">
        <v>0</v>
      </c>
      <c r="K968" t="n">
        <v>0</v>
      </c>
      <c r="L968" t="n">
        <v>0</v>
      </c>
      <c r="M968" t="n">
        <v>0</v>
      </c>
      <c r="N968" t="n">
        <v>0</v>
      </c>
      <c r="O968" t="n">
        <v>0</v>
      </c>
      <c r="P968" t="n">
        <v>0</v>
      </c>
      <c r="Q968" t="n">
        <v>0</v>
      </c>
      <c r="R968" s="2" t="inlineStr"/>
    </row>
    <row r="969" ht="15" customHeight="1">
      <c r="A969" t="inlineStr">
        <is>
          <t>A 26861-2024</t>
        </is>
      </c>
      <c r="B969" s="1" t="n">
        <v>45470</v>
      </c>
      <c r="C969" s="1" t="n">
        <v>46083</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1557-2026</t>
        </is>
      </c>
      <c r="B970" s="1" t="n">
        <v>46034.38920138889</v>
      </c>
      <c r="C970" s="1" t="n">
        <v>46083</v>
      </c>
      <c r="D970" t="inlineStr">
        <is>
          <t>VÄSTERBOTTENS LÄN</t>
        </is>
      </c>
      <c r="E970" t="inlineStr">
        <is>
          <t>UMEÅ</t>
        </is>
      </c>
      <c r="G970" t="n">
        <v>3.5</v>
      </c>
      <c r="H970" t="n">
        <v>0</v>
      </c>
      <c r="I970" t="n">
        <v>0</v>
      </c>
      <c r="J970" t="n">
        <v>0</v>
      </c>
      <c r="K970" t="n">
        <v>0</v>
      </c>
      <c r="L970" t="n">
        <v>0</v>
      </c>
      <c r="M970" t="n">
        <v>0</v>
      </c>
      <c r="N970" t="n">
        <v>0</v>
      </c>
      <c r="O970" t="n">
        <v>0</v>
      </c>
      <c r="P970" t="n">
        <v>0</v>
      </c>
      <c r="Q970" t="n">
        <v>0</v>
      </c>
      <c r="R970" s="2" t="inlineStr"/>
    </row>
    <row r="971" ht="15" customHeight="1">
      <c r="A971" t="inlineStr">
        <is>
          <t>A 10014-2026</t>
        </is>
      </c>
      <c r="B971" s="1" t="n">
        <v>46073.5741550926</v>
      </c>
      <c r="C971" s="1" t="n">
        <v>46083</v>
      </c>
      <c r="D971" t="inlineStr">
        <is>
          <t>VÄSTERBOTTENS LÄN</t>
        </is>
      </c>
      <c r="E971" t="inlineStr">
        <is>
          <t>UMEÅ</t>
        </is>
      </c>
      <c r="G971" t="n">
        <v>1.6</v>
      </c>
      <c r="H971" t="n">
        <v>0</v>
      </c>
      <c r="I971" t="n">
        <v>0</v>
      </c>
      <c r="J971" t="n">
        <v>0</v>
      </c>
      <c r="K971" t="n">
        <v>0</v>
      </c>
      <c r="L971" t="n">
        <v>0</v>
      </c>
      <c r="M971" t="n">
        <v>0</v>
      </c>
      <c r="N971" t="n">
        <v>0</v>
      </c>
      <c r="O971" t="n">
        <v>0</v>
      </c>
      <c r="P971" t="n">
        <v>0</v>
      </c>
      <c r="Q971" t="n">
        <v>0</v>
      </c>
      <c r="R971" s="2" t="inlineStr"/>
    </row>
    <row r="972" ht="15" customHeight="1">
      <c r="A972" t="inlineStr">
        <is>
          <t>A 31903-2024</t>
        </is>
      </c>
      <c r="B972" s="1" t="n">
        <v>45510.32447916667</v>
      </c>
      <c r="C972" s="1" t="n">
        <v>46083</v>
      </c>
      <c r="D972" t="inlineStr">
        <is>
          <t>VÄSTERBOTTENS LÄN</t>
        </is>
      </c>
      <c r="E972" t="inlineStr">
        <is>
          <t>UMEÅ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1388-2026</t>
        </is>
      </c>
      <c r="B973" s="1" t="n">
        <v>46031.62766203703</v>
      </c>
      <c r="C973" s="1" t="n">
        <v>46083</v>
      </c>
      <c r="D973" t="inlineStr">
        <is>
          <t>VÄSTERBOTTENS LÄN</t>
        </is>
      </c>
      <c r="E973" t="inlineStr">
        <is>
          <t>UMEÅ</t>
        </is>
      </c>
      <c r="G973" t="n">
        <v>1.1</v>
      </c>
      <c r="H973" t="n">
        <v>0</v>
      </c>
      <c r="I973" t="n">
        <v>0</v>
      </c>
      <c r="J973" t="n">
        <v>0</v>
      </c>
      <c r="K973" t="n">
        <v>0</v>
      </c>
      <c r="L973" t="n">
        <v>0</v>
      </c>
      <c r="M973" t="n">
        <v>0</v>
      </c>
      <c r="N973" t="n">
        <v>0</v>
      </c>
      <c r="O973" t="n">
        <v>0</v>
      </c>
      <c r="P973" t="n">
        <v>0</v>
      </c>
      <c r="Q973" t="n">
        <v>0</v>
      </c>
      <c r="R973" s="2" t="inlineStr"/>
    </row>
    <row r="974" ht="15" customHeight="1">
      <c r="A974" t="inlineStr">
        <is>
          <t>A 57914-2022</t>
        </is>
      </c>
      <c r="B974" s="1" t="n">
        <v>44900.36453703704</v>
      </c>
      <c r="C974" s="1" t="n">
        <v>46083</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42832-2025</t>
        </is>
      </c>
      <c r="B975" s="1" t="n">
        <v>45908</v>
      </c>
      <c r="C975" s="1" t="n">
        <v>46083</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10746-2026</t>
        </is>
      </c>
      <c r="B976" s="1" t="n">
        <v>46078.51724537037</v>
      </c>
      <c r="C976" s="1" t="n">
        <v>46083</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10685-2026</t>
        </is>
      </c>
      <c r="B977" s="1" t="n">
        <v>46078.42490740741</v>
      </c>
      <c r="C977" s="1" t="n">
        <v>46083</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9671-2024</t>
        </is>
      </c>
      <c r="B978" s="1" t="n">
        <v>45362.46013888889</v>
      </c>
      <c r="C978" s="1" t="n">
        <v>46083</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7384-2022</t>
        </is>
      </c>
      <c r="B979" s="1" t="n">
        <v>44606.62334490741</v>
      </c>
      <c r="C979" s="1" t="n">
        <v>46083</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38750-2021</t>
        </is>
      </c>
      <c r="B980" s="1" t="n">
        <v>44410</v>
      </c>
      <c r="C980" s="1" t="n">
        <v>46083</v>
      </c>
      <c r="D980" t="inlineStr">
        <is>
          <t>VÄSTERBOTTENS LÄN</t>
        </is>
      </c>
      <c r="E980" t="inlineStr">
        <is>
          <t>UMEÅ</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43975-2024</t>
        </is>
      </c>
      <c r="B981" s="1" t="n">
        <v>45572.49075231481</v>
      </c>
      <c r="C981" s="1" t="n">
        <v>46083</v>
      </c>
      <c r="D981" t="inlineStr">
        <is>
          <t>VÄSTERBOTTENS LÄN</t>
        </is>
      </c>
      <c r="E981" t="inlineStr">
        <is>
          <t>UMEÅ</t>
        </is>
      </c>
      <c r="G981" t="n">
        <v>6.8</v>
      </c>
      <c r="H981" t="n">
        <v>0</v>
      </c>
      <c r="I981" t="n">
        <v>0</v>
      </c>
      <c r="J981" t="n">
        <v>0</v>
      </c>
      <c r="K981" t="n">
        <v>0</v>
      </c>
      <c r="L981" t="n">
        <v>0</v>
      </c>
      <c r="M981" t="n">
        <v>0</v>
      </c>
      <c r="N981" t="n">
        <v>0</v>
      </c>
      <c r="O981" t="n">
        <v>0</v>
      </c>
      <c r="P981" t="n">
        <v>0</v>
      </c>
      <c r="Q981" t="n">
        <v>0</v>
      </c>
      <c r="R981" s="2" t="inlineStr"/>
    </row>
    <row r="982" ht="15" customHeight="1">
      <c r="A982" t="inlineStr">
        <is>
          <t>A 45343-2024</t>
        </is>
      </c>
      <c r="B982" s="1" t="n">
        <v>45576.47199074074</v>
      </c>
      <c r="C982" s="1" t="n">
        <v>46083</v>
      </c>
      <c r="D982" t="inlineStr">
        <is>
          <t>VÄSTERBOTTENS LÄN</t>
        </is>
      </c>
      <c r="E982" t="inlineStr">
        <is>
          <t>UMEÅ</t>
        </is>
      </c>
      <c r="F982" t="inlineStr">
        <is>
          <t>Holmen skog AB</t>
        </is>
      </c>
      <c r="G982" t="n">
        <v>6.1</v>
      </c>
      <c r="H982" t="n">
        <v>0</v>
      </c>
      <c r="I982" t="n">
        <v>0</v>
      </c>
      <c r="J982" t="n">
        <v>0</v>
      </c>
      <c r="K982" t="n">
        <v>0</v>
      </c>
      <c r="L982" t="n">
        <v>0</v>
      </c>
      <c r="M982" t="n">
        <v>0</v>
      </c>
      <c r="N982" t="n">
        <v>0</v>
      </c>
      <c r="O982" t="n">
        <v>0</v>
      </c>
      <c r="P982" t="n">
        <v>0</v>
      </c>
      <c r="Q982" t="n">
        <v>0</v>
      </c>
      <c r="R982" s="2" t="inlineStr"/>
    </row>
    <row r="983" ht="15" customHeight="1">
      <c r="A983" t="inlineStr">
        <is>
          <t>A 52900-2023</t>
        </is>
      </c>
      <c r="B983" s="1" t="n">
        <v>45226</v>
      </c>
      <c r="C983" s="1" t="n">
        <v>46083</v>
      </c>
      <c r="D983" t="inlineStr">
        <is>
          <t>VÄSTERBOTTENS LÄN</t>
        </is>
      </c>
      <c r="E983" t="inlineStr">
        <is>
          <t>UMEÅ</t>
        </is>
      </c>
      <c r="F983" t="inlineStr">
        <is>
          <t>Holmen skog AB</t>
        </is>
      </c>
      <c r="G983" t="n">
        <v>5</v>
      </c>
      <c r="H983" t="n">
        <v>0</v>
      </c>
      <c r="I983" t="n">
        <v>0</v>
      </c>
      <c r="J983" t="n">
        <v>0</v>
      </c>
      <c r="K983" t="n">
        <v>0</v>
      </c>
      <c r="L983" t="n">
        <v>0</v>
      </c>
      <c r="M983" t="n">
        <v>0</v>
      </c>
      <c r="N983" t="n">
        <v>0</v>
      </c>
      <c r="O983" t="n">
        <v>0</v>
      </c>
      <c r="P983" t="n">
        <v>0</v>
      </c>
      <c r="Q983" t="n">
        <v>0</v>
      </c>
      <c r="R983" s="2" t="inlineStr"/>
    </row>
    <row r="984" ht="15" customHeight="1">
      <c r="A984" t="inlineStr">
        <is>
          <t>A 3411-2023</t>
        </is>
      </c>
      <c r="B984" s="1" t="n">
        <v>44949.55421296296</v>
      </c>
      <c r="C984" s="1" t="n">
        <v>46083</v>
      </c>
      <c r="D984" t="inlineStr">
        <is>
          <t>VÄSTERBOTTENS LÄN</t>
        </is>
      </c>
      <c r="E984" t="inlineStr">
        <is>
          <t>UMEÅ</t>
        </is>
      </c>
      <c r="G984" t="n">
        <v>2</v>
      </c>
      <c r="H984" t="n">
        <v>0</v>
      </c>
      <c r="I984" t="n">
        <v>0</v>
      </c>
      <c r="J984" t="n">
        <v>0</v>
      </c>
      <c r="K984" t="n">
        <v>0</v>
      </c>
      <c r="L984" t="n">
        <v>0</v>
      </c>
      <c r="M984" t="n">
        <v>0</v>
      </c>
      <c r="N984" t="n">
        <v>0</v>
      </c>
      <c r="O984" t="n">
        <v>0</v>
      </c>
      <c r="P984" t="n">
        <v>0</v>
      </c>
      <c r="Q984" t="n">
        <v>0</v>
      </c>
      <c r="R984" s="2" t="inlineStr"/>
    </row>
    <row r="985" ht="15" customHeight="1">
      <c r="A985" t="inlineStr">
        <is>
          <t>A 42010-2024</t>
        </is>
      </c>
      <c r="B985" s="1" t="n">
        <v>45561</v>
      </c>
      <c r="C985" s="1" t="n">
        <v>46083</v>
      </c>
      <c r="D985" t="inlineStr">
        <is>
          <t>VÄSTERBOTTENS LÄN</t>
        </is>
      </c>
      <c r="E985" t="inlineStr">
        <is>
          <t>UMEÅ</t>
        </is>
      </c>
      <c r="G985" t="n">
        <v>0.7</v>
      </c>
      <c r="H985" t="n">
        <v>0</v>
      </c>
      <c r="I985" t="n">
        <v>0</v>
      </c>
      <c r="J985" t="n">
        <v>0</v>
      </c>
      <c r="K985" t="n">
        <v>0</v>
      </c>
      <c r="L985" t="n">
        <v>0</v>
      </c>
      <c r="M985" t="n">
        <v>0</v>
      </c>
      <c r="N985" t="n">
        <v>0</v>
      </c>
      <c r="O985" t="n">
        <v>0</v>
      </c>
      <c r="P985" t="n">
        <v>0</v>
      </c>
      <c r="Q985" t="n">
        <v>0</v>
      </c>
      <c r="R985" s="2" t="inlineStr"/>
    </row>
    <row r="986" ht="15" customHeight="1">
      <c r="A986" t="inlineStr">
        <is>
          <t>A 8409-2022</t>
        </is>
      </c>
      <c r="B986" s="1" t="n">
        <v>44610.92238425926</v>
      </c>
      <c r="C986" s="1" t="n">
        <v>46083</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10750-2026</t>
        </is>
      </c>
      <c r="B987" s="1" t="n">
        <v>46078.53337962963</v>
      </c>
      <c r="C987" s="1" t="n">
        <v>46083</v>
      </c>
      <c r="D987" t="inlineStr">
        <is>
          <t>VÄSTERBOTTENS LÄN</t>
        </is>
      </c>
      <c r="E987" t="inlineStr">
        <is>
          <t>UMEÅ</t>
        </is>
      </c>
      <c r="G987" t="n">
        <v>8.9</v>
      </c>
      <c r="H987" t="n">
        <v>0</v>
      </c>
      <c r="I987" t="n">
        <v>0</v>
      </c>
      <c r="J987" t="n">
        <v>0</v>
      </c>
      <c r="K987" t="n">
        <v>0</v>
      </c>
      <c r="L987" t="n">
        <v>0</v>
      </c>
      <c r="M987" t="n">
        <v>0</v>
      </c>
      <c r="N987" t="n">
        <v>0</v>
      </c>
      <c r="O987" t="n">
        <v>0</v>
      </c>
      <c r="P987" t="n">
        <v>0</v>
      </c>
      <c r="Q987" t="n">
        <v>0</v>
      </c>
      <c r="R987" s="2" t="inlineStr"/>
    </row>
    <row r="988" ht="15" customHeight="1">
      <c r="A988" t="inlineStr">
        <is>
          <t>A 17484-2022</t>
        </is>
      </c>
      <c r="B988" s="1" t="n">
        <v>44679</v>
      </c>
      <c r="C988" s="1" t="n">
        <v>46083</v>
      </c>
      <c r="D988" t="inlineStr">
        <is>
          <t>VÄSTERBOTTENS LÄN</t>
        </is>
      </c>
      <c r="E988" t="inlineStr">
        <is>
          <t>UMEÅ</t>
        </is>
      </c>
      <c r="G988" t="n">
        <v>1.7</v>
      </c>
      <c r="H988" t="n">
        <v>0</v>
      </c>
      <c r="I988" t="n">
        <v>0</v>
      </c>
      <c r="J988" t="n">
        <v>0</v>
      </c>
      <c r="K988" t="n">
        <v>0</v>
      </c>
      <c r="L988" t="n">
        <v>0</v>
      </c>
      <c r="M988" t="n">
        <v>0</v>
      </c>
      <c r="N988" t="n">
        <v>0</v>
      </c>
      <c r="O988" t="n">
        <v>0</v>
      </c>
      <c r="P988" t="n">
        <v>0</v>
      </c>
      <c r="Q988" t="n">
        <v>0</v>
      </c>
      <c r="R988" s="2" t="inlineStr"/>
    </row>
    <row r="989" ht="15" customHeight="1">
      <c r="A989" t="inlineStr">
        <is>
          <t>A 2857-2026</t>
        </is>
      </c>
      <c r="B989" s="1" t="n">
        <v>46038</v>
      </c>
      <c r="C989" s="1" t="n">
        <v>46083</v>
      </c>
      <c r="D989" t="inlineStr">
        <is>
          <t>VÄSTERBOTTENS LÄN</t>
        </is>
      </c>
      <c r="E989" t="inlineStr">
        <is>
          <t>UMEÅ</t>
        </is>
      </c>
      <c r="G989" t="n">
        <v>4.5</v>
      </c>
      <c r="H989" t="n">
        <v>0</v>
      </c>
      <c r="I989" t="n">
        <v>0</v>
      </c>
      <c r="J989" t="n">
        <v>0</v>
      </c>
      <c r="K989" t="n">
        <v>0</v>
      </c>
      <c r="L989" t="n">
        <v>0</v>
      </c>
      <c r="M989" t="n">
        <v>0</v>
      </c>
      <c r="N989" t="n">
        <v>0</v>
      </c>
      <c r="O989" t="n">
        <v>0</v>
      </c>
      <c r="P989" t="n">
        <v>0</v>
      </c>
      <c r="Q989" t="n">
        <v>0</v>
      </c>
      <c r="R989" s="2" t="inlineStr"/>
    </row>
    <row r="990" ht="15" customHeight="1">
      <c r="A990" t="inlineStr">
        <is>
          <t>A 2549-2026</t>
        </is>
      </c>
      <c r="B990" s="1" t="n">
        <v>46037.46994212963</v>
      </c>
      <c r="C990" s="1" t="n">
        <v>46083</v>
      </c>
      <c r="D990" t="inlineStr">
        <is>
          <t>VÄSTERBOTTENS LÄN</t>
        </is>
      </c>
      <c r="E990" t="inlineStr">
        <is>
          <t>UMEÅ</t>
        </is>
      </c>
      <c r="G990" t="n">
        <v>5.3</v>
      </c>
      <c r="H990" t="n">
        <v>0</v>
      </c>
      <c r="I990" t="n">
        <v>0</v>
      </c>
      <c r="J990" t="n">
        <v>0</v>
      </c>
      <c r="K990" t="n">
        <v>0</v>
      </c>
      <c r="L990" t="n">
        <v>0</v>
      </c>
      <c r="M990" t="n">
        <v>0</v>
      </c>
      <c r="N990" t="n">
        <v>0</v>
      </c>
      <c r="O990" t="n">
        <v>0</v>
      </c>
      <c r="P990" t="n">
        <v>0</v>
      </c>
      <c r="Q990" t="n">
        <v>0</v>
      </c>
      <c r="R990" s="2" t="inlineStr"/>
    </row>
    <row r="991" ht="15" customHeight="1">
      <c r="A991" t="inlineStr">
        <is>
          <t>A 26933-2024</t>
        </is>
      </c>
      <c r="B991" s="1" t="n">
        <v>45470</v>
      </c>
      <c r="C991" s="1" t="n">
        <v>46083</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60645-2023</t>
        </is>
      </c>
      <c r="B992" s="1" t="n">
        <v>45260.41273148148</v>
      </c>
      <c r="C992" s="1" t="n">
        <v>46083</v>
      </c>
      <c r="D992" t="inlineStr">
        <is>
          <t>VÄSTERBOTTENS LÄN</t>
        </is>
      </c>
      <c r="E992" t="inlineStr">
        <is>
          <t>UMEÅ</t>
        </is>
      </c>
      <c r="G992" t="n">
        <v>2.5</v>
      </c>
      <c r="H992" t="n">
        <v>0</v>
      </c>
      <c r="I992" t="n">
        <v>0</v>
      </c>
      <c r="J992" t="n">
        <v>0</v>
      </c>
      <c r="K992" t="n">
        <v>0</v>
      </c>
      <c r="L992" t="n">
        <v>0</v>
      </c>
      <c r="M992" t="n">
        <v>0</v>
      </c>
      <c r="N992" t="n">
        <v>0</v>
      </c>
      <c r="O992" t="n">
        <v>0</v>
      </c>
      <c r="P992" t="n">
        <v>0</v>
      </c>
      <c r="Q992" t="n">
        <v>0</v>
      </c>
      <c r="R992" s="2" t="inlineStr"/>
    </row>
    <row r="993" ht="15" customHeight="1">
      <c r="A993" t="inlineStr">
        <is>
          <t>A 52364-2024</t>
        </is>
      </c>
      <c r="B993" s="1" t="n">
        <v>45609.38349537037</v>
      </c>
      <c r="C993" s="1" t="n">
        <v>46083</v>
      </c>
      <c r="D993" t="inlineStr">
        <is>
          <t>VÄSTERBOTTENS LÄN</t>
        </is>
      </c>
      <c r="E993" t="inlineStr">
        <is>
          <t>UMEÅ</t>
        </is>
      </c>
      <c r="F993" t="inlineStr">
        <is>
          <t>Holmen skog AB</t>
        </is>
      </c>
      <c r="G993" t="n">
        <v>5.1</v>
      </c>
      <c r="H993" t="n">
        <v>0</v>
      </c>
      <c r="I993" t="n">
        <v>0</v>
      </c>
      <c r="J993" t="n">
        <v>0</v>
      </c>
      <c r="K993" t="n">
        <v>0</v>
      </c>
      <c r="L993" t="n">
        <v>0</v>
      </c>
      <c r="M993" t="n">
        <v>0</v>
      </c>
      <c r="N993" t="n">
        <v>0</v>
      </c>
      <c r="O993" t="n">
        <v>0</v>
      </c>
      <c r="P993" t="n">
        <v>0</v>
      </c>
      <c r="Q993" t="n">
        <v>0</v>
      </c>
      <c r="R993" s="2" t="inlineStr"/>
    </row>
    <row r="994" ht="15" customHeight="1">
      <c r="A994" t="inlineStr">
        <is>
          <t>A 42000-2024</t>
        </is>
      </c>
      <c r="B994" s="1" t="n">
        <v>45561.65799768519</v>
      </c>
      <c r="C994" s="1" t="n">
        <v>46083</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2603-2026</t>
        </is>
      </c>
      <c r="B995" s="1" t="n">
        <v>46037</v>
      </c>
      <c r="C995" s="1" t="n">
        <v>46083</v>
      </c>
      <c r="D995" t="inlineStr">
        <is>
          <t>VÄSTERBOTTENS LÄN</t>
        </is>
      </c>
      <c r="E995" t="inlineStr">
        <is>
          <t>UMEÅ</t>
        </is>
      </c>
      <c r="G995" t="n">
        <v>2.2</v>
      </c>
      <c r="H995" t="n">
        <v>0</v>
      </c>
      <c r="I995" t="n">
        <v>0</v>
      </c>
      <c r="J995" t="n">
        <v>0</v>
      </c>
      <c r="K995" t="n">
        <v>0</v>
      </c>
      <c r="L995" t="n">
        <v>0</v>
      </c>
      <c r="M995" t="n">
        <v>0</v>
      </c>
      <c r="N995" t="n">
        <v>0</v>
      </c>
      <c r="O995" t="n">
        <v>0</v>
      </c>
      <c r="P995" t="n">
        <v>0</v>
      </c>
      <c r="Q995" t="n">
        <v>0</v>
      </c>
      <c r="R995" s="2" t="inlineStr"/>
    </row>
    <row r="996" ht="15" customHeight="1">
      <c r="A996" t="inlineStr">
        <is>
          <t>A 32791-2024</t>
        </is>
      </c>
      <c r="B996" s="1" t="n">
        <v>45516.54195601852</v>
      </c>
      <c r="C996" s="1" t="n">
        <v>46083</v>
      </c>
      <c r="D996" t="inlineStr">
        <is>
          <t>VÄSTERBOTTENS LÄN</t>
        </is>
      </c>
      <c r="E996" t="inlineStr">
        <is>
          <t>UMEÅ</t>
        </is>
      </c>
      <c r="G996" t="n">
        <v>0.6</v>
      </c>
      <c r="H996" t="n">
        <v>0</v>
      </c>
      <c r="I996" t="n">
        <v>0</v>
      </c>
      <c r="J996" t="n">
        <v>0</v>
      </c>
      <c r="K996" t="n">
        <v>0</v>
      </c>
      <c r="L996" t="n">
        <v>0</v>
      </c>
      <c r="M996" t="n">
        <v>0</v>
      </c>
      <c r="N996" t="n">
        <v>0</v>
      </c>
      <c r="O996" t="n">
        <v>0</v>
      </c>
      <c r="P996" t="n">
        <v>0</v>
      </c>
      <c r="Q996" t="n">
        <v>0</v>
      </c>
      <c r="R996" s="2" t="inlineStr"/>
    </row>
    <row r="997" ht="15" customHeight="1">
      <c r="A997" t="inlineStr">
        <is>
          <t>A 26872-2022</t>
        </is>
      </c>
      <c r="B997" s="1" t="n">
        <v>44740</v>
      </c>
      <c r="C997" s="1" t="n">
        <v>46083</v>
      </c>
      <c r="D997" t="inlineStr">
        <is>
          <t>VÄSTERBOTTENS LÄN</t>
        </is>
      </c>
      <c r="E997" t="inlineStr">
        <is>
          <t>UMEÅ</t>
        </is>
      </c>
      <c r="G997" t="n">
        <v>1.1</v>
      </c>
      <c r="H997" t="n">
        <v>0</v>
      </c>
      <c r="I997" t="n">
        <v>0</v>
      </c>
      <c r="J997" t="n">
        <v>0</v>
      </c>
      <c r="K997" t="n">
        <v>0</v>
      </c>
      <c r="L997" t="n">
        <v>0</v>
      </c>
      <c r="M997" t="n">
        <v>0</v>
      </c>
      <c r="N997" t="n">
        <v>0</v>
      </c>
      <c r="O997" t="n">
        <v>0</v>
      </c>
      <c r="P997" t="n">
        <v>0</v>
      </c>
      <c r="Q997" t="n">
        <v>0</v>
      </c>
      <c r="R997" s="2" t="inlineStr"/>
    </row>
    <row r="998" ht="15" customHeight="1">
      <c r="A998" t="inlineStr">
        <is>
          <t>A 9924-2022</t>
        </is>
      </c>
      <c r="B998" s="1" t="n">
        <v>44620.92203703704</v>
      </c>
      <c r="C998" s="1" t="n">
        <v>46083</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25367-2023</t>
        </is>
      </c>
      <c r="B999" s="1" t="n">
        <v>45088.92412037037</v>
      </c>
      <c r="C999" s="1" t="n">
        <v>46083</v>
      </c>
      <c r="D999" t="inlineStr">
        <is>
          <t>VÄSTERBOTTENS LÄN</t>
        </is>
      </c>
      <c r="E999" t="inlineStr">
        <is>
          <t>UMEÅ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22632-2024</t>
        </is>
      </c>
      <c r="B1000" s="1" t="n">
        <v>45447.67429398148</v>
      </c>
      <c r="C1000" s="1" t="n">
        <v>46083</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44132-2022</t>
        </is>
      </c>
      <c r="B1001" s="1" t="n">
        <v>44839.40086805556</v>
      </c>
      <c r="C1001" s="1" t="n">
        <v>46083</v>
      </c>
      <c r="D1001" t="inlineStr">
        <is>
          <t>VÄSTERBOTTENS LÄN</t>
        </is>
      </c>
      <c r="E1001" t="inlineStr">
        <is>
          <t>UMEÅ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20459-2021</t>
        </is>
      </c>
      <c r="B1002" s="1" t="n">
        <v>44314</v>
      </c>
      <c r="C1002" s="1" t="n">
        <v>46083</v>
      </c>
      <c r="D1002" t="inlineStr">
        <is>
          <t>VÄSTERBOTTENS LÄN</t>
        </is>
      </c>
      <c r="E1002" t="inlineStr">
        <is>
          <t>UMEÅ</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48586-2024</t>
        </is>
      </c>
      <c r="B1003" s="1" t="n">
        <v>45593.42652777778</v>
      </c>
      <c r="C1003" s="1" t="n">
        <v>46083</v>
      </c>
      <c r="D1003" t="inlineStr">
        <is>
          <t>VÄSTERBOTTENS LÄN</t>
        </is>
      </c>
      <c r="E1003" t="inlineStr">
        <is>
          <t>UMEÅ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2737-2023</t>
        </is>
      </c>
      <c r="B1004" s="1" t="n">
        <v>44944</v>
      </c>
      <c r="C1004" s="1" t="n">
        <v>46083</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24586-2022</t>
        </is>
      </c>
      <c r="B1005" s="1" t="n">
        <v>44727.45271990741</v>
      </c>
      <c r="C1005" s="1" t="n">
        <v>46083</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9531-2023</t>
        </is>
      </c>
      <c r="B1006" s="1" t="n">
        <v>44981</v>
      </c>
      <c r="C1006" s="1" t="n">
        <v>46083</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2632-2023</t>
        </is>
      </c>
      <c r="B1007" s="1" t="n">
        <v>44944</v>
      </c>
      <c r="C1007" s="1" t="n">
        <v>46083</v>
      </c>
      <c r="D1007" t="inlineStr">
        <is>
          <t>VÄSTERBOTTENS LÄN</t>
        </is>
      </c>
      <c r="E1007" t="inlineStr">
        <is>
          <t>UMEÅ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2634-2023</t>
        </is>
      </c>
      <c r="B1008" s="1" t="n">
        <v>44944.4013425926</v>
      </c>
      <c r="C1008" s="1" t="n">
        <v>46083</v>
      </c>
      <c r="D1008" t="inlineStr">
        <is>
          <t>VÄSTERBOTTENS LÄN</t>
        </is>
      </c>
      <c r="E1008" t="inlineStr">
        <is>
          <t>UMEÅ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14432-2022</t>
        </is>
      </c>
      <c r="B1009" s="1" t="n">
        <v>44652.92743055556</v>
      </c>
      <c r="C1009" s="1" t="n">
        <v>46083</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29454-2023</t>
        </is>
      </c>
      <c r="B1010" s="1" t="n">
        <v>45098</v>
      </c>
      <c r="C1010" s="1" t="n">
        <v>46083</v>
      </c>
      <c r="D1010" t="inlineStr">
        <is>
          <t>VÄSTERBOTTENS LÄN</t>
        </is>
      </c>
      <c r="E1010" t="inlineStr">
        <is>
          <t>UMEÅ</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2695-2023</t>
        </is>
      </c>
      <c r="B1011" s="1" t="n">
        <v>44944</v>
      </c>
      <c r="C1011" s="1" t="n">
        <v>46083</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36955-2023</t>
        </is>
      </c>
      <c r="B1012" s="1" t="n">
        <v>45154</v>
      </c>
      <c r="C1012" s="1" t="n">
        <v>46083</v>
      </c>
      <c r="D1012" t="inlineStr">
        <is>
          <t>VÄSTERBOTTENS LÄN</t>
        </is>
      </c>
      <c r="E1012" t="inlineStr">
        <is>
          <t>UMEÅ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37443-2023</t>
        </is>
      </c>
      <c r="B1013" s="1" t="n">
        <v>45147</v>
      </c>
      <c r="C1013" s="1" t="n">
        <v>46083</v>
      </c>
      <c r="D1013" t="inlineStr">
        <is>
          <t>VÄSTERBOTTENS LÄN</t>
        </is>
      </c>
      <c r="E1013" t="inlineStr">
        <is>
          <t>UMEÅ</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2073-2024</t>
        </is>
      </c>
      <c r="B1014" s="1" t="n">
        <v>45309</v>
      </c>
      <c r="C1014" s="1" t="n">
        <v>46083</v>
      </c>
      <c r="D1014" t="inlineStr">
        <is>
          <t>VÄSTERBOTTENS LÄN</t>
        </is>
      </c>
      <c r="E1014" t="inlineStr">
        <is>
          <t>UMEÅ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10357-2023</t>
        </is>
      </c>
      <c r="B1015" s="1" t="n">
        <v>44980</v>
      </c>
      <c r="C1015" s="1" t="n">
        <v>46083</v>
      </c>
      <c r="D1015" t="inlineStr">
        <is>
          <t>VÄSTERBOTTENS LÄN</t>
        </is>
      </c>
      <c r="E1015" t="inlineStr">
        <is>
          <t>UMEÅ</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18448-2023</t>
        </is>
      </c>
      <c r="B1016" s="1" t="n">
        <v>45042</v>
      </c>
      <c r="C1016" s="1" t="n">
        <v>46083</v>
      </c>
      <c r="D1016" t="inlineStr">
        <is>
          <t>VÄSTERBOTTENS LÄN</t>
        </is>
      </c>
      <c r="E1016" t="inlineStr">
        <is>
          <t>UMEÅ</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48751-2023</t>
        </is>
      </c>
      <c r="B1017" s="1" t="n">
        <v>45208.89429398148</v>
      </c>
      <c r="C1017" s="1" t="n">
        <v>46083</v>
      </c>
      <c r="D1017" t="inlineStr">
        <is>
          <t>VÄSTERBOTTENS LÄN</t>
        </is>
      </c>
      <c r="E1017" t="inlineStr">
        <is>
          <t>UMEÅ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37629-2024</t>
        </is>
      </c>
      <c r="B1018" s="1" t="n">
        <v>45541.53135416667</v>
      </c>
      <c r="C1018" s="1" t="n">
        <v>46083</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49793-2024</t>
        </is>
      </c>
      <c r="B1019" s="1" t="n">
        <v>45597.3706712963</v>
      </c>
      <c r="C1019" s="1" t="n">
        <v>46083</v>
      </c>
      <c r="D1019" t="inlineStr">
        <is>
          <t>VÄSTERBOTTENS LÄN</t>
        </is>
      </c>
      <c r="E1019" t="inlineStr">
        <is>
          <t>UMEÅ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57883-2023</t>
        </is>
      </c>
      <c r="B1020" s="1" t="n">
        <v>45247.47055555556</v>
      </c>
      <c r="C1020" s="1" t="n">
        <v>46083</v>
      </c>
      <c r="D1020" t="inlineStr">
        <is>
          <t>VÄSTERBOTTENS LÄN</t>
        </is>
      </c>
      <c r="E1020" t="inlineStr">
        <is>
          <t>UMEÅ</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17110-2023</t>
        </is>
      </c>
      <c r="B1021" s="1" t="n">
        <v>45030</v>
      </c>
      <c r="C1021" s="1" t="n">
        <v>46083</v>
      </c>
      <c r="D1021" t="inlineStr">
        <is>
          <t>VÄSTERBOTTENS LÄN</t>
        </is>
      </c>
      <c r="E1021" t="inlineStr">
        <is>
          <t>UMEÅ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24875-2023</t>
        </is>
      </c>
      <c r="B1022" s="1" t="n">
        <v>45078</v>
      </c>
      <c r="C1022" s="1" t="n">
        <v>46083</v>
      </c>
      <c r="D1022" t="inlineStr">
        <is>
          <t>VÄSTERBOTTENS LÄN</t>
        </is>
      </c>
      <c r="E1022" t="inlineStr">
        <is>
          <t>UMEÅ</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58440-2024</t>
        </is>
      </c>
      <c r="B1023" s="1" t="n">
        <v>45635.31018518518</v>
      </c>
      <c r="C1023" s="1" t="n">
        <v>46083</v>
      </c>
      <c r="D1023" t="inlineStr">
        <is>
          <t>VÄSTERBOTTENS LÄN</t>
        </is>
      </c>
      <c r="E1023" t="inlineStr">
        <is>
          <t>UMEÅ</t>
        </is>
      </c>
      <c r="F1023" t="inlineStr">
        <is>
          <t>Holmen skog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15430-2024</t>
        </is>
      </c>
      <c r="B1024" s="1" t="n">
        <v>45401</v>
      </c>
      <c r="C1024" s="1" t="n">
        <v>46083</v>
      </c>
      <c r="D1024" t="inlineStr">
        <is>
          <t>VÄSTERBOTTENS LÄN</t>
        </is>
      </c>
      <c r="E1024" t="inlineStr">
        <is>
          <t>UMEÅ</t>
        </is>
      </c>
      <c r="F1024" t="inlineStr">
        <is>
          <t>Holmen skog AB</t>
        </is>
      </c>
      <c r="G1024" t="n">
        <v>37.4</v>
      </c>
      <c r="H1024" t="n">
        <v>0</v>
      </c>
      <c r="I1024" t="n">
        <v>0</v>
      </c>
      <c r="J1024" t="n">
        <v>0</v>
      </c>
      <c r="K1024" t="n">
        <v>0</v>
      </c>
      <c r="L1024" t="n">
        <v>0</v>
      </c>
      <c r="M1024" t="n">
        <v>0</v>
      </c>
      <c r="N1024" t="n">
        <v>0</v>
      </c>
      <c r="O1024" t="n">
        <v>0</v>
      </c>
      <c r="P1024" t="n">
        <v>0</v>
      </c>
      <c r="Q1024" t="n">
        <v>0</v>
      </c>
      <c r="R1024" s="2" t="inlineStr"/>
    </row>
    <row r="1025" ht="15" customHeight="1">
      <c r="A1025" t="inlineStr">
        <is>
          <t>A 54509-2024</t>
        </is>
      </c>
      <c r="B1025" s="1" t="n">
        <v>45617.58597222222</v>
      </c>
      <c r="C1025" s="1" t="n">
        <v>46083</v>
      </c>
      <c r="D1025" t="inlineStr">
        <is>
          <t>VÄSTERBOTTENS LÄN</t>
        </is>
      </c>
      <c r="E1025" t="inlineStr">
        <is>
          <t>UMEÅ</t>
        </is>
      </c>
      <c r="F1025" t="inlineStr">
        <is>
          <t>Holmen skog AB</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5302-2025</t>
        </is>
      </c>
      <c r="B1026" s="1" t="n">
        <v>45692.47335648148</v>
      </c>
      <c r="C1026" s="1" t="n">
        <v>46083</v>
      </c>
      <c r="D1026" t="inlineStr">
        <is>
          <t>VÄSTERBOTTENS LÄN</t>
        </is>
      </c>
      <c r="E1026" t="inlineStr">
        <is>
          <t>UMEÅ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45325-2024</t>
        </is>
      </c>
      <c r="B1027" s="1" t="n">
        <v>45576.45346064815</v>
      </c>
      <c r="C1027" s="1" t="n">
        <v>46083</v>
      </c>
      <c r="D1027" t="inlineStr">
        <is>
          <t>VÄSTERBOTTENS LÄN</t>
        </is>
      </c>
      <c r="E1027" t="inlineStr">
        <is>
          <t>UMEÅ</t>
        </is>
      </c>
      <c r="F1027" t="inlineStr">
        <is>
          <t>Holmen skog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759-2023</t>
        </is>
      </c>
      <c r="B1028" s="1" t="n">
        <v>44931</v>
      </c>
      <c r="C1028" s="1" t="n">
        <v>46083</v>
      </c>
      <c r="D1028" t="inlineStr">
        <is>
          <t>VÄSTERBOTTENS LÄN</t>
        </is>
      </c>
      <c r="E1028" t="inlineStr">
        <is>
          <t>UMEÅ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17352-2023</t>
        </is>
      </c>
      <c r="B1029" s="1" t="n">
        <v>45033</v>
      </c>
      <c r="C1029" s="1" t="n">
        <v>46083</v>
      </c>
      <c r="D1029" t="inlineStr">
        <is>
          <t>VÄSTERBOTTENS LÄN</t>
        </is>
      </c>
      <c r="E1029" t="inlineStr">
        <is>
          <t>UMEÅ</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23983-2023</t>
        </is>
      </c>
      <c r="B1030" s="1" t="n">
        <v>45078</v>
      </c>
      <c r="C1030" s="1" t="n">
        <v>46083</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58130-2023</t>
        </is>
      </c>
      <c r="B1031" s="1" t="n">
        <v>45249.95226851852</v>
      </c>
      <c r="C1031" s="1" t="n">
        <v>46083</v>
      </c>
      <c r="D1031" t="inlineStr">
        <is>
          <t>VÄSTERBOTTENS LÄN</t>
        </is>
      </c>
      <c r="E1031" t="inlineStr">
        <is>
          <t>UMEÅ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9169-2025</t>
        </is>
      </c>
      <c r="B1032" s="1" t="n">
        <v>45714.39142361111</v>
      </c>
      <c r="C1032" s="1" t="n">
        <v>46083</v>
      </c>
      <c r="D1032" t="inlineStr">
        <is>
          <t>VÄSTERBOTTENS LÄN</t>
        </is>
      </c>
      <c r="E1032" t="inlineStr">
        <is>
          <t>UMEÅ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59333-2023</t>
        </is>
      </c>
      <c r="B1033" s="1" t="n">
        <v>45252</v>
      </c>
      <c r="C1033" s="1" t="n">
        <v>46083</v>
      </c>
      <c r="D1033" t="inlineStr">
        <is>
          <t>VÄSTERBOTTENS LÄN</t>
        </is>
      </c>
      <c r="E1033" t="inlineStr">
        <is>
          <t>UMEÅ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11063-2025</t>
        </is>
      </c>
      <c r="B1034" s="1" t="n">
        <v>45723.52046296297</v>
      </c>
      <c r="C1034" s="1" t="n">
        <v>46083</v>
      </c>
      <c r="D1034" t="inlineStr">
        <is>
          <t>VÄSTERBOTTENS LÄN</t>
        </is>
      </c>
      <c r="E1034" t="inlineStr">
        <is>
          <t>UMEÅ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2258-2025</t>
        </is>
      </c>
      <c r="B1035" s="1" t="n">
        <v>45673.51619212963</v>
      </c>
      <c r="C1035" s="1" t="n">
        <v>46083</v>
      </c>
      <c r="D1035" t="inlineStr">
        <is>
          <t>VÄSTERBOTTENS LÄN</t>
        </is>
      </c>
      <c r="E1035" t="inlineStr">
        <is>
          <t>UMEÅ</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57510-2024</t>
        </is>
      </c>
      <c r="B1036" s="1" t="n">
        <v>45630.3946875</v>
      </c>
      <c r="C1036" s="1" t="n">
        <v>46083</v>
      </c>
      <c r="D1036" t="inlineStr">
        <is>
          <t>VÄSTERBOTTENS LÄN</t>
        </is>
      </c>
      <c r="E1036" t="inlineStr">
        <is>
          <t>UMEÅ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7263-2022</t>
        </is>
      </c>
      <c r="B1037" s="1" t="n">
        <v>44606.44032407407</v>
      </c>
      <c r="C1037" s="1" t="n">
        <v>46083</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10532-2023</t>
        </is>
      </c>
      <c r="B1038" s="1" t="n">
        <v>44987</v>
      </c>
      <c r="C1038" s="1" t="n">
        <v>46083</v>
      </c>
      <c r="D1038" t="inlineStr">
        <is>
          <t>VÄSTERBOTTENS LÄN</t>
        </is>
      </c>
      <c r="E1038" t="inlineStr">
        <is>
          <t>UMEÅ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22291-2023</t>
        </is>
      </c>
      <c r="B1039" s="1" t="n">
        <v>45070</v>
      </c>
      <c r="C1039" s="1" t="n">
        <v>46083</v>
      </c>
      <c r="D1039" t="inlineStr">
        <is>
          <t>VÄSTERBOTTENS LÄN</t>
        </is>
      </c>
      <c r="E1039" t="inlineStr">
        <is>
          <t>UMEÅ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53787-2024</t>
        </is>
      </c>
      <c r="B1040" s="1" t="n">
        <v>45615</v>
      </c>
      <c r="C1040" s="1" t="n">
        <v>46083</v>
      </c>
      <c r="D1040" t="inlineStr">
        <is>
          <t>VÄSTERBOTTENS LÄN</t>
        </is>
      </c>
      <c r="E1040" t="inlineStr">
        <is>
          <t>UMEÅ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2766-2025</t>
        </is>
      </c>
      <c r="B1041" s="1" t="n">
        <v>45677.49140046296</v>
      </c>
      <c r="C1041" s="1" t="n">
        <v>46083</v>
      </c>
      <c r="D1041" t="inlineStr">
        <is>
          <t>VÄSTERBOTTENS LÄN</t>
        </is>
      </c>
      <c r="E1041" t="inlineStr">
        <is>
          <t>UMEÅ</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61105-2023</t>
        </is>
      </c>
      <c r="B1042" s="1" t="n">
        <v>45261.66517361111</v>
      </c>
      <c r="C1042" s="1" t="n">
        <v>46083</v>
      </c>
      <c r="D1042" t="inlineStr">
        <is>
          <t>VÄSTERBOTTENS LÄN</t>
        </is>
      </c>
      <c r="E1042" t="inlineStr">
        <is>
          <t>UMEÅ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43163-2023</t>
        </is>
      </c>
      <c r="B1043" s="1" t="n">
        <v>45183</v>
      </c>
      <c r="C1043" s="1" t="n">
        <v>46083</v>
      </c>
      <c r="D1043" t="inlineStr">
        <is>
          <t>VÄSTERBOTTENS LÄN</t>
        </is>
      </c>
      <c r="E1043" t="inlineStr">
        <is>
          <t>UMEÅ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25966-2022</t>
        </is>
      </c>
      <c r="B1044" s="1" t="n">
        <v>44734</v>
      </c>
      <c r="C1044" s="1" t="n">
        <v>46083</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7213-2025</t>
        </is>
      </c>
      <c r="B1045" s="1" t="n">
        <v>45702.47341435185</v>
      </c>
      <c r="C1045" s="1" t="n">
        <v>46083</v>
      </c>
      <c r="D1045" t="inlineStr">
        <is>
          <t>VÄSTERBOTTENS LÄN</t>
        </is>
      </c>
      <c r="E1045" t="inlineStr">
        <is>
          <t>UMEÅ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20142-2025</t>
        </is>
      </c>
      <c r="B1046" s="1" t="n">
        <v>45772.52554398148</v>
      </c>
      <c r="C1046" s="1" t="n">
        <v>46083</v>
      </c>
      <c r="D1046" t="inlineStr">
        <is>
          <t>VÄSTERBOTTENS LÄN</t>
        </is>
      </c>
      <c r="E1046" t="inlineStr">
        <is>
          <t>UMEÅ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26738-2024</t>
        </is>
      </c>
      <c r="B1047" s="1" t="n">
        <v>45470.44721064815</v>
      </c>
      <c r="C1047" s="1" t="n">
        <v>46083</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4629-2022</t>
        </is>
      </c>
      <c r="B1048" s="1" t="n">
        <v>44592.40050925926</v>
      </c>
      <c r="C1048" s="1" t="n">
        <v>46083</v>
      </c>
      <c r="D1048" t="inlineStr">
        <is>
          <t>VÄSTERBOTTENS LÄN</t>
        </is>
      </c>
      <c r="E1048" t="inlineStr">
        <is>
          <t>UMEÅ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18907-2023</t>
        </is>
      </c>
      <c r="B1049" s="1" t="n">
        <v>45043</v>
      </c>
      <c r="C1049" s="1" t="n">
        <v>46083</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51390-2024</t>
        </is>
      </c>
      <c r="B1050" s="1" t="n">
        <v>45604.40876157407</v>
      </c>
      <c r="C1050" s="1" t="n">
        <v>46083</v>
      </c>
      <c r="D1050" t="inlineStr">
        <is>
          <t>VÄSTERBOTTENS LÄN</t>
        </is>
      </c>
      <c r="E1050" t="inlineStr">
        <is>
          <t>UMEÅ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46083</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51544-2023</t>
        </is>
      </c>
      <c r="B1052" s="1" t="n">
        <v>45222.41521990741</v>
      </c>
      <c r="C1052" s="1" t="n">
        <v>46083</v>
      </c>
      <c r="D1052" t="inlineStr">
        <is>
          <t>VÄSTERBOTTENS LÄN</t>
        </is>
      </c>
      <c r="E1052" t="inlineStr">
        <is>
          <t>UMEÅ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45797-2024</t>
        </is>
      </c>
      <c r="B1053" s="1" t="n">
        <v>45579.67520833333</v>
      </c>
      <c r="C1053" s="1" t="n">
        <v>46083</v>
      </c>
      <c r="D1053" t="inlineStr">
        <is>
          <t>VÄSTERBOTTENS LÄN</t>
        </is>
      </c>
      <c r="E1053" t="inlineStr">
        <is>
          <t>UMEÅ</t>
        </is>
      </c>
      <c r="F1053" t="inlineStr">
        <is>
          <t>Holmen skog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1089-2024</t>
        </is>
      </c>
      <c r="B1054" s="1" t="n">
        <v>45301</v>
      </c>
      <c r="C1054" s="1" t="n">
        <v>46083</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15701-2025</t>
        </is>
      </c>
      <c r="B1055" s="1" t="n">
        <v>45748.47508101852</v>
      </c>
      <c r="C1055" s="1" t="n">
        <v>46083</v>
      </c>
      <c r="D1055" t="inlineStr">
        <is>
          <t>VÄSTERBOTTENS LÄN</t>
        </is>
      </c>
      <c r="E1055" t="inlineStr">
        <is>
          <t>UMEÅ</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63136-2023</t>
        </is>
      </c>
      <c r="B1056" s="1" t="n">
        <v>45273.46479166667</v>
      </c>
      <c r="C1056" s="1" t="n">
        <v>46083</v>
      </c>
      <c r="D1056" t="inlineStr">
        <is>
          <t>VÄSTERBOTTENS LÄN</t>
        </is>
      </c>
      <c r="E1056" t="inlineStr">
        <is>
          <t>UMEÅ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17345-2025</t>
        </is>
      </c>
      <c r="B1057" s="1" t="n">
        <v>45756.67292824074</v>
      </c>
      <c r="C1057" s="1" t="n">
        <v>46083</v>
      </c>
      <c r="D1057" t="inlineStr">
        <is>
          <t>VÄSTERBOTTENS LÄN</t>
        </is>
      </c>
      <c r="E1057" t="inlineStr">
        <is>
          <t>UMEÅ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3830-2025</t>
        </is>
      </c>
      <c r="B1058" s="1" t="n">
        <v>45681.84473379629</v>
      </c>
      <c r="C1058" s="1" t="n">
        <v>46083</v>
      </c>
      <c r="D1058" t="inlineStr">
        <is>
          <t>VÄSTERBOTTENS LÄN</t>
        </is>
      </c>
      <c r="E1058" t="inlineStr">
        <is>
          <t>UMEÅ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4251-2025</t>
        </is>
      </c>
      <c r="B1059" s="1" t="n">
        <v>45685.60450231482</v>
      </c>
      <c r="C1059" s="1" t="n">
        <v>46083</v>
      </c>
      <c r="D1059" t="inlineStr">
        <is>
          <t>VÄSTERBOTTENS LÄN</t>
        </is>
      </c>
      <c r="E1059" t="inlineStr">
        <is>
          <t>UMEÅ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7693-2025</t>
        </is>
      </c>
      <c r="B1060" s="1" t="n">
        <v>45706.39457175926</v>
      </c>
      <c r="C1060" s="1" t="n">
        <v>46083</v>
      </c>
      <c r="D1060" t="inlineStr">
        <is>
          <t>VÄSTERBOTTENS LÄN</t>
        </is>
      </c>
      <c r="E1060" t="inlineStr">
        <is>
          <t>UMEÅ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7696-2025</t>
        </is>
      </c>
      <c r="B1061" s="1" t="n">
        <v>45706.39914351852</v>
      </c>
      <c r="C1061" s="1" t="n">
        <v>46083</v>
      </c>
      <c r="D1061" t="inlineStr">
        <is>
          <t>VÄSTERBOTTENS LÄN</t>
        </is>
      </c>
      <c r="E1061" t="inlineStr">
        <is>
          <t>UMEÅ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13766-2025</t>
        </is>
      </c>
      <c r="B1062" s="1" t="n">
        <v>45737.43314814815</v>
      </c>
      <c r="C1062" s="1" t="n">
        <v>46083</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5232-2025</t>
        </is>
      </c>
      <c r="B1063" s="1" t="n">
        <v>45691</v>
      </c>
      <c r="C1063" s="1" t="n">
        <v>46083</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62106-2022</t>
        </is>
      </c>
      <c r="B1064" s="1" t="n">
        <v>44920</v>
      </c>
      <c r="C1064" s="1" t="n">
        <v>46083</v>
      </c>
      <c r="D1064" t="inlineStr">
        <is>
          <t>VÄSTERBOTTENS LÄN</t>
        </is>
      </c>
      <c r="E1064" t="inlineStr">
        <is>
          <t>UMEÅ</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31031-2024</t>
        </is>
      </c>
      <c r="B1065" s="1" t="n">
        <v>45501.40922453703</v>
      </c>
      <c r="C1065" s="1" t="n">
        <v>46083</v>
      </c>
      <c r="D1065" t="inlineStr">
        <is>
          <t>VÄSTERBOTTENS LÄN</t>
        </is>
      </c>
      <c r="E1065" t="inlineStr">
        <is>
          <t>UMEÅ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23718-2023</t>
        </is>
      </c>
      <c r="B1066" s="1" t="n">
        <v>45077.66282407408</v>
      </c>
      <c r="C1066" s="1" t="n">
        <v>46083</v>
      </c>
      <c r="D1066" t="inlineStr">
        <is>
          <t>VÄSTERBOTTENS LÄN</t>
        </is>
      </c>
      <c r="E1066" t="inlineStr">
        <is>
          <t>UMEÅ</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54143-2024</t>
        </is>
      </c>
      <c r="B1067" s="1" t="n">
        <v>45616</v>
      </c>
      <c r="C1067" s="1" t="n">
        <v>46083</v>
      </c>
      <c r="D1067" t="inlineStr">
        <is>
          <t>VÄSTERBOTTENS LÄN</t>
        </is>
      </c>
      <c r="E1067" t="inlineStr">
        <is>
          <t>UMEÅ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10899-2025</t>
        </is>
      </c>
      <c r="B1068" s="1" t="n">
        <v>45722</v>
      </c>
      <c r="C1068" s="1" t="n">
        <v>46083</v>
      </c>
      <c r="D1068" t="inlineStr">
        <is>
          <t>VÄSTERBOTTENS LÄN</t>
        </is>
      </c>
      <c r="E1068" t="inlineStr">
        <is>
          <t>UMEÅ</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15358-2023</t>
        </is>
      </c>
      <c r="B1069" s="1" t="n">
        <v>45016</v>
      </c>
      <c r="C1069" s="1" t="n">
        <v>46083</v>
      </c>
      <c r="D1069" t="inlineStr">
        <is>
          <t>VÄSTERBOTTENS LÄN</t>
        </is>
      </c>
      <c r="E1069" t="inlineStr">
        <is>
          <t>UMEÅ</t>
        </is>
      </c>
      <c r="F1069" t="inlineStr">
        <is>
          <t>Kommuner</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63188-2023</t>
        </is>
      </c>
      <c r="B1070" s="1" t="n">
        <v>45272</v>
      </c>
      <c r="C1070" s="1" t="n">
        <v>46083</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13820-2025</t>
        </is>
      </c>
      <c r="B1071" s="1" t="n">
        <v>45737.5315625</v>
      </c>
      <c r="C1071" s="1" t="n">
        <v>46083</v>
      </c>
      <c r="D1071" t="inlineStr">
        <is>
          <t>VÄSTERBOTTENS LÄN</t>
        </is>
      </c>
      <c r="E1071" t="inlineStr">
        <is>
          <t>UMEÅ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13195-2025</t>
        </is>
      </c>
      <c r="B1072" s="1" t="n">
        <v>45735</v>
      </c>
      <c r="C1072" s="1" t="n">
        <v>46083</v>
      </c>
      <c r="D1072" t="inlineStr">
        <is>
          <t>VÄSTERBOTTENS LÄN</t>
        </is>
      </c>
      <c r="E1072" t="inlineStr">
        <is>
          <t>UMEÅ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27941-2024</t>
        </is>
      </c>
      <c r="B1073" s="1" t="n">
        <v>45475</v>
      </c>
      <c r="C1073" s="1" t="n">
        <v>46083</v>
      </c>
      <c r="D1073" t="inlineStr">
        <is>
          <t>VÄSTERBOTTENS LÄN</t>
        </is>
      </c>
      <c r="E1073" t="inlineStr">
        <is>
          <t>UMEÅ</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15904-2025</t>
        </is>
      </c>
      <c r="B1074" s="1" t="n">
        <v>45749.43325231481</v>
      </c>
      <c r="C1074" s="1" t="n">
        <v>46083</v>
      </c>
      <c r="D1074" t="inlineStr">
        <is>
          <t>VÄSTERBOTTENS LÄN</t>
        </is>
      </c>
      <c r="E1074" t="inlineStr">
        <is>
          <t>UMEÅ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51415-2024</t>
        </is>
      </c>
      <c r="B1075" s="1" t="n">
        <v>45604</v>
      </c>
      <c r="C1075" s="1" t="n">
        <v>46083</v>
      </c>
      <c r="D1075" t="inlineStr">
        <is>
          <t>VÄSTERBOTTENS LÄN</t>
        </is>
      </c>
      <c r="E1075" t="inlineStr">
        <is>
          <t>UMEÅ</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57497-2024</t>
        </is>
      </c>
      <c r="B1076" s="1" t="n">
        <v>45630</v>
      </c>
      <c r="C1076" s="1" t="n">
        <v>46083</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35209-2024</t>
        </is>
      </c>
      <c r="B1077" s="1" t="n">
        <v>45530</v>
      </c>
      <c r="C1077" s="1" t="n">
        <v>46083</v>
      </c>
      <c r="D1077" t="inlineStr">
        <is>
          <t>VÄSTERBOTTENS LÄN</t>
        </is>
      </c>
      <c r="E1077" t="inlineStr">
        <is>
          <t>UMEÅ</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35228-2024</t>
        </is>
      </c>
      <c r="B1078" s="1" t="n">
        <v>45530.52100694444</v>
      </c>
      <c r="C1078" s="1" t="n">
        <v>46083</v>
      </c>
      <c r="D1078" t="inlineStr">
        <is>
          <t>VÄSTERBOTTENS LÄN</t>
        </is>
      </c>
      <c r="E1078" t="inlineStr">
        <is>
          <t>UMEÅ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61280-2023</t>
        </is>
      </c>
      <c r="B1079" s="1" t="n">
        <v>45260</v>
      </c>
      <c r="C1079" s="1" t="n">
        <v>46083</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37260-2024</t>
        </is>
      </c>
      <c r="B1080" s="1" t="n">
        <v>45540.37623842592</v>
      </c>
      <c r="C1080" s="1" t="n">
        <v>46083</v>
      </c>
      <c r="D1080" t="inlineStr">
        <is>
          <t>VÄSTERBOTTENS LÄN</t>
        </is>
      </c>
      <c r="E1080" t="inlineStr">
        <is>
          <t>UMEÅ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14316-2025</t>
        </is>
      </c>
      <c r="B1081" s="1" t="n">
        <v>45740</v>
      </c>
      <c r="C1081" s="1" t="n">
        <v>46083</v>
      </c>
      <c r="D1081" t="inlineStr">
        <is>
          <t>VÄSTERBOTTENS LÄN</t>
        </is>
      </c>
      <c r="E1081" t="inlineStr">
        <is>
          <t>UMEÅ</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3254-2024</t>
        </is>
      </c>
      <c r="B1082" s="1" t="n">
        <v>45316</v>
      </c>
      <c r="C1082" s="1" t="n">
        <v>46083</v>
      </c>
      <c r="D1082" t="inlineStr">
        <is>
          <t>VÄSTERBOTTENS LÄN</t>
        </is>
      </c>
      <c r="E1082" t="inlineStr">
        <is>
          <t>UMEÅ</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15459-2025</t>
        </is>
      </c>
      <c r="B1083" s="1" t="n">
        <v>45747.50991898148</v>
      </c>
      <c r="C1083" s="1" t="n">
        <v>46083</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58680-2024</t>
        </is>
      </c>
      <c r="B1084" s="1" t="n">
        <v>45635</v>
      </c>
      <c r="C1084" s="1" t="n">
        <v>46083</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58899-2024</t>
        </is>
      </c>
      <c r="B1085" s="1" t="n">
        <v>45636.4705787037</v>
      </c>
      <c r="C1085" s="1" t="n">
        <v>46083</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20981-2025</t>
        </is>
      </c>
      <c r="B1086" s="1" t="n">
        <v>45777.46688657408</v>
      </c>
      <c r="C1086" s="1" t="n">
        <v>46083</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21228-2025</t>
        </is>
      </c>
      <c r="B1087" s="1" t="n">
        <v>45779.52741898148</v>
      </c>
      <c r="C1087" s="1" t="n">
        <v>46083</v>
      </c>
      <c r="D1087" t="inlineStr">
        <is>
          <t>VÄSTERBOTTENS LÄN</t>
        </is>
      </c>
      <c r="E1087" t="inlineStr">
        <is>
          <t>UMEÅ</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18455-2021</t>
        </is>
      </c>
      <c r="B1088" s="1" t="n">
        <v>44305</v>
      </c>
      <c r="C1088" s="1" t="n">
        <v>46083</v>
      </c>
      <c r="D1088" t="inlineStr">
        <is>
          <t>VÄSTERBOTTENS LÄN</t>
        </is>
      </c>
      <c r="E1088" t="inlineStr">
        <is>
          <t>UMEÅ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43357-2021</t>
        </is>
      </c>
      <c r="B1089" s="1" t="n">
        <v>44432</v>
      </c>
      <c r="C1089" s="1" t="n">
        <v>46083</v>
      </c>
      <c r="D1089" t="inlineStr">
        <is>
          <t>VÄSTERBOTTENS LÄN</t>
        </is>
      </c>
      <c r="E1089" t="inlineStr">
        <is>
          <t>UMEÅ</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15903-2025</t>
        </is>
      </c>
      <c r="B1090" s="1" t="n">
        <v>45749</v>
      </c>
      <c r="C1090" s="1" t="n">
        <v>46083</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22007-2025</t>
        </is>
      </c>
      <c r="B1091" s="1" t="n">
        <v>45784</v>
      </c>
      <c r="C1091" s="1" t="n">
        <v>46083</v>
      </c>
      <c r="D1091" t="inlineStr">
        <is>
          <t>VÄSTERBOTTENS LÄN</t>
        </is>
      </c>
      <c r="E1091" t="inlineStr">
        <is>
          <t>UMEÅ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21800-2025</t>
        </is>
      </c>
      <c r="B1092" s="1" t="n">
        <v>45783.68863425926</v>
      </c>
      <c r="C1092" s="1" t="n">
        <v>46083</v>
      </c>
      <c r="D1092" t="inlineStr">
        <is>
          <t>VÄSTERBOTTENS LÄN</t>
        </is>
      </c>
      <c r="E1092" t="inlineStr">
        <is>
          <t>UMEÅ</t>
        </is>
      </c>
      <c r="F1092" t="inlineStr">
        <is>
          <t>Kyrkan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21794-2025</t>
        </is>
      </c>
      <c r="B1093" s="1" t="n">
        <v>45783.67894675926</v>
      </c>
      <c r="C1093" s="1" t="n">
        <v>46083</v>
      </c>
      <c r="D1093" t="inlineStr">
        <is>
          <t>VÄSTERBOTTENS LÄN</t>
        </is>
      </c>
      <c r="E1093" t="inlineStr">
        <is>
          <t>UMEÅ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22004-2025</t>
        </is>
      </c>
      <c r="B1094" s="1" t="n">
        <v>45784</v>
      </c>
      <c r="C1094" s="1" t="n">
        <v>46083</v>
      </c>
      <c r="D1094" t="inlineStr">
        <is>
          <t>VÄSTERBOTTENS LÄN</t>
        </is>
      </c>
      <c r="E1094" t="inlineStr">
        <is>
          <t>UMEÅ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21610-2025</t>
        </is>
      </c>
      <c r="B1095" s="1" t="n">
        <v>45783.39127314815</v>
      </c>
      <c r="C1095" s="1" t="n">
        <v>46083</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21612-2025</t>
        </is>
      </c>
      <c r="B1096" s="1" t="n">
        <v>45783.39449074074</v>
      </c>
      <c r="C1096" s="1" t="n">
        <v>46083</v>
      </c>
      <c r="D1096" t="inlineStr">
        <is>
          <t>VÄSTERBOTTENS LÄN</t>
        </is>
      </c>
      <c r="E1096" t="inlineStr">
        <is>
          <t>UMEÅ</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21795-2025</t>
        </is>
      </c>
      <c r="B1097" s="1" t="n">
        <v>45783.68131944445</v>
      </c>
      <c r="C1097" s="1" t="n">
        <v>46083</v>
      </c>
      <c r="D1097" t="inlineStr">
        <is>
          <t>VÄSTERBOTTENS LÄN</t>
        </is>
      </c>
      <c r="E1097" t="inlineStr">
        <is>
          <t>UMEÅ</t>
        </is>
      </c>
      <c r="F1097" t="inlineStr">
        <is>
          <t>Kyrkan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22145-2025</t>
        </is>
      </c>
      <c r="B1098" s="1" t="n">
        <v>45785.55422453704</v>
      </c>
      <c r="C1098" s="1" t="n">
        <v>46083</v>
      </c>
      <c r="D1098" t="inlineStr">
        <is>
          <t>VÄSTERBOTTENS LÄN</t>
        </is>
      </c>
      <c r="E1098" t="inlineStr">
        <is>
          <t>UMEÅ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22146-2025</t>
        </is>
      </c>
      <c r="B1099" s="1" t="n">
        <v>45785.55462962963</v>
      </c>
      <c r="C1099" s="1" t="n">
        <v>46083</v>
      </c>
      <c r="D1099" t="inlineStr">
        <is>
          <t>VÄSTERBOTTENS LÄN</t>
        </is>
      </c>
      <c r="E1099" t="inlineStr">
        <is>
          <t>UMEÅ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29658-2024</t>
        </is>
      </c>
      <c r="B1100" s="1" t="n">
        <v>45484.9237037037</v>
      </c>
      <c r="C1100" s="1" t="n">
        <v>46083</v>
      </c>
      <c r="D1100" t="inlineStr">
        <is>
          <t>VÄSTERBOTTENS LÄN</t>
        </is>
      </c>
      <c r="E1100" t="inlineStr">
        <is>
          <t>UMEÅ</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22161-2025</t>
        </is>
      </c>
      <c r="B1101" s="1" t="n">
        <v>45785.58844907407</v>
      </c>
      <c r="C1101" s="1" t="n">
        <v>46083</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58708-2024</t>
        </is>
      </c>
      <c r="B1102" s="1" t="n">
        <v>45635</v>
      </c>
      <c r="C1102" s="1" t="n">
        <v>46083</v>
      </c>
      <c r="D1102" t="inlineStr">
        <is>
          <t>VÄSTERBOTTENS LÄN</t>
        </is>
      </c>
      <c r="E1102" t="inlineStr">
        <is>
          <t>UMEÅ</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22657-2025</t>
        </is>
      </c>
      <c r="B1103" s="1" t="n">
        <v>45789.47297453704</v>
      </c>
      <c r="C1103" s="1" t="n">
        <v>46083</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22912-2025</t>
        </is>
      </c>
      <c r="B1104" s="1" t="n">
        <v>45790</v>
      </c>
      <c r="C1104" s="1" t="n">
        <v>46083</v>
      </c>
      <c r="D1104" t="inlineStr">
        <is>
          <t>VÄSTERBOTTENS LÄN</t>
        </is>
      </c>
      <c r="E1104" t="inlineStr">
        <is>
          <t>UMEÅ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15664-2025</t>
        </is>
      </c>
      <c r="B1105" s="1" t="n">
        <v>45748</v>
      </c>
      <c r="C1105" s="1" t="n">
        <v>46083</v>
      </c>
      <c r="D1105" t="inlineStr">
        <is>
          <t>VÄSTERBOTTENS LÄN</t>
        </is>
      </c>
      <c r="E1105" t="inlineStr">
        <is>
          <t>UMEÅ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22851-2025</t>
        </is>
      </c>
      <c r="B1106" s="1" t="n">
        <v>45790.34162037037</v>
      </c>
      <c r="C1106" s="1" t="n">
        <v>46083</v>
      </c>
      <c r="D1106" t="inlineStr">
        <is>
          <t>VÄSTERBOTTENS LÄN</t>
        </is>
      </c>
      <c r="E1106" t="inlineStr">
        <is>
          <t>UMEÅ</t>
        </is>
      </c>
      <c r="F1106" t="inlineStr">
        <is>
          <t>Holmen skog AB</t>
        </is>
      </c>
      <c r="G1106" t="n">
        <v>20.6</v>
      </c>
      <c r="H1106" t="n">
        <v>0</v>
      </c>
      <c r="I1106" t="n">
        <v>0</v>
      </c>
      <c r="J1106" t="n">
        <v>0</v>
      </c>
      <c r="K1106" t="n">
        <v>0</v>
      </c>
      <c r="L1106" t="n">
        <v>0</v>
      </c>
      <c r="M1106" t="n">
        <v>0</v>
      </c>
      <c r="N1106" t="n">
        <v>0</v>
      </c>
      <c r="O1106" t="n">
        <v>0</v>
      </c>
      <c r="P1106" t="n">
        <v>0</v>
      </c>
      <c r="Q1106" t="n">
        <v>0</v>
      </c>
      <c r="R1106" s="2" t="inlineStr"/>
    </row>
    <row r="1107" ht="15" customHeight="1">
      <c r="A1107" t="inlineStr">
        <is>
          <t>A 23271-2025</t>
        </is>
      </c>
      <c r="B1107" s="1" t="n">
        <v>45791.5622337963</v>
      </c>
      <c r="C1107" s="1" t="n">
        <v>46083</v>
      </c>
      <c r="D1107" t="inlineStr">
        <is>
          <t>VÄSTERBOTTENS LÄN</t>
        </is>
      </c>
      <c r="E1107" t="inlineStr">
        <is>
          <t>UMEÅ</t>
        </is>
      </c>
      <c r="F1107" t="inlineStr">
        <is>
          <t>Holmen skog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23442-2025</t>
        </is>
      </c>
      <c r="B1108" s="1" t="n">
        <v>45792.3788425926</v>
      </c>
      <c r="C1108" s="1" t="n">
        <v>46083</v>
      </c>
      <c r="D1108" t="inlineStr">
        <is>
          <t>VÄSTERBOTTENS LÄN</t>
        </is>
      </c>
      <c r="E1108" t="inlineStr">
        <is>
          <t>UMEÅ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23500-2025</t>
        </is>
      </c>
      <c r="B1109" s="1" t="n">
        <v>45792.48252314814</v>
      </c>
      <c r="C1109" s="1" t="n">
        <v>46083</v>
      </c>
      <c r="D1109" t="inlineStr">
        <is>
          <t>VÄSTERBOTTENS LÄN</t>
        </is>
      </c>
      <c r="E1109" t="inlineStr">
        <is>
          <t>UMEÅ</t>
        </is>
      </c>
      <c r="F1109" t="inlineStr">
        <is>
          <t>Holmen skog AB</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23563-2025</t>
        </is>
      </c>
      <c r="B1110" s="1" t="n">
        <v>45792.58780092592</v>
      </c>
      <c r="C1110" s="1" t="n">
        <v>46083</v>
      </c>
      <c r="D1110" t="inlineStr">
        <is>
          <t>VÄSTERBOTTENS LÄN</t>
        </is>
      </c>
      <c r="E1110" t="inlineStr">
        <is>
          <t>UMEÅ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19074-2021</t>
        </is>
      </c>
      <c r="B1111" s="1" t="n">
        <v>44308</v>
      </c>
      <c r="C1111" s="1" t="n">
        <v>46083</v>
      </c>
      <c r="D1111" t="inlineStr">
        <is>
          <t>VÄSTERBOTTENS LÄN</t>
        </is>
      </c>
      <c r="E1111" t="inlineStr">
        <is>
          <t>UMEÅ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22674-2025</t>
        </is>
      </c>
      <c r="B1112" s="1" t="n">
        <v>45789.49047453704</v>
      </c>
      <c r="C1112" s="1" t="n">
        <v>46083</v>
      </c>
      <c r="D1112" t="inlineStr">
        <is>
          <t>VÄSTERBOTTENS LÄN</t>
        </is>
      </c>
      <c r="E1112" t="inlineStr">
        <is>
          <t>UMEÅ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23472-2025</t>
        </is>
      </c>
      <c r="B1113" s="1" t="n">
        <v>45792</v>
      </c>
      <c r="C1113" s="1" t="n">
        <v>46083</v>
      </c>
      <c r="D1113" t="inlineStr">
        <is>
          <t>VÄSTERBOTTENS LÄN</t>
        </is>
      </c>
      <c r="E1113" t="inlineStr">
        <is>
          <t>UMEÅ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23474-2025</t>
        </is>
      </c>
      <c r="B1114" s="1" t="n">
        <v>45792.4493287037</v>
      </c>
      <c r="C1114" s="1" t="n">
        <v>46083</v>
      </c>
      <c r="D1114" t="inlineStr">
        <is>
          <t>VÄSTERBOTTENS LÄN</t>
        </is>
      </c>
      <c r="E1114" t="inlineStr">
        <is>
          <t>UMEÅ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32813-2024</t>
        </is>
      </c>
      <c r="B1115" s="1" t="n">
        <v>45516.57533564815</v>
      </c>
      <c r="C1115" s="1" t="n">
        <v>46083</v>
      </c>
      <c r="D1115" t="inlineStr">
        <is>
          <t>VÄSTERBOTTENS LÄN</t>
        </is>
      </c>
      <c r="E1115" t="inlineStr">
        <is>
          <t>UMEÅ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58278-2024</t>
        </is>
      </c>
      <c r="B1116" s="1" t="n">
        <v>45632.57494212963</v>
      </c>
      <c r="C1116" s="1" t="n">
        <v>46083</v>
      </c>
      <c r="D1116" t="inlineStr">
        <is>
          <t>VÄSTERBOTTENS LÄN</t>
        </is>
      </c>
      <c r="E1116" t="inlineStr">
        <is>
          <t>UMEÅ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30050-2024</t>
        </is>
      </c>
      <c r="B1117" s="1" t="n">
        <v>45488</v>
      </c>
      <c r="C1117" s="1" t="n">
        <v>46083</v>
      </c>
      <c r="D1117" t="inlineStr">
        <is>
          <t>VÄSTERBOTTENS LÄN</t>
        </is>
      </c>
      <c r="E1117" t="inlineStr">
        <is>
          <t>UMEÅ</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56332-2023</t>
        </is>
      </c>
      <c r="B1118" s="1" t="n">
        <v>45243.34</v>
      </c>
      <c r="C1118" s="1" t="n">
        <v>46083</v>
      </c>
      <c r="D1118" t="inlineStr">
        <is>
          <t>VÄSTERBOTTENS LÄN</t>
        </is>
      </c>
      <c r="E1118" t="inlineStr">
        <is>
          <t>UMEÅ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24540-2025</t>
        </is>
      </c>
      <c r="B1119" s="1" t="n">
        <v>45798.44232638889</v>
      </c>
      <c r="C1119" s="1" t="n">
        <v>46083</v>
      </c>
      <c r="D1119" t="inlineStr">
        <is>
          <t>VÄSTERBOTTENS LÄN</t>
        </is>
      </c>
      <c r="E1119" t="inlineStr">
        <is>
          <t>UMEÅ</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24595-2025</t>
        </is>
      </c>
      <c r="B1120" s="1" t="n">
        <v>45798</v>
      </c>
      <c r="C1120" s="1" t="n">
        <v>46083</v>
      </c>
      <c r="D1120" t="inlineStr">
        <is>
          <t>VÄSTERBOTTENS LÄN</t>
        </is>
      </c>
      <c r="E1120" t="inlineStr">
        <is>
          <t>UMEÅ</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24780-2025</t>
        </is>
      </c>
      <c r="B1121" s="1" t="n">
        <v>45799</v>
      </c>
      <c r="C1121" s="1" t="n">
        <v>46083</v>
      </c>
      <c r="D1121" t="inlineStr">
        <is>
          <t>VÄSTERBOTTENS LÄN</t>
        </is>
      </c>
      <c r="E1121" t="inlineStr">
        <is>
          <t>UMEÅ</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c r="A1122" t="inlineStr">
        <is>
          <t>A 25838-2025</t>
        </is>
      </c>
      <c r="B1122" s="1" t="n">
        <v>45804.44883101852</v>
      </c>
      <c r="C1122" s="1" t="n">
        <v>46083</v>
      </c>
      <c r="D1122" t="inlineStr">
        <is>
          <t>VÄSTERBOTTENS LÄN</t>
        </is>
      </c>
      <c r="E1122" t="inlineStr">
        <is>
          <t>UMEÅ</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2026-03-02T11:06:19Z</dcterms:created>
  <dcterms:modified xmlns:dcterms="http://purl.org/dc/terms/" xmlns:xsi="http://www.w3.org/2001/XMLSchema-instance" xsi:type="dcterms:W3CDTF">2026-03-02T11:06:20Z</dcterms:modified>
</cp:coreProperties>
</file>