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45830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45830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45830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45830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45830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45830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45830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24934-2025</t>
        </is>
      </c>
      <c r="B9" s="1" t="n">
        <v>45799</v>
      </c>
      <c r="C9" s="1" t="n">
        <v>45830</v>
      </c>
      <c r="D9" t="inlineStr">
        <is>
          <t>VÄSTERBOTTENS LÄN</t>
        </is>
      </c>
      <c r="E9" t="inlineStr">
        <is>
          <t>UMEÅ</t>
        </is>
      </c>
      <c r="G9" t="n">
        <v>24.9</v>
      </c>
      <c r="H9" t="n">
        <v>7</v>
      </c>
      <c r="I9" t="n">
        <v>4</v>
      </c>
      <c r="J9" t="n">
        <v>10</v>
      </c>
      <c r="K9" t="n">
        <v>1</v>
      </c>
      <c r="L9" t="n">
        <v>0</v>
      </c>
      <c r="M9" t="n">
        <v>0</v>
      </c>
      <c r="N9" t="n">
        <v>0</v>
      </c>
      <c r="O9" t="n">
        <v>11</v>
      </c>
      <c r="P9" t="n">
        <v>1</v>
      </c>
      <c r="Q9" t="n">
        <v>17</v>
      </c>
      <c r="R9" s="2" t="inlineStr">
        <is>
          <t>Sprickporing
Garnlav
Granticka
Harticka
Havsörn
Järpe
Leptoporus mollis
Lunglav
Spillkråka
Tretåig hackspett
Ullticka
Kattfotslav
Spindelblomster
Vedticka
Vågbandad barkbock
Grönsiska
Kungsfågel</t>
        </is>
      </c>
      <c r="S9">
        <f>HYPERLINK("https://klasma.github.io/Logging_242480/artfynd/A 24934-2025 artfynd.xlsx", "A 24934-2025")</f>
        <v/>
      </c>
      <c r="T9">
        <f>HYPERLINK("https://klasma.github.io/Logging_242480/kartor/A 24934-2025 karta.png", "A 24934-2025")</f>
        <v/>
      </c>
      <c r="V9">
        <f>HYPERLINK("https://klasma.github.io/Logging_242480/klagomål/A 24934-2025 FSC-klagomål.docx", "A 24934-2025")</f>
        <v/>
      </c>
      <c r="W9">
        <f>HYPERLINK("https://klasma.github.io/Logging_242480/klagomålsmail/A 24934-2025 FSC-klagomål mail.docx", "A 24934-2025")</f>
        <v/>
      </c>
      <c r="X9">
        <f>HYPERLINK("https://klasma.github.io/Logging_242480/tillsyn/A 24934-2025 tillsynsbegäran.docx", "A 24934-2025")</f>
        <v/>
      </c>
      <c r="Y9">
        <f>HYPERLINK("https://klasma.github.io/Logging_242480/tillsynsmail/A 24934-2025 tillsynsbegäran mail.docx", "A 24934-2025")</f>
        <v/>
      </c>
      <c r="Z9">
        <f>HYPERLINK("https://klasma.github.io/Logging_242480/fåglar/A 24934-2025 prioriterade fågelarter.docx", "A 24934-2025")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45830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45830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45830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45830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45830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45830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45830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45830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45830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45830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45830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45830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45830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45830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45830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45830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45830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45830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45830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45830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45830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45830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45830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45830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45830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45830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45830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45830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45830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45830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45830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45830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45830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45830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45830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45830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45830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45830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45830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45830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45830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45830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45830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45830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45830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45830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45830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45830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45830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45830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45830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45830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45830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45830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45830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45830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45830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45830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45830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45830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45830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45830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45830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45830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45830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45830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45830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45830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45830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45830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45830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45830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45830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45830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45830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45830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45830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45830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45830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45830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45830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45830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45830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45830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45830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45830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45830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45830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45830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45830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45830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45830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45830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45830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45830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45830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45830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45830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45830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45830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45830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45830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45830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45830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45830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45830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45830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45830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45830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45830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30170-2025</t>
        </is>
      </c>
      <c r="B120" s="1" t="n">
        <v>45827</v>
      </c>
      <c r="C120" s="1" t="n">
        <v>45830</v>
      </c>
      <c r="D120" t="inlineStr">
        <is>
          <t>VÄSTERBOTTENS LÄN</t>
        </is>
      </c>
      <c r="E120" t="inlineStr">
        <is>
          <t>UMEÅ</t>
        </is>
      </c>
      <c r="G120" t="n">
        <v>12.1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Guldgräshoppa
Norrlandslav</t>
        </is>
      </c>
      <c r="S120">
        <f>HYPERLINK("https://klasma.github.io/Logging_242480/artfynd/A 30170-2025 artfynd.xlsx", "A 30170-2025")</f>
        <v/>
      </c>
      <c r="T120">
        <f>HYPERLINK("https://klasma.github.io/Logging_242480/kartor/A 30170-2025 karta.png", "A 30170-2025")</f>
        <v/>
      </c>
      <c r="V120">
        <f>HYPERLINK("https://klasma.github.io/Logging_242480/klagomål/A 30170-2025 FSC-klagomål.docx", "A 30170-2025")</f>
        <v/>
      </c>
      <c r="W120">
        <f>HYPERLINK("https://klasma.github.io/Logging_242480/klagomålsmail/A 30170-2025 FSC-klagomål mail.docx", "A 30170-2025")</f>
        <v/>
      </c>
      <c r="X120">
        <f>HYPERLINK("https://klasma.github.io/Logging_242480/tillsyn/A 30170-2025 tillsynsbegäran.docx", "A 30170-2025")</f>
        <v/>
      </c>
      <c r="Y120">
        <f>HYPERLINK("https://klasma.github.io/Logging_242480/tillsynsmail/A 30170-2025 tillsynsbegäran mail.docx", "A 30170-2025")</f>
        <v/>
      </c>
    </row>
    <row r="121" ht="15" customHeight="1">
      <c r="A121" t="inlineStr">
        <is>
          <t>A 30173-2025</t>
        </is>
      </c>
      <c r="B121" s="1" t="n">
        <v>45827</v>
      </c>
      <c r="C121" s="1" t="n">
        <v>45830</v>
      </c>
      <c r="D121" t="inlineStr">
        <is>
          <t>VÄSTERBOTTENS LÄN</t>
        </is>
      </c>
      <c r="E121" t="inlineStr">
        <is>
          <t>UMEÅ</t>
        </is>
      </c>
      <c r="G121" t="n">
        <v>11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Nordfladdermus
Ullticka</t>
        </is>
      </c>
      <c r="S121">
        <f>HYPERLINK("https://klasma.github.io/Logging_242480/artfynd/A 30173-2025 artfynd.xlsx", "A 30173-2025")</f>
        <v/>
      </c>
      <c r="T121">
        <f>HYPERLINK("https://klasma.github.io/Logging_242480/kartor/A 30173-2025 karta.png", "A 30173-2025")</f>
        <v/>
      </c>
      <c r="V121">
        <f>HYPERLINK("https://klasma.github.io/Logging_242480/klagomål/A 30173-2025 FSC-klagomål.docx", "A 30173-2025")</f>
        <v/>
      </c>
      <c r="W121">
        <f>HYPERLINK("https://klasma.github.io/Logging_242480/klagomålsmail/A 30173-2025 FSC-klagomål mail.docx", "A 30173-2025")</f>
        <v/>
      </c>
      <c r="X121">
        <f>HYPERLINK("https://klasma.github.io/Logging_242480/tillsyn/A 30173-2025 tillsynsbegäran.docx", "A 30173-2025")</f>
        <v/>
      </c>
      <c r="Y121">
        <f>HYPERLINK("https://klasma.github.io/Logging_242480/tillsynsmail/A 30173-2025 tillsynsbegäran mail.docx", "A 30173-2025")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45830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45830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45830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45830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45830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45830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45830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45830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45830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45830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45830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45830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45830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45830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45830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45830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45830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45830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45830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45830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45830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45830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45830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45830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45830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45830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45830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45830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45830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45830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45830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45830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45830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45830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45830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45830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45830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45830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45830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45830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45830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45830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45830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45830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45830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45830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45830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45830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45830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45830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45830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45830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45830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45830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45830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45830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45830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45830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45830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45830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45830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45830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45830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45830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45830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45830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45830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45830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45830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45830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45830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45830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45830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45830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45830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45830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45830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45830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45830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45830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45830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45830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45830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45830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45830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45830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45830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45830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45830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45830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45830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45830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45830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45830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45830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45830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45830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45830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45830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45830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45830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45830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45830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45830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45830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45830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45830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45830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45830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45830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45830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45830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45830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45830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45830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45830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45830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45830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45830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45830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45830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45830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45830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45830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45830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45830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45830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45830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45830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45830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45830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45830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45830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45830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45830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45830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45830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45830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45830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45830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45830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45830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45830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45830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45830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45830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45830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45830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45830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45830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45830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45830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45830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45830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45830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45830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45830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45830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45830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45830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45830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45830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45830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45830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45830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45830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45830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45830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45830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45830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45830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45830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45830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45830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45830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45830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45830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45830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45830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45830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45830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45830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45830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45830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45830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45830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45830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45830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45830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45830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45830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45830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45830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45830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45830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45830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45830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45830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45830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45830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45830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45830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45830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45830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45830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45830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45830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45830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45830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45830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45830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45830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45830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45830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45830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45830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45830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45830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45830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45830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45830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45830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45830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45830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45830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45830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45830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45830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45830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45830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45830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45830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45830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45830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45830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45830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45830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45830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45830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45830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45830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45830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45830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45830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45830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45830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45830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45830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45830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45830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45830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45830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45830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45830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45830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45830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45830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45830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45830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45830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45830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45830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45830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45830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45830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45830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45830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45830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45830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45830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45830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45830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45830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45830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45830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45830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45830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45830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45830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45830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45830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45830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45830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45830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45830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45830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45830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45830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45830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45830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45830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45830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45830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45830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45830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45830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45830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45830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45830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45830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45830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45830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45830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45830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45830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45830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45830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45830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45830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45830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45830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45830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45830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45830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45830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45830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45830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45830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45830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45830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45830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45830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45830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45830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45830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45830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45830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45830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45830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45830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45830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45830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45830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45830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45830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45830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45830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45830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45830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45830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45830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45830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45830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45830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45830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45830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45830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45830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45830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45830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45830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45830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45830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45830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45830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45830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45830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45830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45830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45830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45830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45830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45830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45830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45830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45830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45830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45830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45830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45830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45830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45830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45830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45830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45830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45830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45830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45830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45830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45830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45830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45830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45830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45830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45830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45830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45830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45830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45830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45830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45830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45830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45830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45830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45830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45830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45830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45830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45830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45830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45830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45830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45830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45830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45830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45830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45830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45830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45830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45830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45830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45830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45830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45830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45830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45830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45830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45830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45830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45830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45830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45830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45830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45830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45830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45830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45830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45830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45830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45830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45830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45830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45830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45830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45830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45830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45830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45830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45830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45830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45830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45830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45830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45830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45830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45830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45830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45830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45830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45830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45830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45830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45830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45830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45830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45830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45830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45830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45830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45830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45830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45830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45830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45830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45830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45830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45830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45830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45830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45830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45830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45830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45830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45830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45830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45830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45830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45830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45830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45830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45830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45830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45830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45830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45830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45830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45830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45830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45830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45830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45830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45830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45830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45830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45830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45830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45830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45830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45830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45830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45830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45830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45830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45830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45830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45830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45830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45830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45830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45830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45830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45830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45830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45830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45830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45830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45830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45830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45830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45830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45830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45830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45830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45830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45830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45830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45830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45830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45830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45830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45830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45830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45830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45830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45830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45830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45830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45830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45830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45830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45830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45830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45830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45830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45830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45830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45830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45830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45830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45830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45830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45830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45830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45830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45830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45830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45830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45830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45830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45830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45830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45830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45830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45830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45830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45830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45830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45830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45830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45830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45830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45830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45830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45830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45830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45830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45830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45830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45830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45830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45830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45830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45830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45830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45830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45830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45830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45830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45830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45830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45830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45830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45830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45830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45830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45830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45830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45830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45830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45830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45830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45830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45830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45830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45830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45830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45830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45830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45830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45830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45830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45830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45830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45830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45830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45830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45830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45830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45830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45830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45830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45830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45830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45830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45830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45830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45830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45830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45830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45830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45830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45830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45830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45830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45830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45830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45830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45830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45830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45830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45830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45830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45830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45830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45830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45830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45830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45830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45830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45830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45830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45830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45830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45830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45830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45830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45830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45830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45830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45830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45830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45830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45830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45830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45830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45830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45830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45830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45830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45830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45830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45830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45830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45830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45830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45830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45830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45830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45830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45830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45830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45830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45830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45830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45830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45830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45830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45830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45830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45830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45830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45830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45830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45830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45830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45830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45830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45830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45830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45830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45830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45830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45830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45830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45830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45830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45830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45830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45830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45830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45830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45830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45830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45830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45830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45830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45830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45830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45830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45830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45830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45830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45830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45830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45830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45830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45830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45830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45830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45830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45830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45830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45830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45830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45830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45830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45830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45830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45830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45830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45830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45830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45830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45830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45830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45830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45830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45830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45830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45830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45830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45830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45830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45830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45830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45830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45830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45830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45830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45830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45830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45830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45830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45830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45830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45830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45830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45830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45830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45830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45830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45830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45830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45830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45830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45830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45830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45830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45830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45830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45830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45830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45830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45830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45830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45830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45830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45830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45830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45830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45830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45830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45830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45830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45830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45830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45830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45830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45830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45830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45830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45830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45830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45830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45830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45830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45830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45830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45830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45830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45830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45830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45830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45830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45830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45830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45830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45830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45830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45830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45830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45830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45830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45830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45830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45830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45830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45830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45830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45830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45830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45830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45830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45830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45830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45830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45830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45830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45830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45830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45830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45830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45830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45830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45830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45830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45830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45830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45830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45830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45830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45830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45830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45830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45830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45830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45830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45830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45830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45830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45830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45830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45830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45830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45830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45830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45830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45830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45830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45830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45830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45830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45830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45830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45830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45830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45830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45830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45830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45830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45830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45830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45830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45830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45830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45830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45830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45830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45830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45830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45830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45830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45830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45830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45830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45830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45830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45830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45830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45830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45830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45830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45830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45830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45830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45830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45830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45830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45830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45830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45830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45830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45830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45830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45830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45830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45830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45830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45830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45830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45830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45830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45830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45830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45830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45830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45830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45830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45830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45830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45830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45830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45830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45830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45830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45830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45830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45830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45830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45830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45830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45830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45830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45830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45830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45830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45830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45830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45830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45830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45830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45830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45830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45830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45830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45830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45830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45830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45830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45830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45830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45830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45830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45830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45830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45830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45830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45830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45830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45830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45830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45830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45830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45830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45830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45830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45830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45830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45830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45830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45830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45830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45830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45830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45830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45830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45830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45830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45830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45830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45830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45830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45830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45830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45830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45830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45830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45830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45830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45830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45830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45830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45830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45830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45830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45830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45830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45830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45830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45830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45830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45830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45830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45830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45830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45830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45830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45830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45830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45830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45830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45830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45830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45830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45830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45830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45830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45830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45830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45830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45830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45830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45830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45830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45830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45830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45830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45830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45830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45830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45830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45830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45830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45830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45830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45830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45830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45830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45830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45830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45830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45830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45830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45830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45830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45830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45830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45830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45830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45830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45830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45830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45830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45830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45830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45830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45830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45830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45830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45830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45830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45830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45830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45830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45830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45830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45830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45830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45830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45830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45830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45830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45830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45830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45830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45830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45830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45830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45830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45830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45830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45830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45830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45830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45830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45830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45830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45830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45830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45830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45830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45830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45830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45830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45830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45830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45830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45830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45830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45830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45830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45830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45830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45830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45830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45830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45830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45830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45830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45830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45830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45830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45830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45830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45830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45830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45830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45830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45830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45830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45830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45830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45830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45830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45830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45830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45830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45830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45830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45830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45830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45830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45830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45830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45830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45830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45830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45830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45830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45830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45830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45830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45830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45830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45830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45830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45830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45830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45830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45830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45830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45830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45830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45830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45830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45830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45830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45830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45830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45830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45830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45830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45830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45830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45830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45830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45830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45830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45830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45830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45830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45830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45830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45830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45830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45830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45830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45830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45830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45830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45830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45830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45830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45830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45830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45830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45830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45830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45830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45830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45830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45830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45830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45830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45830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45830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45830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45830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45830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45830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45830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45830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45830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45830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45830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45830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45830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45830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45830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45830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45830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45830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45830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45830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45830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45830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45830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45830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45830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45830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45830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45830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45830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45830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45830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45830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45830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45830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45830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45830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45830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45830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45830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45830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45830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45830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45830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45830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45830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45830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45830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45830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45830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45830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45830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45830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45830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45830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45830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45830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45830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45830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45830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45830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45830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45830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45830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45830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45830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45830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45830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45830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45830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45830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45830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45830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45830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45830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45830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45830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45830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45830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45830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45830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45830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45830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45830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45830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45830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45830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45830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45830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45830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45830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45830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45830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45830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45830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45830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45830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45830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45830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45830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45830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45830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45830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45830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45830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45830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45830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45830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45830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45830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45830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45830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45830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45830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45830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45830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45830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45830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45830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45830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45830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45830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45830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45830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45830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45830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45830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45830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45830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45830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45830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45830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45830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45830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45830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45830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45830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45830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45830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45830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45830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45830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45830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45830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45830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45830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45830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45830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45830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45830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45830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45830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45830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45830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45830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45830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45830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45830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45830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45830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45830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45830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45830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45830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45830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45830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45830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45830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45830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45830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45830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45830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45830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45830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45830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45830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45830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45830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45830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45830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45830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45830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45830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45830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45830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45830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45830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45830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45830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45830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45830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45830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45830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45830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45830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45830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45830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45830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45830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45830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45830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45830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45830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45830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45830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45830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45830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45830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45830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45830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45830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45830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45830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45830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45830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45830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45830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45830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45830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45830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45830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45830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45830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45830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45830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45830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45830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45830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45830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45830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45830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45830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45830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45830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45830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45830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45830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45830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45830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45830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45830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45830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45830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45830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45830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45830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45830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45830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45830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45830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45830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45830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45830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45830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45830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45830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45830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45830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45830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45830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45830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45830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45830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45830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45830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45830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45830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45830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45830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45830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45830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45830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25683-2025</t>
        </is>
      </c>
      <c r="B1597" s="1" t="n">
        <v>45803</v>
      </c>
      <c r="C1597" s="1" t="n">
        <v>45830</v>
      </c>
      <c r="D1597" t="inlineStr">
        <is>
          <t>VÄSTERBOTTENS LÄN</t>
        </is>
      </c>
      <c r="E1597" t="inlineStr">
        <is>
          <t>UMEÅ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25689-2025</t>
        </is>
      </c>
      <c r="B1598" s="1" t="n">
        <v>45803</v>
      </c>
      <c r="C1598" s="1" t="n">
        <v>45830</v>
      </c>
      <c r="D1598" t="inlineStr">
        <is>
          <t>VÄSTERBOTTENS LÄN</t>
        </is>
      </c>
      <c r="E1598" t="inlineStr">
        <is>
          <t>UMEÅ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25533-2025</t>
        </is>
      </c>
      <c r="B1599" s="1" t="n">
        <v>45803</v>
      </c>
      <c r="C1599" s="1" t="n">
        <v>45830</v>
      </c>
      <c r="D1599" t="inlineStr">
        <is>
          <t>VÄSTERBOTTENS LÄN</t>
        </is>
      </c>
      <c r="E1599" t="inlineStr">
        <is>
          <t>UMEÅ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25699-2025</t>
        </is>
      </c>
      <c r="B1600" s="1" t="n">
        <v>45803</v>
      </c>
      <c r="C1600" s="1" t="n">
        <v>45830</v>
      </c>
      <c r="D1600" t="inlineStr">
        <is>
          <t>VÄSTERBOTTENS LÄN</t>
        </is>
      </c>
      <c r="E1600" t="inlineStr">
        <is>
          <t>UMEÅ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25534-2025</t>
        </is>
      </c>
      <c r="B1601" s="1" t="n">
        <v>45803</v>
      </c>
      <c r="C1601" s="1" t="n">
        <v>45830</v>
      </c>
      <c r="D1601" t="inlineStr">
        <is>
          <t>VÄSTERBOTTENS LÄN</t>
        </is>
      </c>
      <c r="E1601" t="inlineStr">
        <is>
          <t>UMEÅ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25690-2025</t>
        </is>
      </c>
      <c r="B1602" s="1" t="n">
        <v>45803</v>
      </c>
      <c r="C1602" s="1" t="n">
        <v>45830</v>
      </c>
      <c r="D1602" t="inlineStr">
        <is>
          <t>VÄSTERBOTTENS LÄN</t>
        </is>
      </c>
      <c r="E1602" t="inlineStr">
        <is>
          <t>UMEÅ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25691-2025</t>
        </is>
      </c>
      <c r="B1603" s="1" t="n">
        <v>45803</v>
      </c>
      <c r="C1603" s="1" t="n">
        <v>45830</v>
      </c>
      <c r="D1603" t="inlineStr">
        <is>
          <t>VÄSTERBOTTENS LÄN</t>
        </is>
      </c>
      <c r="E1603" t="inlineStr">
        <is>
          <t>UMEÅ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45830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45830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45830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45830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45830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27172-2025</t>
        </is>
      </c>
      <c r="B1609" s="1" t="n">
        <v>45812</v>
      </c>
      <c r="C1609" s="1" t="n">
        <v>45830</v>
      </c>
      <c r="D1609" t="inlineStr">
        <is>
          <t>VÄSTERBOTTENS LÄN</t>
        </is>
      </c>
      <c r="E1609" t="inlineStr">
        <is>
          <t>UMEÅ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27173-2025</t>
        </is>
      </c>
      <c r="B1610" s="1" t="n">
        <v>45812</v>
      </c>
      <c r="C1610" s="1" t="n">
        <v>45830</v>
      </c>
      <c r="D1610" t="inlineStr">
        <is>
          <t>VÄSTERBOTTENS LÄN</t>
        </is>
      </c>
      <c r="E1610" t="inlineStr">
        <is>
          <t>UMEÅ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27246-2025</t>
        </is>
      </c>
      <c r="B1611" s="1" t="n">
        <v>45812</v>
      </c>
      <c r="C1611" s="1" t="n">
        <v>45830</v>
      </c>
      <c r="D1611" t="inlineStr">
        <is>
          <t>VÄSTERBOTTENS LÄN</t>
        </is>
      </c>
      <c r="E1611" t="inlineStr">
        <is>
          <t>UMEÅ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45830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45830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45830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28832-2025</t>
        </is>
      </c>
      <c r="B1615" s="1" t="n">
        <v>45820</v>
      </c>
      <c r="C1615" s="1" t="n">
        <v>45830</v>
      </c>
      <c r="D1615" t="inlineStr">
        <is>
          <t>VÄSTERBOTTENS LÄN</t>
        </is>
      </c>
      <c r="E1615" t="inlineStr">
        <is>
          <t>UMEÅ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28827-2025</t>
        </is>
      </c>
      <c r="B1616" s="1" t="n">
        <v>45820</v>
      </c>
      <c r="C1616" s="1" t="n">
        <v>45830</v>
      </c>
      <c r="D1616" t="inlineStr">
        <is>
          <t>VÄSTERBOTTENS LÄN</t>
        </is>
      </c>
      <c r="E1616" t="inlineStr">
        <is>
          <t>UMEÅ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28836-2025</t>
        </is>
      </c>
      <c r="B1617" s="1" t="n">
        <v>45820</v>
      </c>
      <c r="C1617" s="1" t="n">
        <v>45830</v>
      </c>
      <c r="D1617" t="inlineStr">
        <is>
          <t>VÄSTERBOTTENS LÄN</t>
        </is>
      </c>
      <c r="E1617" t="inlineStr">
        <is>
          <t>UMEÅ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45830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29327-2025</t>
        </is>
      </c>
      <c r="B1619" s="1" t="n">
        <v>45824</v>
      </c>
      <c r="C1619" s="1" t="n">
        <v>45830</v>
      </c>
      <c r="D1619" t="inlineStr">
        <is>
          <t>VÄSTERBOTTENS LÄN</t>
        </is>
      </c>
      <c r="E1619" t="inlineStr">
        <is>
          <t>UMEÅ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29352-2025</t>
        </is>
      </c>
      <c r="B1620" s="1" t="n">
        <v>45824</v>
      </c>
      <c r="C1620" s="1" t="n">
        <v>45830</v>
      </c>
      <c r="D1620" t="inlineStr">
        <is>
          <t>VÄSTERBOTTENS LÄN</t>
        </is>
      </c>
      <c r="E1620" t="inlineStr">
        <is>
          <t>UMEÅ</t>
        </is>
      </c>
      <c r="F1620" t="inlineStr">
        <is>
          <t>Holmen skog AB</t>
        </is>
      </c>
      <c r="G1620" t="n">
        <v>10.8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29330-2025</t>
        </is>
      </c>
      <c r="B1621" s="1" t="n">
        <v>45824</v>
      </c>
      <c r="C1621" s="1" t="n">
        <v>45830</v>
      </c>
      <c r="D1621" t="inlineStr">
        <is>
          <t>VÄSTERBOTTENS LÄN</t>
        </is>
      </c>
      <c r="E1621" t="inlineStr">
        <is>
          <t>UMEÅ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29344-2025</t>
        </is>
      </c>
      <c r="B1622" s="1" t="n">
        <v>45824</v>
      </c>
      <c r="C1622" s="1" t="n">
        <v>45830</v>
      </c>
      <c r="D1622" t="inlineStr">
        <is>
          <t>VÄSTERBOTTENS LÄN</t>
        </is>
      </c>
      <c r="E1622" t="inlineStr">
        <is>
          <t>UMEÅ</t>
        </is>
      </c>
      <c r="G1622" t="n">
        <v>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29283-2025</t>
        </is>
      </c>
      <c r="B1623" s="1" t="n">
        <v>45824</v>
      </c>
      <c r="C1623" s="1" t="n">
        <v>45830</v>
      </c>
      <c r="D1623" t="inlineStr">
        <is>
          <t>VÄSTERBOTTENS LÄN</t>
        </is>
      </c>
      <c r="E1623" t="inlineStr">
        <is>
          <t>UMEÅ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29219-2025</t>
        </is>
      </c>
      <c r="B1624" s="1" t="n">
        <v>45824</v>
      </c>
      <c r="C1624" s="1" t="n">
        <v>45830</v>
      </c>
      <c r="D1624" t="inlineStr">
        <is>
          <t>VÄSTERBOTTENS LÄN</t>
        </is>
      </c>
      <c r="E1624" t="inlineStr">
        <is>
          <t>UMEÅ</t>
        </is>
      </c>
      <c r="F1624" t="inlineStr">
        <is>
          <t>Holmen skog AB</t>
        </is>
      </c>
      <c r="G1624" t="n">
        <v>12.1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29502-2025</t>
        </is>
      </c>
      <c r="B1625" s="1" t="n">
        <v>45825</v>
      </c>
      <c r="C1625" s="1" t="n">
        <v>45830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29774-2025</t>
        </is>
      </c>
      <c r="B1626" s="1" t="n">
        <v>45825</v>
      </c>
      <c r="C1626" s="1" t="n">
        <v>45830</v>
      </c>
      <c r="D1626" t="inlineStr">
        <is>
          <t>VÄSTERBOTTENS LÄN</t>
        </is>
      </c>
      <c r="E1626" t="inlineStr">
        <is>
          <t>UMEÅ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29704-2025</t>
        </is>
      </c>
      <c r="B1627" s="1" t="n">
        <v>45825</v>
      </c>
      <c r="C1627" s="1" t="n">
        <v>45830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35.1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29583-2025</t>
        </is>
      </c>
      <c r="B1628" s="1" t="n">
        <v>45825</v>
      </c>
      <c r="C1628" s="1" t="n">
        <v>45830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45830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29932-2025</t>
        </is>
      </c>
      <c r="B1630" s="1" t="n">
        <v>45826</v>
      </c>
      <c r="C1630" s="1" t="n">
        <v>45830</v>
      </c>
      <c r="D1630" t="inlineStr">
        <is>
          <t>VÄSTERBOTTENS LÄN</t>
        </is>
      </c>
      <c r="E1630" t="inlineStr">
        <is>
          <t>UMEÅ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30053-2025</t>
        </is>
      </c>
      <c r="B1631" s="1" t="n">
        <v>45826</v>
      </c>
      <c r="C1631" s="1" t="n">
        <v>45830</v>
      </c>
      <c r="D1631" t="inlineStr">
        <is>
          <t>VÄSTERBOTTENS LÄN</t>
        </is>
      </c>
      <c r="E1631" t="inlineStr">
        <is>
          <t>UMEÅ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45830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>
      <c r="A1633" t="inlineStr">
        <is>
          <t>A 30263-2025</t>
        </is>
      </c>
      <c r="B1633" s="1" t="n">
        <v>45827</v>
      </c>
      <c r="C1633" s="1" t="n">
        <v>45830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2025-06-22T18:47:01Z</dcterms:created>
  <dcterms:modified xmlns:dcterms="http://purl.org/dc/terms/" xmlns:xsi="http://www.w3.org/2001/XMLSchema-instance" xsi:type="dcterms:W3CDTF">2025-06-22T18:47:02Z</dcterms:modified>
</cp:coreProperties>
</file>